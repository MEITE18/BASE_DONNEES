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liou.Meite\Documents\DOCUMENTS MEAL WNCB\DOCUMENTS SCI\INFORMATIONS MEAL\EFFETS_PRODUIT_INDICATEURS_ACTIVITES\"/>
    </mc:Choice>
  </mc:AlternateContent>
  <xr:revisionPtr revIDLastSave="0" documentId="13_ncr:1_{B340F716-502A-4152-8AE4-84CD4D0368BD}" xr6:coauthVersionLast="47" xr6:coauthVersionMax="47" xr10:uidLastSave="{00000000-0000-0000-0000-000000000000}"/>
  <bookViews>
    <workbookView xWindow="-110" yWindow="-110" windowWidth="19420" windowHeight="10300" tabRatio="687" firstSheet="4" activeTab="4" xr2:uid="{97C02DD5-45C0-48AF-A9CD-CA31E188DB80}"/>
  </bookViews>
  <sheets>
    <sheet name="ANALYSE" sheetId="8" state="hidden" r:id="rId1"/>
    <sheet name="BASE_EDU_ENFANT" sheetId="23" state="hidden" r:id="rId2"/>
    <sheet name="Feuil2" sheetId="25" state="hidden" r:id="rId3"/>
    <sheet name="BASEEDU01" sheetId="16" state="hidden" r:id="rId4"/>
    <sheet name="ETAT SYNOPTIQUE_ZONE_AN2" sheetId="26" r:id="rId5"/>
    <sheet name="ETAT SYNOPTIQUE_ZONE_AN1" sheetId="28" r:id="rId6"/>
    <sheet name="Situation_globaleProjet_AN1_AN2" sheetId="27" r:id="rId7"/>
    <sheet name="COMPO AN3" sheetId="29" state="hidden" r:id="rId8"/>
    <sheet name="BASE_EDUCATION" sheetId="19" state="hidden" r:id="rId9"/>
    <sheet name="BASEAVEC02" sheetId="21" state="hidden" r:id="rId10"/>
    <sheet name="BASE_AVEC01" sheetId="6" state="hidden" r:id="rId11"/>
    <sheet name="BASEAVEC01" sheetId="7" state="hidden" r:id="rId12"/>
    <sheet name="GRAPHIQUES_AVEC" sheetId="14" state="hidden" r:id="rId13"/>
    <sheet name="Feuil1" sheetId="18" state="hidden" r:id="rId14"/>
  </sheets>
  <definedNames>
    <definedName name="_xlnm._FilterDatabase" localSheetId="11" hidden="1">BASEAVEC01!$A$1:$R$1099</definedName>
    <definedName name="_xlnm._FilterDatabase" localSheetId="9" hidden="1">BASEAVEC02!$A$1:$Q$1587</definedName>
    <definedName name="_xlnm._FilterDatabase" localSheetId="3" hidden="1">BASEEDU01!$B$3:$R$42</definedName>
    <definedName name="_xlnm._FilterDatabase" localSheetId="13" hidden="1">Feuil1!$A$1:$C$8</definedName>
    <definedName name="_Hlk80157186" localSheetId="7">'COMPO AN3'!$A$1</definedName>
    <definedName name="ALIOU" localSheetId="4">Tableau3[[#Data],[#Totals],[N°]:[T]]</definedName>
    <definedName name="ALIOU">Tableau3[[#Data],[#Totals],[N°]:[T]]</definedName>
    <definedName name="_xlnm.Criteria" localSheetId="11">BASEAVEC01!$X$1:$X$2</definedName>
    <definedName name="_xlnm.Criteria" localSheetId="9">BASEAVEC02!#REF!</definedName>
    <definedName name="_xlnm.Criteria" localSheetId="3">BASEEDU01!$AN$4:$AN$5</definedName>
    <definedName name="DECALER">OFFSET(BASEEDU01!$AP$5,0,0,COUNTA(BASEEDU01!$AP$5:'BASEEDU01'!$AP$99999),16)</definedName>
    <definedName name="DECALERAVEC" localSheetId="9">OFFSET(BASEAVEC02!#REF!,0,0,COUNTA(BASEAVEC02!#REF!:BASEAVEC02!#REF!),17)</definedName>
    <definedName name="DECALERAVEC">OFFSET(BASEAVEC01!$Z$2,0,0,COUNTA(BASEAVEC01!$Z$2:'BASEAVEC01'!$Z$99999),17)</definedName>
    <definedName name="_xlnm.Extract" localSheetId="11">BASEAVEC01!$Z$1:$AP$1</definedName>
    <definedName name="_xlnm.Extract" localSheetId="9">BASEAVEC02!#REF!</definedName>
    <definedName name="_xlnm.Extract" localSheetId="3">BASEEDU01!$AP$4:$BE$4</definedName>
    <definedName name="TABLE1">#REF!</definedName>
    <definedName name="TABLE10">BASEEDU01!$W$5:$AC$8</definedName>
    <definedName name="table11">BASEEDU01!$X$10:$Y$13</definedName>
    <definedName name="TABLE2">ANALYSE!#REF!</definedName>
    <definedName name="TABLE3">#REF!</definedName>
    <definedName name="TABLE4">#REF!</definedName>
    <definedName name="TABLE5">BASEEDU01!$B$4:$Q$42</definedName>
    <definedName name="TABLE6">Feuil1!$A$2:$A$4</definedName>
    <definedName name="TABLE7">Feuil1!$B$2:$B$7</definedName>
    <definedName name="TABLE8">Feuil1!$C$2:$C$8</definedName>
    <definedName name="TABLE9">Feuil1!$E$3:$E$40</definedName>
    <definedName name="tableavec001" localSheetId="9">Tableau32[#All]</definedName>
    <definedName name="tableavec001" localSheetId="4">Tableau3[#All]</definedName>
    <definedName name="tableavec001">Tableau3[#All]</definedName>
    <definedName name="TABLEAVEC002" localSheetId="9">BASEAVEC02!#REF!</definedName>
    <definedName name="TABLEAVEC002">BASEAVEC01!$AS$4:$BB$6</definedName>
    <definedName name="TABLEREM01">Feuil1!$A$12:$A$13</definedName>
    <definedName name="TABLEREM02">ANALYSE!$A$7:$D$10</definedName>
    <definedName name="VILLAGEBUYO">ANALYSE!$A$73:$A$87</definedName>
    <definedName name="VILLAGEGZ">ANALYSE!$A$62:$A$70</definedName>
    <definedName name="_xlnm.Print_Area" localSheetId="6">Situation_globaleProjet_AN1_AN2!$A$1:$V$40</definedName>
  </definedNames>
  <calcPr calcId="191029" calcMode="autoNoTable"/>
  <pivotCaches>
    <pivotCache cacheId="3" r:id="rId15"/>
    <pivotCache cacheId="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27" l="1"/>
  <c r="P3" i="27"/>
  <c r="O5" i="27"/>
  <c r="O3" i="27"/>
  <c r="O4" i="27"/>
  <c r="Q32" i="27"/>
  <c r="M40" i="27"/>
  <c r="M39" i="27"/>
  <c r="N32" i="27"/>
  <c r="L32" i="27"/>
  <c r="M32" i="27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H830" i="23"/>
  <c r="H831" i="23"/>
  <c r="L831" i="23" s="1"/>
  <c r="H832" i="23"/>
  <c r="M832" i="23" s="1"/>
  <c r="H833" i="23"/>
  <c r="M833" i="23" s="1"/>
  <c r="H834" i="23"/>
  <c r="L834" i="23" s="1"/>
  <c r="H835" i="23"/>
  <c r="H836" i="23"/>
  <c r="L836" i="23" s="1"/>
  <c r="H837" i="23"/>
  <c r="H838" i="23"/>
  <c r="M838" i="23" s="1"/>
  <c r="H839" i="23"/>
  <c r="L839" i="23" s="1"/>
  <c r="H840" i="23"/>
  <c r="H841" i="23"/>
  <c r="L841" i="23" s="1"/>
  <c r="H842" i="23"/>
  <c r="M842" i="23" s="1"/>
  <c r="H843" i="23"/>
  <c r="H844" i="23"/>
  <c r="H845" i="23"/>
  <c r="M845" i="23" s="1"/>
  <c r="H846" i="23"/>
  <c r="M846" i="23" s="1"/>
  <c r="H847" i="23"/>
  <c r="L847" i="23" s="1"/>
  <c r="H848" i="23"/>
  <c r="M848" i="23" s="1"/>
  <c r="H849" i="23"/>
  <c r="L849" i="23" s="1"/>
  <c r="H850" i="23"/>
  <c r="M850" i="23" s="1"/>
  <c r="H851" i="23"/>
  <c r="H852" i="23"/>
  <c r="H853" i="23"/>
  <c r="L853" i="23" s="1"/>
  <c r="H854" i="23"/>
  <c r="L854" i="23" s="1"/>
  <c r="H855" i="23"/>
  <c r="L855" i="23" s="1"/>
  <c r="H856" i="23"/>
  <c r="M856" i="23" s="1"/>
  <c r="H37" i="27"/>
  <c r="AE26" i="26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23" i="27"/>
  <c r="M4" i="27"/>
  <c r="M3" i="27"/>
  <c r="M5" i="27" s="1"/>
  <c r="H32" i="16"/>
  <c r="H31" i="16"/>
  <c r="L837" i="23"/>
  <c r="L840" i="23"/>
  <c r="M843" i="23"/>
  <c r="L844" i="23"/>
  <c r="L851" i="23"/>
  <c r="M852" i="23"/>
  <c r="L830" i="23"/>
  <c r="L835" i="23"/>
  <c r="V864" i="23"/>
  <c r="V865" i="23"/>
  <c r="V863" i="23"/>
  <c r="M840" i="23" l="1"/>
  <c r="M831" i="23"/>
  <c r="L856" i="23"/>
  <c r="L848" i="23"/>
  <c r="L850" i="23"/>
  <c r="M839" i="23"/>
  <c r="M841" i="23"/>
  <c r="L852" i="23"/>
  <c r="L842" i="23"/>
  <c r="L846" i="23"/>
  <c r="L838" i="23"/>
  <c r="M854" i="23"/>
  <c r="M835" i="23"/>
  <c r="M851" i="23"/>
  <c r="M847" i="23"/>
  <c r="M849" i="23"/>
  <c r="M844" i="23"/>
  <c r="M834" i="23"/>
  <c r="L845" i="23"/>
  <c r="L832" i="23"/>
  <c r="M855" i="23"/>
  <c r="M837" i="23"/>
  <c r="L843" i="23"/>
  <c r="M853" i="23"/>
  <c r="L833" i="23"/>
  <c r="M836" i="23"/>
  <c r="M830" i="23"/>
  <c r="U4" i="27" l="1"/>
  <c r="U5" i="27"/>
  <c r="U3" i="27"/>
  <c r="AO96" i="26"/>
  <c r="AO95" i="26"/>
  <c r="AO93" i="26"/>
  <c r="AO92" i="26"/>
  <c r="AO87" i="26"/>
  <c r="AO86" i="26"/>
  <c r="AO84" i="26"/>
  <c r="AO83" i="26"/>
  <c r="AO81" i="26"/>
  <c r="AO80" i="26"/>
  <c r="AO78" i="26"/>
  <c r="AO77" i="26"/>
  <c r="AO75" i="26"/>
  <c r="AO74" i="26"/>
  <c r="AO72" i="26"/>
  <c r="AO71" i="26"/>
  <c r="AO69" i="26"/>
  <c r="AO68" i="26"/>
  <c r="AO66" i="26"/>
  <c r="AO65" i="26"/>
  <c r="AO63" i="26"/>
  <c r="AO62" i="26"/>
  <c r="AO60" i="26"/>
  <c r="AO59" i="26"/>
  <c r="AO57" i="26"/>
  <c r="AO56" i="26"/>
  <c r="AO54" i="26"/>
  <c r="AO53" i="26"/>
  <c r="AO51" i="26"/>
  <c r="AO50" i="26"/>
  <c r="AO48" i="26"/>
  <c r="AO47" i="26"/>
  <c r="AO45" i="26"/>
  <c r="AO44" i="26"/>
  <c r="AO42" i="26"/>
  <c r="AO41" i="26"/>
  <c r="AO36" i="26"/>
  <c r="AO35" i="26"/>
  <c r="AO33" i="26"/>
  <c r="AO32" i="26"/>
  <c r="AO30" i="26"/>
  <c r="AO29" i="26"/>
  <c r="AO24" i="26"/>
  <c r="AO23" i="26"/>
  <c r="AO18" i="26"/>
  <c r="AO17" i="26"/>
  <c r="AO15" i="26"/>
  <c r="AO14" i="26"/>
  <c r="AN9" i="26"/>
  <c r="AN8" i="26"/>
  <c r="AO6" i="26"/>
  <c r="AO5" i="26"/>
  <c r="BA10" i="26"/>
  <c r="BB10" i="26"/>
  <c r="AX81" i="26"/>
  <c r="AY81" i="26"/>
  <c r="AZ81" i="26"/>
  <c r="BA94" i="26"/>
  <c r="AE96" i="26"/>
  <c r="AE95" i="26"/>
  <c r="AE93" i="26"/>
  <c r="AE92" i="26"/>
  <c r="AE90" i="26"/>
  <c r="AE89" i="26"/>
  <c r="AE87" i="26"/>
  <c r="AE86" i="26"/>
  <c r="AE84" i="26"/>
  <c r="AE83" i="26"/>
  <c r="AE81" i="26"/>
  <c r="AE80" i="26"/>
  <c r="AE78" i="26"/>
  <c r="AE77" i="26"/>
  <c r="AE75" i="26"/>
  <c r="AE74" i="26"/>
  <c r="AE72" i="26"/>
  <c r="AE71" i="26"/>
  <c r="AE69" i="26"/>
  <c r="AE68" i="26"/>
  <c r="AE66" i="26"/>
  <c r="AE65" i="26"/>
  <c r="AE63" i="26"/>
  <c r="AE62" i="26"/>
  <c r="AE60" i="26"/>
  <c r="AE59" i="26"/>
  <c r="AE57" i="26"/>
  <c r="AE56" i="26"/>
  <c r="AE54" i="26"/>
  <c r="AE53" i="26"/>
  <c r="AE51" i="26"/>
  <c r="AE50" i="26"/>
  <c r="AE48" i="26"/>
  <c r="AE47" i="26"/>
  <c r="AE45" i="26"/>
  <c r="AE44" i="26"/>
  <c r="AE42" i="26"/>
  <c r="AE41" i="26"/>
  <c r="AE36" i="26"/>
  <c r="AE35" i="26"/>
  <c r="AE33" i="26"/>
  <c r="AE32" i="26"/>
  <c r="AE30" i="26"/>
  <c r="AE29" i="26"/>
  <c r="AE24" i="26"/>
  <c r="AE23" i="26"/>
  <c r="AE18" i="26"/>
  <c r="AE17" i="26"/>
  <c r="AE15" i="26"/>
  <c r="AE14" i="26"/>
  <c r="AD9" i="26"/>
  <c r="AD8" i="26"/>
  <c r="AE6" i="26"/>
  <c r="AE5" i="26"/>
  <c r="U86" i="26"/>
  <c r="U85" i="26"/>
  <c r="T81" i="26"/>
  <c r="U76" i="26"/>
  <c r="U58" i="26"/>
  <c r="U50" i="26"/>
  <c r="BC58" i="26"/>
  <c r="BC31" i="26"/>
  <c r="BC28" i="26"/>
  <c r="BC25" i="26"/>
  <c r="BC19" i="26"/>
  <c r="BC16" i="26"/>
  <c r="BC10" i="26"/>
  <c r="M7" i="26"/>
  <c r="K12" i="26"/>
  <c r="K11" i="26"/>
  <c r="J12" i="26"/>
  <c r="J11" i="26"/>
  <c r="O72" i="26"/>
  <c r="O73" i="26" s="1"/>
  <c r="O69" i="26"/>
  <c r="O70" i="26" s="1"/>
  <c r="O66" i="26"/>
  <c r="O67" i="26" s="1"/>
  <c r="O63" i="26"/>
  <c r="O64" i="26" s="1"/>
  <c r="O60" i="26"/>
  <c r="O61" i="26" s="1"/>
  <c r="O57" i="26"/>
  <c r="O58" i="26" s="1"/>
  <c r="O54" i="26"/>
  <c r="O55" i="26" s="1"/>
  <c r="O51" i="26"/>
  <c r="O52" i="26" s="1"/>
  <c r="O48" i="26"/>
  <c r="O49" i="26" s="1"/>
  <c r="O45" i="26"/>
  <c r="O46" i="26" s="1"/>
  <c r="O42" i="26"/>
  <c r="O43" i="26" s="1"/>
  <c r="K32" i="26"/>
  <c r="L10" i="26"/>
  <c r="J38" i="26"/>
  <c r="M97" i="26"/>
  <c r="M94" i="26"/>
  <c r="M91" i="26"/>
  <c r="M88" i="26"/>
  <c r="M85" i="26"/>
  <c r="M82" i="26"/>
  <c r="M79" i="26"/>
  <c r="M76" i="26"/>
  <c r="M73" i="26"/>
  <c r="M70" i="26"/>
  <c r="M67" i="26"/>
  <c r="M64" i="26"/>
  <c r="M61" i="26"/>
  <c r="M58" i="26"/>
  <c r="M55" i="26"/>
  <c r="M52" i="26"/>
  <c r="M49" i="26"/>
  <c r="M46" i="26"/>
  <c r="M43" i="26"/>
  <c r="M37" i="26"/>
  <c r="M34" i="26"/>
  <c r="M31" i="26"/>
  <c r="M25" i="26"/>
  <c r="M19" i="26"/>
  <c r="M16" i="26"/>
  <c r="K66" i="26"/>
  <c r="K65" i="26"/>
  <c r="K63" i="26"/>
  <c r="K62" i="26"/>
  <c r="K60" i="26"/>
  <c r="K59" i="26"/>
  <c r="K57" i="26"/>
  <c r="K56" i="26"/>
  <c r="K54" i="26"/>
  <c r="K53" i="26"/>
  <c r="K51" i="26"/>
  <c r="K50" i="26"/>
  <c r="K48" i="26"/>
  <c r="K47" i="26"/>
  <c r="K45" i="26"/>
  <c r="K44" i="26"/>
  <c r="K42" i="26"/>
  <c r="K41" i="26"/>
  <c r="K36" i="26"/>
  <c r="K35" i="26"/>
  <c r="K33" i="26"/>
  <c r="K30" i="26"/>
  <c r="K29" i="26"/>
  <c r="K27" i="26"/>
  <c r="K26" i="26"/>
  <c r="K24" i="26"/>
  <c r="K23" i="26"/>
  <c r="K21" i="26"/>
  <c r="K20" i="26"/>
  <c r="K18" i="26"/>
  <c r="K17" i="26"/>
  <c r="K15" i="26"/>
  <c r="K14" i="26"/>
  <c r="K9" i="26"/>
  <c r="K8" i="26"/>
  <c r="K6" i="26"/>
  <c r="K5" i="26"/>
  <c r="K72" i="26"/>
  <c r="K71" i="26"/>
  <c r="K69" i="26"/>
  <c r="K68" i="26"/>
  <c r="K75" i="26"/>
  <c r="K74" i="26"/>
  <c r="K77" i="26"/>
  <c r="K78" i="26"/>
  <c r="K81" i="26"/>
  <c r="K80" i="26"/>
  <c r="K84" i="26"/>
  <c r="K83" i="26"/>
  <c r="K86" i="26"/>
  <c r="K87" i="26"/>
  <c r="K89" i="26"/>
  <c r="K90" i="26"/>
  <c r="K92" i="26"/>
  <c r="K93" i="26"/>
  <c r="K96" i="26"/>
  <c r="K95" i="26"/>
  <c r="K99" i="26"/>
  <c r="K98" i="26"/>
  <c r="J99" i="26"/>
  <c r="J98" i="26"/>
  <c r="J96" i="26"/>
  <c r="J95" i="26"/>
  <c r="J93" i="26"/>
  <c r="J92" i="26"/>
  <c r="J90" i="26"/>
  <c r="J89" i="26"/>
  <c r="J87" i="26"/>
  <c r="J86" i="26"/>
  <c r="J84" i="26"/>
  <c r="J83" i="26"/>
  <c r="J81" i="26"/>
  <c r="J80" i="26"/>
  <c r="J78" i="26"/>
  <c r="J77" i="26"/>
  <c r="J75" i="26"/>
  <c r="J74" i="26"/>
  <c r="J72" i="26"/>
  <c r="J71" i="26"/>
  <c r="J69" i="26"/>
  <c r="J68" i="26"/>
  <c r="J66" i="26"/>
  <c r="J65" i="26"/>
  <c r="J63" i="26"/>
  <c r="J62" i="26"/>
  <c r="J60" i="26"/>
  <c r="J59" i="26"/>
  <c r="J57" i="26"/>
  <c r="J56" i="26"/>
  <c r="J54" i="26"/>
  <c r="J53" i="26"/>
  <c r="J51" i="26"/>
  <c r="J50" i="26"/>
  <c r="J48" i="26"/>
  <c r="J47" i="26"/>
  <c r="J45" i="26"/>
  <c r="J44" i="26"/>
  <c r="J42" i="26"/>
  <c r="J41" i="26"/>
  <c r="K39" i="26"/>
  <c r="K38" i="26"/>
  <c r="J39" i="26"/>
  <c r="J36" i="26"/>
  <c r="J35" i="26"/>
  <c r="J33" i="26"/>
  <c r="J32" i="26"/>
  <c r="J30" i="26"/>
  <c r="J29" i="26"/>
  <c r="J27" i="26"/>
  <c r="J26" i="26"/>
  <c r="J24" i="26"/>
  <c r="J23" i="26"/>
  <c r="J21" i="26"/>
  <c r="J20" i="26"/>
  <c r="J18" i="26"/>
  <c r="J17" i="26"/>
  <c r="J15" i="26"/>
  <c r="J14" i="26"/>
  <c r="J9" i="26"/>
  <c r="J8" i="26"/>
  <c r="J6" i="26"/>
  <c r="J5" i="26"/>
  <c r="F99" i="26"/>
  <c r="F98" i="26"/>
  <c r="F97" i="26"/>
  <c r="F96" i="26"/>
  <c r="F95" i="26"/>
  <c r="F94" i="26"/>
  <c r="F93" i="26"/>
  <c r="F92" i="26"/>
  <c r="F91" i="26"/>
  <c r="F90" i="26"/>
  <c r="F89" i="26"/>
  <c r="F88" i="26"/>
  <c r="F87" i="26"/>
  <c r="F86" i="26"/>
  <c r="F85" i="26"/>
  <c r="F84" i="26"/>
  <c r="F83" i="26"/>
  <c r="F82" i="26"/>
  <c r="F81" i="26"/>
  <c r="F80" i="26"/>
  <c r="F79" i="26"/>
  <c r="F78" i="26"/>
  <c r="F77" i="26"/>
  <c r="F76" i="26"/>
  <c r="F75" i="26"/>
  <c r="F74" i="26"/>
  <c r="F73" i="26"/>
  <c r="F72" i="26"/>
  <c r="F71" i="26"/>
  <c r="F70" i="26"/>
  <c r="F69" i="26"/>
  <c r="F68" i="26"/>
  <c r="F67" i="26"/>
  <c r="F66" i="26"/>
  <c r="F65" i="26"/>
  <c r="F64" i="26"/>
  <c r="F63" i="26"/>
  <c r="F62" i="26"/>
  <c r="F61" i="26"/>
  <c r="F60" i="26"/>
  <c r="F59" i="26"/>
  <c r="F58" i="26"/>
  <c r="F57" i="26"/>
  <c r="F56" i="26"/>
  <c r="F55" i="26"/>
  <c r="F54" i="26"/>
  <c r="F53" i="26"/>
  <c r="F52" i="26"/>
  <c r="F51" i="26"/>
  <c r="F50" i="26"/>
  <c r="F49" i="26"/>
  <c r="F48" i="26"/>
  <c r="F47" i="26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S21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H682" i="23"/>
  <c r="H683" i="23"/>
  <c r="H684" i="23"/>
  <c r="H685" i="23"/>
  <c r="H686" i="23"/>
  <c r="H687" i="23"/>
  <c r="H688" i="23"/>
  <c r="H689" i="23"/>
  <c r="H690" i="23"/>
  <c r="H691" i="23"/>
  <c r="H692" i="23"/>
  <c r="H693" i="23"/>
  <c r="H694" i="23"/>
  <c r="H695" i="23"/>
  <c r="H696" i="23"/>
  <c r="H697" i="23"/>
  <c r="H698" i="23"/>
  <c r="H699" i="23"/>
  <c r="H700" i="23"/>
  <c r="H701" i="23"/>
  <c r="H702" i="23"/>
  <c r="H703" i="23"/>
  <c r="H704" i="23"/>
  <c r="H705" i="23"/>
  <c r="H706" i="23"/>
  <c r="H707" i="23"/>
  <c r="H708" i="23"/>
  <c r="H709" i="23"/>
  <c r="H710" i="23"/>
  <c r="H711" i="23"/>
  <c r="H712" i="23"/>
  <c r="H713" i="23"/>
  <c r="H714" i="23"/>
  <c r="H715" i="23"/>
  <c r="H716" i="23"/>
  <c r="H717" i="23"/>
  <c r="H718" i="23"/>
  <c r="H719" i="23"/>
  <c r="H720" i="23"/>
  <c r="H721" i="23"/>
  <c r="H722" i="23"/>
  <c r="H723" i="23"/>
  <c r="H724" i="23"/>
  <c r="H725" i="23"/>
  <c r="H726" i="23"/>
  <c r="H727" i="23"/>
  <c r="H728" i="23"/>
  <c r="H729" i="23"/>
  <c r="H730" i="23"/>
  <c r="H731" i="23"/>
  <c r="H732" i="23"/>
  <c r="H733" i="23"/>
  <c r="H734" i="23"/>
  <c r="H735" i="23"/>
  <c r="H736" i="23"/>
  <c r="H737" i="23"/>
  <c r="H738" i="23"/>
  <c r="H739" i="23"/>
  <c r="H740" i="23"/>
  <c r="H741" i="23"/>
  <c r="H742" i="23"/>
  <c r="H743" i="23"/>
  <c r="H744" i="23"/>
  <c r="H745" i="23"/>
  <c r="H746" i="23"/>
  <c r="H747" i="23"/>
  <c r="H748" i="23"/>
  <c r="H749" i="23"/>
  <c r="H750" i="23"/>
  <c r="H751" i="23"/>
  <c r="H752" i="23"/>
  <c r="H753" i="23"/>
  <c r="H754" i="23"/>
  <c r="H755" i="23"/>
  <c r="H756" i="23"/>
  <c r="H757" i="23"/>
  <c r="H758" i="23"/>
  <c r="H759" i="23"/>
  <c r="H760" i="23"/>
  <c r="H761" i="23"/>
  <c r="H762" i="23"/>
  <c r="H763" i="23"/>
  <c r="H764" i="23"/>
  <c r="H765" i="23"/>
  <c r="H766" i="23"/>
  <c r="H767" i="23"/>
  <c r="H768" i="23"/>
  <c r="H769" i="23"/>
  <c r="H770" i="23"/>
  <c r="H771" i="23"/>
  <c r="H772" i="23"/>
  <c r="H773" i="23"/>
  <c r="H774" i="23"/>
  <c r="H775" i="23"/>
  <c r="H776" i="23"/>
  <c r="H777" i="23"/>
  <c r="H778" i="23"/>
  <c r="H779" i="23"/>
  <c r="H780" i="23"/>
  <c r="H781" i="23"/>
  <c r="H782" i="23"/>
  <c r="H783" i="23"/>
  <c r="H784" i="23"/>
  <c r="H785" i="23"/>
  <c r="H786" i="23"/>
  <c r="H787" i="23"/>
  <c r="H788" i="23"/>
  <c r="H789" i="23"/>
  <c r="H790" i="23"/>
  <c r="H791" i="23"/>
  <c r="H792" i="23"/>
  <c r="H793" i="23"/>
  <c r="H794" i="23"/>
  <c r="H795" i="23"/>
  <c r="H796" i="23"/>
  <c r="H797" i="23"/>
  <c r="H798" i="23"/>
  <c r="H799" i="23"/>
  <c r="H800" i="23"/>
  <c r="H801" i="23"/>
  <c r="H802" i="23"/>
  <c r="H803" i="23"/>
  <c r="H804" i="23"/>
  <c r="H805" i="23"/>
  <c r="H806" i="23"/>
  <c r="H807" i="23"/>
  <c r="H808" i="23"/>
  <c r="H809" i="23"/>
  <c r="H810" i="23"/>
  <c r="H811" i="23"/>
  <c r="H812" i="23"/>
  <c r="H813" i="23"/>
  <c r="H814" i="23"/>
  <c r="H815" i="23"/>
  <c r="H816" i="23"/>
  <c r="H817" i="23"/>
  <c r="H818" i="23"/>
  <c r="H819" i="23"/>
  <c r="H820" i="23"/>
  <c r="H821" i="23"/>
  <c r="H822" i="23"/>
  <c r="H823" i="23"/>
  <c r="H824" i="23"/>
  <c r="H825" i="23"/>
  <c r="H826" i="23"/>
  <c r="H827" i="23"/>
  <c r="H828" i="23"/>
  <c r="H829" i="23"/>
  <c r="H624" i="23"/>
  <c r="H625" i="23"/>
  <c r="H626" i="23"/>
  <c r="H627" i="23"/>
  <c r="H628" i="23"/>
  <c r="H629" i="23"/>
  <c r="H630" i="23"/>
  <c r="H631" i="23"/>
  <c r="H632" i="23"/>
  <c r="H633" i="23"/>
  <c r="H634" i="23"/>
  <c r="H635" i="23"/>
  <c r="H636" i="23"/>
  <c r="H637" i="23"/>
  <c r="H638" i="23"/>
  <c r="H639" i="23"/>
  <c r="H640" i="23"/>
  <c r="H641" i="23"/>
  <c r="H642" i="23"/>
  <c r="H643" i="23"/>
  <c r="H644" i="23"/>
  <c r="H645" i="23"/>
  <c r="H646" i="23"/>
  <c r="H647" i="23"/>
  <c r="H648" i="23"/>
  <c r="H649" i="23"/>
  <c r="H650" i="23"/>
  <c r="H651" i="23"/>
  <c r="H652" i="23"/>
  <c r="H653" i="23"/>
  <c r="H654" i="23"/>
  <c r="H655" i="23"/>
  <c r="H656" i="23"/>
  <c r="H657" i="23"/>
  <c r="H658" i="23"/>
  <c r="H659" i="23"/>
  <c r="H660" i="23"/>
  <c r="H661" i="23"/>
  <c r="H662" i="23"/>
  <c r="H663" i="23"/>
  <c r="H664" i="23"/>
  <c r="H665" i="23"/>
  <c r="H666" i="23"/>
  <c r="H667" i="23"/>
  <c r="H668" i="23"/>
  <c r="H669" i="23"/>
  <c r="H670" i="23"/>
  <c r="H671" i="23"/>
  <c r="H672" i="23"/>
  <c r="H673" i="23"/>
  <c r="H674" i="23"/>
  <c r="H675" i="23"/>
  <c r="H676" i="23"/>
  <c r="H677" i="23"/>
  <c r="H678" i="23"/>
  <c r="H679" i="23"/>
  <c r="H680" i="23"/>
  <c r="H681" i="23"/>
  <c r="H623" i="23"/>
  <c r="AO76" i="26" l="1"/>
  <c r="S83" i="26"/>
  <c r="AC80" i="26"/>
  <c r="AC76" i="26"/>
  <c r="AN80" i="26"/>
  <c r="S89" i="26"/>
  <c r="S84" i="26"/>
  <c r="AC78" i="26"/>
  <c r="S77" i="26"/>
  <c r="S92" i="26"/>
  <c r="S80" i="26"/>
  <c r="AW81" i="26"/>
  <c r="AC93" i="26"/>
  <c r="AC77" i="26"/>
  <c r="AC88" i="26"/>
  <c r="AN86" i="26"/>
  <c r="AM86" i="26"/>
  <c r="S86" i="26"/>
  <c r="AC86" i="26"/>
  <c r="S88" i="26"/>
  <c r="AD86" i="26"/>
  <c r="AM87" i="26"/>
  <c r="AM91" i="26"/>
  <c r="AC85" i="26"/>
  <c r="AD74" i="26"/>
  <c r="AC74" i="26"/>
  <c r="S74" i="26"/>
  <c r="S76" i="26"/>
  <c r="AN74" i="26"/>
  <c r="AM74" i="26"/>
  <c r="S94" i="26"/>
  <c r="S79" i="26"/>
  <c r="S93" i="26"/>
  <c r="AC94" i="26"/>
  <c r="S96" i="26"/>
  <c r="S81" i="26"/>
  <c r="AC96" i="26"/>
  <c r="AM97" i="26"/>
  <c r="AM82" i="26"/>
  <c r="AD96" i="26"/>
  <c r="AN96" i="26"/>
  <c r="AM96" i="26"/>
  <c r="AN81" i="26"/>
  <c r="AM81" i="26"/>
  <c r="AN95" i="26"/>
  <c r="AD81" i="26"/>
  <c r="S75" i="26"/>
  <c r="S87" i="26"/>
  <c r="S91" i="26"/>
  <c r="S95" i="26"/>
  <c r="AC84" i="26"/>
  <c r="AC92" i="26"/>
  <c r="AN77" i="26"/>
  <c r="AM79" i="26"/>
  <c r="AD78" i="26"/>
  <c r="AN78" i="26"/>
  <c r="AM78" i="26"/>
  <c r="AM94" i="26"/>
  <c r="AM95" i="26"/>
  <c r="AD93" i="26"/>
  <c r="AD77" i="26"/>
  <c r="AC79" i="26"/>
  <c r="AC87" i="26"/>
  <c r="AC95" i="26"/>
  <c r="AD80" i="26"/>
  <c r="AM80" i="26"/>
  <c r="AM83" i="26"/>
  <c r="AD83" i="26"/>
  <c r="AN89" i="26"/>
  <c r="AD89" i="26"/>
  <c r="AM76" i="26"/>
  <c r="AN75" i="26"/>
  <c r="AM75" i="26"/>
  <c r="AD75" i="26"/>
  <c r="AC81" i="26"/>
  <c r="AC89" i="26"/>
  <c r="AC97" i="26"/>
  <c r="AD92" i="26"/>
  <c r="AN90" i="26"/>
  <c r="S97" i="26"/>
  <c r="S78" i="26"/>
  <c r="S82" i="26"/>
  <c r="S90" i="26"/>
  <c r="AC82" i="26"/>
  <c r="AC90" i="26"/>
  <c r="S85" i="26"/>
  <c r="AN93" i="26"/>
  <c r="AM93" i="26"/>
  <c r="AN92" i="26"/>
  <c r="AM92" i="26"/>
  <c r="AM88" i="26"/>
  <c r="AN87" i="26"/>
  <c r="AD87" i="26"/>
  <c r="AD88" i="26" s="1"/>
  <c r="AF86" i="26" s="1"/>
  <c r="AD84" i="26"/>
  <c r="AM85" i="26"/>
  <c r="AN84" i="26"/>
  <c r="AM84" i="26"/>
  <c r="AD95" i="26"/>
  <c r="AM90" i="26"/>
  <c r="AD90" i="26"/>
  <c r="AM89" i="26"/>
  <c r="AC75" i="26"/>
  <c r="AC83" i="26"/>
  <c r="AC91" i="26"/>
  <c r="AM77" i="26"/>
  <c r="AN83" i="26"/>
  <c r="AO19" i="26"/>
  <c r="AN10" i="26"/>
  <c r="AO31" i="26"/>
  <c r="AO16" i="26"/>
  <c r="AO97" i="26"/>
  <c r="G5" i="26"/>
  <c r="AO25" i="26"/>
  <c r="AO64" i="26"/>
  <c r="AO7" i="26"/>
  <c r="AO58" i="26"/>
  <c r="AO88" i="26"/>
  <c r="AO55" i="26"/>
  <c r="AO52" i="26"/>
  <c r="AO79" i="26"/>
  <c r="AO82" i="26"/>
  <c r="AO49" i="26"/>
  <c r="AO46" i="26"/>
  <c r="AO85" i="26"/>
  <c r="AO37" i="26"/>
  <c r="AO70" i="26"/>
  <c r="AO34" i="26"/>
  <c r="AO43" i="26"/>
  <c r="AO67" i="26"/>
  <c r="AO94" i="26"/>
  <c r="AO61" i="26"/>
  <c r="AO73" i="26"/>
  <c r="AE49" i="26"/>
  <c r="AE19" i="26"/>
  <c r="AE25" i="26"/>
  <c r="AD10" i="26"/>
  <c r="AE58" i="26"/>
  <c r="AE85" i="26"/>
  <c r="AE97" i="26"/>
  <c r="AE43" i="26"/>
  <c r="AE31" i="26"/>
  <c r="AE55" i="26"/>
  <c r="AE73" i="26"/>
  <c r="AE79" i="26"/>
  <c r="AE91" i="26"/>
  <c r="AE46" i="26"/>
  <c r="AE52" i="26"/>
  <c r="AE76" i="26"/>
  <c r="AE82" i="26"/>
  <c r="AE88" i="26"/>
  <c r="AE64" i="26"/>
  <c r="AE70" i="26"/>
  <c r="AE16" i="26"/>
  <c r="AE34" i="26"/>
  <c r="AE7" i="26"/>
  <c r="AE37" i="26"/>
  <c r="AE61" i="26"/>
  <c r="AE67" i="26"/>
  <c r="AE94" i="26"/>
  <c r="H83" i="26"/>
  <c r="H11" i="26"/>
  <c r="H56" i="26"/>
  <c r="H12" i="26"/>
  <c r="H84" i="26"/>
  <c r="H92" i="26"/>
  <c r="J91" i="26"/>
  <c r="L90" i="26" s="1"/>
  <c r="H29" i="26"/>
  <c r="H41" i="26"/>
  <c r="G57" i="26"/>
  <c r="G9" i="26"/>
  <c r="G65" i="26"/>
  <c r="G90" i="26"/>
  <c r="K100" i="26"/>
  <c r="Q12" i="26" s="1"/>
  <c r="K70" i="26"/>
  <c r="G12" i="26"/>
  <c r="H33" i="26"/>
  <c r="G35" i="26"/>
  <c r="H45" i="26"/>
  <c r="H72" i="26"/>
  <c r="K79" i="26"/>
  <c r="K94" i="26"/>
  <c r="K7" i="26"/>
  <c r="J100" i="26"/>
  <c r="K16" i="26"/>
  <c r="K28" i="26"/>
  <c r="K40" i="26"/>
  <c r="O27" i="26" s="1"/>
  <c r="J13" i="26"/>
  <c r="L12" i="26" s="1"/>
  <c r="K91" i="26"/>
  <c r="H23" i="26"/>
  <c r="H30" i="26"/>
  <c r="K34" i="26"/>
  <c r="K43" i="26"/>
  <c r="H87" i="26"/>
  <c r="K64" i="26"/>
  <c r="K85" i="26"/>
  <c r="G42" i="26"/>
  <c r="F100" i="26"/>
  <c r="I56" i="26" s="1"/>
  <c r="H38" i="26"/>
  <c r="G59" i="26"/>
  <c r="H80" i="26"/>
  <c r="G33" i="26"/>
  <c r="G68" i="26"/>
  <c r="J76" i="26"/>
  <c r="L74" i="26" s="1"/>
  <c r="K97" i="26"/>
  <c r="K19" i="26"/>
  <c r="J7" i="26"/>
  <c r="L5" i="26" s="1"/>
  <c r="H26" i="26"/>
  <c r="J34" i="26"/>
  <c r="L32" i="26" s="1"/>
  <c r="H42" i="26"/>
  <c r="K58" i="26"/>
  <c r="H62" i="26"/>
  <c r="H68" i="26"/>
  <c r="J31" i="26"/>
  <c r="L29" i="26" s="1"/>
  <c r="H32" i="26"/>
  <c r="H39" i="26"/>
  <c r="K67" i="26"/>
  <c r="H71" i="26"/>
  <c r="K76" i="26"/>
  <c r="K82" i="26"/>
  <c r="K88" i="26"/>
  <c r="J94" i="26"/>
  <c r="L93" i="26" s="1"/>
  <c r="G92" i="26"/>
  <c r="H21" i="26"/>
  <c r="H27" i="26"/>
  <c r="K49" i="26"/>
  <c r="H63" i="26"/>
  <c r="J85" i="26"/>
  <c r="L83" i="26" s="1"/>
  <c r="G87" i="26"/>
  <c r="J79" i="26"/>
  <c r="L78" i="26" s="1"/>
  <c r="J88" i="26"/>
  <c r="L87" i="26" s="1"/>
  <c r="G15" i="26"/>
  <c r="J28" i="26"/>
  <c r="L27" i="26" s="1"/>
  <c r="H36" i="26"/>
  <c r="G14" i="26"/>
  <c r="J16" i="26"/>
  <c r="L14" i="26" s="1"/>
  <c r="J25" i="26"/>
  <c r="L23" i="26" s="1"/>
  <c r="G45" i="26"/>
  <c r="H50" i="26"/>
  <c r="K52" i="26"/>
  <c r="J52" i="26"/>
  <c r="L50" i="26" s="1"/>
  <c r="J55" i="26"/>
  <c r="L54" i="26" s="1"/>
  <c r="H59" i="26"/>
  <c r="K31" i="26"/>
  <c r="G8" i="26"/>
  <c r="H9" i="26"/>
  <c r="K25" i="26"/>
  <c r="K37" i="26"/>
  <c r="K55" i="26"/>
  <c r="G74" i="26"/>
  <c r="H96" i="26"/>
  <c r="H5" i="26"/>
  <c r="H35" i="26"/>
  <c r="J46" i="26"/>
  <c r="L45" i="26" s="1"/>
  <c r="G48" i="26"/>
  <c r="G60" i="26"/>
  <c r="G66" i="26"/>
  <c r="H74" i="26"/>
  <c r="H93" i="26"/>
  <c r="G11" i="26"/>
  <c r="H15" i="26"/>
  <c r="G27" i="26"/>
  <c r="H18" i="26"/>
  <c r="H8" i="26"/>
  <c r="G29" i="26"/>
  <c r="J10" i="26"/>
  <c r="K22" i="26"/>
  <c r="M20" i="26" s="1"/>
  <c r="G32" i="26"/>
  <c r="G41" i="26"/>
  <c r="K46" i="26"/>
  <c r="H48" i="26"/>
  <c r="H53" i="26"/>
  <c r="H60" i="26"/>
  <c r="H66" i="26"/>
  <c r="H75" i="26"/>
  <c r="G80" i="26"/>
  <c r="H81" i="26"/>
  <c r="H90" i="26"/>
  <c r="J97" i="26"/>
  <c r="N77" i="26" s="1"/>
  <c r="K10" i="26"/>
  <c r="M9" i="26" s="1"/>
  <c r="K13" i="26"/>
  <c r="G36" i="26"/>
  <c r="K61" i="26"/>
  <c r="K73" i="26"/>
  <c r="G18" i="26"/>
  <c r="J19" i="26"/>
  <c r="L18" i="26" s="1"/>
  <c r="G26" i="26"/>
  <c r="H47" i="26"/>
  <c r="G47" i="26"/>
  <c r="G30" i="26"/>
  <c r="G17" i="26"/>
  <c r="G21" i="26"/>
  <c r="G6" i="26"/>
  <c r="H17" i="26"/>
  <c r="H6" i="26"/>
  <c r="H14" i="26"/>
  <c r="G20" i="26"/>
  <c r="G24" i="26"/>
  <c r="H44" i="26"/>
  <c r="G44" i="26"/>
  <c r="H20" i="26"/>
  <c r="J22" i="26"/>
  <c r="L21" i="26" s="1"/>
  <c r="H24" i="26"/>
  <c r="G23" i="26"/>
  <c r="J37" i="26"/>
  <c r="L36" i="26" s="1"/>
  <c r="J40" i="26"/>
  <c r="N23" i="26" s="1"/>
  <c r="J43" i="26"/>
  <c r="L41" i="26" s="1"/>
  <c r="J49" i="26"/>
  <c r="L47" i="26" s="1"/>
  <c r="G56" i="26"/>
  <c r="J64" i="26"/>
  <c r="N54" i="26" s="1"/>
  <c r="G75" i="26"/>
  <c r="H89" i="26"/>
  <c r="G89" i="26"/>
  <c r="G51" i="26"/>
  <c r="H51" i="26"/>
  <c r="H65" i="26"/>
  <c r="J67" i="26"/>
  <c r="L66" i="26" s="1"/>
  <c r="G86" i="26"/>
  <c r="G93" i="26"/>
  <c r="G50" i="26"/>
  <c r="G54" i="26"/>
  <c r="J58" i="26"/>
  <c r="L57" i="26" s="1"/>
  <c r="G69" i="26"/>
  <c r="H86" i="26"/>
  <c r="H54" i="26"/>
  <c r="H69" i="26"/>
  <c r="G84" i="26"/>
  <c r="G53" i="26"/>
  <c r="H57" i="26"/>
  <c r="J61" i="26"/>
  <c r="L59" i="26" s="1"/>
  <c r="J70" i="26"/>
  <c r="L68" i="26" s="1"/>
  <c r="J73" i="26"/>
  <c r="G77" i="26"/>
  <c r="G78" i="26"/>
  <c r="H77" i="26"/>
  <c r="H78" i="26"/>
  <c r="J82" i="26"/>
  <c r="L81" i="26" s="1"/>
  <c r="G81" i="26"/>
  <c r="G83" i="26"/>
  <c r="H95" i="26"/>
  <c r="I98" i="26" l="1"/>
  <c r="AN76" i="26"/>
  <c r="AP74" i="26" s="1"/>
  <c r="AN82" i="26"/>
  <c r="AP80" i="26" s="1"/>
  <c r="AD91" i="26"/>
  <c r="AF89" i="26" s="1"/>
  <c r="AD85" i="26"/>
  <c r="AF83" i="26" s="1"/>
  <c r="AD94" i="26"/>
  <c r="AF93" i="26" s="1"/>
  <c r="AD79" i="26"/>
  <c r="AF78" i="26" s="1"/>
  <c r="AN88" i="26"/>
  <c r="AP87" i="26" s="1"/>
  <c r="AN85" i="26"/>
  <c r="AP84" i="26" s="1"/>
  <c r="AD97" i="26"/>
  <c r="AH81" i="26" s="1"/>
  <c r="AN94" i="26"/>
  <c r="AP92" i="26" s="1"/>
  <c r="AN79" i="26"/>
  <c r="AP77" i="26" s="1"/>
  <c r="AN97" i="26"/>
  <c r="AR86" i="26" s="1"/>
  <c r="AD76" i="26"/>
  <c r="AF74" i="26" s="1"/>
  <c r="AD82" i="26"/>
  <c r="AF81" i="26" s="1"/>
  <c r="AN91" i="26"/>
  <c r="AF87" i="26"/>
  <c r="AF88" i="26" s="1"/>
  <c r="H85" i="26"/>
  <c r="L11" i="26"/>
  <c r="L13" i="26" s="1"/>
  <c r="L6" i="26"/>
  <c r="L7" i="26" s="1"/>
  <c r="H13" i="26"/>
  <c r="H31" i="26"/>
  <c r="L62" i="26"/>
  <c r="L75" i="26"/>
  <c r="L76" i="26" s="1"/>
  <c r="L24" i="26"/>
  <c r="L25" i="26" s="1"/>
  <c r="L84" i="26"/>
  <c r="L85" i="26" s="1"/>
  <c r="Q29" i="26"/>
  <c r="Q59" i="26"/>
  <c r="L77" i="26"/>
  <c r="L79" i="26" s="1"/>
  <c r="Q74" i="26"/>
  <c r="Q30" i="26"/>
  <c r="O12" i="26"/>
  <c r="O86" i="26"/>
  <c r="O33" i="26"/>
  <c r="O93" i="26"/>
  <c r="O17" i="26"/>
  <c r="L20" i="26"/>
  <c r="L22" i="26" s="1"/>
  <c r="N74" i="26"/>
  <c r="O74" i="26"/>
  <c r="O83" i="26"/>
  <c r="O89" i="26"/>
  <c r="L30" i="26"/>
  <c r="L31" i="26" s="1"/>
  <c r="L26" i="26"/>
  <c r="L28" i="26" s="1"/>
  <c r="L95" i="26"/>
  <c r="Q21" i="26"/>
  <c r="N75" i="26"/>
  <c r="O84" i="26"/>
  <c r="O15" i="26"/>
  <c r="L92" i="26"/>
  <c r="L94" i="26" s="1"/>
  <c r="O5" i="26"/>
  <c r="P92" i="26"/>
  <c r="P83" i="26"/>
  <c r="P71" i="26"/>
  <c r="P39" i="26"/>
  <c r="P29" i="26"/>
  <c r="P17" i="26"/>
  <c r="P8" i="26"/>
  <c r="P26" i="26"/>
  <c r="N30" i="26"/>
  <c r="N11" i="26"/>
  <c r="N68" i="26"/>
  <c r="L71" i="26"/>
  <c r="Q86" i="26"/>
  <c r="Q77" i="26"/>
  <c r="Q66" i="26"/>
  <c r="Q56" i="26"/>
  <c r="Q45" i="26"/>
  <c r="Q35" i="26"/>
  <c r="Q24" i="26"/>
  <c r="O96" i="26"/>
  <c r="O95" i="26"/>
  <c r="P78" i="26"/>
  <c r="N60" i="26"/>
  <c r="Q8" i="26"/>
  <c r="P23" i="26"/>
  <c r="P42" i="26"/>
  <c r="N95" i="26"/>
  <c r="L35" i="26"/>
  <c r="L37" i="26" s="1"/>
  <c r="P32" i="26"/>
  <c r="N20" i="26"/>
  <c r="P93" i="26"/>
  <c r="O14" i="26"/>
  <c r="L69" i="26"/>
  <c r="L70" i="26" s="1"/>
  <c r="Q54" i="26"/>
  <c r="P80" i="26"/>
  <c r="Q11" i="26"/>
  <c r="Q13" i="26" s="1"/>
  <c r="M99" i="26"/>
  <c r="N5" i="26"/>
  <c r="Q87" i="26"/>
  <c r="P18" i="26"/>
  <c r="Q62" i="26"/>
  <c r="L63" i="26"/>
  <c r="O90" i="26"/>
  <c r="O38" i="26"/>
  <c r="Q33" i="26"/>
  <c r="Q47" i="26"/>
  <c r="L72" i="26"/>
  <c r="P69" i="26"/>
  <c r="L48" i="26"/>
  <c r="L49" i="26" s="1"/>
  <c r="P66" i="26"/>
  <c r="M8" i="26"/>
  <c r="M10" i="26" s="1"/>
  <c r="L42" i="26"/>
  <c r="L43" i="26" s="1"/>
  <c r="P33" i="26"/>
  <c r="N83" i="26"/>
  <c r="L44" i="26"/>
  <c r="L46" i="26" s="1"/>
  <c r="P20" i="26"/>
  <c r="L56" i="26"/>
  <c r="L58" i="26" s="1"/>
  <c r="P84" i="26"/>
  <c r="N92" i="26"/>
  <c r="L80" i="26"/>
  <c r="L82" i="26" s="1"/>
  <c r="Q42" i="26"/>
  <c r="P68" i="26"/>
  <c r="Q65" i="26"/>
  <c r="P90" i="26"/>
  <c r="O32" i="26"/>
  <c r="M98" i="26"/>
  <c r="Q50" i="26"/>
  <c r="L51" i="26"/>
  <c r="L52" i="26" s="1"/>
  <c r="Q90" i="26"/>
  <c r="Q38" i="26"/>
  <c r="Q20" i="26"/>
  <c r="P50" i="26"/>
  <c r="O30" i="26"/>
  <c r="P60" i="26"/>
  <c r="Q57" i="26"/>
  <c r="N71" i="26"/>
  <c r="Q44" i="26"/>
  <c r="P57" i="26"/>
  <c r="P54" i="26"/>
  <c r="P41" i="26"/>
  <c r="P38" i="26"/>
  <c r="L60" i="26"/>
  <c r="L61" i="26" s="1"/>
  <c r="Q75" i="26"/>
  <c r="P45" i="26"/>
  <c r="P87" i="26"/>
  <c r="O39" i="26"/>
  <c r="L53" i="26"/>
  <c r="L55" i="26" s="1"/>
  <c r="P21" i="26"/>
  <c r="N72" i="26"/>
  <c r="Q27" i="26"/>
  <c r="P11" i="26"/>
  <c r="P72" i="26"/>
  <c r="N81" i="26"/>
  <c r="L89" i="26"/>
  <c r="L91" i="26" s="1"/>
  <c r="O26" i="26"/>
  <c r="O28" i="26" s="1"/>
  <c r="N56" i="26"/>
  <c r="Q53" i="26"/>
  <c r="N78" i="26"/>
  <c r="N79" i="26" s="1"/>
  <c r="Q63" i="26"/>
  <c r="N89" i="26"/>
  <c r="O35" i="26"/>
  <c r="M39" i="26"/>
  <c r="P86" i="26"/>
  <c r="M38" i="26"/>
  <c r="O20" i="26"/>
  <c r="N50" i="26"/>
  <c r="Q18" i="26"/>
  <c r="P48" i="26"/>
  <c r="O29" i="26"/>
  <c r="P59" i="26"/>
  <c r="N45" i="26"/>
  <c r="P35" i="26"/>
  <c r="O11" i="26"/>
  <c r="O87" i="26"/>
  <c r="O77" i="26"/>
  <c r="O23" i="26"/>
  <c r="O9" i="26"/>
  <c r="Q32" i="26"/>
  <c r="P36" i="26"/>
  <c r="P77" i="26"/>
  <c r="O18" i="26"/>
  <c r="L65" i="26"/>
  <c r="L67" i="26" s="1"/>
  <c r="P12" i="26"/>
  <c r="N63" i="26"/>
  <c r="Q6" i="26"/>
  <c r="O80" i="26"/>
  <c r="P51" i="26"/>
  <c r="N69" i="26"/>
  <c r="Q14" i="26"/>
  <c r="N44" i="26"/>
  <c r="Q41" i="26"/>
  <c r="N66" i="26"/>
  <c r="Q51" i="26"/>
  <c r="O21" i="26"/>
  <c r="L86" i="26"/>
  <c r="L88" i="26" s="1"/>
  <c r="L15" i="26"/>
  <c r="L16" i="26" s="1"/>
  <c r="O78" i="26"/>
  <c r="Q72" i="26"/>
  <c r="L39" i="26"/>
  <c r="Q17" i="26"/>
  <c r="N47" i="26"/>
  <c r="Q15" i="26"/>
  <c r="N38" i="26"/>
  <c r="N17" i="26"/>
  <c r="L38" i="26"/>
  <c r="N90" i="26"/>
  <c r="N80" i="26"/>
  <c r="P24" i="26"/>
  <c r="P65" i="26"/>
  <c r="N84" i="26"/>
  <c r="N51" i="26"/>
  <c r="P95" i="26"/>
  <c r="P30" i="26"/>
  <c r="N39" i="26"/>
  <c r="Q68" i="26"/>
  <c r="L33" i="26"/>
  <c r="L34" i="26" s="1"/>
  <c r="O24" i="26"/>
  <c r="O36" i="26"/>
  <c r="N65" i="26"/>
  <c r="O6" i="26"/>
  <c r="L17" i="26"/>
  <c r="L19" i="26" s="1"/>
  <c r="N86" i="26"/>
  <c r="P15" i="26"/>
  <c r="Q78" i="26"/>
  <c r="N27" i="26"/>
  <c r="Q81" i="26"/>
  <c r="N26" i="26"/>
  <c r="Q71" i="26"/>
  <c r="N36" i="26"/>
  <c r="Q69" i="26"/>
  <c r="N8" i="26"/>
  <c r="P5" i="26"/>
  <c r="N57" i="26"/>
  <c r="N48" i="26"/>
  <c r="H58" i="26"/>
  <c r="P89" i="26"/>
  <c r="P14" i="26"/>
  <c r="P56" i="26"/>
  <c r="N59" i="26"/>
  <c r="L96" i="26"/>
  <c r="P96" i="26"/>
  <c r="O92" i="26"/>
  <c r="N21" i="26"/>
  <c r="P63" i="26"/>
  <c r="N93" i="26"/>
  <c r="Q36" i="26"/>
  <c r="P9" i="26"/>
  <c r="N29" i="26"/>
  <c r="Q83" i="26"/>
  <c r="Q9" i="26"/>
  <c r="N42" i="26"/>
  <c r="Q23" i="26"/>
  <c r="N53" i="26"/>
  <c r="N55" i="26" s="1"/>
  <c r="Q89" i="26"/>
  <c r="Q48" i="26"/>
  <c r="P62" i="26"/>
  <c r="N15" i="26"/>
  <c r="L98" i="26"/>
  <c r="P27" i="26"/>
  <c r="Q92" i="26"/>
  <c r="N14" i="26"/>
  <c r="Q80" i="26"/>
  <c r="N24" i="26"/>
  <c r="N25" i="26" s="1"/>
  <c r="Q84" i="26"/>
  <c r="N35" i="26"/>
  <c r="H43" i="26"/>
  <c r="P47" i="26"/>
  <c r="N6" i="26"/>
  <c r="Q39" i="26"/>
  <c r="P44" i="26"/>
  <c r="N33" i="26"/>
  <c r="P75" i="26"/>
  <c r="O81" i="26"/>
  <c r="P53" i="26"/>
  <c r="Q26" i="26"/>
  <c r="N12" i="26"/>
  <c r="N18" i="26"/>
  <c r="Q95" i="26"/>
  <c r="P6" i="26"/>
  <c r="O75" i="26"/>
  <c r="N32" i="26"/>
  <c r="O8" i="26"/>
  <c r="N41" i="26"/>
  <c r="N87" i="26"/>
  <c r="Q5" i="26"/>
  <c r="N62" i="26"/>
  <c r="Q60" i="26"/>
  <c r="P74" i="26"/>
  <c r="N96" i="26"/>
  <c r="P81" i="26"/>
  <c r="Q93" i="26"/>
  <c r="N9" i="26"/>
  <c r="Q96" i="26"/>
  <c r="L99" i="26"/>
  <c r="H94" i="26"/>
  <c r="M26" i="26"/>
  <c r="M27" i="26"/>
  <c r="M21" i="26"/>
  <c r="I77" i="26"/>
  <c r="I15" i="26"/>
  <c r="H67" i="26"/>
  <c r="G10" i="26"/>
  <c r="I45" i="26"/>
  <c r="H73" i="26"/>
  <c r="G13" i="26"/>
  <c r="I53" i="26"/>
  <c r="G85" i="26"/>
  <c r="I89" i="26"/>
  <c r="I84" i="26"/>
  <c r="I48" i="26"/>
  <c r="I81" i="26"/>
  <c r="I71" i="26"/>
  <c r="I23" i="26"/>
  <c r="H46" i="26"/>
  <c r="I99" i="26"/>
  <c r="H88" i="26"/>
  <c r="G94" i="26"/>
  <c r="G67" i="26"/>
  <c r="G28" i="26"/>
  <c r="H82" i="26"/>
  <c r="G37" i="26"/>
  <c r="H34" i="26"/>
  <c r="I11" i="26"/>
  <c r="I93" i="26"/>
  <c r="I92" i="26"/>
  <c r="G58" i="26"/>
  <c r="I74" i="26"/>
  <c r="I83" i="26"/>
  <c r="I72" i="26"/>
  <c r="I86" i="26"/>
  <c r="I95" i="26"/>
  <c r="I47" i="26"/>
  <c r="I8" i="26"/>
  <c r="H25" i="26"/>
  <c r="I66" i="26"/>
  <c r="I44" i="26"/>
  <c r="I33" i="26"/>
  <c r="I68" i="26"/>
  <c r="I27" i="26"/>
  <c r="I32" i="26"/>
  <c r="I29" i="26"/>
  <c r="I14" i="26"/>
  <c r="I38" i="26"/>
  <c r="I78" i="26"/>
  <c r="G70" i="26"/>
  <c r="G91" i="26"/>
  <c r="I35" i="26"/>
  <c r="I36" i="26"/>
  <c r="I62" i="26"/>
  <c r="G76" i="26"/>
  <c r="I60" i="26"/>
  <c r="I42" i="26"/>
  <c r="I5" i="26"/>
  <c r="I17" i="26"/>
  <c r="I21" i="26"/>
  <c r="I41" i="26"/>
  <c r="I65" i="26"/>
  <c r="I18" i="26"/>
  <c r="I90" i="26"/>
  <c r="I59" i="26"/>
  <c r="I87" i="26"/>
  <c r="H28" i="26"/>
  <c r="I51" i="26"/>
  <c r="I50" i="26"/>
  <c r="I6" i="26"/>
  <c r="I96" i="26"/>
  <c r="I24" i="26"/>
  <c r="I39" i="26"/>
  <c r="I30" i="26"/>
  <c r="I54" i="26"/>
  <c r="I63" i="26"/>
  <c r="I20" i="26"/>
  <c r="H52" i="26"/>
  <c r="G16" i="26"/>
  <c r="H91" i="26"/>
  <c r="H64" i="26"/>
  <c r="G88" i="26"/>
  <c r="G7" i="26"/>
  <c r="G43" i="26"/>
  <c r="H10" i="26"/>
  <c r="G61" i="26"/>
  <c r="I80" i="26"/>
  <c r="I12" i="26"/>
  <c r="I69" i="26"/>
  <c r="I57" i="26"/>
  <c r="I58" i="26" s="1"/>
  <c r="I9" i="26"/>
  <c r="I75" i="26"/>
  <c r="I26" i="26"/>
  <c r="H61" i="26"/>
  <c r="H37" i="26"/>
  <c r="H79" i="26"/>
  <c r="G22" i="26"/>
  <c r="H7" i="26"/>
  <c r="H76" i="26"/>
  <c r="G52" i="26"/>
  <c r="G82" i="26"/>
  <c r="H22" i="26"/>
  <c r="H16" i="26"/>
  <c r="G31" i="26"/>
  <c r="H70" i="26"/>
  <c r="G34" i="26"/>
  <c r="H40" i="26"/>
  <c r="G49" i="26"/>
  <c r="G25" i="26"/>
  <c r="G46" i="26"/>
  <c r="G19" i="26"/>
  <c r="H49" i="26"/>
  <c r="H55" i="26"/>
  <c r="H19" i="26"/>
  <c r="H97" i="26"/>
  <c r="G79" i="26"/>
  <c r="G55" i="26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H307" i="23"/>
  <c r="H308" i="23"/>
  <c r="H309" i="23"/>
  <c r="H310" i="23"/>
  <c r="H311" i="23"/>
  <c r="H312" i="23"/>
  <c r="H313" i="23"/>
  <c r="H314" i="23"/>
  <c r="H315" i="23"/>
  <c r="H316" i="23"/>
  <c r="H317" i="23"/>
  <c r="H318" i="23"/>
  <c r="H319" i="23"/>
  <c r="H320" i="23"/>
  <c r="H321" i="23"/>
  <c r="H322" i="23"/>
  <c r="H323" i="23"/>
  <c r="H324" i="23"/>
  <c r="H325" i="23"/>
  <c r="H326" i="23"/>
  <c r="H327" i="23"/>
  <c r="H328" i="23"/>
  <c r="H329" i="23"/>
  <c r="H330" i="23"/>
  <c r="H331" i="23"/>
  <c r="H332" i="23"/>
  <c r="H333" i="23"/>
  <c r="H334" i="23"/>
  <c r="H335" i="23"/>
  <c r="H336" i="23"/>
  <c r="H337" i="23"/>
  <c r="H338" i="23"/>
  <c r="H339" i="23"/>
  <c r="H340" i="23"/>
  <c r="H341" i="23"/>
  <c r="H342" i="23"/>
  <c r="H343" i="23"/>
  <c r="H344" i="23"/>
  <c r="H345" i="23"/>
  <c r="H346" i="23"/>
  <c r="H347" i="23"/>
  <c r="H348" i="23"/>
  <c r="H349" i="23"/>
  <c r="H350" i="23"/>
  <c r="H351" i="23"/>
  <c r="H352" i="23"/>
  <c r="H353" i="23"/>
  <c r="H354" i="23"/>
  <c r="H355" i="23"/>
  <c r="H356" i="23"/>
  <c r="H357" i="23"/>
  <c r="H358" i="23"/>
  <c r="H359" i="23"/>
  <c r="H360" i="23"/>
  <c r="H361" i="23"/>
  <c r="H362" i="23"/>
  <c r="H363" i="23"/>
  <c r="H364" i="23"/>
  <c r="H365" i="23"/>
  <c r="H366" i="23"/>
  <c r="H367" i="23"/>
  <c r="H368" i="23"/>
  <c r="H369" i="23"/>
  <c r="H370" i="23"/>
  <c r="H371" i="23"/>
  <c r="H372" i="23"/>
  <c r="H373" i="23"/>
  <c r="H374" i="23"/>
  <c r="H375" i="23"/>
  <c r="H376" i="23"/>
  <c r="H377" i="23"/>
  <c r="H378" i="23"/>
  <c r="H379" i="23"/>
  <c r="H380" i="23"/>
  <c r="H381" i="23"/>
  <c r="H382" i="23"/>
  <c r="H383" i="23"/>
  <c r="H384" i="23"/>
  <c r="H385" i="23"/>
  <c r="H386" i="23"/>
  <c r="H387" i="23"/>
  <c r="H388" i="23"/>
  <c r="H389" i="23"/>
  <c r="H390" i="23"/>
  <c r="H391" i="23"/>
  <c r="H392" i="23"/>
  <c r="H393" i="23"/>
  <c r="H394" i="23"/>
  <c r="H395" i="23"/>
  <c r="H396" i="23"/>
  <c r="H397" i="23"/>
  <c r="H398" i="23"/>
  <c r="H399" i="23"/>
  <c r="H400" i="23"/>
  <c r="H401" i="23"/>
  <c r="H402" i="23"/>
  <c r="H403" i="23"/>
  <c r="H404" i="23"/>
  <c r="H405" i="23"/>
  <c r="H406" i="23"/>
  <c r="H407" i="23"/>
  <c r="H408" i="23"/>
  <c r="H409" i="23"/>
  <c r="H410" i="23"/>
  <c r="H411" i="23"/>
  <c r="H412" i="23"/>
  <c r="H413" i="23"/>
  <c r="H414" i="23"/>
  <c r="H415" i="23"/>
  <c r="H416" i="23"/>
  <c r="H417" i="23"/>
  <c r="H418" i="23"/>
  <c r="H419" i="23"/>
  <c r="H420" i="23"/>
  <c r="H421" i="23"/>
  <c r="H422" i="23"/>
  <c r="H423" i="23"/>
  <c r="H424" i="23"/>
  <c r="H425" i="23"/>
  <c r="H426" i="23"/>
  <c r="H427" i="23"/>
  <c r="H428" i="23"/>
  <c r="H429" i="23"/>
  <c r="H430" i="23"/>
  <c r="H431" i="23"/>
  <c r="H432" i="23"/>
  <c r="H433" i="23"/>
  <c r="H434" i="23"/>
  <c r="H435" i="23"/>
  <c r="H436" i="23"/>
  <c r="H437" i="23"/>
  <c r="H438" i="23"/>
  <c r="H439" i="23"/>
  <c r="H440" i="23"/>
  <c r="H441" i="23"/>
  <c r="H442" i="23"/>
  <c r="H443" i="23"/>
  <c r="H444" i="23"/>
  <c r="H445" i="23"/>
  <c r="H446" i="23"/>
  <c r="H447" i="23"/>
  <c r="H448" i="23"/>
  <c r="H449" i="23"/>
  <c r="H450" i="23"/>
  <c r="H451" i="23"/>
  <c r="H452" i="23"/>
  <c r="H453" i="23"/>
  <c r="H454" i="23"/>
  <c r="H455" i="23"/>
  <c r="H456" i="23"/>
  <c r="H457" i="23"/>
  <c r="H458" i="23"/>
  <c r="H459" i="23"/>
  <c r="H460" i="23"/>
  <c r="H461" i="23"/>
  <c r="H462" i="23"/>
  <c r="H463" i="23"/>
  <c r="H464" i="23"/>
  <c r="H465" i="23"/>
  <c r="H466" i="23"/>
  <c r="H467" i="23"/>
  <c r="H468" i="23"/>
  <c r="H469" i="23"/>
  <c r="H470" i="23"/>
  <c r="H471" i="23"/>
  <c r="H472" i="23"/>
  <c r="H473" i="23"/>
  <c r="H474" i="23"/>
  <c r="H475" i="23"/>
  <c r="H476" i="23"/>
  <c r="H477" i="23"/>
  <c r="H478" i="23"/>
  <c r="H479" i="23"/>
  <c r="H480" i="23"/>
  <c r="H481" i="23"/>
  <c r="H482" i="23"/>
  <c r="H483" i="23"/>
  <c r="H484" i="23"/>
  <c r="H485" i="23"/>
  <c r="H486" i="23"/>
  <c r="H487" i="23"/>
  <c r="H488" i="23"/>
  <c r="H489" i="23"/>
  <c r="H490" i="23"/>
  <c r="H491" i="23"/>
  <c r="H492" i="23"/>
  <c r="H493" i="23"/>
  <c r="H494" i="23"/>
  <c r="H495" i="23"/>
  <c r="H496" i="23"/>
  <c r="H497" i="23"/>
  <c r="H498" i="23"/>
  <c r="H499" i="23"/>
  <c r="H500" i="23"/>
  <c r="H501" i="23"/>
  <c r="H502" i="23"/>
  <c r="H503" i="23"/>
  <c r="H504" i="23"/>
  <c r="H505" i="23"/>
  <c r="H506" i="23"/>
  <c r="H507" i="23"/>
  <c r="H508" i="23"/>
  <c r="H509" i="23"/>
  <c r="H510" i="23"/>
  <c r="H511" i="23"/>
  <c r="H512" i="23"/>
  <c r="H513" i="23"/>
  <c r="H514" i="23"/>
  <c r="H515" i="23"/>
  <c r="H516" i="23"/>
  <c r="H517" i="23"/>
  <c r="H518" i="23"/>
  <c r="H519" i="23"/>
  <c r="H520" i="23"/>
  <c r="H521" i="23"/>
  <c r="H522" i="23"/>
  <c r="H523" i="23"/>
  <c r="H524" i="23"/>
  <c r="H525" i="23"/>
  <c r="H526" i="23"/>
  <c r="H527" i="23"/>
  <c r="H528" i="23"/>
  <c r="H529" i="23"/>
  <c r="H530" i="23"/>
  <c r="H531" i="23"/>
  <c r="H532" i="23"/>
  <c r="H533" i="23"/>
  <c r="H534" i="23"/>
  <c r="H535" i="23"/>
  <c r="H536" i="23"/>
  <c r="H537" i="23"/>
  <c r="H538" i="23"/>
  <c r="H539" i="23"/>
  <c r="H540" i="23"/>
  <c r="H541" i="23"/>
  <c r="H542" i="23"/>
  <c r="H543" i="23"/>
  <c r="H544" i="23"/>
  <c r="H545" i="23"/>
  <c r="H546" i="23"/>
  <c r="H547" i="23"/>
  <c r="H548" i="23"/>
  <c r="H549" i="23"/>
  <c r="H550" i="23"/>
  <c r="H551" i="23"/>
  <c r="H552" i="23"/>
  <c r="H553" i="23"/>
  <c r="H554" i="23"/>
  <c r="H555" i="23"/>
  <c r="H556" i="23"/>
  <c r="H557" i="23"/>
  <c r="H558" i="23"/>
  <c r="H559" i="23"/>
  <c r="H560" i="23"/>
  <c r="H561" i="23"/>
  <c r="H562" i="23"/>
  <c r="H563" i="23"/>
  <c r="H564" i="23"/>
  <c r="H565" i="23"/>
  <c r="H566" i="23"/>
  <c r="H567" i="23"/>
  <c r="H568" i="23"/>
  <c r="H569" i="23"/>
  <c r="H570" i="23"/>
  <c r="H571" i="23"/>
  <c r="H572" i="23"/>
  <c r="H573" i="23"/>
  <c r="H574" i="23"/>
  <c r="H575" i="23"/>
  <c r="H576" i="23"/>
  <c r="H577" i="23"/>
  <c r="H578" i="23"/>
  <c r="H579" i="23"/>
  <c r="H580" i="23"/>
  <c r="H581" i="23"/>
  <c r="H582" i="23"/>
  <c r="H583" i="23"/>
  <c r="H584" i="23"/>
  <c r="H585" i="23"/>
  <c r="H586" i="23"/>
  <c r="H587" i="23"/>
  <c r="H588" i="23"/>
  <c r="H589" i="23"/>
  <c r="H590" i="23"/>
  <c r="H591" i="23"/>
  <c r="H592" i="23"/>
  <c r="H593" i="23"/>
  <c r="H594" i="23"/>
  <c r="H595" i="23"/>
  <c r="H596" i="23"/>
  <c r="H597" i="23"/>
  <c r="H598" i="23"/>
  <c r="H599" i="23"/>
  <c r="H600" i="23"/>
  <c r="H601" i="23"/>
  <c r="H602" i="23"/>
  <c r="H603" i="23"/>
  <c r="H604" i="23"/>
  <c r="H605" i="23"/>
  <c r="H606" i="23"/>
  <c r="H607" i="23"/>
  <c r="H608" i="23"/>
  <c r="H609" i="23"/>
  <c r="H610" i="23"/>
  <c r="H611" i="23"/>
  <c r="H612" i="23"/>
  <c r="H613" i="23"/>
  <c r="H614" i="23"/>
  <c r="H615" i="23"/>
  <c r="H616" i="23"/>
  <c r="H617" i="23"/>
  <c r="H618" i="23"/>
  <c r="H619" i="23"/>
  <c r="H620" i="23"/>
  <c r="H621" i="23"/>
  <c r="H622" i="23"/>
  <c r="H2" i="23"/>
  <c r="AP75" i="26" l="1"/>
  <c r="AP76" i="26" s="1"/>
  <c r="AP81" i="26"/>
  <c r="AP82" i="26" s="1"/>
  <c r="AF90" i="26"/>
  <c r="AF91" i="26" s="1"/>
  <c r="AP83" i="26"/>
  <c r="AP85" i="26" s="1"/>
  <c r="AF92" i="26"/>
  <c r="AF94" i="26" s="1"/>
  <c r="AF84" i="26"/>
  <c r="AF85" i="26" s="1"/>
  <c r="AH78" i="26"/>
  <c r="AF77" i="26"/>
  <c r="AF79" i="26" s="1"/>
  <c r="AR80" i="26"/>
  <c r="AH86" i="26"/>
  <c r="AH95" i="26"/>
  <c r="AP86" i="26"/>
  <c r="AP88" i="26" s="1"/>
  <c r="AH74" i="26"/>
  <c r="AH93" i="26"/>
  <c r="AR92" i="26"/>
  <c r="AR77" i="26"/>
  <c r="AH90" i="26"/>
  <c r="AH80" i="26"/>
  <c r="AH82" i="26" s="1"/>
  <c r="AH77" i="26"/>
  <c r="AH96" i="26"/>
  <c r="AH87" i="26"/>
  <c r="AH75" i="26"/>
  <c r="AR93" i="26"/>
  <c r="AR94" i="26" s="1"/>
  <c r="AH92" i="26"/>
  <c r="AH83" i="26"/>
  <c r="AR78" i="26"/>
  <c r="AP93" i="26"/>
  <c r="AP94" i="26" s="1"/>
  <c r="AF75" i="26"/>
  <c r="AF76" i="26" s="1"/>
  <c r="AF80" i="26"/>
  <c r="AF82" i="26" s="1"/>
  <c r="AH84" i="26"/>
  <c r="AH89" i="26"/>
  <c r="AR96" i="26"/>
  <c r="AP78" i="26"/>
  <c r="AP79" i="26" s="1"/>
  <c r="AR89" i="26"/>
  <c r="AR84" i="26"/>
  <c r="AR87" i="26"/>
  <c r="AR88" i="26" s="1"/>
  <c r="AR75" i="26"/>
  <c r="AR90" i="26"/>
  <c r="AR95" i="26"/>
  <c r="AR81" i="26"/>
  <c r="AR83" i="26"/>
  <c r="AR74" i="26"/>
  <c r="AD12" i="26"/>
  <c r="AD6" i="26"/>
  <c r="AM7" i="26"/>
  <c r="AN6" i="26"/>
  <c r="AM6" i="26"/>
  <c r="AN12" i="26"/>
  <c r="S6" i="26"/>
  <c r="AC7" i="26"/>
  <c r="S7" i="26"/>
  <c r="AC6" i="26"/>
  <c r="AM13" i="26"/>
  <c r="AM12" i="26"/>
  <c r="AC13" i="26"/>
  <c r="AC12" i="26"/>
  <c r="S13" i="26"/>
  <c r="S12" i="26"/>
  <c r="AO26" i="26"/>
  <c r="AD54" i="26"/>
  <c r="AM55" i="26"/>
  <c r="AN54" i="26"/>
  <c r="AM54" i="26"/>
  <c r="S54" i="26"/>
  <c r="AC55" i="26"/>
  <c r="S55" i="26"/>
  <c r="AC54" i="26"/>
  <c r="AD71" i="26"/>
  <c r="AN68" i="26"/>
  <c r="AN71" i="26"/>
  <c r="AM68" i="26"/>
  <c r="AC71" i="26"/>
  <c r="S68" i="26"/>
  <c r="AD68" i="26"/>
  <c r="AM71" i="26"/>
  <c r="AC68" i="26"/>
  <c r="S71" i="26"/>
  <c r="AE12" i="26"/>
  <c r="AO9" i="26"/>
  <c r="AO12" i="26"/>
  <c r="AM9" i="26"/>
  <c r="AC9" i="26"/>
  <c r="AE9" i="26"/>
  <c r="S9" i="26"/>
  <c r="AN32" i="26"/>
  <c r="AM32" i="26"/>
  <c r="AM34" i="26"/>
  <c r="S34" i="26"/>
  <c r="AD32" i="26"/>
  <c r="AC34" i="26"/>
  <c r="AC32" i="26"/>
  <c r="S32" i="26"/>
  <c r="AN57" i="26"/>
  <c r="AD57" i="26"/>
  <c r="S57" i="26"/>
  <c r="AC57" i="26"/>
  <c r="AM57" i="26"/>
  <c r="AN98" i="26"/>
  <c r="AM98" i="26"/>
  <c r="AM100" i="26"/>
  <c r="AN62" i="26"/>
  <c r="AN99" i="26"/>
  <c r="AM62" i="26"/>
  <c r="AM99" i="26"/>
  <c r="AN44" i="26"/>
  <c r="AM64" i="26"/>
  <c r="AM44" i="26"/>
  <c r="AC98" i="26"/>
  <c r="S98" i="26"/>
  <c r="S62" i="26"/>
  <c r="S46" i="26"/>
  <c r="AD98" i="26"/>
  <c r="AC62" i="26"/>
  <c r="AM46" i="26"/>
  <c r="AD44" i="26"/>
  <c r="AC64" i="26"/>
  <c r="S64" i="26"/>
  <c r="AC46" i="26"/>
  <c r="S44" i="26"/>
  <c r="S100" i="26"/>
  <c r="AC100" i="26"/>
  <c r="AC44" i="26"/>
  <c r="AD62" i="26"/>
  <c r="AM11" i="26"/>
  <c r="AC11" i="26"/>
  <c r="S11" i="26"/>
  <c r="AN65" i="26"/>
  <c r="AD65" i="26"/>
  <c r="AM65" i="26"/>
  <c r="AC65" i="26"/>
  <c r="S65" i="26"/>
  <c r="AN38" i="26"/>
  <c r="AM38" i="26"/>
  <c r="AN20" i="26"/>
  <c r="AM20" i="26"/>
  <c r="AD20" i="26"/>
  <c r="S38" i="26"/>
  <c r="AC38" i="26"/>
  <c r="AD38" i="26"/>
  <c r="AC20" i="26"/>
  <c r="S20" i="26"/>
  <c r="AD48" i="26"/>
  <c r="AN48" i="26"/>
  <c r="AM48" i="26"/>
  <c r="S48" i="26"/>
  <c r="AC48" i="26"/>
  <c r="AN56" i="26"/>
  <c r="AM56" i="26"/>
  <c r="AM58" i="26"/>
  <c r="AD56" i="26"/>
  <c r="AC58" i="26"/>
  <c r="S58" i="26"/>
  <c r="AC56" i="26"/>
  <c r="S56" i="26"/>
  <c r="AM63" i="26"/>
  <c r="AN45" i="26"/>
  <c r="AM45" i="26"/>
  <c r="AD99" i="26"/>
  <c r="AD63" i="26"/>
  <c r="AD45" i="26"/>
  <c r="AC99" i="26"/>
  <c r="S45" i="26"/>
  <c r="AC63" i="26"/>
  <c r="AC45" i="26"/>
  <c r="AN63" i="26"/>
  <c r="S99" i="26"/>
  <c r="S63" i="26"/>
  <c r="AM73" i="26"/>
  <c r="AN69" i="26"/>
  <c r="AD72" i="26"/>
  <c r="AN72" i="26"/>
  <c r="AM69" i="26"/>
  <c r="AM72" i="26"/>
  <c r="AD69" i="26"/>
  <c r="AM70" i="26"/>
  <c r="S73" i="26"/>
  <c r="AC70" i="26"/>
  <c r="S70" i="26"/>
  <c r="AC73" i="26"/>
  <c r="AC69" i="26"/>
  <c r="AC72" i="26"/>
  <c r="S72" i="26"/>
  <c r="S69" i="26"/>
  <c r="AM5" i="26"/>
  <c r="AN11" i="26"/>
  <c r="AD11" i="26"/>
  <c r="AD5" i="26"/>
  <c r="AD7" i="26" s="1"/>
  <c r="AN5" i="26"/>
  <c r="AC5" i="26"/>
  <c r="S5" i="26"/>
  <c r="AM28" i="26"/>
  <c r="AD26" i="26"/>
  <c r="S26" i="26"/>
  <c r="AC26" i="26"/>
  <c r="AN26" i="26"/>
  <c r="AM26" i="26"/>
  <c r="AC28" i="26"/>
  <c r="S28" i="26"/>
  <c r="AO11" i="26"/>
  <c r="AM8" i="26"/>
  <c r="AE11" i="26"/>
  <c r="AM10" i="26"/>
  <c r="S10" i="26"/>
  <c r="AC10" i="26"/>
  <c r="AE8" i="26"/>
  <c r="AO8" i="26"/>
  <c r="AC8" i="26"/>
  <c r="S8" i="26"/>
  <c r="AN17" i="26"/>
  <c r="AD17" i="26"/>
  <c r="AM17" i="26"/>
  <c r="S17" i="26"/>
  <c r="AC17" i="26"/>
  <c r="AO27" i="26"/>
  <c r="AE27" i="26"/>
  <c r="AM39" i="26"/>
  <c r="AN21" i="26"/>
  <c r="AM21" i="26"/>
  <c r="AM40" i="26"/>
  <c r="AD39" i="26"/>
  <c r="AD21" i="26"/>
  <c r="AC40" i="26"/>
  <c r="AC22" i="26"/>
  <c r="AN39" i="26"/>
  <c r="AM22" i="26"/>
  <c r="S22" i="26"/>
  <c r="S40" i="26"/>
  <c r="AC39" i="26"/>
  <c r="AC21" i="26"/>
  <c r="S39" i="26"/>
  <c r="AM49" i="26"/>
  <c r="AD47" i="26"/>
  <c r="AN47" i="26"/>
  <c r="AM47" i="26"/>
  <c r="AC49" i="26"/>
  <c r="S49" i="26"/>
  <c r="AC47" i="26"/>
  <c r="S47" i="26"/>
  <c r="AN42" i="26"/>
  <c r="AM42" i="26"/>
  <c r="AD42" i="26"/>
  <c r="AC43" i="26"/>
  <c r="S42" i="26"/>
  <c r="AC42" i="26"/>
  <c r="AM43" i="26"/>
  <c r="S43" i="26"/>
  <c r="AD60" i="26"/>
  <c r="AM61" i="26"/>
  <c r="S61" i="26"/>
  <c r="AN60" i="26"/>
  <c r="AM60" i="26"/>
  <c r="AC61" i="26"/>
  <c r="AC60" i="26"/>
  <c r="S60" i="26"/>
  <c r="AN33" i="26"/>
  <c r="AD33" i="26"/>
  <c r="S33" i="26"/>
  <c r="AC33" i="26"/>
  <c r="AM33" i="26"/>
  <c r="AD36" i="26"/>
  <c r="AM37" i="26"/>
  <c r="S37" i="26"/>
  <c r="AN36" i="26"/>
  <c r="AM36" i="26"/>
  <c r="AC37" i="26"/>
  <c r="S36" i="26"/>
  <c r="AC36" i="26"/>
  <c r="AN66" i="26"/>
  <c r="AM66" i="26"/>
  <c r="AD66" i="26"/>
  <c r="AC67" i="26"/>
  <c r="AC66" i="26"/>
  <c r="S66" i="26"/>
  <c r="AM67" i="26"/>
  <c r="S67" i="26"/>
  <c r="AN18" i="26"/>
  <c r="AM18" i="26"/>
  <c r="AD18" i="26"/>
  <c r="AC19" i="26"/>
  <c r="S18" i="26"/>
  <c r="AC18" i="26"/>
  <c r="AM19" i="26"/>
  <c r="S19" i="26"/>
  <c r="AM15" i="26"/>
  <c r="AD15" i="26"/>
  <c r="AC15" i="26"/>
  <c r="AN15" i="26"/>
  <c r="S15" i="26"/>
  <c r="AO38" i="26"/>
  <c r="AO20" i="26"/>
  <c r="AE98" i="26"/>
  <c r="AE20" i="26"/>
  <c r="AE38" i="26"/>
  <c r="AM29" i="26"/>
  <c r="AD29" i="26"/>
  <c r="AN29" i="26"/>
  <c r="S29" i="26"/>
  <c r="AC29" i="26"/>
  <c r="AN14" i="26"/>
  <c r="AM14" i="26"/>
  <c r="AM16" i="26"/>
  <c r="AC16" i="26"/>
  <c r="S14" i="26"/>
  <c r="AD14" i="26"/>
  <c r="AC14" i="26"/>
  <c r="S16" i="26"/>
  <c r="AD24" i="26"/>
  <c r="AN24" i="26"/>
  <c r="AM24" i="26"/>
  <c r="AC24" i="26"/>
  <c r="S24" i="26"/>
  <c r="AN35" i="26"/>
  <c r="AM35" i="26"/>
  <c r="AD35" i="26"/>
  <c r="AC35" i="26"/>
  <c r="S35" i="26"/>
  <c r="AO21" i="26"/>
  <c r="AO99" i="26"/>
  <c r="AE99" i="26"/>
  <c r="AE39" i="26"/>
  <c r="AO98" i="26"/>
  <c r="AO39" i="26"/>
  <c r="AE21" i="26"/>
  <c r="AN51" i="26"/>
  <c r="AM51" i="26"/>
  <c r="AD51" i="26"/>
  <c r="AC51" i="26"/>
  <c r="S51" i="26"/>
  <c r="AM25" i="26"/>
  <c r="AD23" i="26"/>
  <c r="AN23" i="26"/>
  <c r="AM23" i="26"/>
  <c r="AC25" i="26"/>
  <c r="AC23" i="26"/>
  <c r="S23" i="26"/>
  <c r="S25" i="26"/>
  <c r="AN27" i="26"/>
  <c r="AM27" i="26"/>
  <c r="AD27" i="26"/>
  <c r="AC27" i="26"/>
  <c r="S27" i="26"/>
  <c r="AM53" i="26"/>
  <c r="AD53" i="26"/>
  <c r="AN53" i="26"/>
  <c r="AC53" i="26"/>
  <c r="S53" i="26"/>
  <c r="AM52" i="26"/>
  <c r="S50" i="26"/>
  <c r="AC50" i="26"/>
  <c r="AD50" i="26"/>
  <c r="AN50" i="26"/>
  <c r="AM50" i="26"/>
  <c r="S52" i="26"/>
  <c r="AC52" i="26"/>
  <c r="AN41" i="26"/>
  <c r="AD41" i="26"/>
  <c r="AM41" i="26"/>
  <c r="AC41" i="26"/>
  <c r="S41" i="26"/>
  <c r="AD30" i="26"/>
  <c r="AM31" i="26"/>
  <c r="AN30" i="26"/>
  <c r="AM30" i="26"/>
  <c r="S30" i="26"/>
  <c r="AC31" i="26"/>
  <c r="AC30" i="26"/>
  <c r="S31" i="26"/>
  <c r="AN59" i="26"/>
  <c r="AM59" i="26"/>
  <c r="AD59" i="26"/>
  <c r="AC59" i="26"/>
  <c r="S59" i="26"/>
  <c r="P94" i="26"/>
  <c r="L64" i="26"/>
  <c r="N85" i="26"/>
  <c r="Q31" i="26"/>
  <c r="Q61" i="26"/>
  <c r="Q22" i="26"/>
  <c r="P91" i="26"/>
  <c r="P7" i="26"/>
  <c r="I13" i="26"/>
  <c r="M100" i="26"/>
  <c r="O76" i="26"/>
  <c r="N61" i="26"/>
  <c r="N67" i="26"/>
  <c r="L40" i="26"/>
  <c r="Q34" i="26"/>
  <c r="Q19" i="26"/>
  <c r="Q40" i="26"/>
  <c r="N91" i="26"/>
  <c r="Q43" i="26"/>
  <c r="P58" i="26"/>
  <c r="O91" i="26"/>
  <c r="O97" i="26"/>
  <c r="Q82" i="26"/>
  <c r="Q76" i="26"/>
  <c r="O34" i="26"/>
  <c r="P61" i="26"/>
  <c r="N19" i="26"/>
  <c r="Q25" i="26"/>
  <c r="O31" i="26"/>
  <c r="O37" i="26"/>
  <c r="P43" i="26"/>
  <c r="O19" i="26"/>
  <c r="O16" i="26"/>
  <c r="P76" i="26"/>
  <c r="P55" i="26"/>
  <c r="L97" i="26"/>
  <c r="N58" i="26"/>
  <c r="O7" i="26"/>
  <c r="N82" i="26"/>
  <c r="O13" i="26"/>
  <c r="Q64" i="26"/>
  <c r="Q88" i="26"/>
  <c r="N16" i="26"/>
  <c r="O22" i="26"/>
  <c r="N46" i="26"/>
  <c r="N73" i="26"/>
  <c r="Q10" i="26"/>
  <c r="Q7" i="26"/>
  <c r="P16" i="26"/>
  <c r="N94" i="26"/>
  <c r="P34" i="26"/>
  <c r="P82" i="26"/>
  <c r="O94" i="26"/>
  <c r="P67" i="26"/>
  <c r="P70" i="26"/>
  <c r="N97" i="26"/>
  <c r="O85" i="26"/>
  <c r="N76" i="26"/>
  <c r="P97" i="26"/>
  <c r="P25" i="26"/>
  <c r="O88" i="26"/>
  <c r="P73" i="26"/>
  <c r="Q67" i="26"/>
  <c r="P31" i="26"/>
  <c r="I91" i="26"/>
  <c r="N34" i="26"/>
  <c r="Q91" i="26"/>
  <c r="Q73" i="26"/>
  <c r="P79" i="26"/>
  <c r="P13" i="26"/>
  <c r="N70" i="26"/>
  <c r="Q49" i="26"/>
  <c r="Q58" i="26"/>
  <c r="N64" i="26"/>
  <c r="N28" i="26"/>
  <c r="O82" i="26"/>
  <c r="P49" i="26"/>
  <c r="P40" i="26"/>
  <c r="N22" i="26"/>
  <c r="N13" i="26"/>
  <c r="N49" i="26"/>
  <c r="I16" i="26"/>
  <c r="Q52" i="26"/>
  <c r="Q97" i="26"/>
  <c r="Q94" i="26"/>
  <c r="P46" i="26"/>
  <c r="O40" i="26"/>
  <c r="Q79" i="26"/>
  <c r="P85" i="26"/>
  <c r="I7" i="26"/>
  <c r="O79" i="26"/>
  <c r="N52" i="26"/>
  <c r="P52" i="26"/>
  <c r="N31" i="26"/>
  <c r="N37" i="26"/>
  <c r="P28" i="26"/>
  <c r="N43" i="26"/>
  <c r="N10" i="26"/>
  <c r="N40" i="26"/>
  <c r="O10" i="26"/>
  <c r="P37" i="26"/>
  <c r="M40" i="26"/>
  <c r="Q55" i="26"/>
  <c r="P10" i="26"/>
  <c r="L100" i="26"/>
  <c r="Q28" i="26"/>
  <c r="P64" i="26"/>
  <c r="Q85" i="26"/>
  <c r="N88" i="26"/>
  <c r="Q70" i="26"/>
  <c r="Q16" i="26"/>
  <c r="O25" i="26"/>
  <c r="P88" i="26"/>
  <c r="P22" i="26"/>
  <c r="Q46" i="26"/>
  <c r="Q37" i="26"/>
  <c r="L73" i="26"/>
  <c r="P19" i="26"/>
  <c r="I79" i="26"/>
  <c r="I100" i="26"/>
  <c r="M13" i="26"/>
  <c r="M22" i="26"/>
  <c r="M28" i="26"/>
  <c r="I49" i="26"/>
  <c r="I46" i="26"/>
  <c r="I25" i="26"/>
  <c r="I85" i="26"/>
  <c r="I94" i="26"/>
  <c r="I82" i="26"/>
  <c r="I73" i="26"/>
  <c r="I55" i="26"/>
  <c r="I37" i="26"/>
  <c r="I34" i="26"/>
  <c r="I31" i="26"/>
  <c r="I97" i="26"/>
  <c r="I76" i="26"/>
  <c r="I43" i="26"/>
  <c r="I19" i="26"/>
  <c r="I28" i="26"/>
  <c r="I10" i="26"/>
  <c r="I70" i="26"/>
  <c r="I88" i="26"/>
  <c r="I22" i="26"/>
  <c r="I40" i="26"/>
  <c r="I67" i="26"/>
  <c r="I64" i="26"/>
  <c r="I61" i="26"/>
  <c r="I52" i="26"/>
  <c r="AR82" i="26" l="1"/>
  <c r="AH97" i="26"/>
  <c r="AH88" i="26"/>
  <c r="AH85" i="26"/>
  <c r="AH76" i="26"/>
  <c r="AH94" i="26"/>
  <c r="AR79" i="26"/>
  <c r="AH91" i="26"/>
  <c r="AH79" i="26"/>
  <c r="AR85" i="26"/>
  <c r="AR97" i="26"/>
  <c r="AR76" i="26"/>
  <c r="AR91" i="26"/>
  <c r="AN7" i="26"/>
  <c r="AE13" i="26"/>
  <c r="AO13" i="26"/>
  <c r="AE100" i="26"/>
  <c r="AK98" i="26" s="1"/>
  <c r="AN13" i="26"/>
  <c r="AP11" i="26" s="1"/>
  <c r="AN37" i="26"/>
  <c r="AP35" i="26" s="1"/>
  <c r="AD16" i="26"/>
  <c r="AF15" i="26" s="1"/>
  <c r="AN31" i="26"/>
  <c r="AP29" i="26" s="1"/>
  <c r="AD49" i="26"/>
  <c r="AF48" i="26" s="1"/>
  <c r="AD28" i="26"/>
  <c r="AF27" i="26" s="1"/>
  <c r="AP5" i="26"/>
  <c r="AD22" i="26"/>
  <c r="AF21" i="26" s="1"/>
  <c r="AD67" i="26"/>
  <c r="AF66" i="26" s="1"/>
  <c r="AD100" i="26"/>
  <c r="AJ26" i="26" s="1"/>
  <c r="AD34" i="26"/>
  <c r="AF33" i="26" s="1"/>
  <c r="AN61" i="26"/>
  <c r="AP59" i="26" s="1"/>
  <c r="AN55" i="26"/>
  <c r="AP53" i="26" s="1"/>
  <c r="AN52" i="26"/>
  <c r="AP51" i="26" s="1"/>
  <c r="AD55" i="26"/>
  <c r="AF54" i="26" s="1"/>
  <c r="AD31" i="26"/>
  <c r="AF29" i="26" s="1"/>
  <c r="AN67" i="26"/>
  <c r="AP66" i="26" s="1"/>
  <c r="AD25" i="26"/>
  <c r="AF23" i="26" s="1"/>
  <c r="AN19" i="26"/>
  <c r="AP17" i="26" s="1"/>
  <c r="AN46" i="26"/>
  <c r="AD52" i="26"/>
  <c r="AF51" i="26" s="1"/>
  <c r="AO10" i="26"/>
  <c r="AQ9" i="26" s="1"/>
  <c r="AD58" i="26"/>
  <c r="AF57" i="26" s="1"/>
  <c r="AN22" i="26"/>
  <c r="AN73" i="26"/>
  <c r="AR66" i="26" s="1"/>
  <c r="AP6" i="26"/>
  <c r="AD37" i="26"/>
  <c r="AF36" i="26" s="1"/>
  <c r="AO100" i="26"/>
  <c r="AU99" i="26" s="1"/>
  <c r="AE40" i="26"/>
  <c r="AI39" i="26" s="1"/>
  <c r="AE10" i="26"/>
  <c r="AG9" i="26" s="1"/>
  <c r="AF5" i="26"/>
  <c r="AN64" i="26"/>
  <c r="AR56" i="26" s="1"/>
  <c r="AN34" i="26"/>
  <c r="AP33" i="26" s="1"/>
  <c r="AN70" i="26"/>
  <c r="AP68" i="26" s="1"/>
  <c r="AO40" i="26"/>
  <c r="AS38" i="26" s="1"/>
  <c r="AN49" i="26"/>
  <c r="AP47" i="26" s="1"/>
  <c r="AE22" i="26"/>
  <c r="AG21" i="26" s="1"/>
  <c r="AN40" i="26"/>
  <c r="AR21" i="26" s="1"/>
  <c r="AD73" i="26"/>
  <c r="AH68" i="26" s="1"/>
  <c r="AO22" i="26"/>
  <c r="AQ20" i="26" s="1"/>
  <c r="AD19" i="26"/>
  <c r="AF18" i="26" s="1"/>
  <c r="AD43" i="26"/>
  <c r="AF42" i="26" s="1"/>
  <c r="AN43" i="26"/>
  <c r="AP42" i="26" s="1"/>
  <c r="AN25" i="26"/>
  <c r="AP24" i="26" s="1"/>
  <c r="AN16" i="26"/>
  <c r="AN28" i="26"/>
  <c r="AP26" i="26" s="1"/>
  <c r="AN58" i="26"/>
  <c r="AD40" i="26"/>
  <c r="AH26" i="26" s="1"/>
  <c r="AD64" i="26"/>
  <c r="AH60" i="26" s="1"/>
  <c r="AD46" i="26"/>
  <c r="AF44" i="26" s="1"/>
  <c r="AE28" i="26"/>
  <c r="AG26" i="26" s="1"/>
  <c r="AF6" i="26"/>
  <c r="AD61" i="26"/>
  <c r="AF59" i="26" s="1"/>
  <c r="AD13" i="26"/>
  <c r="AF12" i="26" s="1"/>
  <c r="AN100" i="26"/>
  <c r="AT53" i="26" s="1"/>
  <c r="AD70" i="26"/>
  <c r="AF68" i="26" s="1"/>
  <c r="AO28" i="26"/>
  <c r="AQ26" i="26" s="1"/>
  <c r="Z81" i="26"/>
  <c r="N7" i="26"/>
  <c r="L828" i="23"/>
  <c r="L829" i="23"/>
  <c r="M828" i="23"/>
  <c r="M829" i="23"/>
  <c r="P828" i="23"/>
  <c r="P829" i="23"/>
  <c r="L778" i="23"/>
  <c r="M778" i="23"/>
  <c r="P778" i="23"/>
  <c r="L779" i="23"/>
  <c r="M779" i="23"/>
  <c r="P779" i="23"/>
  <c r="L780" i="23"/>
  <c r="M780" i="23"/>
  <c r="P780" i="23"/>
  <c r="L781" i="23"/>
  <c r="M781" i="23"/>
  <c r="P781" i="23"/>
  <c r="L782" i="23"/>
  <c r="M782" i="23"/>
  <c r="P782" i="23"/>
  <c r="L783" i="23"/>
  <c r="M783" i="23"/>
  <c r="P783" i="23"/>
  <c r="L784" i="23"/>
  <c r="M784" i="23"/>
  <c r="P784" i="23"/>
  <c r="L785" i="23"/>
  <c r="M785" i="23"/>
  <c r="P785" i="23"/>
  <c r="L776" i="23"/>
  <c r="M776" i="23"/>
  <c r="P776" i="23"/>
  <c r="L777" i="23"/>
  <c r="M777" i="23"/>
  <c r="P777" i="23"/>
  <c r="L786" i="23"/>
  <c r="M786" i="23"/>
  <c r="P786" i="23"/>
  <c r="L787" i="23"/>
  <c r="M787" i="23"/>
  <c r="P787" i="23"/>
  <c r="L788" i="23"/>
  <c r="M788" i="23"/>
  <c r="P788" i="23"/>
  <c r="L789" i="23"/>
  <c r="M789" i="23"/>
  <c r="P789" i="23"/>
  <c r="L790" i="23"/>
  <c r="M790" i="23"/>
  <c r="P790" i="23"/>
  <c r="L791" i="23"/>
  <c r="M791" i="23"/>
  <c r="P791" i="23"/>
  <c r="L792" i="23"/>
  <c r="M792" i="23"/>
  <c r="P792" i="23"/>
  <c r="L793" i="23"/>
  <c r="M793" i="23"/>
  <c r="P793" i="23"/>
  <c r="AH12" i="26" l="1"/>
  <c r="AF65" i="26"/>
  <c r="AF67" i="26" s="1"/>
  <c r="AI9" i="26"/>
  <c r="AJ27" i="26"/>
  <c r="AJ28" i="26" s="1"/>
  <c r="AJ72" i="26"/>
  <c r="AK9" i="26"/>
  <c r="AR38" i="26"/>
  <c r="AF47" i="26"/>
  <c r="AF49" i="26" s="1"/>
  <c r="AJ66" i="26"/>
  <c r="AP12" i="26"/>
  <c r="AP13" i="26" s="1"/>
  <c r="AJ18" i="26"/>
  <c r="AJ12" i="26"/>
  <c r="AJ6" i="26"/>
  <c r="AJ42" i="26"/>
  <c r="AK8" i="26"/>
  <c r="AP54" i="26"/>
  <c r="AP55" i="26" s="1"/>
  <c r="AJ50" i="26"/>
  <c r="AJ63" i="26"/>
  <c r="AS20" i="26"/>
  <c r="AR27" i="26"/>
  <c r="AK38" i="26"/>
  <c r="AJ53" i="26"/>
  <c r="AK21" i="26"/>
  <c r="AR68" i="26"/>
  <c r="AU98" i="26"/>
  <c r="AU100" i="26" s="1"/>
  <c r="AJ69" i="26"/>
  <c r="AP60" i="26"/>
  <c r="AP61" i="26" s="1"/>
  <c r="AP50" i="26"/>
  <c r="AP52" i="26" s="1"/>
  <c r="AF30" i="26"/>
  <c r="AF31" i="26" s="1"/>
  <c r="AU38" i="26"/>
  <c r="AU26" i="26"/>
  <c r="AQ8" i="26"/>
  <c r="AQ10" i="26" s="1"/>
  <c r="AK26" i="26"/>
  <c r="AP18" i="26"/>
  <c r="AP19" i="26" s="1"/>
  <c r="AU21" i="26"/>
  <c r="AK27" i="26"/>
  <c r="AR14" i="26"/>
  <c r="AH42" i="26"/>
  <c r="AK20" i="26"/>
  <c r="AQ21" i="26"/>
  <c r="AQ22" i="26" s="1"/>
  <c r="AI21" i="26"/>
  <c r="AF17" i="26"/>
  <c r="AF19" i="26" s="1"/>
  <c r="AF69" i="26"/>
  <c r="AF70" i="26" s="1"/>
  <c r="AR42" i="26"/>
  <c r="AG8" i="26"/>
  <c r="AG10" i="26" s="1"/>
  <c r="AR60" i="26"/>
  <c r="AH62" i="26"/>
  <c r="AR71" i="26"/>
  <c r="AR63" i="26"/>
  <c r="AR41" i="26"/>
  <c r="AR30" i="26"/>
  <c r="AT39" i="26"/>
  <c r="AT26" i="26"/>
  <c r="AT69" i="26"/>
  <c r="AH72" i="26"/>
  <c r="AF11" i="26"/>
  <c r="AF13" i="26" s="1"/>
  <c r="AH38" i="26"/>
  <c r="AP41" i="26"/>
  <c r="AP43" i="26" s="1"/>
  <c r="AT45" i="26"/>
  <c r="AT24" i="26"/>
  <c r="AP32" i="26"/>
  <c r="AP34" i="26" s="1"/>
  <c r="AH57" i="26"/>
  <c r="AU8" i="26"/>
  <c r="AH50" i="26"/>
  <c r="AJ60" i="26"/>
  <c r="AR24" i="26"/>
  <c r="AJ11" i="26"/>
  <c r="AJ38" i="26"/>
  <c r="AF24" i="26"/>
  <c r="AF25" i="26" s="1"/>
  <c r="AT41" i="26"/>
  <c r="AU20" i="26"/>
  <c r="AJ36" i="26"/>
  <c r="AT51" i="26"/>
  <c r="AR32" i="26"/>
  <c r="AF35" i="26"/>
  <c r="AF37" i="26" s="1"/>
  <c r="AU9" i="26"/>
  <c r="AT15" i="26"/>
  <c r="AU39" i="26"/>
  <c r="AJ68" i="26"/>
  <c r="AT66" i="26"/>
  <c r="AJ21" i="26"/>
  <c r="AJ48" i="26"/>
  <c r="AT44" i="26"/>
  <c r="AT46" i="26" s="1"/>
  <c r="AJ29" i="26"/>
  <c r="AT59" i="26"/>
  <c r="AR29" i="26"/>
  <c r="AJ59" i="26"/>
  <c r="AH41" i="26"/>
  <c r="AT62" i="26"/>
  <c r="AR5" i="26"/>
  <c r="AH48" i="26"/>
  <c r="AQ27" i="26"/>
  <c r="AQ28" i="26" s="1"/>
  <c r="AP65" i="26"/>
  <c r="AP67" i="26" s="1"/>
  <c r="AH45" i="26"/>
  <c r="AK39" i="26"/>
  <c r="AT98" i="26"/>
  <c r="AH59" i="26"/>
  <c r="AH61" i="26" s="1"/>
  <c r="AH44" i="26"/>
  <c r="AR72" i="26"/>
  <c r="AP23" i="26"/>
  <c r="AP25" i="26" s="1"/>
  <c r="AH54" i="26"/>
  <c r="AT18" i="26"/>
  <c r="AF56" i="26"/>
  <c r="AF58" i="26" s="1"/>
  <c r="AH66" i="26"/>
  <c r="AT48" i="26"/>
  <c r="AK99" i="26"/>
  <c r="AK100" i="26" s="1"/>
  <c r="AT5" i="26"/>
  <c r="AF14" i="26"/>
  <c r="AF16" i="26" s="1"/>
  <c r="AS26" i="26"/>
  <c r="AH17" i="26"/>
  <c r="AS8" i="26"/>
  <c r="AH14" i="26"/>
  <c r="AH11" i="26"/>
  <c r="AH13" i="26" s="1"/>
  <c r="AH5" i="26"/>
  <c r="AJ44" i="26"/>
  <c r="AT56" i="26"/>
  <c r="AT14" i="26"/>
  <c r="AR23" i="26"/>
  <c r="AJ17" i="26"/>
  <c r="AJ54" i="26"/>
  <c r="AR45" i="26"/>
  <c r="AR18" i="26"/>
  <c r="AR51" i="26"/>
  <c r="AT27" i="26"/>
  <c r="AT32" i="26"/>
  <c r="AT63" i="26"/>
  <c r="AH21" i="26"/>
  <c r="AS21" i="26"/>
  <c r="AJ57" i="26"/>
  <c r="AH56" i="26"/>
  <c r="AH18" i="26"/>
  <c r="AR44" i="26"/>
  <c r="AJ23" i="26"/>
  <c r="AT65" i="26"/>
  <c r="AH63" i="26"/>
  <c r="AR33" i="26"/>
  <c r="AT50" i="26"/>
  <c r="AH32" i="26"/>
  <c r="AT30" i="26"/>
  <c r="AJ20" i="26"/>
  <c r="AP7" i="26"/>
  <c r="AH47" i="26"/>
  <c r="AJ14" i="26"/>
  <c r="AH30" i="26"/>
  <c r="AT23" i="26"/>
  <c r="AF41" i="26"/>
  <c r="AF43" i="26" s="1"/>
  <c r="AJ71" i="26"/>
  <c r="AH39" i="26"/>
  <c r="AR47" i="26"/>
  <c r="AR6" i="26"/>
  <c r="AJ5" i="26"/>
  <c r="AJ15" i="26"/>
  <c r="AT99" i="26"/>
  <c r="AJ51" i="26"/>
  <c r="AH23" i="26"/>
  <c r="AR65" i="26"/>
  <c r="AR67" i="26" s="1"/>
  <c r="AT36" i="26"/>
  <c r="AJ32" i="26"/>
  <c r="AP30" i="26"/>
  <c r="AP31" i="26" s="1"/>
  <c r="AF20" i="26"/>
  <c r="AF22" i="26" s="1"/>
  <c r="AF26" i="26"/>
  <c r="AF28" i="26" s="1"/>
  <c r="AT11" i="26"/>
  <c r="AI26" i="26"/>
  <c r="AJ62" i="26"/>
  <c r="AT72" i="26"/>
  <c r="AJ24" i="26"/>
  <c r="AJ41" i="26"/>
  <c r="AH71" i="26"/>
  <c r="AJ39" i="26"/>
  <c r="AG20" i="26"/>
  <c r="AG22" i="26" s="1"/>
  <c r="AT47" i="26"/>
  <c r="AT6" i="26"/>
  <c r="AT57" i="26"/>
  <c r="AF7" i="26"/>
  <c r="AH15" i="26"/>
  <c r="AR54" i="26"/>
  <c r="AT20" i="26"/>
  <c r="AJ99" i="26"/>
  <c r="AU27" i="26"/>
  <c r="AH51" i="26"/>
  <c r="AT17" i="26"/>
  <c r="AI27" i="26"/>
  <c r="AP36" i="26"/>
  <c r="AP37" i="26" s="1"/>
  <c r="AH53" i="26"/>
  <c r="AR53" i="26"/>
  <c r="AF32" i="26"/>
  <c r="AF34" i="26" s="1"/>
  <c r="AJ98" i="26"/>
  <c r="AH20" i="26"/>
  <c r="AH33" i="26"/>
  <c r="AR11" i="26"/>
  <c r="AH27" i="26"/>
  <c r="AH28" i="26" s="1"/>
  <c r="AI20" i="26"/>
  <c r="AR57" i="26"/>
  <c r="AR58" i="26" s="1"/>
  <c r="AI8" i="26"/>
  <c r="AH35" i="26"/>
  <c r="AT54" i="26"/>
  <c r="AT55" i="26" s="1"/>
  <c r="AR20" i="26"/>
  <c r="AR22" i="26" s="1"/>
  <c r="AS27" i="26"/>
  <c r="AR17" i="26"/>
  <c r="AR12" i="26"/>
  <c r="AG27" i="26"/>
  <c r="AG28" i="26" s="1"/>
  <c r="AR36" i="26"/>
  <c r="AJ56" i="26"/>
  <c r="AJ77" i="26"/>
  <c r="AJ90" i="26"/>
  <c r="AJ96" i="26"/>
  <c r="AJ86" i="26"/>
  <c r="AJ83" i="26"/>
  <c r="AJ89" i="26"/>
  <c r="AJ92" i="26"/>
  <c r="AJ78" i="26"/>
  <c r="AJ75" i="26"/>
  <c r="AJ81" i="26"/>
  <c r="AJ95" i="26"/>
  <c r="AJ93" i="26"/>
  <c r="AJ87" i="26"/>
  <c r="AJ80" i="26"/>
  <c r="AJ84" i="26"/>
  <c r="AJ74" i="26"/>
  <c r="AJ33" i="26"/>
  <c r="AR35" i="26"/>
  <c r="AT33" i="26"/>
  <c r="AT90" i="26"/>
  <c r="AT81" i="26"/>
  <c r="AT77" i="26"/>
  <c r="AT95" i="26"/>
  <c r="AT93" i="26"/>
  <c r="AT86" i="26"/>
  <c r="AT96" i="26"/>
  <c r="AT92" i="26"/>
  <c r="AT87" i="26"/>
  <c r="AT75" i="26"/>
  <c r="AT83" i="26"/>
  <c r="AT84" i="26"/>
  <c r="AT89" i="26"/>
  <c r="AT74" i="26"/>
  <c r="AT78" i="26"/>
  <c r="AT80" i="26"/>
  <c r="AR26" i="26"/>
  <c r="AH24" i="26"/>
  <c r="AT38" i="26"/>
  <c r="AH36" i="26"/>
  <c r="AT68" i="26"/>
  <c r="AR62" i="26"/>
  <c r="AI38" i="26"/>
  <c r="AI40" i="26" s="1"/>
  <c r="AJ35" i="26"/>
  <c r="AT71" i="26"/>
  <c r="AH69" i="26"/>
  <c r="AH70" i="26" s="1"/>
  <c r="AF50" i="26"/>
  <c r="AF52" i="26" s="1"/>
  <c r="AT12" i="26"/>
  <c r="AP48" i="26"/>
  <c r="AP49" i="26" s="1"/>
  <c r="AT42" i="26"/>
  <c r="AR15" i="26"/>
  <c r="AF53" i="26"/>
  <c r="AF55" i="26" s="1"/>
  <c r="AR69" i="26"/>
  <c r="AH65" i="26"/>
  <c r="AJ45" i="26"/>
  <c r="AR39" i="26"/>
  <c r="AT29" i="26"/>
  <c r="AT35" i="26"/>
  <c r="AT21" i="26"/>
  <c r="AS39" i="26"/>
  <c r="AS40" i="26" s="1"/>
  <c r="AH6" i="26"/>
  <c r="AP27" i="26"/>
  <c r="AP28" i="26" s="1"/>
  <c r="AT60" i="26"/>
  <c r="AS9" i="26"/>
  <c r="AR48" i="26"/>
  <c r="AF60" i="26"/>
  <c r="AF61" i="26" s="1"/>
  <c r="AH29" i="26"/>
  <c r="AR50" i="26"/>
  <c r="AR59" i="26"/>
  <c r="AP69" i="26"/>
  <c r="AP70" i="26" s="1"/>
  <c r="AJ65" i="26"/>
  <c r="AF45" i="26"/>
  <c r="AF46" i="26" s="1"/>
  <c r="AJ47" i="26"/>
  <c r="AJ30" i="26"/>
  <c r="L769" i="23"/>
  <c r="M769" i="23"/>
  <c r="P769" i="23"/>
  <c r="L760" i="23"/>
  <c r="M760" i="23"/>
  <c r="P760" i="23"/>
  <c r="AJ97" i="26" l="1"/>
  <c r="AI10" i="26"/>
  <c r="AJ73" i="26"/>
  <c r="AJ13" i="26"/>
  <c r="AR70" i="26"/>
  <c r="AK22" i="26"/>
  <c r="AR40" i="26"/>
  <c r="AU22" i="26"/>
  <c r="AJ7" i="26"/>
  <c r="AU28" i="26"/>
  <c r="AK10" i="26"/>
  <c r="AJ31" i="26"/>
  <c r="AJ52" i="26"/>
  <c r="AT25" i="26"/>
  <c r="AH64" i="26"/>
  <c r="AJ67" i="26"/>
  <c r="AT70" i="26"/>
  <c r="AH52" i="26"/>
  <c r="AK28" i="26"/>
  <c r="AT52" i="26"/>
  <c r="AR28" i="26"/>
  <c r="AS22" i="26"/>
  <c r="AH22" i="26"/>
  <c r="AT7" i="26"/>
  <c r="AJ64" i="26"/>
  <c r="AJ37" i="26"/>
  <c r="AI22" i="26"/>
  <c r="AR64" i="26"/>
  <c r="AT67" i="26"/>
  <c r="AJ55" i="26"/>
  <c r="AR61" i="26"/>
  <c r="AJ19" i="26"/>
  <c r="AJ61" i="26"/>
  <c r="AJ70" i="26"/>
  <c r="AU40" i="26"/>
  <c r="AH46" i="26"/>
  <c r="AH73" i="26"/>
  <c r="AJ43" i="26"/>
  <c r="AR7" i="26"/>
  <c r="AT19" i="26"/>
  <c r="AK40" i="26"/>
  <c r="AH43" i="26"/>
  <c r="AT49" i="26"/>
  <c r="AR31" i="26"/>
  <c r="AT73" i="26"/>
  <c r="AR16" i="26"/>
  <c r="AJ79" i="26"/>
  <c r="AU10" i="26"/>
  <c r="AJ49" i="26"/>
  <c r="AR34" i="26"/>
  <c r="AJ82" i="26"/>
  <c r="AT61" i="26"/>
  <c r="AH49" i="26"/>
  <c r="AH40" i="26"/>
  <c r="AT43" i="26"/>
  <c r="AJ25" i="26"/>
  <c r="AT16" i="26"/>
  <c r="AR43" i="26"/>
  <c r="AJ91" i="26"/>
  <c r="AR19" i="26"/>
  <c r="AR55" i="26"/>
  <c r="AT100" i="26"/>
  <c r="AJ22" i="26"/>
  <c r="AT28" i="26"/>
  <c r="AT64" i="26"/>
  <c r="AR25" i="26"/>
  <c r="AH31" i="26"/>
  <c r="AJ40" i="26"/>
  <c r="AH55" i="26"/>
  <c r="AH67" i="26"/>
  <c r="AT40" i="26"/>
  <c r="AH34" i="26"/>
  <c r="AH58" i="26"/>
  <c r="AR73" i="26"/>
  <c r="AT13" i="26"/>
  <c r="AT22" i="26"/>
  <c r="AH37" i="26"/>
  <c r="AJ46" i="26"/>
  <c r="AH7" i="26"/>
  <c r="AJ34" i="26"/>
  <c r="AJ58" i="26"/>
  <c r="AS28" i="26"/>
  <c r="AT82" i="26"/>
  <c r="AT94" i="26"/>
  <c r="AJ88" i="26"/>
  <c r="AR49" i="26"/>
  <c r="AT31" i="26"/>
  <c r="AR13" i="26"/>
  <c r="AR37" i="26"/>
  <c r="AT91" i="26"/>
  <c r="AH19" i="26"/>
  <c r="AR52" i="26"/>
  <c r="AS10" i="26"/>
  <c r="AT76" i="26"/>
  <c r="AT88" i="26"/>
  <c r="AT37" i="26"/>
  <c r="AT85" i="26"/>
  <c r="AT97" i="26"/>
  <c r="AJ76" i="26"/>
  <c r="AJ100" i="26"/>
  <c r="AI28" i="26"/>
  <c r="AH25" i="26"/>
  <c r="AJ16" i="26"/>
  <c r="AT79" i="26"/>
  <c r="AJ94" i="26"/>
  <c r="AH16" i="26"/>
  <c r="AT34" i="26"/>
  <c r="AJ85" i="26"/>
  <c r="AR46" i="26"/>
  <c r="AT58" i="26"/>
  <c r="P697" i="23"/>
  <c r="L766" i="23" l="1"/>
  <c r="M766" i="23"/>
  <c r="P766" i="23"/>
  <c r="L763" i="23"/>
  <c r="M763" i="23"/>
  <c r="P763" i="23"/>
  <c r="L767" i="23"/>
  <c r="M767" i="23"/>
  <c r="P767" i="23"/>
  <c r="L764" i="23"/>
  <c r="M764" i="23"/>
  <c r="P764" i="23"/>
  <c r="L768" i="23"/>
  <c r="M768" i="23"/>
  <c r="P768" i="23"/>
  <c r="L765" i="23"/>
  <c r="M765" i="23"/>
  <c r="P765" i="23"/>
  <c r="L794" i="23"/>
  <c r="M794" i="23"/>
  <c r="P794" i="23"/>
  <c r="L827" i="23"/>
  <c r="M827" i="23"/>
  <c r="P827" i="23"/>
  <c r="P759" i="23" l="1"/>
  <c r="P758" i="23"/>
  <c r="P757" i="23"/>
  <c r="P756" i="23"/>
  <c r="P755" i="23"/>
  <c r="P754" i="23"/>
  <c r="P753" i="23"/>
  <c r="P752" i="23"/>
  <c r="P751" i="23"/>
  <c r="P750" i="23"/>
  <c r="P749" i="23"/>
  <c r="P748" i="23"/>
  <c r="P747" i="23"/>
  <c r="P746" i="23"/>
  <c r="P745" i="23"/>
  <c r="P744" i="23"/>
  <c r="P743" i="23"/>
  <c r="P742" i="23"/>
  <c r="P741" i="23"/>
  <c r="P740" i="23"/>
  <c r="P739" i="23"/>
  <c r="P738" i="23"/>
  <c r="P737" i="23"/>
  <c r="P736" i="23"/>
  <c r="P735" i="23"/>
  <c r="P734" i="23"/>
  <c r="P733" i="23"/>
  <c r="P732" i="23"/>
  <c r="P731" i="23"/>
  <c r="P730" i="23"/>
  <c r="P729" i="23"/>
  <c r="P728" i="23"/>
  <c r="P727" i="23"/>
  <c r="P726" i="23"/>
  <c r="P725" i="23"/>
  <c r="P724" i="23"/>
  <c r="P723" i="23"/>
  <c r="P722" i="23"/>
  <c r="P721" i="23"/>
  <c r="P720" i="23"/>
  <c r="P719" i="23"/>
  <c r="P718" i="23"/>
  <c r="P717" i="23"/>
  <c r="P716" i="23"/>
  <c r="P715" i="23"/>
  <c r="P714" i="23"/>
  <c r="P713" i="23"/>
  <c r="P712" i="23"/>
  <c r="P711" i="23"/>
  <c r="P710" i="23"/>
  <c r="P709" i="23"/>
  <c r="P708" i="23"/>
  <c r="P707" i="23"/>
  <c r="P706" i="23"/>
  <c r="P705" i="23"/>
  <c r="P704" i="23"/>
  <c r="P703" i="23"/>
  <c r="P702" i="23"/>
  <c r="P701" i="23"/>
  <c r="P700" i="23"/>
  <c r="P699" i="23"/>
  <c r="P698" i="23"/>
  <c r="P696" i="23"/>
  <c r="P695" i="23"/>
  <c r="P694" i="23"/>
  <c r="P693" i="23"/>
  <c r="P692" i="23"/>
  <c r="P691" i="23"/>
  <c r="P690" i="23"/>
  <c r="P689" i="23"/>
  <c r="P688" i="23"/>
  <c r="P687" i="23"/>
  <c r="P686" i="23"/>
  <c r="P685" i="23"/>
  <c r="P684" i="23"/>
  <c r="P683" i="23"/>
  <c r="P682" i="23"/>
  <c r="P681" i="23"/>
  <c r="P680" i="23"/>
  <c r="P679" i="23"/>
  <c r="P678" i="23"/>
  <c r="P677" i="23"/>
  <c r="P676" i="23"/>
  <c r="P675" i="23"/>
  <c r="P674" i="23"/>
  <c r="P673" i="23"/>
  <c r="P672" i="23"/>
  <c r="P671" i="23"/>
  <c r="P670" i="23"/>
  <c r="P669" i="23"/>
  <c r="P668" i="23"/>
  <c r="P667" i="23"/>
  <c r="P666" i="23"/>
  <c r="P665" i="23"/>
  <c r="P664" i="23"/>
  <c r="P663" i="23"/>
  <c r="P662" i="23"/>
  <c r="P661" i="23"/>
  <c r="P660" i="23"/>
  <c r="P659" i="23"/>
  <c r="P658" i="23"/>
  <c r="P657" i="23"/>
  <c r="P656" i="23"/>
  <c r="P655" i="23"/>
  <c r="P654" i="23"/>
  <c r="P653" i="23"/>
  <c r="P652" i="23"/>
  <c r="P651" i="23"/>
  <c r="P650" i="23"/>
  <c r="P649" i="23"/>
  <c r="P648" i="23"/>
  <c r="P647" i="23"/>
  <c r="P646" i="23"/>
  <c r="P645" i="23"/>
  <c r="P644" i="23"/>
  <c r="P643" i="23"/>
  <c r="P642" i="23"/>
  <c r="P641" i="23"/>
  <c r="P640" i="23"/>
  <c r="P639" i="23"/>
  <c r="P638" i="23"/>
  <c r="P637" i="23"/>
  <c r="P636" i="23"/>
  <c r="P635" i="23"/>
  <c r="P634" i="23"/>
  <c r="P633" i="23"/>
  <c r="P632" i="23"/>
  <c r="P631" i="23"/>
  <c r="P630" i="23"/>
  <c r="P629" i="23"/>
  <c r="P628" i="23"/>
  <c r="P627" i="23"/>
  <c r="P626" i="23"/>
  <c r="P625" i="23"/>
  <c r="P624" i="23"/>
  <c r="P623" i="23"/>
  <c r="P622" i="23"/>
  <c r="P621" i="23"/>
  <c r="P620" i="23"/>
  <c r="P619" i="23"/>
  <c r="P618" i="23"/>
  <c r="P617" i="23"/>
  <c r="P616" i="23"/>
  <c r="P615" i="23"/>
  <c r="P614" i="23"/>
  <c r="P613" i="23"/>
  <c r="P612" i="23"/>
  <c r="P611" i="23"/>
  <c r="P610" i="23"/>
  <c r="P609" i="23"/>
  <c r="P608" i="23"/>
  <c r="P607" i="23"/>
  <c r="P606" i="23"/>
  <c r="P605" i="23"/>
  <c r="P604" i="23"/>
  <c r="P603" i="23"/>
  <c r="P602" i="23"/>
  <c r="P601" i="23"/>
  <c r="P600" i="23"/>
  <c r="P599" i="23"/>
  <c r="P598" i="23"/>
  <c r="P597" i="23"/>
  <c r="P596" i="23"/>
  <c r="P595" i="23"/>
  <c r="P594" i="23"/>
  <c r="P593" i="23"/>
  <c r="P592" i="23"/>
  <c r="P591" i="23"/>
  <c r="P590" i="23"/>
  <c r="P589" i="23"/>
  <c r="P588" i="23"/>
  <c r="P587" i="23"/>
  <c r="P586" i="23"/>
  <c r="P585" i="23"/>
  <c r="P584" i="23"/>
  <c r="P583" i="23"/>
  <c r="P582" i="23"/>
  <c r="P581" i="23"/>
  <c r="P580" i="23"/>
  <c r="P579" i="23"/>
  <c r="P578" i="23"/>
  <c r="P577" i="23"/>
  <c r="P576" i="23"/>
  <c r="P575" i="23"/>
  <c r="P574" i="23"/>
  <c r="P573" i="23"/>
  <c r="P572" i="23"/>
  <c r="P571" i="23"/>
  <c r="P570" i="23"/>
  <c r="P569" i="23"/>
  <c r="P568" i="23"/>
  <c r="P567" i="23"/>
  <c r="P566" i="23"/>
  <c r="P565" i="23"/>
  <c r="P564" i="23"/>
  <c r="P563" i="23"/>
  <c r="P562" i="23"/>
  <c r="P561" i="23"/>
  <c r="P560" i="23"/>
  <c r="P559" i="23"/>
  <c r="P558" i="23"/>
  <c r="P557" i="23"/>
  <c r="P556" i="23"/>
  <c r="P555" i="23"/>
  <c r="P554" i="23"/>
  <c r="P553" i="23"/>
  <c r="P552" i="23"/>
  <c r="P551" i="23"/>
  <c r="P550" i="23"/>
  <c r="P549" i="23"/>
  <c r="P548" i="23"/>
  <c r="P547" i="23"/>
  <c r="P546" i="23"/>
  <c r="P545" i="23"/>
  <c r="P544" i="23"/>
  <c r="P543" i="23"/>
  <c r="P542" i="23"/>
  <c r="P541" i="23"/>
  <c r="P540" i="23"/>
  <c r="P539" i="23"/>
  <c r="P538" i="23"/>
  <c r="P537" i="23"/>
  <c r="P536" i="23"/>
  <c r="P535" i="23"/>
  <c r="P534" i="23"/>
  <c r="P533" i="23"/>
  <c r="P532" i="23"/>
  <c r="P531" i="23"/>
  <c r="P530" i="23"/>
  <c r="P529" i="23"/>
  <c r="P528" i="23"/>
  <c r="P527" i="23"/>
  <c r="P526" i="23"/>
  <c r="P525" i="23"/>
  <c r="P524" i="23"/>
  <c r="P523" i="23"/>
  <c r="P522" i="23"/>
  <c r="P521" i="23"/>
  <c r="P520" i="23"/>
  <c r="P519" i="23"/>
  <c r="P518" i="23"/>
  <c r="P517" i="23"/>
  <c r="P516" i="23"/>
  <c r="P515" i="23"/>
  <c r="P514" i="23"/>
  <c r="P513" i="23"/>
  <c r="P512" i="23"/>
  <c r="P511" i="23"/>
  <c r="P510" i="23"/>
  <c r="P509" i="23"/>
  <c r="P508" i="23"/>
  <c r="P507" i="23"/>
  <c r="P506" i="23"/>
  <c r="P505" i="23"/>
  <c r="P504" i="23"/>
  <c r="P503" i="23"/>
  <c r="P502" i="23"/>
  <c r="P501" i="23"/>
  <c r="P500" i="23"/>
  <c r="P499" i="23"/>
  <c r="P498" i="23"/>
  <c r="P497" i="23"/>
  <c r="P496" i="23"/>
  <c r="P495" i="23"/>
  <c r="P494" i="23"/>
  <c r="P493" i="23"/>
  <c r="P492" i="23"/>
  <c r="P491" i="23"/>
  <c r="P490" i="23"/>
  <c r="P489" i="23"/>
  <c r="P488" i="23"/>
  <c r="P487" i="23"/>
  <c r="P486" i="23"/>
  <c r="P485" i="23"/>
  <c r="P484" i="23"/>
  <c r="P483" i="23"/>
  <c r="P482" i="23"/>
  <c r="P481" i="23"/>
  <c r="P480" i="23"/>
  <c r="P479" i="23"/>
  <c r="P478" i="23"/>
  <c r="P477" i="23"/>
  <c r="P476" i="23"/>
  <c r="P475" i="23"/>
  <c r="P474" i="23"/>
  <c r="P473" i="23"/>
  <c r="P472" i="23"/>
  <c r="P471" i="23"/>
  <c r="P470" i="23"/>
  <c r="P469" i="23"/>
  <c r="P468" i="23"/>
  <c r="P467" i="23"/>
  <c r="P466" i="23"/>
  <c r="P465" i="23"/>
  <c r="P464" i="23"/>
  <c r="P463" i="23"/>
  <c r="P462" i="23"/>
  <c r="P461" i="23"/>
  <c r="P460" i="23"/>
  <c r="P459" i="23"/>
  <c r="P458" i="23"/>
  <c r="P825" i="23"/>
  <c r="P826" i="23"/>
  <c r="P457" i="23"/>
  <c r="P456" i="23"/>
  <c r="P455" i="23"/>
  <c r="P454" i="23"/>
  <c r="P453" i="23"/>
  <c r="P452" i="23"/>
  <c r="P451" i="23"/>
  <c r="P450" i="23"/>
  <c r="P449" i="23"/>
  <c r="P448" i="23"/>
  <c r="P447" i="23"/>
  <c r="P446" i="23"/>
  <c r="P445" i="23"/>
  <c r="P444" i="23"/>
  <c r="P443" i="23"/>
  <c r="P442" i="23"/>
  <c r="P441" i="23"/>
  <c r="P440" i="23"/>
  <c r="P439" i="23"/>
  <c r="P438" i="23"/>
  <c r="P437" i="23"/>
  <c r="P436" i="23"/>
  <c r="P435" i="23"/>
  <c r="P434" i="23"/>
  <c r="P773" i="23"/>
  <c r="P433" i="23"/>
  <c r="P432" i="23"/>
  <c r="P431" i="23"/>
  <c r="P430" i="23"/>
  <c r="P429" i="23"/>
  <c r="P428" i="23"/>
  <c r="P427" i="23"/>
  <c r="P426" i="23"/>
  <c r="P425" i="23"/>
  <c r="P424" i="23"/>
  <c r="P423" i="23"/>
  <c r="P422" i="23"/>
  <c r="P421" i="23"/>
  <c r="P420" i="23"/>
  <c r="P419" i="23"/>
  <c r="P418" i="23"/>
  <c r="P417" i="23"/>
  <c r="P416" i="23"/>
  <c r="P415" i="23"/>
  <c r="P414" i="23"/>
  <c r="P413" i="23"/>
  <c r="P412" i="23"/>
  <c r="P411" i="23"/>
  <c r="P410" i="23"/>
  <c r="P409" i="23"/>
  <c r="P408" i="23"/>
  <c r="P407" i="23"/>
  <c r="P406" i="23"/>
  <c r="P405" i="23"/>
  <c r="P404" i="23"/>
  <c r="P403" i="23"/>
  <c r="P402" i="23"/>
  <c r="P401" i="23"/>
  <c r="P400" i="23"/>
  <c r="P399" i="23"/>
  <c r="P398" i="23"/>
  <c r="P397" i="23"/>
  <c r="P396" i="23"/>
  <c r="P395" i="23"/>
  <c r="P394" i="23"/>
  <c r="P393" i="23"/>
  <c r="P392" i="23"/>
  <c r="P391" i="23"/>
  <c r="P390" i="23"/>
  <c r="P389" i="23"/>
  <c r="P388" i="23"/>
  <c r="P387" i="23"/>
  <c r="P386" i="23"/>
  <c r="P385" i="23"/>
  <c r="P384" i="23"/>
  <c r="P383" i="23"/>
  <c r="P382" i="23"/>
  <c r="P381" i="23"/>
  <c r="P380" i="23"/>
  <c r="P379" i="23"/>
  <c r="P378" i="23"/>
  <c r="P377" i="23"/>
  <c r="P376" i="23"/>
  <c r="P375" i="23"/>
  <c r="P374" i="23"/>
  <c r="P373" i="23"/>
  <c r="P372" i="23"/>
  <c r="P371" i="23"/>
  <c r="P370" i="23"/>
  <c r="P369" i="23"/>
  <c r="P368" i="23"/>
  <c r="P367" i="23"/>
  <c r="P366" i="23"/>
  <c r="P365" i="23"/>
  <c r="P364" i="23"/>
  <c r="P363" i="23"/>
  <c r="P362" i="23"/>
  <c r="P361" i="23"/>
  <c r="P360" i="23"/>
  <c r="P359" i="23"/>
  <c r="P358" i="23"/>
  <c r="P357" i="23"/>
  <c r="P356" i="23"/>
  <c r="P355" i="23"/>
  <c r="P354" i="23"/>
  <c r="P353" i="23"/>
  <c r="P352" i="23"/>
  <c r="P351" i="23"/>
  <c r="P350" i="23"/>
  <c r="P762" i="23"/>
  <c r="P761" i="23"/>
  <c r="P349" i="23"/>
  <c r="P348" i="23"/>
  <c r="P347" i="23"/>
  <c r="P346" i="23"/>
  <c r="P345" i="23"/>
  <c r="P344" i="23"/>
  <c r="P343" i="23"/>
  <c r="P342" i="23"/>
  <c r="P341" i="23"/>
  <c r="P340" i="23"/>
  <c r="P339" i="23"/>
  <c r="P338" i="23"/>
  <c r="P337" i="23"/>
  <c r="P336" i="23"/>
  <c r="P335" i="23"/>
  <c r="P334" i="23"/>
  <c r="P333" i="23"/>
  <c r="P332" i="23"/>
  <c r="P331" i="23"/>
  <c r="P330" i="23"/>
  <c r="P329" i="23"/>
  <c r="P328" i="23"/>
  <c r="P327" i="23"/>
  <c r="P326" i="23"/>
  <c r="P325" i="23"/>
  <c r="P324" i="23"/>
  <c r="P323" i="23"/>
  <c r="P322" i="23"/>
  <c r="P321" i="23"/>
  <c r="P320" i="23"/>
  <c r="P319" i="23"/>
  <c r="P318" i="23"/>
  <c r="P317" i="23"/>
  <c r="P316" i="23"/>
  <c r="P315" i="23"/>
  <c r="P314" i="23"/>
  <c r="P313" i="23"/>
  <c r="P312" i="23"/>
  <c r="P311" i="23"/>
  <c r="P310" i="23"/>
  <c r="P309" i="23"/>
  <c r="P308" i="23"/>
  <c r="P307" i="23"/>
  <c r="P817" i="23"/>
  <c r="P820" i="23"/>
  <c r="P306" i="23"/>
  <c r="P305" i="23"/>
  <c r="P304" i="23"/>
  <c r="P303" i="23"/>
  <c r="P302" i="23"/>
  <c r="P301" i="23"/>
  <c r="P300" i="23"/>
  <c r="P299" i="23"/>
  <c r="P298" i="23"/>
  <c r="P818" i="23"/>
  <c r="P819" i="23"/>
  <c r="P297" i="23"/>
  <c r="P296" i="23"/>
  <c r="P295" i="23"/>
  <c r="P294" i="23"/>
  <c r="P293" i="23"/>
  <c r="P292" i="23"/>
  <c r="P291" i="23"/>
  <c r="P290" i="23"/>
  <c r="P289" i="23"/>
  <c r="P288" i="23"/>
  <c r="P287" i="23"/>
  <c r="P286" i="23"/>
  <c r="P285" i="23"/>
  <c r="P284" i="23"/>
  <c r="P814" i="23"/>
  <c r="P815" i="23"/>
  <c r="P816" i="23"/>
  <c r="P821" i="23"/>
  <c r="P822" i="23"/>
  <c r="P823" i="23"/>
  <c r="P824" i="23"/>
  <c r="P283" i="23"/>
  <c r="P282" i="23"/>
  <c r="P281" i="23"/>
  <c r="P280" i="23"/>
  <c r="P279" i="23"/>
  <c r="P278" i="23"/>
  <c r="P277" i="23"/>
  <c r="P276" i="23"/>
  <c r="P275" i="23"/>
  <c r="P274" i="23"/>
  <c r="P273" i="23"/>
  <c r="P272" i="23"/>
  <c r="P271" i="23"/>
  <c r="P270" i="23"/>
  <c r="P269" i="23"/>
  <c r="P774" i="23"/>
  <c r="P775" i="23"/>
  <c r="P268" i="23"/>
  <c r="P267" i="23"/>
  <c r="P266" i="23"/>
  <c r="P265" i="23"/>
  <c r="P264" i="23"/>
  <c r="P263" i="23"/>
  <c r="P262" i="23"/>
  <c r="P261" i="23"/>
  <c r="P260" i="23"/>
  <c r="P259" i="23"/>
  <c r="P258" i="23"/>
  <c r="P257" i="23"/>
  <c r="P256" i="23"/>
  <c r="P255" i="23"/>
  <c r="P254" i="23"/>
  <c r="P253" i="23"/>
  <c r="P252" i="23"/>
  <c r="P251" i="23"/>
  <c r="P250" i="23"/>
  <c r="P249" i="23"/>
  <c r="P248" i="23"/>
  <c r="P247" i="23"/>
  <c r="P771" i="23"/>
  <c r="P770" i="23"/>
  <c r="P772" i="23"/>
  <c r="P795" i="23"/>
  <c r="P796" i="23"/>
  <c r="P798" i="23"/>
  <c r="P797" i="23"/>
  <c r="P799" i="23"/>
  <c r="P800" i="23"/>
  <c r="P801" i="23"/>
  <c r="P804" i="23"/>
  <c r="P803" i="23"/>
  <c r="P802" i="23"/>
  <c r="P805" i="23"/>
  <c r="P806" i="23"/>
  <c r="P807" i="23"/>
  <c r="P809" i="23"/>
  <c r="P808" i="23"/>
  <c r="P810" i="23"/>
  <c r="P811" i="23"/>
  <c r="P812" i="23"/>
  <c r="P813" i="23"/>
  <c r="P246" i="23"/>
  <c r="P245" i="23"/>
  <c r="P244" i="23"/>
  <c r="P243" i="23"/>
  <c r="P242" i="23"/>
  <c r="P241" i="23"/>
  <c r="P240" i="23"/>
  <c r="P239" i="23"/>
  <c r="P238" i="23"/>
  <c r="P237" i="23"/>
  <c r="P236" i="23"/>
  <c r="P235" i="23"/>
  <c r="P234" i="23"/>
  <c r="P233" i="23"/>
  <c r="P232" i="23"/>
  <c r="P231" i="23"/>
  <c r="P230" i="23"/>
  <c r="P229" i="23"/>
  <c r="P228" i="23"/>
  <c r="P227" i="23"/>
  <c r="P226" i="23"/>
  <c r="P225" i="23"/>
  <c r="P224" i="23"/>
  <c r="P223" i="23"/>
  <c r="P222" i="23"/>
  <c r="P221" i="23"/>
  <c r="P220" i="23"/>
  <c r="P219" i="23"/>
  <c r="P218" i="23"/>
  <c r="P217" i="23"/>
  <c r="P216" i="23"/>
  <c r="P215" i="23"/>
  <c r="P214" i="23"/>
  <c r="P213" i="23"/>
  <c r="P212" i="23"/>
  <c r="P211" i="23"/>
  <c r="P210" i="23"/>
  <c r="P209" i="23"/>
  <c r="P208" i="23"/>
  <c r="P207" i="23"/>
  <c r="P206" i="23"/>
  <c r="P205" i="23"/>
  <c r="P204" i="23"/>
  <c r="P203" i="23"/>
  <c r="P202" i="23"/>
  <c r="P201" i="23"/>
  <c r="P200" i="23"/>
  <c r="P199" i="23"/>
  <c r="P198" i="23"/>
  <c r="P197" i="23"/>
  <c r="P196" i="23"/>
  <c r="P195" i="23"/>
  <c r="P194" i="23"/>
  <c r="P193" i="23"/>
  <c r="P192" i="23"/>
  <c r="P191" i="23"/>
  <c r="P190" i="23"/>
  <c r="P189" i="23"/>
  <c r="P188" i="23"/>
  <c r="P187" i="23"/>
  <c r="P186" i="23"/>
  <c r="P185" i="23"/>
  <c r="P184" i="23"/>
  <c r="P183" i="23"/>
  <c r="P182" i="23"/>
  <c r="P181" i="23"/>
  <c r="P180" i="23"/>
  <c r="P179" i="23"/>
  <c r="P178" i="23"/>
  <c r="P177" i="23"/>
  <c r="P176" i="23"/>
  <c r="P175" i="23"/>
  <c r="P174" i="23"/>
  <c r="P173" i="23"/>
  <c r="P172" i="23"/>
  <c r="P171" i="23"/>
  <c r="P170" i="23"/>
  <c r="P169" i="23"/>
  <c r="P168" i="23"/>
  <c r="P167" i="23"/>
  <c r="P166" i="23"/>
  <c r="P165" i="23"/>
  <c r="P164" i="23"/>
  <c r="P163" i="23"/>
  <c r="P162" i="23"/>
  <c r="P161" i="23"/>
  <c r="P160" i="23"/>
  <c r="P159" i="23"/>
  <c r="P158" i="23"/>
  <c r="P157" i="23"/>
  <c r="P156" i="23"/>
  <c r="P155" i="23"/>
  <c r="P154" i="23"/>
  <c r="P153" i="23"/>
  <c r="P152" i="23"/>
  <c r="P151" i="23"/>
  <c r="P150" i="23"/>
  <c r="P149" i="23"/>
  <c r="P148" i="23"/>
  <c r="P147" i="23"/>
  <c r="P146" i="23"/>
  <c r="P145" i="23"/>
  <c r="P144" i="23"/>
  <c r="P143" i="23"/>
  <c r="P142" i="23"/>
  <c r="P141" i="23"/>
  <c r="P140" i="23"/>
  <c r="P139" i="23"/>
  <c r="P138" i="23"/>
  <c r="P137" i="23"/>
  <c r="P136" i="23"/>
  <c r="P135" i="23"/>
  <c r="P134" i="23"/>
  <c r="P133" i="23"/>
  <c r="P132" i="23"/>
  <c r="P131" i="23"/>
  <c r="P130" i="23"/>
  <c r="P129" i="23"/>
  <c r="P128" i="23"/>
  <c r="P127" i="23"/>
  <c r="P126" i="23"/>
  <c r="P125" i="23"/>
  <c r="P124" i="23"/>
  <c r="P123" i="23"/>
  <c r="P122" i="23"/>
  <c r="P121" i="23"/>
  <c r="P120" i="23"/>
  <c r="P119" i="23"/>
  <c r="P118" i="23"/>
  <c r="P117" i="23"/>
  <c r="P116" i="23"/>
  <c r="P115" i="23"/>
  <c r="P114" i="23"/>
  <c r="P113" i="23"/>
  <c r="P112" i="23"/>
  <c r="P111" i="23"/>
  <c r="P110" i="23"/>
  <c r="P109" i="23"/>
  <c r="P108" i="23"/>
  <c r="P107" i="23"/>
  <c r="P106" i="23"/>
  <c r="P105" i="23"/>
  <c r="P104" i="23"/>
  <c r="P103" i="23"/>
  <c r="P102" i="23"/>
  <c r="P101" i="23"/>
  <c r="P100" i="23"/>
  <c r="P99" i="23"/>
  <c r="P98" i="23"/>
  <c r="P97" i="23"/>
  <c r="P96" i="23"/>
  <c r="P95" i="23"/>
  <c r="P94" i="23"/>
  <c r="P93" i="23"/>
  <c r="P92" i="23"/>
  <c r="P91" i="23"/>
  <c r="P90" i="23"/>
  <c r="P89" i="23"/>
  <c r="P88" i="23"/>
  <c r="P87" i="23"/>
  <c r="P86" i="23"/>
  <c r="P85" i="23"/>
  <c r="P84" i="23"/>
  <c r="P83" i="23"/>
  <c r="P82" i="23"/>
  <c r="P81" i="23"/>
  <c r="P80" i="23"/>
  <c r="P79" i="23"/>
  <c r="P78" i="23"/>
  <c r="P77" i="23"/>
  <c r="P76" i="23"/>
  <c r="P75" i="23"/>
  <c r="P74" i="23"/>
  <c r="P73" i="23"/>
  <c r="P72" i="23"/>
  <c r="P71" i="23"/>
  <c r="P70" i="23"/>
  <c r="P69" i="23"/>
  <c r="P68" i="23"/>
  <c r="P67" i="23"/>
  <c r="P66" i="23"/>
  <c r="P65" i="23"/>
  <c r="P64" i="23"/>
  <c r="P63" i="23"/>
  <c r="P62" i="23"/>
  <c r="P61" i="23"/>
  <c r="P60" i="23"/>
  <c r="P59" i="23"/>
  <c r="P58" i="23"/>
  <c r="P57" i="23"/>
  <c r="P56" i="23"/>
  <c r="P55" i="23"/>
  <c r="P54" i="23"/>
  <c r="P53" i="23"/>
  <c r="P52" i="23"/>
  <c r="P51" i="23"/>
  <c r="P50" i="23"/>
  <c r="P49" i="23"/>
  <c r="P48" i="23"/>
  <c r="P47" i="23"/>
  <c r="P46" i="23"/>
  <c r="P45" i="23"/>
  <c r="P44" i="23"/>
  <c r="P43" i="23"/>
  <c r="P42" i="23"/>
  <c r="P41" i="23"/>
  <c r="P40" i="23"/>
  <c r="P39" i="23"/>
  <c r="P38" i="23"/>
  <c r="P37" i="23"/>
  <c r="P36" i="23"/>
  <c r="P35" i="23"/>
  <c r="P34" i="23"/>
  <c r="P33" i="23"/>
  <c r="P32" i="23"/>
  <c r="P31" i="23"/>
  <c r="P30" i="23"/>
  <c r="P29" i="23"/>
  <c r="P28" i="23"/>
  <c r="P27" i="23"/>
  <c r="P26" i="23"/>
  <c r="P25" i="23"/>
  <c r="P24" i="23"/>
  <c r="P23" i="23"/>
  <c r="P22" i="23"/>
  <c r="P21" i="23"/>
  <c r="P20" i="23"/>
  <c r="P19" i="23"/>
  <c r="P18" i="23"/>
  <c r="P17" i="23"/>
  <c r="P16" i="23"/>
  <c r="P15" i="23"/>
  <c r="P14" i="23"/>
  <c r="P13" i="23"/>
  <c r="P12" i="23"/>
  <c r="P11" i="23"/>
  <c r="P10" i="23"/>
  <c r="P9" i="23"/>
  <c r="P8" i="23"/>
  <c r="P7" i="23"/>
  <c r="P6" i="23"/>
  <c r="P5" i="23"/>
  <c r="P4" i="23"/>
  <c r="P3" i="23"/>
  <c r="P2" i="23"/>
  <c r="L759" i="23"/>
  <c r="L795" i="23"/>
  <c r="L796" i="23"/>
  <c r="L798" i="23"/>
  <c r="L797" i="23"/>
  <c r="L799" i="23"/>
  <c r="L800" i="23"/>
  <c r="L801" i="23"/>
  <c r="L804" i="23"/>
  <c r="M795" i="23"/>
  <c r="M796" i="23"/>
  <c r="M798" i="23"/>
  <c r="M797" i="23"/>
  <c r="M799" i="23"/>
  <c r="M800" i="23"/>
  <c r="M801" i="23"/>
  <c r="M804" i="23"/>
  <c r="L803" i="23"/>
  <c r="L802" i="23"/>
  <c r="L805" i="23"/>
  <c r="L806" i="23"/>
  <c r="L807" i="23"/>
  <c r="L809" i="23"/>
  <c r="L808" i="23"/>
  <c r="L810" i="23"/>
  <c r="M803" i="23"/>
  <c r="M802" i="23"/>
  <c r="M805" i="23"/>
  <c r="M806" i="23"/>
  <c r="M807" i="23"/>
  <c r="M809" i="23"/>
  <c r="M808" i="23"/>
  <c r="M810" i="23"/>
  <c r="L811" i="23"/>
  <c r="L812" i="23"/>
  <c r="L813" i="23"/>
  <c r="M811" i="23"/>
  <c r="M812" i="23"/>
  <c r="M813" i="23"/>
  <c r="L771" i="23"/>
  <c r="M771" i="23"/>
  <c r="L770" i="23"/>
  <c r="M770" i="23"/>
  <c r="L772" i="23"/>
  <c r="M772" i="23"/>
  <c r="L774" i="23"/>
  <c r="M774" i="23"/>
  <c r="L775" i="23"/>
  <c r="M775" i="23"/>
  <c r="L814" i="23"/>
  <c r="M814" i="23"/>
  <c r="L815" i="23"/>
  <c r="M815" i="23"/>
  <c r="L816" i="23"/>
  <c r="M816" i="23"/>
  <c r="L821" i="23"/>
  <c r="M821" i="23"/>
  <c r="L822" i="23"/>
  <c r="M822" i="23"/>
  <c r="L823" i="23"/>
  <c r="M823" i="23"/>
  <c r="L824" i="23"/>
  <c r="M824" i="23"/>
  <c r="L818" i="23"/>
  <c r="M818" i="23"/>
  <c r="L819" i="23"/>
  <c r="M819" i="23"/>
  <c r="L817" i="23"/>
  <c r="M817" i="23"/>
  <c r="L820" i="23"/>
  <c r="M820" i="23"/>
  <c r="L762" i="23"/>
  <c r="M762" i="23"/>
  <c r="L761" i="23"/>
  <c r="M761" i="23"/>
  <c r="L773" i="23"/>
  <c r="M773" i="23"/>
  <c r="L825" i="23"/>
  <c r="M825" i="23"/>
  <c r="L826" i="23"/>
  <c r="M826" i="23"/>
  <c r="L512" i="23"/>
  <c r="M512" i="23"/>
  <c r="L511" i="23"/>
  <c r="M511" i="23"/>
  <c r="L510" i="23"/>
  <c r="M510" i="23"/>
  <c r="L509" i="23"/>
  <c r="M509" i="23"/>
  <c r="L641" i="23"/>
  <c r="M641" i="23"/>
  <c r="L640" i="23"/>
  <c r="M640" i="23"/>
  <c r="L639" i="23"/>
  <c r="M639" i="23"/>
  <c r="L638" i="23"/>
  <c r="M638" i="23"/>
  <c r="L637" i="23"/>
  <c r="M637" i="23"/>
  <c r="L636" i="23"/>
  <c r="M636" i="23"/>
  <c r="L635" i="23"/>
  <c r="M635" i="23"/>
  <c r="L634" i="23"/>
  <c r="M634" i="23"/>
  <c r="L633" i="23"/>
  <c r="M633" i="23"/>
  <c r="O1588" i="21"/>
  <c r="P1588" i="21"/>
  <c r="Q1572" i="21"/>
  <c r="Q1573" i="21"/>
  <c r="Q1574" i="21"/>
  <c r="Q1575" i="21"/>
  <c r="Q1576" i="21"/>
  <c r="Q1577" i="21"/>
  <c r="Q1578" i="21"/>
  <c r="Q1579" i="21"/>
  <c r="Q1580" i="21"/>
  <c r="Q1581" i="21"/>
  <c r="Q1582" i="21"/>
  <c r="Q1583" i="21"/>
  <c r="Q1584" i="21"/>
  <c r="Q1585" i="21"/>
  <c r="Q1586" i="21"/>
  <c r="Q1587" i="21"/>
  <c r="Q1543" i="21"/>
  <c r="Q1544" i="21"/>
  <c r="Q1545" i="21"/>
  <c r="Q1546" i="21"/>
  <c r="Q1547" i="21"/>
  <c r="Q1548" i="21"/>
  <c r="Q1549" i="21"/>
  <c r="Q1550" i="21"/>
  <c r="Q1551" i="21"/>
  <c r="Q1552" i="21"/>
  <c r="Q1553" i="21"/>
  <c r="Q1554" i="21"/>
  <c r="Q1555" i="21"/>
  <c r="Q1556" i="21"/>
  <c r="Q1557" i="21"/>
  <c r="Q1558" i="21"/>
  <c r="Q1559" i="21"/>
  <c r="Q1560" i="21"/>
  <c r="Q1561" i="21"/>
  <c r="Q1562" i="21"/>
  <c r="Q1563" i="21"/>
  <c r="Q1564" i="21"/>
  <c r="Q1565" i="21"/>
  <c r="Q1566" i="21"/>
  <c r="Q1567" i="21"/>
  <c r="Q1568" i="21"/>
  <c r="Q1569" i="21"/>
  <c r="Q1570" i="21"/>
  <c r="Q1571" i="21"/>
  <c r="Q1542" i="21"/>
  <c r="Q1526" i="21"/>
  <c r="Q1527" i="21"/>
  <c r="Q1528" i="21"/>
  <c r="Q1529" i="21"/>
  <c r="Q1530" i="21"/>
  <c r="Q1531" i="21"/>
  <c r="Q1532" i="21"/>
  <c r="Q1533" i="21"/>
  <c r="Q1534" i="21"/>
  <c r="Q1535" i="21"/>
  <c r="Q1536" i="21"/>
  <c r="Q1537" i="21"/>
  <c r="Q1538" i="21"/>
  <c r="Q1539" i="21"/>
  <c r="Q1540" i="21"/>
  <c r="Q1541" i="21"/>
  <c r="Q1525" i="21"/>
  <c r="Q1501" i="21"/>
  <c r="Q1502" i="21"/>
  <c r="Q1503" i="21"/>
  <c r="Q1504" i="21"/>
  <c r="Q1505" i="21"/>
  <c r="Q1506" i="21"/>
  <c r="Q1507" i="21"/>
  <c r="Q1508" i="21"/>
  <c r="Q1509" i="21"/>
  <c r="Q1510" i="21"/>
  <c r="Q1511" i="21"/>
  <c r="Q1512" i="21"/>
  <c r="Q1513" i="21"/>
  <c r="Q1514" i="21"/>
  <c r="Q1515" i="21"/>
  <c r="Q1516" i="21"/>
  <c r="Q1517" i="21"/>
  <c r="Q1518" i="21"/>
  <c r="Q1519" i="21"/>
  <c r="Q1520" i="21"/>
  <c r="Q1521" i="21"/>
  <c r="Q1522" i="21"/>
  <c r="Q1523" i="21"/>
  <c r="Q1524" i="21"/>
  <c r="Q1500" i="21"/>
  <c r="Q1470" i="21"/>
  <c r="Q1471" i="21"/>
  <c r="Q1472" i="21"/>
  <c r="Q1473" i="21"/>
  <c r="Q1474" i="21"/>
  <c r="Q1475" i="21"/>
  <c r="Q1476" i="21"/>
  <c r="Q1477" i="21"/>
  <c r="Q1478" i="21"/>
  <c r="Q1479" i="21"/>
  <c r="Q1480" i="21"/>
  <c r="Q1481" i="21"/>
  <c r="Q1482" i="21"/>
  <c r="Q1483" i="21"/>
  <c r="Q1484" i="21"/>
  <c r="Q1485" i="21"/>
  <c r="Q1486" i="21"/>
  <c r="Q1487" i="21"/>
  <c r="Q1488" i="21"/>
  <c r="Q1489" i="21"/>
  <c r="Q1490" i="21"/>
  <c r="Q1491" i="21"/>
  <c r="Q1492" i="21"/>
  <c r="Q1493" i="21"/>
  <c r="Q1494" i="21"/>
  <c r="Q1495" i="21"/>
  <c r="Q1496" i="21"/>
  <c r="Q1497" i="21"/>
  <c r="Q1498" i="21"/>
  <c r="Q1499" i="21"/>
  <c r="Q1440" i="21"/>
  <c r="Q1441" i="21"/>
  <c r="Q1442" i="21"/>
  <c r="Q1443" i="21"/>
  <c r="Q1444" i="21"/>
  <c r="Q1445" i="21"/>
  <c r="Q1446" i="21"/>
  <c r="Q1447" i="21"/>
  <c r="Q1448" i="21"/>
  <c r="Q1449" i="21"/>
  <c r="Q1450" i="21"/>
  <c r="Q1451" i="21"/>
  <c r="Q1452" i="21"/>
  <c r="Q1453" i="21"/>
  <c r="Q1454" i="21"/>
  <c r="Q1455" i="21"/>
  <c r="Q1456" i="21"/>
  <c r="Q1457" i="21"/>
  <c r="Q1458" i="21"/>
  <c r="Q1459" i="21"/>
  <c r="Q1460" i="21"/>
  <c r="Q1461" i="21"/>
  <c r="Q1462" i="21"/>
  <c r="Q1463" i="21"/>
  <c r="Q1464" i="21"/>
  <c r="Q1465" i="21"/>
  <c r="Q1466" i="21"/>
  <c r="Q1467" i="21"/>
  <c r="Q1468" i="21"/>
  <c r="Q1469" i="21"/>
  <c r="Q1413" i="21"/>
  <c r="Q1414" i="21"/>
  <c r="Q1415" i="21"/>
  <c r="Q1416" i="21"/>
  <c r="Q1417" i="21"/>
  <c r="Q1418" i="21"/>
  <c r="Q1419" i="21"/>
  <c r="Q1420" i="21"/>
  <c r="Q1421" i="21"/>
  <c r="Q1422" i="21"/>
  <c r="Q1423" i="21"/>
  <c r="Q1424" i="21"/>
  <c r="Q1425" i="21"/>
  <c r="Q1426" i="21"/>
  <c r="Q1427" i="21"/>
  <c r="Q1428" i="21"/>
  <c r="Q1429" i="21"/>
  <c r="Q1430" i="21"/>
  <c r="Q1431" i="21"/>
  <c r="Q1432" i="21"/>
  <c r="Q1433" i="21"/>
  <c r="Q1434" i="21"/>
  <c r="Q1435" i="21"/>
  <c r="Q1436" i="21"/>
  <c r="Q1437" i="21"/>
  <c r="Q1438" i="21"/>
  <c r="Q1439" i="21"/>
  <c r="Q1412" i="21"/>
  <c r="Q1410" i="21"/>
  <c r="Q1411" i="21"/>
  <c r="Q1383" i="21"/>
  <c r="Q1384" i="21"/>
  <c r="Q1385" i="21"/>
  <c r="Q1386" i="21"/>
  <c r="Q1387" i="21"/>
  <c r="Q1388" i="21"/>
  <c r="Q1389" i="21"/>
  <c r="Q1390" i="21"/>
  <c r="Q1391" i="21"/>
  <c r="Q1392" i="21"/>
  <c r="Q1393" i="21"/>
  <c r="Q1394" i="21"/>
  <c r="Q1395" i="21"/>
  <c r="Q1396" i="21"/>
  <c r="Q1397" i="21"/>
  <c r="Q1398" i="21"/>
  <c r="Q1399" i="21"/>
  <c r="Q1400" i="21"/>
  <c r="Q1401" i="21"/>
  <c r="Q1402" i="21"/>
  <c r="Q1403" i="21"/>
  <c r="Q1404" i="21"/>
  <c r="Q1405" i="21"/>
  <c r="Q1406" i="21"/>
  <c r="Q1407" i="21"/>
  <c r="Q1408" i="21"/>
  <c r="Q1409" i="21"/>
  <c r="Q1357" i="21"/>
  <c r="Q1358" i="21"/>
  <c r="Q1359" i="21"/>
  <c r="Q1360" i="21"/>
  <c r="Q1361" i="21"/>
  <c r="Q1362" i="21"/>
  <c r="Q1363" i="21"/>
  <c r="Q1364" i="21"/>
  <c r="Q1365" i="21"/>
  <c r="Q1366" i="21"/>
  <c r="Q1367" i="21"/>
  <c r="Q1368" i="21"/>
  <c r="Q1369" i="21"/>
  <c r="Q1370" i="21"/>
  <c r="Q1371" i="21"/>
  <c r="Q1372" i="21"/>
  <c r="Q1373" i="21"/>
  <c r="Q1374" i="21"/>
  <c r="Q1375" i="21"/>
  <c r="Q1376" i="21"/>
  <c r="Q1377" i="21"/>
  <c r="Q1378" i="21"/>
  <c r="Q1379" i="21"/>
  <c r="Q1380" i="21"/>
  <c r="Q1381" i="21"/>
  <c r="Q1382" i="21"/>
  <c r="Q1327" i="21"/>
  <c r="Q1328" i="21"/>
  <c r="Q1329" i="21"/>
  <c r="Q1330" i="21"/>
  <c r="Q1331" i="21"/>
  <c r="Q1332" i="21"/>
  <c r="Q1333" i="21"/>
  <c r="Q1334" i="21"/>
  <c r="Q1335" i="21"/>
  <c r="Q1336" i="21"/>
  <c r="Q1337" i="21"/>
  <c r="Q1338" i="21"/>
  <c r="Q1339" i="21"/>
  <c r="Q1340" i="21"/>
  <c r="Q1341" i="21"/>
  <c r="Q1342" i="21"/>
  <c r="Q1343" i="21"/>
  <c r="Q1344" i="21"/>
  <c r="Q1345" i="21"/>
  <c r="Q1346" i="21"/>
  <c r="Q1347" i="21"/>
  <c r="Q1348" i="21"/>
  <c r="Q1349" i="21"/>
  <c r="Q1350" i="21"/>
  <c r="Q1351" i="21"/>
  <c r="Q1352" i="21"/>
  <c r="Q1353" i="21"/>
  <c r="Q1354" i="21"/>
  <c r="Q1355" i="21"/>
  <c r="Q1356" i="21"/>
  <c r="Q1297" i="21"/>
  <c r="Q1298" i="21"/>
  <c r="Q1299" i="21"/>
  <c r="Q1300" i="21"/>
  <c r="Q1301" i="21"/>
  <c r="Q1302" i="21"/>
  <c r="Q1303" i="21"/>
  <c r="Q1304" i="21"/>
  <c r="Q1305" i="21"/>
  <c r="Q1306" i="21"/>
  <c r="Q1307" i="21"/>
  <c r="Q1308" i="21"/>
  <c r="Q1309" i="21"/>
  <c r="Q1310" i="21"/>
  <c r="Q1311" i="21"/>
  <c r="Q1312" i="21"/>
  <c r="Q1313" i="21"/>
  <c r="Q1314" i="21"/>
  <c r="Q1315" i="21"/>
  <c r="Q1316" i="21"/>
  <c r="Q1317" i="21"/>
  <c r="Q1318" i="21"/>
  <c r="Q1319" i="21"/>
  <c r="Q1320" i="21"/>
  <c r="Q1321" i="21"/>
  <c r="Q1322" i="21"/>
  <c r="Q1323" i="21"/>
  <c r="Q1324" i="21"/>
  <c r="Q1325" i="21"/>
  <c r="Q1326" i="21"/>
  <c r="Q1267" i="21"/>
  <c r="Q1268" i="21"/>
  <c r="Q1269" i="21"/>
  <c r="Q1270" i="21"/>
  <c r="Q1271" i="21"/>
  <c r="Q1272" i="21"/>
  <c r="Q1273" i="21"/>
  <c r="Q1274" i="21"/>
  <c r="Q1275" i="21"/>
  <c r="Q1276" i="21"/>
  <c r="Q1277" i="21"/>
  <c r="Q1278" i="21"/>
  <c r="Q1279" i="21"/>
  <c r="Q1280" i="21"/>
  <c r="Q1281" i="21"/>
  <c r="Q1282" i="21"/>
  <c r="Q1283" i="21"/>
  <c r="Q1284" i="21"/>
  <c r="Q1285" i="21"/>
  <c r="Q1286" i="21"/>
  <c r="Q1287" i="21"/>
  <c r="Q1288" i="21"/>
  <c r="Q1289" i="21"/>
  <c r="Q1290" i="21"/>
  <c r="Q1291" i="21"/>
  <c r="Q1292" i="21"/>
  <c r="Q1293" i="21"/>
  <c r="Q1294" i="21"/>
  <c r="Q1295" i="21"/>
  <c r="Q1296" i="21"/>
  <c r="Q1266" i="21"/>
  <c r="Q1265" i="21"/>
  <c r="Q1264" i="21"/>
  <c r="Q1263" i="21"/>
  <c r="Q1262" i="21"/>
  <c r="Q1261" i="21"/>
  <c r="Q1260" i="21"/>
  <c r="Q1259" i="21"/>
  <c r="Q1258" i="21"/>
  <c r="Q1257" i="21"/>
  <c r="Q1256" i="21"/>
  <c r="Q1255" i="21"/>
  <c r="Q1254" i="21"/>
  <c r="Q1253" i="21"/>
  <c r="Q1252" i="21"/>
  <c r="Q1251" i="21"/>
  <c r="Q1250" i="21"/>
  <c r="Q1249" i="21"/>
  <c r="Q1248" i="21"/>
  <c r="Q1247" i="21"/>
  <c r="Q1246" i="21"/>
  <c r="Q1245" i="21"/>
  <c r="Q1244" i="21"/>
  <c r="Q1243" i="21"/>
  <c r="Q1242" i="21"/>
  <c r="Q1241" i="21"/>
  <c r="Q1240" i="21"/>
  <c r="Q1239" i="21"/>
  <c r="Q1238" i="21"/>
  <c r="Q1237" i="21"/>
  <c r="Q1236" i="21"/>
  <c r="Q1235" i="21"/>
  <c r="Q1234" i="21"/>
  <c r="Q1233" i="21"/>
  <c r="Q1232" i="21"/>
  <c r="Q1231" i="21"/>
  <c r="Q1230" i="21"/>
  <c r="Q1229" i="21"/>
  <c r="Q1228" i="21"/>
  <c r="Q1227" i="21"/>
  <c r="Q1226" i="21"/>
  <c r="Q1225" i="21"/>
  <c r="Q1224" i="21"/>
  <c r="Q1223" i="21"/>
  <c r="Q1222" i="21"/>
  <c r="Q1221" i="21"/>
  <c r="Q1220" i="21"/>
  <c r="Q1219" i="21"/>
  <c r="Q1218" i="21"/>
  <c r="Q1217" i="21"/>
  <c r="Q1216" i="21"/>
  <c r="Q1215" i="21"/>
  <c r="Q1214" i="21"/>
  <c r="Q1213" i="21"/>
  <c r="Q1212" i="21"/>
  <c r="Q1211" i="21"/>
  <c r="Q1210" i="21"/>
  <c r="Q1209" i="21"/>
  <c r="Q1208" i="21"/>
  <c r="Q1207" i="21"/>
  <c r="Q1206" i="21"/>
  <c r="Q1205" i="21"/>
  <c r="Q1204" i="21"/>
  <c r="Q1203" i="21"/>
  <c r="Q1202" i="21"/>
  <c r="Q1201" i="21"/>
  <c r="Q1200" i="21"/>
  <c r="Q1199" i="21"/>
  <c r="Q1198" i="21"/>
  <c r="Q1197" i="21"/>
  <c r="Q1196" i="21"/>
  <c r="Q1195" i="21"/>
  <c r="Q1194" i="21"/>
  <c r="Q1193" i="21"/>
  <c r="Q1192" i="21"/>
  <c r="Q1191" i="21"/>
  <c r="Q1190" i="21"/>
  <c r="Q1189" i="21"/>
  <c r="Q1188" i="21"/>
  <c r="Q1187" i="21"/>
  <c r="Q1186" i="21"/>
  <c r="Q1185" i="21"/>
  <c r="Q1184" i="21"/>
  <c r="Q1183" i="21"/>
  <c r="Q1182" i="21"/>
  <c r="Q1181" i="21"/>
  <c r="Q1180" i="21"/>
  <c r="Q1179" i="21"/>
  <c r="Q1178" i="21"/>
  <c r="Q1177" i="21"/>
  <c r="Q1176" i="21"/>
  <c r="Q1175" i="21"/>
  <c r="Q1174" i="21"/>
  <c r="Q1173" i="21"/>
  <c r="Q1172" i="21"/>
  <c r="Q1171" i="21"/>
  <c r="Q1170" i="21"/>
  <c r="Q1169" i="21"/>
  <c r="Q1168" i="21"/>
  <c r="Q1167" i="21"/>
  <c r="Q1166" i="21"/>
  <c r="Q1165" i="21"/>
  <c r="Q1164" i="21"/>
  <c r="Q1163" i="21"/>
  <c r="Q1162" i="21"/>
  <c r="Q1161" i="21"/>
  <c r="Q1160" i="21"/>
  <c r="Q1159" i="21"/>
  <c r="Q1158" i="21"/>
  <c r="Q1157" i="21"/>
  <c r="Q1156" i="21"/>
  <c r="Q1155" i="21"/>
  <c r="Q1154" i="21"/>
  <c r="Q1153" i="21"/>
  <c r="Q1152" i="21"/>
  <c r="Q1151" i="21"/>
  <c r="Q1150" i="21"/>
  <c r="Q1149" i="21"/>
  <c r="Q1148" i="21"/>
  <c r="Q1147" i="21"/>
  <c r="Q1146" i="21"/>
  <c r="Q1145" i="21"/>
  <c r="Q1144" i="21"/>
  <c r="Q1143" i="21"/>
  <c r="Q1142" i="21"/>
  <c r="Q1141" i="21"/>
  <c r="Q1140" i="21"/>
  <c r="Q1139" i="21"/>
  <c r="Q1138" i="21"/>
  <c r="Q1137" i="21"/>
  <c r="Q1136" i="21"/>
  <c r="Q1135" i="21"/>
  <c r="Q1134" i="21"/>
  <c r="Q1133" i="21"/>
  <c r="Q1132" i="21"/>
  <c r="Q1131" i="21"/>
  <c r="Q1130" i="21"/>
  <c r="Q1129" i="21"/>
  <c r="Q1128" i="21"/>
  <c r="Q1127" i="21"/>
  <c r="Q1126" i="21"/>
  <c r="Q1125" i="21"/>
  <c r="Q1124" i="21"/>
  <c r="Q1123" i="21"/>
  <c r="Q1122" i="21"/>
  <c r="Q1121" i="21"/>
  <c r="Q1120" i="21"/>
  <c r="Q1119" i="21"/>
  <c r="Q1118" i="21"/>
  <c r="Q1117" i="21"/>
  <c r="Q1116" i="21"/>
  <c r="Q1115" i="21"/>
  <c r="Q1114" i="21"/>
  <c r="Q1113" i="21"/>
  <c r="Q1112" i="21"/>
  <c r="Q1111" i="21"/>
  <c r="Q1110" i="21"/>
  <c r="Q1109" i="21"/>
  <c r="Q1108" i="21"/>
  <c r="Q1107" i="21"/>
  <c r="Q1106" i="21"/>
  <c r="Q1105" i="21"/>
  <c r="Q1104" i="21"/>
  <c r="Q1103" i="21"/>
  <c r="Q1102" i="21"/>
  <c r="Q1101" i="21"/>
  <c r="Q1100" i="21"/>
  <c r="Q1099" i="21"/>
  <c r="U89" i="26" l="1"/>
  <c r="T86" i="26"/>
  <c r="Z86" i="26" s="1"/>
  <c r="AX72" i="26"/>
  <c r="AY72" i="26"/>
  <c r="AX69" i="26"/>
  <c r="AZ72" i="26"/>
  <c r="AY69" i="26"/>
  <c r="AZ69" i="26"/>
  <c r="AX50" i="26"/>
  <c r="AY50" i="26"/>
  <c r="AZ50" i="26"/>
  <c r="AX53" i="26"/>
  <c r="AY53" i="26"/>
  <c r="AZ53" i="26"/>
  <c r="AX27" i="26"/>
  <c r="AY27" i="26"/>
  <c r="AZ27" i="26"/>
  <c r="AX86" i="26"/>
  <c r="AY86" i="26"/>
  <c r="AZ86" i="26"/>
  <c r="AY35" i="26"/>
  <c r="AZ35" i="26"/>
  <c r="AX35" i="26"/>
  <c r="AX96" i="26"/>
  <c r="AY96" i="26"/>
  <c r="AZ96" i="26"/>
  <c r="AX75" i="26"/>
  <c r="AY75" i="26"/>
  <c r="AZ75" i="26"/>
  <c r="AY59" i="26"/>
  <c r="AZ59" i="26"/>
  <c r="AX59" i="26"/>
  <c r="AX84" i="26"/>
  <c r="AY84" i="26"/>
  <c r="AZ84" i="26"/>
  <c r="T89" i="26"/>
  <c r="AX41" i="26"/>
  <c r="AY41" i="26"/>
  <c r="AZ41" i="26"/>
  <c r="T90" i="26"/>
  <c r="T91" i="26"/>
  <c r="AX51" i="26"/>
  <c r="AY51" i="26"/>
  <c r="AZ51" i="26"/>
  <c r="AX12" i="26"/>
  <c r="AY12" i="26"/>
  <c r="AZ12" i="26"/>
  <c r="AX89" i="26"/>
  <c r="AY89" i="26"/>
  <c r="AZ89" i="26"/>
  <c r="AX95" i="26"/>
  <c r="AX80" i="26"/>
  <c r="AY95" i="26"/>
  <c r="AY80" i="26"/>
  <c r="AZ95" i="26"/>
  <c r="AZ80" i="26"/>
  <c r="AY83" i="26"/>
  <c r="AZ83" i="26"/>
  <c r="AX83" i="26"/>
  <c r="U88" i="26"/>
  <c r="U87" i="26"/>
  <c r="T88" i="26"/>
  <c r="T87" i="26"/>
  <c r="AZ98" i="26"/>
  <c r="AX44" i="26"/>
  <c r="AY44" i="26"/>
  <c r="AZ44" i="26"/>
  <c r="AX62" i="26"/>
  <c r="AX98" i="26"/>
  <c r="AY62" i="26"/>
  <c r="AY98" i="26"/>
  <c r="AZ62" i="26"/>
  <c r="AX29" i="26"/>
  <c r="AY29" i="26"/>
  <c r="AZ29" i="26"/>
  <c r="AY11" i="26"/>
  <c r="AZ11" i="26"/>
  <c r="AX11" i="26"/>
  <c r="AX14" i="26"/>
  <c r="AY14" i="26"/>
  <c r="AZ14" i="26"/>
  <c r="AZ18" i="26"/>
  <c r="AX18" i="26"/>
  <c r="AY18" i="26"/>
  <c r="AZ66" i="26"/>
  <c r="AX66" i="26"/>
  <c r="AY66" i="26"/>
  <c r="AX92" i="26"/>
  <c r="AY92" i="26"/>
  <c r="AZ92" i="26"/>
  <c r="AX77" i="26"/>
  <c r="AY77" i="26"/>
  <c r="AZ77" i="26"/>
  <c r="AX60" i="26"/>
  <c r="AY60" i="26"/>
  <c r="AZ60" i="26"/>
  <c r="AZ42" i="26"/>
  <c r="AX42" i="26"/>
  <c r="AY42" i="26"/>
  <c r="AY47" i="26"/>
  <c r="AZ47" i="26"/>
  <c r="AX47" i="26"/>
  <c r="AX39" i="26"/>
  <c r="AY39" i="26"/>
  <c r="AZ39" i="26"/>
  <c r="AX21" i="26"/>
  <c r="AY21" i="26"/>
  <c r="AZ21" i="26"/>
  <c r="AX87" i="26"/>
  <c r="AY87" i="26"/>
  <c r="AZ87" i="26"/>
  <c r="AX6" i="26"/>
  <c r="AY6" i="26"/>
  <c r="AZ6" i="26"/>
  <c r="AX32" i="26"/>
  <c r="AY32" i="26"/>
  <c r="AZ32" i="26"/>
  <c r="AX17" i="26"/>
  <c r="AY17" i="26"/>
  <c r="AZ17" i="26"/>
  <c r="AY8" i="26"/>
  <c r="AZ8" i="26"/>
  <c r="AX8" i="26"/>
  <c r="AX74" i="26"/>
  <c r="AZ74" i="26"/>
  <c r="AY74" i="26"/>
  <c r="AZ30" i="26"/>
  <c r="AX30" i="26"/>
  <c r="AY30" i="26"/>
  <c r="AX63" i="26"/>
  <c r="AY63" i="26"/>
  <c r="AX99" i="26"/>
  <c r="AZ63" i="26"/>
  <c r="AY99" i="26"/>
  <c r="AZ99" i="26"/>
  <c r="AX45" i="26"/>
  <c r="AY45" i="26"/>
  <c r="AZ45" i="26"/>
  <c r="AX56" i="26"/>
  <c r="AY56" i="26"/>
  <c r="AZ56" i="26"/>
  <c r="AX48" i="26"/>
  <c r="AY48" i="26"/>
  <c r="AZ48" i="26"/>
  <c r="AX20" i="26"/>
  <c r="AY20" i="26"/>
  <c r="AZ20" i="26"/>
  <c r="AX38" i="26"/>
  <c r="AY38" i="26"/>
  <c r="AZ38" i="26"/>
  <c r="AX5" i="26"/>
  <c r="AY5" i="26"/>
  <c r="AZ5" i="26"/>
  <c r="AX65" i="26"/>
  <c r="AY65" i="26"/>
  <c r="AZ65" i="26"/>
  <c r="AX57" i="26"/>
  <c r="AY57" i="26"/>
  <c r="AZ57" i="26"/>
  <c r="AX15" i="26"/>
  <c r="AY15" i="26"/>
  <c r="AZ15" i="26"/>
  <c r="AY23" i="26"/>
  <c r="AZ23" i="26"/>
  <c r="AX23" i="26"/>
  <c r="AX33" i="26"/>
  <c r="AY33" i="26"/>
  <c r="AZ33" i="26"/>
  <c r="AX9" i="26"/>
  <c r="AY9" i="26"/>
  <c r="AZ9" i="26"/>
  <c r="AY71" i="26"/>
  <c r="AX68" i="26"/>
  <c r="AZ71" i="26"/>
  <c r="AY68" i="26"/>
  <c r="AZ68" i="26"/>
  <c r="AX71" i="26"/>
  <c r="AX93" i="26"/>
  <c r="AY93" i="26"/>
  <c r="AZ93" i="26"/>
  <c r="AZ54" i="26"/>
  <c r="AY54" i="26"/>
  <c r="AX54" i="26"/>
  <c r="AX26" i="26"/>
  <c r="AY26" i="26"/>
  <c r="AZ26" i="26"/>
  <c r="AX36" i="26"/>
  <c r="AY36" i="26"/>
  <c r="AZ36" i="26"/>
  <c r="AX24" i="26"/>
  <c r="AY24" i="26"/>
  <c r="AZ24" i="26"/>
  <c r="AZ78" i="26"/>
  <c r="AX78" i="26"/>
  <c r="AY78" i="26"/>
  <c r="AZ90" i="26"/>
  <c r="AX90" i="26"/>
  <c r="AY90" i="26"/>
  <c r="M759" i="23"/>
  <c r="M758" i="23"/>
  <c r="M757" i="23"/>
  <c r="M756" i="23"/>
  <c r="M755" i="23"/>
  <c r="M754" i="23"/>
  <c r="M753" i="23"/>
  <c r="M752" i="23"/>
  <c r="M751" i="23"/>
  <c r="M750" i="23"/>
  <c r="M749" i="23"/>
  <c r="M748" i="23"/>
  <c r="M747" i="23"/>
  <c r="M746" i="23"/>
  <c r="M745" i="23"/>
  <c r="M744" i="23"/>
  <c r="M743" i="23"/>
  <c r="M742" i="23"/>
  <c r="M741" i="23"/>
  <c r="M740" i="23"/>
  <c r="M739" i="23"/>
  <c r="M738" i="23"/>
  <c r="M737" i="23"/>
  <c r="M736" i="23"/>
  <c r="M735" i="23"/>
  <c r="M734" i="23"/>
  <c r="M733" i="23"/>
  <c r="M732" i="23"/>
  <c r="M731" i="23"/>
  <c r="M730" i="23"/>
  <c r="M729" i="23"/>
  <c r="M728" i="23"/>
  <c r="M727" i="23"/>
  <c r="M726" i="23"/>
  <c r="M725" i="23"/>
  <c r="M724" i="23"/>
  <c r="M723" i="23"/>
  <c r="M722" i="23"/>
  <c r="M721" i="23"/>
  <c r="M720" i="23"/>
  <c r="M719" i="23"/>
  <c r="M718" i="23"/>
  <c r="M717" i="23"/>
  <c r="M716" i="23"/>
  <c r="M715" i="23"/>
  <c r="M714" i="23"/>
  <c r="M713" i="23"/>
  <c r="M712" i="23"/>
  <c r="M711" i="23"/>
  <c r="M710" i="23"/>
  <c r="M709" i="23"/>
  <c r="M708" i="23"/>
  <c r="M707" i="23"/>
  <c r="M706" i="23"/>
  <c r="M705" i="23"/>
  <c r="M704" i="23"/>
  <c r="M703" i="23"/>
  <c r="M702" i="23"/>
  <c r="M701" i="23"/>
  <c r="M700" i="23"/>
  <c r="M699" i="23"/>
  <c r="M698" i="23"/>
  <c r="M697" i="23"/>
  <c r="M696" i="23"/>
  <c r="M695" i="23"/>
  <c r="M694" i="23"/>
  <c r="M693" i="23"/>
  <c r="M692" i="23"/>
  <c r="M691" i="23"/>
  <c r="M690" i="23"/>
  <c r="M689" i="23"/>
  <c r="M688" i="23"/>
  <c r="M687" i="23"/>
  <c r="M686" i="23"/>
  <c r="M685" i="23"/>
  <c r="M684" i="23"/>
  <c r="M683" i="23"/>
  <c r="M682" i="23"/>
  <c r="M681" i="23"/>
  <c r="M680" i="23"/>
  <c r="M679" i="23"/>
  <c r="M678" i="23"/>
  <c r="M677" i="23"/>
  <c r="M676" i="23"/>
  <c r="M675" i="23"/>
  <c r="M674" i="23"/>
  <c r="M673" i="23"/>
  <c r="M672" i="23"/>
  <c r="M671" i="23"/>
  <c r="M670" i="23"/>
  <c r="M669" i="23"/>
  <c r="M668" i="23"/>
  <c r="M667" i="23"/>
  <c r="M666" i="23"/>
  <c r="M665" i="23"/>
  <c r="M664" i="23"/>
  <c r="M663" i="23"/>
  <c r="M662" i="23"/>
  <c r="M661" i="23"/>
  <c r="M660" i="23"/>
  <c r="M659" i="23"/>
  <c r="M658" i="23"/>
  <c r="M657" i="23"/>
  <c r="M656" i="23"/>
  <c r="M655" i="23"/>
  <c r="M654" i="23"/>
  <c r="M653" i="23"/>
  <c r="M652" i="23"/>
  <c r="M651" i="23"/>
  <c r="M650" i="23"/>
  <c r="M649" i="23"/>
  <c r="M648" i="23"/>
  <c r="M647" i="23"/>
  <c r="M646" i="23"/>
  <c r="M645" i="23"/>
  <c r="M644" i="23"/>
  <c r="M643" i="23"/>
  <c r="M642" i="23"/>
  <c r="M632" i="23"/>
  <c r="M631" i="23"/>
  <c r="M630" i="23"/>
  <c r="M629" i="23"/>
  <c r="M628" i="23"/>
  <c r="M627" i="23"/>
  <c r="M626" i="23"/>
  <c r="M625" i="23"/>
  <c r="M624" i="23"/>
  <c r="M623" i="23"/>
  <c r="M622" i="23"/>
  <c r="M621" i="23"/>
  <c r="M620" i="23"/>
  <c r="M619" i="23"/>
  <c r="M618" i="23"/>
  <c r="M617" i="23"/>
  <c r="M616" i="23"/>
  <c r="M615" i="23"/>
  <c r="M614" i="23"/>
  <c r="M613" i="23"/>
  <c r="M612" i="23"/>
  <c r="M611" i="23"/>
  <c r="M610" i="23"/>
  <c r="M609" i="23"/>
  <c r="M608" i="23"/>
  <c r="M607" i="23"/>
  <c r="M606" i="23"/>
  <c r="M605" i="23"/>
  <c r="M604" i="23"/>
  <c r="M603" i="23"/>
  <c r="M602" i="23"/>
  <c r="M601" i="23"/>
  <c r="M600" i="23"/>
  <c r="M599" i="23"/>
  <c r="M598" i="23"/>
  <c r="M597" i="23"/>
  <c r="M596" i="23"/>
  <c r="M595" i="23"/>
  <c r="M594" i="23"/>
  <c r="M593" i="23"/>
  <c r="M592" i="23"/>
  <c r="M591" i="23"/>
  <c r="M590" i="23"/>
  <c r="M589" i="23"/>
  <c r="M588" i="23"/>
  <c r="M587" i="23"/>
  <c r="M586" i="23"/>
  <c r="M585" i="23"/>
  <c r="M584" i="23"/>
  <c r="M583" i="23"/>
  <c r="M582" i="23"/>
  <c r="M581" i="23"/>
  <c r="M580" i="23"/>
  <c r="M579" i="23"/>
  <c r="M578" i="23"/>
  <c r="M577" i="23"/>
  <c r="M576" i="23"/>
  <c r="M575" i="23"/>
  <c r="M574" i="23"/>
  <c r="M573" i="23"/>
  <c r="M572" i="23"/>
  <c r="M571" i="23"/>
  <c r="M570" i="23"/>
  <c r="M569" i="23"/>
  <c r="M568" i="23"/>
  <c r="M567" i="23"/>
  <c r="M566" i="23"/>
  <c r="M565" i="23"/>
  <c r="M564" i="23"/>
  <c r="M563" i="23"/>
  <c r="M562" i="23"/>
  <c r="M561" i="23"/>
  <c r="M560" i="23"/>
  <c r="M559" i="23"/>
  <c r="M558" i="23"/>
  <c r="M557" i="23"/>
  <c r="M556" i="23"/>
  <c r="M555" i="23"/>
  <c r="M554" i="23"/>
  <c r="M553" i="23"/>
  <c r="M552" i="23"/>
  <c r="M551" i="23"/>
  <c r="M550" i="23"/>
  <c r="M549" i="23"/>
  <c r="M548" i="23"/>
  <c r="M547" i="23"/>
  <c r="M546" i="23"/>
  <c r="M545" i="23"/>
  <c r="M544" i="23"/>
  <c r="M543" i="23"/>
  <c r="M542" i="23"/>
  <c r="M541" i="23"/>
  <c r="M540" i="23"/>
  <c r="M539" i="23"/>
  <c r="M538" i="23"/>
  <c r="M537" i="23"/>
  <c r="M536" i="23"/>
  <c r="M535" i="23"/>
  <c r="M534" i="23"/>
  <c r="M533" i="23"/>
  <c r="M532" i="23"/>
  <c r="M531" i="23"/>
  <c r="M530" i="23"/>
  <c r="M529" i="23"/>
  <c r="M528" i="23"/>
  <c r="M527" i="23"/>
  <c r="M526" i="23"/>
  <c r="M525" i="23"/>
  <c r="M524" i="23"/>
  <c r="M523" i="23"/>
  <c r="M522" i="23"/>
  <c r="M521" i="23"/>
  <c r="M520" i="23"/>
  <c r="M519" i="23"/>
  <c r="M518" i="23"/>
  <c r="M517" i="23"/>
  <c r="M516" i="23"/>
  <c r="M515" i="23"/>
  <c r="M514" i="23"/>
  <c r="M513" i="23"/>
  <c r="M508" i="23"/>
  <c r="M507" i="23"/>
  <c r="M506" i="23"/>
  <c r="M505" i="23"/>
  <c r="M504" i="23"/>
  <c r="M503" i="23"/>
  <c r="M502" i="23"/>
  <c r="M501" i="23"/>
  <c r="M500" i="23"/>
  <c r="M499" i="23"/>
  <c r="M498" i="23"/>
  <c r="M497" i="23"/>
  <c r="M496" i="23"/>
  <c r="M495" i="23"/>
  <c r="M494" i="23"/>
  <c r="M493" i="23"/>
  <c r="M492" i="23"/>
  <c r="M491" i="23"/>
  <c r="M490" i="23"/>
  <c r="M489" i="23"/>
  <c r="M488" i="23"/>
  <c r="M487" i="23"/>
  <c r="M486" i="23"/>
  <c r="M485" i="23"/>
  <c r="M484" i="23"/>
  <c r="M483" i="23"/>
  <c r="M482" i="23"/>
  <c r="M481" i="23"/>
  <c r="M480" i="23"/>
  <c r="M479" i="23"/>
  <c r="M478" i="23"/>
  <c r="M477" i="23"/>
  <c r="M476" i="23"/>
  <c r="M475" i="23"/>
  <c r="M474" i="23"/>
  <c r="M473" i="23"/>
  <c r="M472" i="23"/>
  <c r="M471" i="23"/>
  <c r="M470" i="23"/>
  <c r="M469" i="23"/>
  <c r="M468" i="23"/>
  <c r="M467" i="23"/>
  <c r="M466" i="23"/>
  <c r="M465" i="23"/>
  <c r="M464" i="23"/>
  <c r="M463" i="23"/>
  <c r="M462" i="23"/>
  <c r="M461" i="23"/>
  <c r="M460" i="23"/>
  <c r="M459" i="23"/>
  <c r="M458" i="23"/>
  <c r="M457" i="23"/>
  <c r="M456" i="23"/>
  <c r="M455" i="23"/>
  <c r="M454" i="23"/>
  <c r="M453" i="23"/>
  <c r="M452" i="23"/>
  <c r="M451" i="23"/>
  <c r="M450" i="23"/>
  <c r="M449" i="23"/>
  <c r="M448" i="23"/>
  <c r="M447" i="23"/>
  <c r="M446" i="23"/>
  <c r="M445" i="23"/>
  <c r="M444" i="23"/>
  <c r="M443" i="23"/>
  <c r="M442" i="23"/>
  <c r="M441" i="23"/>
  <c r="M440" i="23"/>
  <c r="M439" i="23"/>
  <c r="M438" i="23"/>
  <c r="M437" i="23"/>
  <c r="M436" i="23"/>
  <c r="M435" i="23"/>
  <c r="M434" i="23"/>
  <c r="M433" i="23"/>
  <c r="M432" i="23"/>
  <c r="M431" i="23"/>
  <c r="M430" i="23"/>
  <c r="M429" i="23"/>
  <c r="M428" i="23"/>
  <c r="M427" i="23"/>
  <c r="M426" i="23"/>
  <c r="M425" i="23"/>
  <c r="M424" i="23"/>
  <c r="M423" i="23"/>
  <c r="M422" i="23"/>
  <c r="M421" i="23"/>
  <c r="M420" i="23"/>
  <c r="M419" i="23"/>
  <c r="M418" i="23"/>
  <c r="M417" i="23"/>
  <c r="M416" i="23"/>
  <c r="M415" i="23"/>
  <c r="M414" i="23"/>
  <c r="M413" i="23"/>
  <c r="M412" i="23"/>
  <c r="M411" i="23"/>
  <c r="M410" i="23"/>
  <c r="M409" i="23"/>
  <c r="M408" i="23"/>
  <c r="M407" i="23"/>
  <c r="M406" i="23"/>
  <c r="M405" i="23"/>
  <c r="M404" i="23"/>
  <c r="M403" i="23"/>
  <c r="M402" i="23"/>
  <c r="M401" i="23"/>
  <c r="M400" i="23"/>
  <c r="M399" i="23"/>
  <c r="M398" i="23"/>
  <c r="M397" i="23"/>
  <c r="M396" i="23"/>
  <c r="M395" i="23"/>
  <c r="M394" i="23"/>
  <c r="M393" i="23"/>
  <c r="M392" i="23"/>
  <c r="M391" i="23"/>
  <c r="M390" i="23"/>
  <c r="M389" i="23"/>
  <c r="M388" i="23"/>
  <c r="M387" i="23"/>
  <c r="M386" i="23"/>
  <c r="M385" i="23"/>
  <c r="M384" i="23"/>
  <c r="M383" i="23"/>
  <c r="M382" i="23"/>
  <c r="M381" i="23"/>
  <c r="M380" i="23"/>
  <c r="M379" i="23"/>
  <c r="M378" i="23"/>
  <c r="M377" i="23"/>
  <c r="M376" i="23"/>
  <c r="M375" i="23"/>
  <c r="M374" i="23"/>
  <c r="M373" i="23"/>
  <c r="M372" i="23"/>
  <c r="M371" i="23"/>
  <c r="M370" i="23"/>
  <c r="M369" i="23"/>
  <c r="M368" i="23"/>
  <c r="M367" i="23"/>
  <c r="M366" i="23"/>
  <c r="M365" i="23"/>
  <c r="M364" i="23"/>
  <c r="M363" i="23"/>
  <c r="M362" i="23"/>
  <c r="M361" i="23"/>
  <c r="M360" i="23"/>
  <c r="M359" i="23"/>
  <c r="M358" i="23"/>
  <c r="M357" i="23"/>
  <c r="M356" i="23"/>
  <c r="M355" i="23"/>
  <c r="M354" i="23"/>
  <c r="M353" i="23"/>
  <c r="M352" i="23"/>
  <c r="M351" i="23"/>
  <c r="M350" i="23"/>
  <c r="M349" i="23"/>
  <c r="M348" i="23"/>
  <c r="M347" i="23"/>
  <c r="M346" i="23"/>
  <c r="M345" i="23"/>
  <c r="M344" i="23"/>
  <c r="M343" i="23"/>
  <c r="M342" i="23"/>
  <c r="M341" i="23"/>
  <c r="M340" i="23"/>
  <c r="M339" i="23"/>
  <c r="M338" i="23"/>
  <c r="M337" i="23"/>
  <c r="M336" i="23"/>
  <c r="M335" i="23"/>
  <c r="M334" i="23"/>
  <c r="M333" i="23"/>
  <c r="M332" i="23"/>
  <c r="M331" i="23"/>
  <c r="M330" i="23"/>
  <c r="M329" i="23"/>
  <c r="M328" i="23"/>
  <c r="M327" i="23"/>
  <c r="M326" i="23"/>
  <c r="M325" i="23"/>
  <c r="M324" i="23"/>
  <c r="M323" i="23"/>
  <c r="M322" i="23"/>
  <c r="M321" i="23"/>
  <c r="M320" i="23"/>
  <c r="M319" i="23"/>
  <c r="M318" i="23"/>
  <c r="M317" i="23"/>
  <c r="M316" i="23"/>
  <c r="M315" i="23"/>
  <c r="M314" i="23"/>
  <c r="M313" i="23"/>
  <c r="M312" i="23"/>
  <c r="M311" i="23"/>
  <c r="M310" i="23"/>
  <c r="M309" i="23"/>
  <c r="M308" i="23"/>
  <c r="M307" i="23"/>
  <c r="M306" i="23"/>
  <c r="M305" i="23"/>
  <c r="M304" i="23"/>
  <c r="M303" i="23"/>
  <c r="M302" i="23"/>
  <c r="M301" i="23"/>
  <c r="M300" i="23"/>
  <c r="M299" i="23"/>
  <c r="M298" i="23"/>
  <c r="M297" i="23"/>
  <c r="M296" i="23"/>
  <c r="M295" i="23"/>
  <c r="M294" i="23"/>
  <c r="M293" i="23"/>
  <c r="M292" i="23"/>
  <c r="M291" i="23"/>
  <c r="M290" i="23"/>
  <c r="M289" i="23"/>
  <c r="M288" i="23"/>
  <c r="M287" i="23"/>
  <c r="M286" i="23"/>
  <c r="M285" i="23"/>
  <c r="M284" i="23"/>
  <c r="M283" i="23"/>
  <c r="M282" i="23"/>
  <c r="M281" i="23"/>
  <c r="M280" i="23"/>
  <c r="M279" i="23"/>
  <c r="M278" i="23"/>
  <c r="M277" i="23"/>
  <c r="M276" i="23"/>
  <c r="M275" i="23"/>
  <c r="M274" i="23"/>
  <c r="M273" i="23"/>
  <c r="M272" i="23"/>
  <c r="M271" i="23"/>
  <c r="M270" i="23"/>
  <c r="M269" i="23"/>
  <c r="M268" i="23"/>
  <c r="M267" i="23"/>
  <c r="M266" i="23"/>
  <c r="M265" i="23"/>
  <c r="M264" i="23"/>
  <c r="M263" i="23"/>
  <c r="M262" i="23"/>
  <c r="M261" i="23"/>
  <c r="M260" i="23"/>
  <c r="M259" i="23"/>
  <c r="M258" i="23"/>
  <c r="M257" i="23"/>
  <c r="M256" i="23"/>
  <c r="M255" i="23"/>
  <c r="M254" i="23"/>
  <c r="M253" i="23"/>
  <c r="M252" i="23"/>
  <c r="M251" i="23"/>
  <c r="M250" i="23"/>
  <c r="M249" i="23"/>
  <c r="M248" i="23"/>
  <c r="M247" i="23"/>
  <c r="M246" i="23"/>
  <c r="M245" i="23"/>
  <c r="M244" i="23"/>
  <c r="M243" i="23"/>
  <c r="M242" i="23"/>
  <c r="M241" i="23"/>
  <c r="M240" i="23"/>
  <c r="M239" i="23"/>
  <c r="M238" i="23"/>
  <c r="M237" i="23"/>
  <c r="M236" i="23"/>
  <c r="M235" i="23"/>
  <c r="M234" i="23"/>
  <c r="M233" i="23"/>
  <c r="M232" i="23"/>
  <c r="M231" i="23"/>
  <c r="M230" i="23"/>
  <c r="M229" i="23"/>
  <c r="M228" i="23"/>
  <c r="M227" i="23"/>
  <c r="M226" i="23"/>
  <c r="M225" i="23"/>
  <c r="M224" i="23"/>
  <c r="M223" i="23"/>
  <c r="M222" i="23"/>
  <c r="M221" i="23"/>
  <c r="M220" i="23"/>
  <c r="M219" i="23"/>
  <c r="M218" i="23"/>
  <c r="M217" i="23"/>
  <c r="M216" i="23"/>
  <c r="M215" i="23"/>
  <c r="M214" i="23"/>
  <c r="M213" i="23"/>
  <c r="M212" i="23"/>
  <c r="M211" i="23"/>
  <c r="M210" i="23"/>
  <c r="M209" i="23"/>
  <c r="M208" i="23"/>
  <c r="M207" i="23"/>
  <c r="M206" i="23"/>
  <c r="M205" i="23"/>
  <c r="M204" i="23"/>
  <c r="M203" i="23"/>
  <c r="M202" i="23"/>
  <c r="M201" i="23"/>
  <c r="M200" i="23"/>
  <c r="M199" i="23"/>
  <c r="M198" i="23"/>
  <c r="M197" i="23"/>
  <c r="M196" i="23"/>
  <c r="M195" i="23"/>
  <c r="M194" i="23"/>
  <c r="M193" i="23"/>
  <c r="M192" i="23"/>
  <c r="M191" i="23"/>
  <c r="M190" i="23"/>
  <c r="M189" i="23"/>
  <c r="M188" i="23"/>
  <c r="M187" i="23"/>
  <c r="M186" i="23"/>
  <c r="M185" i="23"/>
  <c r="M184" i="23"/>
  <c r="M183" i="23"/>
  <c r="M182" i="23"/>
  <c r="M181" i="23"/>
  <c r="M180" i="23"/>
  <c r="M179" i="23"/>
  <c r="M178" i="23"/>
  <c r="M177" i="23"/>
  <c r="M176" i="23"/>
  <c r="M175" i="23"/>
  <c r="M174" i="23"/>
  <c r="M173" i="23"/>
  <c r="M172" i="23"/>
  <c r="M171" i="23"/>
  <c r="M170" i="23"/>
  <c r="M169" i="23"/>
  <c r="M168" i="23"/>
  <c r="M167" i="23"/>
  <c r="M166" i="23"/>
  <c r="M165" i="23"/>
  <c r="M164" i="23"/>
  <c r="M163" i="23"/>
  <c r="M162" i="23"/>
  <c r="M161" i="23"/>
  <c r="M160" i="23"/>
  <c r="M159" i="23"/>
  <c r="M158" i="23"/>
  <c r="M157" i="23"/>
  <c r="M156" i="23"/>
  <c r="M155" i="23"/>
  <c r="M154" i="23"/>
  <c r="M153" i="23"/>
  <c r="M152" i="23"/>
  <c r="M151" i="23"/>
  <c r="M150" i="23"/>
  <c r="M149" i="23"/>
  <c r="M148" i="23"/>
  <c r="M147" i="23"/>
  <c r="M146" i="23"/>
  <c r="M145" i="23"/>
  <c r="M144" i="23"/>
  <c r="M143" i="23"/>
  <c r="M142" i="23"/>
  <c r="M141" i="23"/>
  <c r="M140" i="23"/>
  <c r="M139" i="23"/>
  <c r="M138" i="23"/>
  <c r="M137" i="23"/>
  <c r="M136" i="23"/>
  <c r="M135" i="23"/>
  <c r="M134" i="23"/>
  <c r="M133" i="23"/>
  <c r="M132" i="23"/>
  <c r="M131" i="23"/>
  <c r="M130" i="23"/>
  <c r="M129" i="23"/>
  <c r="M128" i="23"/>
  <c r="M127" i="23"/>
  <c r="M126" i="23"/>
  <c r="M125" i="23"/>
  <c r="M124" i="23"/>
  <c r="M123" i="23"/>
  <c r="M122" i="23"/>
  <c r="M121" i="23"/>
  <c r="M120" i="23"/>
  <c r="M119" i="23"/>
  <c r="M118" i="23"/>
  <c r="M117" i="23"/>
  <c r="M116" i="23"/>
  <c r="M115" i="23"/>
  <c r="M114" i="23"/>
  <c r="M113" i="23"/>
  <c r="M112" i="23"/>
  <c r="M111" i="23"/>
  <c r="M110" i="23"/>
  <c r="M109" i="23"/>
  <c r="M108" i="23"/>
  <c r="M107" i="23"/>
  <c r="M106" i="23"/>
  <c r="M105" i="23"/>
  <c r="M104" i="23"/>
  <c r="M103" i="23"/>
  <c r="M102" i="23"/>
  <c r="M101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M68" i="23"/>
  <c r="M67" i="23"/>
  <c r="M66" i="23"/>
  <c r="M65" i="23"/>
  <c r="M64" i="23"/>
  <c r="M63" i="23"/>
  <c r="M62" i="23"/>
  <c r="M61" i="23"/>
  <c r="M60" i="23"/>
  <c r="M59" i="23"/>
  <c r="M58" i="23"/>
  <c r="M57" i="23"/>
  <c r="M56" i="23"/>
  <c r="M55" i="23"/>
  <c r="M54" i="23"/>
  <c r="M53" i="23"/>
  <c r="M52" i="23"/>
  <c r="M51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L758" i="23"/>
  <c r="L757" i="23"/>
  <c r="L756" i="23"/>
  <c r="L755" i="23"/>
  <c r="L754" i="23"/>
  <c r="L753" i="23"/>
  <c r="L752" i="23"/>
  <c r="L751" i="23"/>
  <c r="L750" i="23"/>
  <c r="L749" i="23"/>
  <c r="L748" i="23"/>
  <c r="L747" i="23"/>
  <c r="L746" i="23"/>
  <c r="L745" i="23"/>
  <c r="L744" i="23"/>
  <c r="L743" i="23"/>
  <c r="L742" i="23"/>
  <c r="L741" i="23"/>
  <c r="L740" i="23"/>
  <c r="L739" i="23"/>
  <c r="L738" i="23"/>
  <c r="L737" i="23"/>
  <c r="L736" i="23"/>
  <c r="L735" i="23"/>
  <c r="L734" i="23"/>
  <c r="L733" i="23"/>
  <c r="L732" i="23"/>
  <c r="L731" i="23"/>
  <c r="L730" i="23"/>
  <c r="L729" i="23"/>
  <c r="L728" i="23"/>
  <c r="L727" i="23"/>
  <c r="L726" i="23"/>
  <c r="L725" i="23"/>
  <c r="L724" i="23"/>
  <c r="L723" i="23"/>
  <c r="L722" i="23"/>
  <c r="L721" i="23"/>
  <c r="L720" i="23"/>
  <c r="L719" i="23"/>
  <c r="L718" i="23"/>
  <c r="L717" i="23"/>
  <c r="L716" i="23"/>
  <c r="L715" i="23"/>
  <c r="L714" i="23"/>
  <c r="L713" i="23"/>
  <c r="L712" i="23"/>
  <c r="L711" i="23"/>
  <c r="L710" i="23"/>
  <c r="L709" i="23"/>
  <c r="L708" i="23"/>
  <c r="L707" i="23"/>
  <c r="L706" i="23"/>
  <c r="L705" i="23"/>
  <c r="L704" i="23"/>
  <c r="L703" i="23"/>
  <c r="L702" i="23"/>
  <c r="L701" i="23"/>
  <c r="L700" i="23"/>
  <c r="L699" i="23"/>
  <c r="L698" i="23"/>
  <c r="L697" i="23"/>
  <c r="L696" i="23"/>
  <c r="L695" i="23"/>
  <c r="L694" i="23"/>
  <c r="L693" i="23"/>
  <c r="L692" i="23"/>
  <c r="L691" i="23"/>
  <c r="L690" i="23"/>
  <c r="L689" i="23"/>
  <c r="L688" i="23"/>
  <c r="L687" i="23"/>
  <c r="L686" i="23"/>
  <c r="L685" i="23"/>
  <c r="L684" i="23"/>
  <c r="L683" i="23"/>
  <c r="L682" i="23"/>
  <c r="L681" i="23"/>
  <c r="L680" i="23"/>
  <c r="L679" i="23"/>
  <c r="L678" i="23"/>
  <c r="L677" i="23"/>
  <c r="L676" i="23"/>
  <c r="L675" i="23"/>
  <c r="L674" i="23"/>
  <c r="L673" i="23"/>
  <c r="L672" i="23"/>
  <c r="L671" i="23"/>
  <c r="L670" i="23"/>
  <c r="L669" i="23"/>
  <c r="L668" i="23"/>
  <c r="L667" i="23"/>
  <c r="L666" i="23"/>
  <c r="L665" i="23"/>
  <c r="L664" i="23"/>
  <c r="L663" i="23"/>
  <c r="L662" i="23"/>
  <c r="L661" i="23"/>
  <c r="L660" i="23"/>
  <c r="L659" i="23"/>
  <c r="L658" i="23"/>
  <c r="L657" i="23"/>
  <c r="L656" i="23"/>
  <c r="L655" i="23"/>
  <c r="L654" i="23"/>
  <c r="L653" i="23"/>
  <c r="L652" i="23"/>
  <c r="L651" i="23"/>
  <c r="L650" i="23"/>
  <c r="L649" i="23"/>
  <c r="L648" i="23"/>
  <c r="L647" i="23"/>
  <c r="L646" i="23"/>
  <c r="L645" i="23"/>
  <c r="L644" i="23"/>
  <c r="L643" i="23"/>
  <c r="L642" i="23"/>
  <c r="L632" i="23"/>
  <c r="L631" i="23"/>
  <c r="L630" i="23"/>
  <c r="L629" i="23"/>
  <c r="L628" i="23"/>
  <c r="L627" i="23"/>
  <c r="L626" i="23"/>
  <c r="L625" i="23"/>
  <c r="L624" i="23"/>
  <c r="L623" i="23"/>
  <c r="L622" i="23"/>
  <c r="L621" i="23"/>
  <c r="L620" i="23"/>
  <c r="L619" i="23"/>
  <c r="L618" i="23"/>
  <c r="L617" i="23"/>
  <c r="L616" i="23"/>
  <c r="L615" i="23"/>
  <c r="L614" i="23"/>
  <c r="L613" i="23"/>
  <c r="L612" i="23"/>
  <c r="L611" i="23"/>
  <c r="L610" i="23"/>
  <c r="L609" i="23"/>
  <c r="L608" i="23"/>
  <c r="L607" i="23"/>
  <c r="L606" i="23"/>
  <c r="L605" i="23"/>
  <c r="L604" i="23"/>
  <c r="L603" i="23"/>
  <c r="L602" i="23"/>
  <c r="L601" i="23"/>
  <c r="L600" i="23"/>
  <c r="L599" i="23"/>
  <c r="L598" i="23"/>
  <c r="L597" i="23"/>
  <c r="L596" i="23"/>
  <c r="L595" i="23"/>
  <c r="L594" i="23"/>
  <c r="L593" i="23"/>
  <c r="L592" i="23"/>
  <c r="L591" i="23"/>
  <c r="L590" i="23"/>
  <c r="L589" i="23"/>
  <c r="L588" i="23"/>
  <c r="L587" i="23"/>
  <c r="L586" i="23"/>
  <c r="L585" i="23"/>
  <c r="L584" i="23"/>
  <c r="L583" i="23"/>
  <c r="L582" i="23"/>
  <c r="L581" i="23"/>
  <c r="L580" i="23"/>
  <c r="L579" i="23"/>
  <c r="L578" i="23"/>
  <c r="L577" i="23"/>
  <c r="L576" i="23"/>
  <c r="L575" i="23"/>
  <c r="L574" i="23"/>
  <c r="L573" i="23"/>
  <c r="L572" i="23"/>
  <c r="L571" i="23"/>
  <c r="L570" i="23"/>
  <c r="L569" i="23"/>
  <c r="L568" i="23"/>
  <c r="L567" i="23"/>
  <c r="L566" i="23"/>
  <c r="L565" i="23"/>
  <c r="L564" i="23"/>
  <c r="L563" i="23"/>
  <c r="L562" i="23"/>
  <c r="L561" i="23"/>
  <c r="L560" i="23"/>
  <c r="L559" i="23"/>
  <c r="L558" i="23"/>
  <c r="L557" i="23"/>
  <c r="L556" i="23"/>
  <c r="L555" i="23"/>
  <c r="L554" i="23"/>
  <c r="L553" i="23"/>
  <c r="L552" i="23"/>
  <c r="L551" i="23"/>
  <c r="L550" i="23"/>
  <c r="L549" i="23"/>
  <c r="L548" i="23"/>
  <c r="L547" i="23"/>
  <c r="L546" i="23"/>
  <c r="L545" i="23"/>
  <c r="L544" i="23"/>
  <c r="L543" i="23"/>
  <c r="L542" i="23"/>
  <c r="L541" i="23"/>
  <c r="L540" i="23"/>
  <c r="L539" i="23"/>
  <c r="L538" i="23"/>
  <c r="L537" i="23"/>
  <c r="L536" i="23"/>
  <c r="L535" i="23"/>
  <c r="L534" i="23"/>
  <c r="L533" i="23"/>
  <c r="L532" i="23"/>
  <c r="L531" i="23"/>
  <c r="L530" i="23"/>
  <c r="L529" i="23"/>
  <c r="L528" i="23"/>
  <c r="L527" i="23"/>
  <c r="L526" i="23"/>
  <c r="L525" i="23"/>
  <c r="L524" i="23"/>
  <c r="L523" i="23"/>
  <c r="L522" i="23"/>
  <c r="L521" i="23"/>
  <c r="L520" i="23"/>
  <c r="L519" i="23"/>
  <c r="L518" i="23"/>
  <c r="L517" i="23"/>
  <c r="L516" i="23"/>
  <c r="L515" i="23"/>
  <c r="L514" i="23"/>
  <c r="L513" i="23"/>
  <c r="L508" i="23"/>
  <c r="L507" i="23"/>
  <c r="L506" i="23"/>
  <c r="L505" i="23"/>
  <c r="L504" i="23"/>
  <c r="L503" i="23"/>
  <c r="L502" i="23"/>
  <c r="L501" i="23"/>
  <c r="L500" i="23"/>
  <c r="L499" i="23"/>
  <c r="L498" i="23"/>
  <c r="L497" i="23"/>
  <c r="L496" i="23"/>
  <c r="L495" i="23"/>
  <c r="L494" i="23"/>
  <c r="L493" i="23"/>
  <c r="L492" i="23"/>
  <c r="L491" i="23"/>
  <c r="L490" i="23"/>
  <c r="L489" i="23"/>
  <c r="L488" i="23"/>
  <c r="L487" i="23"/>
  <c r="L486" i="23"/>
  <c r="L485" i="23"/>
  <c r="L484" i="23"/>
  <c r="L483" i="23"/>
  <c r="L482" i="23"/>
  <c r="L481" i="23"/>
  <c r="L480" i="23"/>
  <c r="L479" i="23"/>
  <c r="L478" i="23"/>
  <c r="L477" i="23"/>
  <c r="L476" i="23"/>
  <c r="L475" i="23"/>
  <c r="L474" i="23"/>
  <c r="L473" i="23"/>
  <c r="L472" i="23"/>
  <c r="L471" i="23"/>
  <c r="L470" i="23"/>
  <c r="L469" i="23"/>
  <c r="L468" i="23"/>
  <c r="L467" i="23"/>
  <c r="L466" i="23"/>
  <c r="L465" i="23"/>
  <c r="L464" i="23"/>
  <c r="L463" i="23"/>
  <c r="L462" i="23"/>
  <c r="L461" i="23"/>
  <c r="L460" i="23"/>
  <c r="L459" i="23"/>
  <c r="L458" i="23"/>
  <c r="L457" i="23"/>
  <c r="L456" i="23"/>
  <c r="L455" i="23"/>
  <c r="L454" i="23"/>
  <c r="L453" i="23"/>
  <c r="L452" i="23"/>
  <c r="L451" i="23"/>
  <c r="L450" i="23"/>
  <c r="L449" i="23"/>
  <c r="L448" i="23"/>
  <c r="L447" i="23"/>
  <c r="L446" i="23"/>
  <c r="L445" i="23"/>
  <c r="L444" i="23"/>
  <c r="L443" i="23"/>
  <c r="L442" i="23"/>
  <c r="L441" i="23"/>
  <c r="L440" i="23"/>
  <c r="L439" i="23"/>
  <c r="L438" i="23"/>
  <c r="L437" i="23"/>
  <c r="L436" i="23"/>
  <c r="L435" i="23"/>
  <c r="L434" i="23"/>
  <c r="L433" i="23"/>
  <c r="L432" i="23"/>
  <c r="L431" i="23"/>
  <c r="L430" i="23"/>
  <c r="L429" i="23"/>
  <c r="L428" i="23"/>
  <c r="L427" i="23"/>
  <c r="L426" i="23"/>
  <c r="L425" i="23"/>
  <c r="L424" i="23"/>
  <c r="L423" i="23"/>
  <c r="L422" i="23"/>
  <c r="L421" i="23"/>
  <c r="L420" i="23"/>
  <c r="L419" i="23"/>
  <c r="L418" i="23"/>
  <c r="L417" i="23"/>
  <c r="L416" i="23"/>
  <c r="L415" i="23"/>
  <c r="L414" i="23"/>
  <c r="L413" i="23"/>
  <c r="L412" i="23"/>
  <c r="L411" i="23"/>
  <c r="L410" i="23"/>
  <c r="L409" i="23"/>
  <c r="L408" i="23"/>
  <c r="L407" i="23"/>
  <c r="L406" i="23"/>
  <c r="L405" i="23"/>
  <c r="L404" i="23"/>
  <c r="L403" i="23"/>
  <c r="L402" i="23"/>
  <c r="L401" i="23"/>
  <c r="L400" i="23"/>
  <c r="L399" i="23"/>
  <c r="L398" i="23"/>
  <c r="L397" i="23"/>
  <c r="L396" i="23"/>
  <c r="L395" i="23"/>
  <c r="L394" i="23"/>
  <c r="L393" i="23"/>
  <c r="L392" i="23"/>
  <c r="L391" i="23"/>
  <c r="L390" i="23"/>
  <c r="L389" i="23"/>
  <c r="L388" i="23"/>
  <c r="L387" i="23"/>
  <c r="L386" i="23"/>
  <c r="L385" i="23"/>
  <c r="L384" i="23"/>
  <c r="L383" i="23"/>
  <c r="L382" i="23"/>
  <c r="L381" i="23"/>
  <c r="L380" i="23"/>
  <c r="L379" i="23"/>
  <c r="L378" i="23"/>
  <c r="L377" i="23"/>
  <c r="L376" i="23"/>
  <c r="L375" i="23"/>
  <c r="L374" i="23"/>
  <c r="L373" i="23"/>
  <c r="L372" i="23"/>
  <c r="L371" i="23"/>
  <c r="L370" i="23"/>
  <c r="L369" i="23"/>
  <c r="L368" i="23"/>
  <c r="L367" i="23"/>
  <c r="L366" i="23"/>
  <c r="L365" i="23"/>
  <c r="L364" i="23"/>
  <c r="L363" i="23"/>
  <c r="L362" i="23"/>
  <c r="L361" i="23"/>
  <c r="L360" i="23"/>
  <c r="L359" i="23"/>
  <c r="L358" i="23"/>
  <c r="L357" i="23"/>
  <c r="L356" i="23"/>
  <c r="L355" i="23"/>
  <c r="L354" i="23"/>
  <c r="L353" i="23"/>
  <c r="L352" i="23"/>
  <c r="L351" i="23"/>
  <c r="L350" i="23"/>
  <c r="L349" i="23"/>
  <c r="L348" i="23"/>
  <c r="L347" i="23"/>
  <c r="L346" i="23"/>
  <c r="L345" i="23"/>
  <c r="L344" i="23"/>
  <c r="L343" i="23"/>
  <c r="L342" i="23"/>
  <c r="L341" i="23"/>
  <c r="L340" i="23"/>
  <c r="L339" i="23"/>
  <c r="L338" i="23"/>
  <c r="L337" i="23"/>
  <c r="L336" i="23"/>
  <c r="L335" i="23"/>
  <c r="L334" i="23"/>
  <c r="L333" i="23"/>
  <c r="L332" i="23"/>
  <c r="L331" i="23"/>
  <c r="L330" i="23"/>
  <c r="L329" i="23"/>
  <c r="L328" i="23"/>
  <c r="L327" i="23"/>
  <c r="L326" i="23"/>
  <c r="L325" i="23"/>
  <c r="L324" i="23"/>
  <c r="L323" i="23"/>
  <c r="L322" i="23"/>
  <c r="L321" i="23"/>
  <c r="L320" i="23"/>
  <c r="L319" i="23"/>
  <c r="L318" i="23"/>
  <c r="L317" i="23"/>
  <c r="L316" i="23"/>
  <c r="L315" i="23"/>
  <c r="L314" i="23"/>
  <c r="L313" i="23"/>
  <c r="L312" i="23"/>
  <c r="L311" i="23"/>
  <c r="L310" i="23"/>
  <c r="L309" i="23"/>
  <c r="L308" i="23"/>
  <c r="L307" i="23"/>
  <c r="L306" i="23"/>
  <c r="L305" i="23"/>
  <c r="L304" i="23"/>
  <c r="L303" i="23"/>
  <c r="L302" i="23"/>
  <c r="L301" i="23"/>
  <c r="L300" i="23"/>
  <c r="L299" i="23"/>
  <c r="L298" i="23"/>
  <c r="L297" i="23"/>
  <c r="L296" i="23"/>
  <c r="L295" i="23"/>
  <c r="L294" i="23"/>
  <c r="L293" i="23"/>
  <c r="L292" i="23"/>
  <c r="L291" i="23"/>
  <c r="L290" i="23"/>
  <c r="L289" i="23"/>
  <c r="L288" i="23"/>
  <c r="L287" i="23"/>
  <c r="L286" i="23"/>
  <c r="L285" i="23"/>
  <c r="L284" i="23"/>
  <c r="L283" i="23"/>
  <c r="L282" i="23"/>
  <c r="L281" i="23"/>
  <c r="L280" i="23"/>
  <c r="L279" i="23"/>
  <c r="L278" i="23"/>
  <c r="L277" i="23"/>
  <c r="L276" i="23"/>
  <c r="L275" i="23"/>
  <c r="L274" i="23"/>
  <c r="L273" i="23"/>
  <c r="L272" i="23"/>
  <c r="L271" i="23"/>
  <c r="L270" i="23"/>
  <c r="L269" i="23"/>
  <c r="L268" i="23"/>
  <c r="L267" i="23"/>
  <c r="L266" i="23"/>
  <c r="L265" i="23"/>
  <c r="L264" i="23"/>
  <c r="L263" i="23"/>
  <c r="L262" i="23"/>
  <c r="L261" i="23"/>
  <c r="L260" i="23"/>
  <c r="L259" i="23"/>
  <c r="L258" i="23"/>
  <c r="L257" i="23"/>
  <c r="L256" i="23"/>
  <c r="L255" i="23"/>
  <c r="L254" i="23"/>
  <c r="L253" i="23"/>
  <c r="L252" i="23"/>
  <c r="L251" i="23"/>
  <c r="L250" i="23"/>
  <c r="L249" i="23"/>
  <c r="L248" i="23"/>
  <c r="L247" i="23"/>
  <c r="L246" i="23"/>
  <c r="L245" i="23"/>
  <c r="L244" i="23"/>
  <c r="L243" i="23"/>
  <c r="L242" i="23"/>
  <c r="L241" i="23"/>
  <c r="L240" i="23"/>
  <c r="L239" i="23"/>
  <c r="L238" i="23"/>
  <c r="L237" i="23"/>
  <c r="L236" i="23"/>
  <c r="L235" i="23"/>
  <c r="L234" i="23"/>
  <c r="L233" i="23"/>
  <c r="L232" i="23"/>
  <c r="L231" i="23"/>
  <c r="L230" i="23"/>
  <c r="L229" i="23"/>
  <c r="L228" i="23"/>
  <c r="L227" i="23"/>
  <c r="L226" i="23"/>
  <c r="L225" i="23"/>
  <c r="L224" i="23"/>
  <c r="L223" i="23"/>
  <c r="L222" i="23"/>
  <c r="L221" i="23"/>
  <c r="L220" i="23"/>
  <c r="L219" i="23"/>
  <c r="L218" i="23"/>
  <c r="L217" i="23"/>
  <c r="L216" i="23"/>
  <c r="L215" i="23"/>
  <c r="L214" i="23"/>
  <c r="L213" i="23"/>
  <c r="L212" i="23"/>
  <c r="L211" i="23"/>
  <c r="L210" i="23"/>
  <c r="L209" i="23"/>
  <c r="L208" i="23"/>
  <c r="L207" i="23"/>
  <c r="L206" i="23"/>
  <c r="L205" i="23"/>
  <c r="L204" i="23"/>
  <c r="L203" i="23"/>
  <c r="L202" i="23"/>
  <c r="L201" i="23"/>
  <c r="L200" i="23"/>
  <c r="L199" i="23"/>
  <c r="L198" i="23"/>
  <c r="L197" i="23"/>
  <c r="L196" i="23"/>
  <c r="L195" i="23"/>
  <c r="L194" i="23"/>
  <c r="L193" i="23"/>
  <c r="L192" i="23"/>
  <c r="L191" i="23"/>
  <c r="L190" i="23"/>
  <c r="L189" i="23"/>
  <c r="L188" i="23"/>
  <c r="L187" i="23"/>
  <c r="L186" i="23"/>
  <c r="L185" i="23"/>
  <c r="L184" i="23"/>
  <c r="L183" i="23"/>
  <c r="L182" i="23"/>
  <c r="L181" i="23"/>
  <c r="L180" i="23"/>
  <c r="L179" i="23"/>
  <c r="L178" i="23"/>
  <c r="L177" i="23"/>
  <c r="L176" i="23"/>
  <c r="L175" i="23"/>
  <c r="L174" i="23"/>
  <c r="L173" i="23"/>
  <c r="L172" i="23"/>
  <c r="L171" i="23"/>
  <c r="L170" i="23"/>
  <c r="L169" i="23"/>
  <c r="L168" i="23"/>
  <c r="L167" i="23"/>
  <c r="L166" i="23"/>
  <c r="L165" i="23"/>
  <c r="L164" i="23"/>
  <c r="L163" i="23"/>
  <c r="L162" i="23"/>
  <c r="L161" i="23"/>
  <c r="L160" i="23"/>
  <c r="L159" i="23"/>
  <c r="L158" i="23"/>
  <c r="L157" i="23"/>
  <c r="L156" i="23"/>
  <c r="L155" i="23"/>
  <c r="L154" i="23"/>
  <c r="L153" i="23"/>
  <c r="L152" i="23"/>
  <c r="L151" i="23"/>
  <c r="L150" i="23"/>
  <c r="L149" i="23"/>
  <c r="L148" i="23"/>
  <c r="L147" i="23"/>
  <c r="L146" i="23"/>
  <c r="L145" i="23"/>
  <c r="L144" i="23"/>
  <c r="L143" i="23"/>
  <c r="L142" i="23"/>
  <c r="L141" i="23"/>
  <c r="L140" i="23"/>
  <c r="L139" i="23"/>
  <c r="L138" i="23"/>
  <c r="L137" i="23"/>
  <c r="L136" i="23"/>
  <c r="L135" i="23"/>
  <c r="L134" i="23"/>
  <c r="L133" i="23"/>
  <c r="L132" i="23"/>
  <c r="L131" i="23"/>
  <c r="L130" i="23"/>
  <c r="L129" i="23"/>
  <c r="L128" i="23"/>
  <c r="L127" i="23"/>
  <c r="L126" i="23"/>
  <c r="L125" i="23"/>
  <c r="L124" i="23"/>
  <c r="L123" i="23"/>
  <c r="L122" i="23"/>
  <c r="L121" i="23"/>
  <c r="L120" i="23"/>
  <c r="L119" i="23"/>
  <c r="L118" i="23"/>
  <c r="L117" i="23"/>
  <c r="L116" i="23"/>
  <c r="L115" i="23"/>
  <c r="L114" i="23"/>
  <c r="L113" i="23"/>
  <c r="L112" i="23"/>
  <c r="L111" i="23"/>
  <c r="L110" i="23"/>
  <c r="L109" i="23"/>
  <c r="L108" i="23"/>
  <c r="L107" i="23"/>
  <c r="L106" i="23"/>
  <c r="L105" i="23"/>
  <c r="L104" i="23"/>
  <c r="L103" i="23"/>
  <c r="L102" i="23"/>
  <c r="L101" i="23"/>
  <c r="L100" i="23"/>
  <c r="L99" i="23"/>
  <c r="L98" i="23"/>
  <c r="L97" i="23"/>
  <c r="L96" i="23"/>
  <c r="L95" i="23"/>
  <c r="L94" i="23"/>
  <c r="L93" i="23"/>
  <c r="L92" i="23"/>
  <c r="L91" i="23"/>
  <c r="L90" i="23"/>
  <c r="L89" i="23"/>
  <c r="L88" i="23"/>
  <c r="L87" i="23"/>
  <c r="L86" i="23"/>
  <c r="L85" i="23"/>
  <c r="L84" i="23"/>
  <c r="L83" i="23"/>
  <c r="L82" i="23"/>
  <c r="L81" i="23"/>
  <c r="L80" i="23"/>
  <c r="L79" i="23"/>
  <c r="L78" i="23"/>
  <c r="L77" i="23"/>
  <c r="L76" i="23"/>
  <c r="L75" i="23"/>
  <c r="L74" i="23"/>
  <c r="L73" i="23"/>
  <c r="L72" i="23"/>
  <c r="L71" i="23"/>
  <c r="L70" i="23"/>
  <c r="L69" i="23"/>
  <c r="L68" i="23"/>
  <c r="L67" i="23"/>
  <c r="L66" i="23"/>
  <c r="L65" i="23"/>
  <c r="L64" i="23"/>
  <c r="L63" i="23"/>
  <c r="L62" i="23"/>
  <c r="L61" i="23"/>
  <c r="L60" i="23"/>
  <c r="L59" i="23"/>
  <c r="L58" i="23"/>
  <c r="L57" i="23"/>
  <c r="L56" i="23"/>
  <c r="L55" i="23"/>
  <c r="L54" i="23"/>
  <c r="L53" i="23"/>
  <c r="L52" i="23"/>
  <c r="L51" i="23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L2" i="23"/>
  <c r="V86" i="26" l="1"/>
  <c r="T15" i="26"/>
  <c r="Z15" i="26" s="1"/>
  <c r="U15" i="26"/>
  <c r="T29" i="26"/>
  <c r="X29" i="26" s="1"/>
  <c r="U29" i="26"/>
  <c r="U98" i="26"/>
  <c r="AA98" i="26" s="1"/>
  <c r="U62" i="26"/>
  <c r="U46" i="26"/>
  <c r="U100" i="26"/>
  <c r="U44" i="26"/>
  <c r="U64" i="26"/>
  <c r="U90" i="26"/>
  <c r="U91" i="26"/>
  <c r="AY19" i="26"/>
  <c r="BB18" i="26" s="1"/>
  <c r="AZ97" i="26"/>
  <c r="BF81" i="26" s="1"/>
  <c r="AZ61" i="26"/>
  <c r="BC60" i="26" s="1"/>
  <c r="AW27" i="26"/>
  <c r="T43" i="26"/>
  <c r="T42" i="26"/>
  <c r="U42" i="26"/>
  <c r="U40" i="26"/>
  <c r="U39" i="26"/>
  <c r="U21" i="26"/>
  <c r="U22" i="26"/>
  <c r="U70" i="26"/>
  <c r="U73" i="26"/>
  <c r="U69" i="26"/>
  <c r="U72" i="26"/>
  <c r="AZ73" i="26"/>
  <c r="BF65" i="26" s="1"/>
  <c r="AZ40" i="26"/>
  <c r="BF5" i="26" s="1"/>
  <c r="AW48" i="26"/>
  <c r="AY76" i="26"/>
  <c r="BB75" i="26" s="1"/>
  <c r="AW17" i="26"/>
  <c r="AX19" i="26"/>
  <c r="BA18" i="26" s="1"/>
  <c r="AW47" i="26"/>
  <c r="AX49" i="26"/>
  <c r="AW60" i="26"/>
  <c r="AW66" i="26"/>
  <c r="AW11" i="26"/>
  <c r="AX13" i="26"/>
  <c r="BA12" i="26" s="1"/>
  <c r="AY64" i="26"/>
  <c r="BB62" i="26" s="1"/>
  <c r="AY82" i="26"/>
  <c r="BB81" i="26" s="1"/>
  <c r="AY43" i="26"/>
  <c r="BB42" i="26" s="1"/>
  <c r="AY61" i="26"/>
  <c r="BB60" i="26" s="1"/>
  <c r="AZ37" i="26"/>
  <c r="BC35" i="26" s="1"/>
  <c r="AZ55" i="26"/>
  <c r="BC53" i="26" s="1"/>
  <c r="AW39" i="26"/>
  <c r="AW14" i="26"/>
  <c r="AX16" i="26"/>
  <c r="BA14" i="26" s="1"/>
  <c r="V87" i="26"/>
  <c r="V88" i="26" s="1"/>
  <c r="Z87" i="26"/>
  <c r="AZ43" i="26"/>
  <c r="BC42" i="26" s="1"/>
  <c r="AW35" i="26"/>
  <c r="AX37" i="26"/>
  <c r="BA36" i="26" s="1"/>
  <c r="T61" i="26"/>
  <c r="T60" i="26"/>
  <c r="T70" i="26"/>
  <c r="T73" i="26"/>
  <c r="T69" i="26"/>
  <c r="T72" i="26"/>
  <c r="T85" i="26"/>
  <c r="T84" i="26"/>
  <c r="U49" i="26"/>
  <c r="U47" i="26"/>
  <c r="AW24" i="26"/>
  <c r="AW33" i="26"/>
  <c r="T48" i="26"/>
  <c r="T20" i="26"/>
  <c r="T38" i="26"/>
  <c r="T82" i="26"/>
  <c r="V81" i="26" s="1"/>
  <c r="T97" i="26"/>
  <c r="X90" i="26" s="1"/>
  <c r="T96" i="26"/>
  <c r="T76" i="26"/>
  <c r="T75" i="26"/>
  <c r="U45" i="26"/>
  <c r="U99" i="26"/>
  <c r="AA99" i="26" s="1"/>
  <c r="U63" i="26"/>
  <c r="U56" i="26"/>
  <c r="U48" i="26"/>
  <c r="U38" i="26"/>
  <c r="U20" i="26"/>
  <c r="U82" i="26"/>
  <c r="U81" i="26"/>
  <c r="U96" i="26"/>
  <c r="U75" i="26"/>
  <c r="AW90" i="26"/>
  <c r="AW68" i="26"/>
  <c r="AX70" i="26"/>
  <c r="BA68" i="26" s="1"/>
  <c r="AW23" i="26"/>
  <c r="AX25" i="26"/>
  <c r="BA24" i="26" s="1"/>
  <c r="AW57" i="26"/>
  <c r="AY40" i="26"/>
  <c r="BB38" i="26" s="1"/>
  <c r="AZ58" i="26"/>
  <c r="AZ76" i="26"/>
  <c r="BC75" i="26" s="1"/>
  <c r="AZ34" i="26"/>
  <c r="BC33" i="26" s="1"/>
  <c r="AW87" i="26"/>
  <c r="AZ49" i="26"/>
  <c r="BC48" i="26" s="1"/>
  <c r="AZ79" i="26"/>
  <c r="BC77" i="26" s="1"/>
  <c r="AZ13" i="26"/>
  <c r="BC12" i="26" s="1"/>
  <c r="AW98" i="26"/>
  <c r="AX100" i="26"/>
  <c r="BG11" i="26" s="1"/>
  <c r="AY97" i="26"/>
  <c r="BE75" i="26" s="1"/>
  <c r="AW12" i="26"/>
  <c r="AW41" i="26"/>
  <c r="AX43" i="26"/>
  <c r="BA42" i="26" s="1"/>
  <c r="AY37" i="26"/>
  <c r="BB36" i="26" s="1"/>
  <c r="AY55" i="26"/>
  <c r="BB54" i="26" s="1"/>
  <c r="AW69" i="26"/>
  <c r="AW5" i="26"/>
  <c r="AX7" i="26"/>
  <c r="BA6" i="26" s="1"/>
  <c r="AY100" i="26"/>
  <c r="BH17" i="26" s="1"/>
  <c r="T49" i="26"/>
  <c r="T47" i="26"/>
  <c r="T40" i="26"/>
  <c r="T39" i="26"/>
  <c r="T22" i="26"/>
  <c r="T21" i="26"/>
  <c r="U61" i="26"/>
  <c r="U60" i="26"/>
  <c r="U84" i="26"/>
  <c r="T63" i="26"/>
  <c r="T45" i="26"/>
  <c r="T99" i="26"/>
  <c r="Z99" i="26" s="1"/>
  <c r="T56" i="26"/>
  <c r="T58" i="26"/>
  <c r="T57" i="26"/>
  <c r="T32" i="26"/>
  <c r="T34" i="26"/>
  <c r="T95" i="26"/>
  <c r="T80" i="26"/>
  <c r="T94" i="26"/>
  <c r="T92" i="26"/>
  <c r="T83" i="26"/>
  <c r="U57" i="26"/>
  <c r="U34" i="26"/>
  <c r="U32" i="26"/>
  <c r="U80" i="26"/>
  <c r="U95" i="26"/>
  <c r="U94" i="26"/>
  <c r="U92" i="26"/>
  <c r="U83" i="26"/>
  <c r="AY73" i="26"/>
  <c r="BB72" i="26" s="1"/>
  <c r="AZ25" i="26"/>
  <c r="AZ67" i="26"/>
  <c r="BC66" i="26" s="1"/>
  <c r="AW38" i="26"/>
  <c r="AX40" i="26"/>
  <c r="BD23" i="26" s="1"/>
  <c r="AY58" i="26"/>
  <c r="BB57" i="26" s="1"/>
  <c r="AW99" i="26"/>
  <c r="AW74" i="26"/>
  <c r="AX76" i="26"/>
  <c r="BA74" i="26" s="1"/>
  <c r="AY34" i="26"/>
  <c r="BB32" i="26" s="1"/>
  <c r="AY49" i="26"/>
  <c r="BB48" i="26" s="1"/>
  <c r="AY79" i="26"/>
  <c r="BB78" i="26" s="1"/>
  <c r="AY13" i="26"/>
  <c r="BB12" i="26" s="1"/>
  <c r="AW62" i="26"/>
  <c r="AX64" i="26"/>
  <c r="BD62" i="26" s="1"/>
  <c r="AW80" i="26"/>
  <c r="AX82" i="26"/>
  <c r="V89" i="26"/>
  <c r="Z89" i="26"/>
  <c r="AZ88" i="26"/>
  <c r="BC87" i="26" s="1"/>
  <c r="AW53" i="26"/>
  <c r="AX55" i="26"/>
  <c r="BA54" i="26" s="1"/>
  <c r="AW75" i="26"/>
  <c r="AY88" i="26"/>
  <c r="BB86" i="26" s="1"/>
  <c r="AZ52" i="26"/>
  <c r="BC51" i="26" s="1"/>
  <c r="AW72" i="26"/>
  <c r="AW54" i="26"/>
  <c r="U97" i="26"/>
  <c r="U19" i="26"/>
  <c r="U7" i="26"/>
  <c r="U6" i="26"/>
  <c r="U43" i="26"/>
  <c r="AW36" i="26"/>
  <c r="AZ31" i="26"/>
  <c r="AW83" i="26"/>
  <c r="AX85" i="26"/>
  <c r="T11" i="26"/>
  <c r="T16" i="26"/>
  <c r="T14" i="26"/>
  <c r="T5" i="26"/>
  <c r="T33" i="26"/>
  <c r="T17" i="26"/>
  <c r="T8" i="26"/>
  <c r="T10" i="26"/>
  <c r="T74" i="26"/>
  <c r="U59" i="26"/>
  <c r="U31" i="26"/>
  <c r="U30" i="26"/>
  <c r="U37" i="26"/>
  <c r="U36" i="26"/>
  <c r="U11" i="26"/>
  <c r="U14" i="26"/>
  <c r="U16" i="26"/>
  <c r="U5" i="26"/>
  <c r="U33" i="26"/>
  <c r="U17" i="26"/>
  <c r="U10" i="26"/>
  <c r="U8" i="26"/>
  <c r="U74" i="26"/>
  <c r="AW78" i="26"/>
  <c r="AZ28" i="26"/>
  <c r="AW93" i="26"/>
  <c r="AW65" i="26"/>
  <c r="AX67" i="26"/>
  <c r="BA65" i="26" s="1"/>
  <c r="AY22" i="26"/>
  <c r="BB21" i="26" s="1"/>
  <c r="AW63" i="26"/>
  <c r="AZ10" i="26"/>
  <c r="AW21" i="26"/>
  <c r="AW42" i="26"/>
  <c r="AZ94" i="26"/>
  <c r="BC93" i="26" s="1"/>
  <c r="AY31" i="26"/>
  <c r="BB30" i="26" s="1"/>
  <c r="AY46" i="26"/>
  <c r="BB44" i="26" s="1"/>
  <c r="AZ85" i="26"/>
  <c r="BC84" i="26" s="1"/>
  <c r="AZ91" i="26"/>
  <c r="BC89" i="26" s="1"/>
  <c r="AW51" i="26"/>
  <c r="AW86" i="26"/>
  <c r="AX88" i="26"/>
  <c r="AY52" i="26"/>
  <c r="BB50" i="26" s="1"/>
  <c r="Z88" i="26"/>
  <c r="T98" i="26"/>
  <c r="Z98" i="26" s="1"/>
  <c r="T100" i="26"/>
  <c r="T46" i="26"/>
  <c r="T62" i="26"/>
  <c r="T64" i="26"/>
  <c r="T44" i="26"/>
  <c r="T12" i="26"/>
  <c r="T13" i="26"/>
  <c r="T7" i="26"/>
  <c r="T6" i="26"/>
  <c r="T19" i="26"/>
  <c r="T18" i="26"/>
  <c r="T66" i="26"/>
  <c r="T67" i="26"/>
  <c r="U18" i="26"/>
  <c r="U66" i="26"/>
  <c r="U67" i="26"/>
  <c r="AY67" i="26"/>
  <c r="BB66" i="26" s="1"/>
  <c r="AW56" i="26"/>
  <c r="AX58" i="26"/>
  <c r="BA56" i="26" s="1"/>
  <c r="AW32" i="26"/>
  <c r="AX34" i="26"/>
  <c r="BA32" i="26" s="1"/>
  <c r="AW77" i="26"/>
  <c r="AX79" i="26"/>
  <c r="BA77" i="26" s="1"/>
  <c r="AW95" i="26"/>
  <c r="AX97" i="26"/>
  <c r="BD87" i="26" s="1"/>
  <c r="T36" i="26"/>
  <c r="T37" i="26"/>
  <c r="T53" i="26"/>
  <c r="T93" i="26"/>
  <c r="U41" i="26"/>
  <c r="U52" i="26"/>
  <c r="U53" i="26"/>
  <c r="U27" i="26"/>
  <c r="U23" i="26"/>
  <c r="U25" i="26"/>
  <c r="U65" i="26"/>
  <c r="U93" i="26"/>
  <c r="AY28" i="26"/>
  <c r="BB26" i="26" s="1"/>
  <c r="AW71" i="26"/>
  <c r="AX73" i="26"/>
  <c r="BD72" i="26" s="1"/>
  <c r="AW9" i="26"/>
  <c r="AZ7" i="26"/>
  <c r="BC6" i="26" s="1"/>
  <c r="AW20" i="26"/>
  <c r="AX22" i="26"/>
  <c r="BA20" i="26" s="1"/>
  <c r="AY10" i="26"/>
  <c r="AY94" i="26"/>
  <c r="BB92" i="26" s="1"/>
  <c r="AZ16" i="26"/>
  <c r="AW29" i="26"/>
  <c r="AX31" i="26"/>
  <c r="BA30" i="26" s="1"/>
  <c r="AW44" i="26"/>
  <c r="AX46" i="26"/>
  <c r="BA44" i="26" s="1"/>
  <c r="AY85" i="26"/>
  <c r="BB83" i="26" s="1"/>
  <c r="AY91" i="26"/>
  <c r="BB89" i="26" s="1"/>
  <c r="AW84" i="26"/>
  <c r="AW50" i="26"/>
  <c r="AX52" i="26"/>
  <c r="BA50" i="26" s="1"/>
  <c r="AY70" i="26"/>
  <c r="BB69" i="26" s="1"/>
  <c r="T55" i="26"/>
  <c r="T54" i="26"/>
  <c r="T28" i="26"/>
  <c r="T26" i="26"/>
  <c r="T77" i="26"/>
  <c r="U54" i="26"/>
  <c r="U55" i="26"/>
  <c r="U26" i="26"/>
  <c r="U28" i="26"/>
  <c r="U12" i="26"/>
  <c r="U13" i="26"/>
  <c r="U77" i="26"/>
  <c r="AY25" i="26"/>
  <c r="BB24" i="26" s="1"/>
  <c r="AZ22" i="26"/>
  <c r="BC20" i="26" s="1"/>
  <c r="AW8" i="26"/>
  <c r="AX10" i="26"/>
  <c r="AW18" i="26"/>
  <c r="AZ46" i="26"/>
  <c r="BC45" i="26" s="1"/>
  <c r="T59" i="26"/>
  <c r="T31" i="26"/>
  <c r="V29" i="26" s="1"/>
  <c r="T30" i="26"/>
  <c r="T41" i="26"/>
  <c r="T50" i="26"/>
  <c r="T52" i="26"/>
  <c r="T27" i="26"/>
  <c r="T23" i="26"/>
  <c r="T25" i="26"/>
  <c r="T65" i="26"/>
  <c r="T51" i="26"/>
  <c r="T35" i="26"/>
  <c r="T24" i="26"/>
  <c r="T9" i="26"/>
  <c r="T71" i="26"/>
  <c r="T68" i="26"/>
  <c r="T78" i="26"/>
  <c r="T79" i="26"/>
  <c r="U51" i="26"/>
  <c r="U35" i="26"/>
  <c r="U24" i="26"/>
  <c r="U9" i="26"/>
  <c r="U68" i="26"/>
  <c r="U71" i="26"/>
  <c r="U78" i="26"/>
  <c r="U79" i="26"/>
  <c r="AW26" i="26"/>
  <c r="AX28" i="26"/>
  <c r="BA26" i="26" s="1"/>
  <c r="AZ70" i="26"/>
  <c r="BC68" i="26" s="1"/>
  <c r="AW15" i="26"/>
  <c r="AY7" i="26"/>
  <c r="BB5" i="26" s="1"/>
  <c r="AW45" i="26"/>
  <c r="AW30" i="26"/>
  <c r="AZ19" i="26"/>
  <c r="AW6" i="26"/>
  <c r="AW92" i="26"/>
  <c r="AX94" i="26"/>
  <c r="AY16" i="26"/>
  <c r="BB15" i="26" s="1"/>
  <c r="AZ64" i="26"/>
  <c r="BC62" i="26" s="1"/>
  <c r="AZ100" i="26"/>
  <c r="BI72" i="26" s="1"/>
  <c r="AZ82" i="26"/>
  <c r="BC81" i="26" s="1"/>
  <c r="AW89" i="26"/>
  <c r="AX91" i="26"/>
  <c r="BA89" i="26" s="1"/>
  <c r="V90" i="26"/>
  <c r="Z90" i="26"/>
  <c r="AW59" i="26"/>
  <c r="AX61" i="26"/>
  <c r="BA60" i="26" s="1"/>
  <c r="AW96" i="26"/>
  <c r="D1099" i="7"/>
  <c r="C1099" i="7"/>
  <c r="B1099" i="7"/>
  <c r="Q1099" i="7"/>
  <c r="P1099" i="7"/>
  <c r="O1099" i="7"/>
  <c r="L1099" i="7"/>
  <c r="Q1098" i="21"/>
  <c r="Q1097" i="21"/>
  <c r="Q1096" i="21"/>
  <c r="Q1095" i="21"/>
  <c r="Q1094" i="21"/>
  <c r="Q1093" i="21"/>
  <c r="Q1092" i="21"/>
  <c r="Q1091" i="21"/>
  <c r="Q1090" i="21"/>
  <c r="Q1089" i="21"/>
  <c r="Q1088" i="21"/>
  <c r="Q1087" i="21"/>
  <c r="Q1086" i="21"/>
  <c r="Q1085" i="21"/>
  <c r="Q1084" i="21"/>
  <c r="Q1083" i="21"/>
  <c r="Q1082" i="21"/>
  <c r="Q1081" i="21"/>
  <c r="Q1080" i="21"/>
  <c r="Q1079" i="21"/>
  <c r="Q1078" i="21"/>
  <c r="Q1077" i="21"/>
  <c r="Q1076" i="21"/>
  <c r="Q1075" i="21"/>
  <c r="Q1074" i="21"/>
  <c r="Q1073" i="21"/>
  <c r="Q1072" i="21"/>
  <c r="Q1071" i="21"/>
  <c r="Q1070" i="21"/>
  <c r="Q1069" i="21"/>
  <c r="Q1068" i="21"/>
  <c r="Q1067" i="21"/>
  <c r="Q1066" i="21"/>
  <c r="Q1065" i="21"/>
  <c r="Q1064" i="21"/>
  <c r="Q1063" i="21"/>
  <c r="Q1062" i="21"/>
  <c r="Q1061" i="21"/>
  <c r="Q1060" i="21"/>
  <c r="Q1059" i="21"/>
  <c r="Q1058" i="21"/>
  <c r="Q1057" i="21"/>
  <c r="Q1056" i="21"/>
  <c r="Q1055" i="21"/>
  <c r="Q1054" i="21"/>
  <c r="Q1053" i="21"/>
  <c r="Q1052" i="21"/>
  <c r="Q1051" i="21"/>
  <c r="Q1050" i="21"/>
  <c r="Q1049" i="21"/>
  <c r="Q1048" i="21"/>
  <c r="Q1047" i="21"/>
  <c r="Q1046" i="21"/>
  <c r="Q1045" i="21"/>
  <c r="Q1044" i="21"/>
  <c r="Q1043" i="21"/>
  <c r="Q1042" i="21"/>
  <c r="Q1041" i="21"/>
  <c r="Q1040" i="21"/>
  <c r="Q1039" i="21"/>
  <c r="Q1038" i="21"/>
  <c r="Q1037" i="21"/>
  <c r="Q1036" i="21"/>
  <c r="Q1035" i="21"/>
  <c r="Q1034" i="21"/>
  <c r="Q1033" i="21"/>
  <c r="Q1032" i="21"/>
  <c r="Q1031" i="21"/>
  <c r="Q1030" i="21"/>
  <c r="Q1029" i="21"/>
  <c r="Q1028" i="21"/>
  <c r="Q1027" i="21"/>
  <c r="Q1026" i="21"/>
  <c r="Q1025" i="21"/>
  <c r="Q1024" i="21"/>
  <c r="Q1023" i="21"/>
  <c r="Q1022" i="21"/>
  <c r="Q1021" i="21"/>
  <c r="Q1020" i="21"/>
  <c r="Q1019" i="21"/>
  <c r="Q1018" i="21"/>
  <c r="Q1017" i="21"/>
  <c r="Q1016" i="21"/>
  <c r="Q1015" i="21"/>
  <c r="Q1014" i="21"/>
  <c r="Q1013" i="21"/>
  <c r="Q1012" i="21"/>
  <c r="Q1011" i="21"/>
  <c r="Q1010" i="21"/>
  <c r="Q1009" i="21"/>
  <c r="Q1008" i="21"/>
  <c r="Q1007" i="21"/>
  <c r="Q1006" i="21"/>
  <c r="Q1005" i="21"/>
  <c r="Q1004" i="21"/>
  <c r="Q1003" i="21"/>
  <c r="Q1002" i="21"/>
  <c r="Q1001" i="21"/>
  <c r="Q1000" i="21"/>
  <c r="Q999" i="21"/>
  <c r="Q998" i="21"/>
  <c r="Q997" i="21"/>
  <c r="Q996" i="21"/>
  <c r="Q995" i="21"/>
  <c r="Q994" i="21"/>
  <c r="Q993" i="21"/>
  <c r="Q992" i="21"/>
  <c r="Q991" i="21"/>
  <c r="Q990" i="21"/>
  <c r="Q989" i="21"/>
  <c r="Q988" i="21"/>
  <c r="Q987" i="21"/>
  <c r="Q986" i="21"/>
  <c r="Q985" i="21"/>
  <c r="Q984" i="21"/>
  <c r="Q983" i="21"/>
  <c r="Q982" i="21"/>
  <c r="Q981" i="21"/>
  <c r="Q980" i="21"/>
  <c r="Q979" i="21"/>
  <c r="Q978" i="21"/>
  <c r="Q977" i="21"/>
  <c r="Q976" i="21"/>
  <c r="Q975" i="21"/>
  <c r="Q974" i="21"/>
  <c r="Q973" i="21"/>
  <c r="Q972" i="21"/>
  <c r="Q971" i="21"/>
  <c r="Q970" i="21"/>
  <c r="Q969" i="21"/>
  <c r="Q968" i="21"/>
  <c r="Q967" i="21"/>
  <c r="Q966" i="21"/>
  <c r="Q965" i="21"/>
  <c r="Q964" i="21"/>
  <c r="Q963" i="21"/>
  <c r="Q962" i="21"/>
  <c r="Q961" i="21"/>
  <c r="Q960" i="21"/>
  <c r="Q959" i="21"/>
  <c r="Q958" i="21"/>
  <c r="Q957" i="21"/>
  <c r="Q956" i="21"/>
  <c r="Q955" i="21"/>
  <c r="Q954" i="21"/>
  <c r="Q953" i="21"/>
  <c r="Q952" i="21"/>
  <c r="Q951" i="21"/>
  <c r="Q950" i="21"/>
  <c r="Q949" i="21"/>
  <c r="Q948" i="21"/>
  <c r="Q947" i="21"/>
  <c r="Q946" i="21"/>
  <c r="Q945" i="21"/>
  <c r="Q944" i="21"/>
  <c r="Q943" i="21"/>
  <c r="Q942" i="21"/>
  <c r="Q941" i="21"/>
  <c r="Q940" i="21"/>
  <c r="Q939" i="21"/>
  <c r="Q938" i="21"/>
  <c r="Q937" i="21"/>
  <c r="Q936" i="21"/>
  <c r="Q935" i="21"/>
  <c r="Q934" i="21"/>
  <c r="Q933" i="21"/>
  <c r="Q932" i="21"/>
  <c r="Q931" i="21"/>
  <c r="Q930" i="21"/>
  <c r="Q929" i="21"/>
  <c r="Q928" i="21"/>
  <c r="Q927" i="21"/>
  <c r="Q926" i="21"/>
  <c r="Q925" i="21"/>
  <c r="Q924" i="21"/>
  <c r="Q923" i="21"/>
  <c r="Q922" i="21"/>
  <c r="Q921" i="21"/>
  <c r="Q920" i="21"/>
  <c r="Q919" i="21"/>
  <c r="Q918" i="21"/>
  <c r="Q917" i="21"/>
  <c r="Q916" i="21"/>
  <c r="Q915" i="21"/>
  <c r="Q914" i="21"/>
  <c r="Q913" i="21"/>
  <c r="Q912" i="21"/>
  <c r="Q911" i="21"/>
  <c r="Q910" i="21"/>
  <c r="Q909" i="21"/>
  <c r="Q908" i="21"/>
  <c r="Q907" i="21"/>
  <c r="Q906" i="21"/>
  <c r="Q905" i="21"/>
  <c r="Q904" i="21"/>
  <c r="Q903" i="21"/>
  <c r="Q902" i="21"/>
  <c r="Q901" i="21"/>
  <c r="Q900" i="21"/>
  <c r="Q899" i="21"/>
  <c r="Q898" i="21"/>
  <c r="Q897" i="21"/>
  <c r="Q896" i="21"/>
  <c r="Q895" i="21"/>
  <c r="Q894" i="21"/>
  <c r="Q893" i="21"/>
  <c r="Q892" i="21"/>
  <c r="Q891" i="21"/>
  <c r="Q890" i="21"/>
  <c r="Q889" i="21"/>
  <c r="Q888" i="21"/>
  <c r="Q887" i="21"/>
  <c r="Q886" i="21"/>
  <c r="Q885" i="21"/>
  <c r="Q884" i="21"/>
  <c r="Q883" i="21"/>
  <c r="Q882" i="21"/>
  <c r="Q881" i="21"/>
  <c r="Q880" i="21"/>
  <c r="Q879" i="21"/>
  <c r="Q878" i="21"/>
  <c r="Q877" i="21"/>
  <c r="Q876" i="21"/>
  <c r="Q875" i="21"/>
  <c r="Q874" i="21"/>
  <c r="Q873" i="21"/>
  <c r="Q872" i="21"/>
  <c r="Q871" i="21"/>
  <c r="Q870" i="21"/>
  <c r="Q869" i="21"/>
  <c r="Q868" i="21"/>
  <c r="Q867" i="21"/>
  <c r="Q866" i="21"/>
  <c r="Q865" i="21"/>
  <c r="Q864" i="21"/>
  <c r="Q863" i="21"/>
  <c r="Q862" i="21"/>
  <c r="Q861" i="21"/>
  <c r="Q860" i="21"/>
  <c r="Q859" i="21"/>
  <c r="Q858" i="21"/>
  <c r="Q857" i="21"/>
  <c r="Q856" i="21"/>
  <c r="Q855" i="21"/>
  <c r="Q854" i="21"/>
  <c r="Q853" i="21"/>
  <c r="Q852" i="21"/>
  <c r="Q851" i="21"/>
  <c r="Q850" i="21"/>
  <c r="Q849" i="21"/>
  <c r="Q848" i="21"/>
  <c r="Q847" i="21"/>
  <c r="Q846" i="21"/>
  <c r="Q845" i="21"/>
  <c r="Q844" i="21"/>
  <c r="Q843" i="21"/>
  <c r="Q842" i="21"/>
  <c r="Q841" i="21"/>
  <c r="Q840" i="21"/>
  <c r="Q839" i="21"/>
  <c r="Q838" i="21"/>
  <c r="Q837" i="21"/>
  <c r="Q836" i="21"/>
  <c r="Q835" i="21"/>
  <c r="Q834" i="21"/>
  <c r="Q833" i="21"/>
  <c r="Q832" i="21"/>
  <c r="Q831" i="21"/>
  <c r="Q830" i="21"/>
  <c r="Q829" i="21"/>
  <c r="Q828" i="21"/>
  <c r="Q827" i="21"/>
  <c r="Q826" i="21"/>
  <c r="Q825" i="21"/>
  <c r="Q824" i="21"/>
  <c r="Q823" i="21"/>
  <c r="Q822" i="21"/>
  <c r="Q821" i="21"/>
  <c r="Q820" i="21"/>
  <c r="Q819" i="21"/>
  <c r="Q818" i="21"/>
  <c r="Q817" i="21"/>
  <c r="Q816" i="21"/>
  <c r="Q815" i="21"/>
  <c r="Q814" i="21"/>
  <c r="Q813" i="21"/>
  <c r="Q812" i="21"/>
  <c r="Q811" i="21"/>
  <c r="Q810" i="21"/>
  <c r="Q809" i="21"/>
  <c r="Q808" i="21"/>
  <c r="Q807" i="21"/>
  <c r="Q806" i="21"/>
  <c r="Q805" i="21"/>
  <c r="Q804" i="21"/>
  <c r="Q803" i="21"/>
  <c r="Q802" i="21"/>
  <c r="Q801" i="21"/>
  <c r="Q800" i="21"/>
  <c r="Q799" i="21"/>
  <c r="Q798" i="21"/>
  <c r="Q797" i="21"/>
  <c r="Q796" i="21"/>
  <c r="Q795" i="21"/>
  <c r="Q794" i="21"/>
  <c r="Q793" i="21"/>
  <c r="Q792" i="21"/>
  <c r="Q791" i="21"/>
  <c r="Q790" i="21"/>
  <c r="Q789" i="21"/>
  <c r="Q788" i="21"/>
  <c r="Q787" i="21"/>
  <c r="Q786" i="21"/>
  <c r="Q785" i="21"/>
  <c r="Q784" i="21"/>
  <c r="Q783" i="21"/>
  <c r="Q782" i="21"/>
  <c r="Q781" i="21"/>
  <c r="Q780" i="21"/>
  <c r="Q779" i="21"/>
  <c r="Q778" i="21"/>
  <c r="Q777" i="21"/>
  <c r="Q776" i="21"/>
  <c r="Q775" i="21"/>
  <c r="Q774" i="21"/>
  <c r="Q773" i="21"/>
  <c r="Q772" i="21"/>
  <c r="Q771" i="21"/>
  <c r="Q770" i="21"/>
  <c r="Q769" i="21"/>
  <c r="Q768" i="21"/>
  <c r="Q767" i="21"/>
  <c r="Q766" i="21"/>
  <c r="Q765" i="21"/>
  <c r="Q764" i="21"/>
  <c r="Q763" i="21"/>
  <c r="Q762" i="21"/>
  <c r="Q761" i="21"/>
  <c r="Q760" i="21"/>
  <c r="Q759" i="21"/>
  <c r="Q758" i="21"/>
  <c r="Q757" i="21"/>
  <c r="Q756" i="21"/>
  <c r="Q755" i="21"/>
  <c r="Q754" i="21"/>
  <c r="Q753" i="21"/>
  <c r="Q752" i="21"/>
  <c r="Q751" i="21"/>
  <c r="Q750" i="21"/>
  <c r="Q749" i="21"/>
  <c r="Q748" i="21"/>
  <c r="Q747" i="21"/>
  <c r="Q746" i="21"/>
  <c r="Q745" i="21"/>
  <c r="Q744" i="21"/>
  <c r="Q743" i="21"/>
  <c r="Q742" i="21"/>
  <c r="Q741" i="21"/>
  <c r="Q740" i="21"/>
  <c r="Q739" i="21"/>
  <c r="Q738" i="21"/>
  <c r="Q737" i="21"/>
  <c r="Q736" i="21"/>
  <c r="Q735" i="21"/>
  <c r="Q734" i="21"/>
  <c r="Q733" i="21"/>
  <c r="Q732" i="21"/>
  <c r="Q731" i="21"/>
  <c r="Q730" i="21"/>
  <c r="Q729" i="21"/>
  <c r="Q728" i="21"/>
  <c r="Q727" i="21"/>
  <c r="Q726" i="21"/>
  <c r="Q725" i="21"/>
  <c r="Q724" i="21"/>
  <c r="Q723" i="21"/>
  <c r="Q722" i="21"/>
  <c r="Q721" i="21"/>
  <c r="Q720" i="21"/>
  <c r="Q719" i="21"/>
  <c r="Q718" i="21"/>
  <c r="Q717" i="21"/>
  <c r="Q716" i="21"/>
  <c r="Q715" i="21"/>
  <c r="Q714" i="21"/>
  <c r="Q713" i="21"/>
  <c r="Q712" i="21"/>
  <c r="Q711" i="21"/>
  <c r="Q710" i="21"/>
  <c r="Q709" i="21"/>
  <c r="Q708" i="21"/>
  <c r="Q707" i="21"/>
  <c r="Q706" i="21"/>
  <c r="Q705" i="21"/>
  <c r="Q704" i="21"/>
  <c r="Q703" i="21"/>
  <c r="Q702" i="21"/>
  <c r="Q701" i="21"/>
  <c r="Q700" i="21"/>
  <c r="Q699" i="21"/>
  <c r="Q698" i="21"/>
  <c r="Q697" i="21"/>
  <c r="Q696" i="21"/>
  <c r="Q695" i="21"/>
  <c r="Q694" i="21"/>
  <c r="Q693" i="21"/>
  <c r="Q692" i="21"/>
  <c r="Q691" i="21"/>
  <c r="Q690" i="21"/>
  <c r="Q689" i="21"/>
  <c r="Q688" i="21"/>
  <c r="Q687" i="21"/>
  <c r="Q686" i="21"/>
  <c r="Q685" i="21"/>
  <c r="Q684" i="21"/>
  <c r="Q683" i="21"/>
  <c r="Q682" i="21"/>
  <c r="Q681" i="21"/>
  <c r="Q680" i="21"/>
  <c r="Q679" i="21"/>
  <c r="Q678" i="21"/>
  <c r="Q677" i="21"/>
  <c r="Q676" i="21"/>
  <c r="Q675" i="21"/>
  <c r="Q674" i="21"/>
  <c r="Q673" i="21"/>
  <c r="Q672" i="21"/>
  <c r="Q671" i="21"/>
  <c r="Q670" i="21"/>
  <c r="Q669" i="21"/>
  <c r="Q668" i="21"/>
  <c r="Q667" i="21"/>
  <c r="Q666" i="21"/>
  <c r="Q665" i="21"/>
  <c r="Q664" i="21"/>
  <c r="Q663" i="21"/>
  <c r="Q662" i="21"/>
  <c r="Q661" i="21"/>
  <c r="Q660" i="21"/>
  <c r="Q659" i="21"/>
  <c r="Q658" i="21"/>
  <c r="Q657" i="21"/>
  <c r="Q656" i="21"/>
  <c r="Q655" i="21"/>
  <c r="Q654" i="21"/>
  <c r="Q653" i="21"/>
  <c r="Q652" i="21"/>
  <c r="Q651" i="21"/>
  <c r="Q650" i="21"/>
  <c r="Q649" i="21"/>
  <c r="Q648" i="21"/>
  <c r="Q647" i="21"/>
  <c r="Q646" i="21"/>
  <c r="Q645" i="21"/>
  <c r="Q644" i="21"/>
  <c r="Q643" i="21"/>
  <c r="Q642" i="21"/>
  <c r="Q641" i="21"/>
  <c r="Q640" i="21"/>
  <c r="Q639" i="21"/>
  <c r="Q638" i="21"/>
  <c r="Q637" i="21"/>
  <c r="Q636" i="21"/>
  <c r="Q635" i="21"/>
  <c r="Q634" i="21"/>
  <c r="Q633" i="21"/>
  <c r="Q632" i="21"/>
  <c r="Q631" i="21"/>
  <c r="Q630" i="21"/>
  <c r="Q629" i="21"/>
  <c r="Q628" i="21"/>
  <c r="Q627" i="21"/>
  <c r="Q626" i="21"/>
  <c r="Q625" i="21"/>
  <c r="Q624" i="21"/>
  <c r="Q623" i="21"/>
  <c r="Q622" i="21"/>
  <c r="Q621" i="21"/>
  <c r="Q620" i="21"/>
  <c r="Q619" i="21"/>
  <c r="Q618" i="21"/>
  <c r="Q617" i="21"/>
  <c r="Q616" i="21"/>
  <c r="Q615" i="21"/>
  <c r="Q614" i="21"/>
  <c r="Q613" i="21"/>
  <c r="Q612" i="21"/>
  <c r="Q611" i="21"/>
  <c r="Q610" i="21"/>
  <c r="Q609" i="21"/>
  <c r="Q608" i="21"/>
  <c r="Q607" i="21"/>
  <c r="Q606" i="21"/>
  <c r="Q605" i="21"/>
  <c r="Q604" i="21"/>
  <c r="Q603" i="21"/>
  <c r="Q602" i="21"/>
  <c r="Q601" i="21"/>
  <c r="Q600" i="21"/>
  <c r="Q599" i="21"/>
  <c r="Q598" i="21"/>
  <c r="Q597" i="21"/>
  <c r="Q596" i="21"/>
  <c r="Q595" i="21"/>
  <c r="Q594" i="21"/>
  <c r="Q593" i="21"/>
  <c r="Q592" i="21"/>
  <c r="Q591" i="21"/>
  <c r="Q590" i="21"/>
  <c r="Q589" i="21"/>
  <c r="Q588" i="21"/>
  <c r="Q587" i="21"/>
  <c r="Q586" i="21"/>
  <c r="Q585" i="21"/>
  <c r="Q502" i="21"/>
  <c r="Q501" i="21"/>
  <c r="Q500" i="21"/>
  <c r="Q499" i="21"/>
  <c r="Q498" i="21"/>
  <c r="Q497" i="21"/>
  <c r="Q496" i="21"/>
  <c r="Q495" i="21"/>
  <c r="Q494" i="21"/>
  <c r="Q493" i="21"/>
  <c r="Q492" i="21"/>
  <c r="Q491" i="21"/>
  <c r="Q490" i="21"/>
  <c r="Q489" i="21"/>
  <c r="Q488" i="21"/>
  <c r="Q487" i="21"/>
  <c r="Q486" i="21"/>
  <c r="Q485" i="21"/>
  <c r="Q484" i="21"/>
  <c r="Q483" i="21"/>
  <c r="Q482" i="21"/>
  <c r="Q481" i="21"/>
  <c r="Q480" i="21"/>
  <c r="Q479" i="21"/>
  <c r="Q478" i="21"/>
  <c r="Q477" i="21"/>
  <c r="Q476" i="21"/>
  <c r="Q475" i="21"/>
  <c r="Q474" i="21"/>
  <c r="Q473" i="21"/>
  <c r="Q472" i="21"/>
  <c r="Q471" i="21"/>
  <c r="Q469" i="21"/>
  <c r="Q468" i="21"/>
  <c r="Q467" i="21"/>
  <c r="Q466" i="21"/>
  <c r="Q465" i="21"/>
  <c r="Q464" i="21"/>
  <c r="Q463" i="21"/>
  <c r="Q462" i="21"/>
  <c r="Q461" i="21"/>
  <c r="Q460" i="21"/>
  <c r="Q459" i="21"/>
  <c r="Q458" i="21"/>
  <c r="Q457" i="21"/>
  <c r="Q456" i="21"/>
  <c r="Q455" i="21"/>
  <c r="Q454" i="21"/>
  <c r="Q452" i="21"/>
  <c r="Q451" i="21"/>
  <c r="Q450" i="21"/>
  <c r="Q449" i="21"/>
  <c r="Q448" i="21"/>
  <c r="Q447" i="21"/>
  <c r="Q446" i="21"/>
  <c r="Q445" i="21"/>
  <c r="Q444" i="21"/>
  <c r="Q443" i="21"/>
  <c r="Q442" i="21"/>
  <c r="Q441" i="21"/>
  <c r="Q440" i="21"/>
  <c r="Q439" i="21"/>
  <c r="Q438" i="21"/>
  <c r="Q437" i="21"/>
  <c r="Q436" i="21"/>
  <c r="Q435" i="21"/>
  <c r="Q433" i="21"/>
  <c r="Q432" i="21"/>
  <c r="Q431" i="21"/>
  <c r="Q430" i="21"/>
  <c r="Q429" i="21"/>
  <c r="Q428" i="21"/>
  <c r="Q427" i="21"/>
  <c r="Q426" i="21"/>
  <c r="Q425" i="21"/>
  <c r="Q424" i="21"/>
  <c r="Q423" i="21"/>
  <c r="Q422" i="21"/>
  <c r="Q421" i="21"/>
  <c r="Q420" i="21"/>
  <c r="Q419" i="21"/>
  <c r="Q418" i="21"/>
  <c r="Q417" i="21"/>
  <c r="Q416" i="21"/>
  <c r="Q415" i="21"/>
  <c r="Q414" i="21"/>
  <c r="Q413" i="21"/>
  <c r="Q412" i="21"/>
  <c r="Q411" i="21"/>
  <c r="Q410" i="21"/>
  <c r="Q409" i="21"/>
  <c r="Q408" i="21"/>
  <c r="Q407" i="21"/>
  <c r="Q406" i="21"/>
  <c r="Q405" i="21"/>
  <c r="Q404" i="21"/>
  <c r="Q403" i="21"/>
  <c r="Q402" i="21"/>
  <c r="Q401" i="21"/>
  <c r="Q400" i="21"/>
  <c r="Q399" i="21"/>
  <c r="Q398" i="21"/>
  <c r="Q397" i="21"/>
  <c r="Q396" i="21"/>
  <c r="Q395" i="21"/>
  <c r="Q394" i="21"/>
  <c r="Q393" i="21"/>
  <c r="Q392" i="21"/>
  <c r="Q391" i="21"/>
  <c r="Q390" i="21"/>
  <c r="Q389" i="21"/>
  <c r="Q388" i="21"/>
  <c r="Q387" i="21"/>
  <c r="Q386" i="21"/>
  <c r="Q385" i="21"/>
  <c r="Q384" i="21"/>
  <c r="Q383" i="21"/>
  <c r="Q382" i="21"/>
  <c r="Q381" i="21"/>
  <c r="Q380" i="21"/>
  <c r="Q379" i="21"/>
  <c r="Q378" i="21"/>
  <c r="Q377" i="21"/>
  <c r="Q376" i="21"/>
  <c r="Q375" i="21"/>
  <c r="Q374" i="21"/>
  <c r="Q373" i="21"/>
  <c r="Q372" i="21"/>
  <c r="Q371" i="21"/>
  <c r="Q370" i="21"/>
  <c r="Q369" i="21"/>
  <c r="Q368" i="21"/>
  <c r="Q367" i="21"/>
  <c r="Q366" i="21"/>
  <c r="Q365" i="21"/>
  <c r="Q364" i="21"/>
  <c r="Q363" i="21"/>
  <c r="Q362" i="21"/>
  <c r="Q361" i="21"/>
  <c r="Q360" i="21"/>
  <c r="Q359" i="21"/>
  <c r="Q358" i="21"/>
  <c r="Q357" i="21"/>
  <c r="Q356" i="21"/>
  <c r="Q355" i="21"/>
  <c r="Q354" i="21"/>
  <c r="Q353" i="21"/>
  <c r="Q352" i="21"/>
  <c r="Q351" i="21"/>
  <c r="Q350" i="21"/>
  <c r="Q349" i="21"/>
  <c r="O348" i="21"/>
  <c r="Q347" i="21"/>
  <c r="Q346" i="21"/>
  <c r="Q345" i="21"/>
  <c r="Q344" i="21"/>
  <c r="Q343" i="21"/>
  <c r="Q342" i="21"/>
  <c r="Q341" i="21"/>
  <c r="Q340" i="21"/>
  <c r="Q339" i="21"/>
  <c r="Q338" i="21"/>
  <c r="Q337" i="21"/>
  <c r="Q336" i="21"/>
  <c r="Q335" i="21"/>
  <c r="Q334" i="21"/>
  <c r="Q333" i="21"/>
  <c r="Q332" i="21"/>
  <c r="Q331" i="21"/>
  <c r="Q330" i="21"/>
  <c r="Q329" i="21"/>
  <c r="Q328" i="21"/>
  <c r="Q327" i="21"/>
  <c r="Q326" i="21"/>
  <c r="Q325" i="21"/>
  <c r="Q324" i="21"/>
  <c r="Q323" i="21"/>
  <c r="Q322" i="21"/>
  <c r="Q321" i="21"/>
  <c r="Q320" i="21"/>
  <c r="Q319" i="21"/>
  <c r="Q318" i="21"/>
  <c r="Q317" i="21"/>
  <c r="Q316" i="21"/>
  <c r="Q315" i="21"/>
  <c r="Q314" i="21"/>
  <c r="Q313" i="21"/>
  <c r="Q312" i="21"/>
  <c r="Q311" i="21"/>
  <c r="Q310" i="21"/>
  <c r="Q309" i="21"/>
  <c r="Q308" i="21"/>
  <c r="Q307" i="21"/>
  <c r="Q306" i="21"/>
  <c r="Q305" i="21"/>
  <c r="Q304" i="21"/>
  <c r="Q303" i="21"/>
  <c r="Q302" i="21"/>
  <c r="Q301" i="21"/>
  <c r="Q300" i="21"/>
  <c r="Q299" i="21"/>
  <c r="Q298" i="21"/>
  <c r="Q297" i="21"/>
  <c r="Q296" i="21"/>
  <c r="Q295" i="21"/>
  <c r="Q294" i="21"/>
  <c r="Q293" i="21"/>
  <c r="Q292" i="21"/>
  <c r="Q291" i="21"/>
  <c r="Q290" i="21"/>
  <c r="Q289" i="21"/>
  <c r="Q288" i="21"/>
  <c r="Q287" i="21"/>
  <c r="Q286" i="21"/>
  <c r="Q285" i="21"/>
  <c r="Q284" i="21"/>
  <c r="Q283" i="21"/>
  <c r="Q282" i="21"/>
  <c r="Q281" i="21"/>
  <c r="Q280" i="21"/>
  <c r="Q279" i="21"/>
  <c r="Q278" i="21"/>
  <c r="Q277" i="21"/>
  <c r="Q276" i="21"/>
  <c r="Q275" i="21"/>
  <c r="Q274" i="21"/>
  <c r="Q273" i="21"/>
  <c r="Q272" i="21"/>
  <c r="Q271" i="21"/>
  <c r="Q270" i="21"/>
  <c r="Q269" i="21"/>
  <c r="Q268" i="21"/>
  <c r="Q267" i="21"/>
  <c r="Q266" i="21"/>
  <c r="Q265" i="21"/>
  <c r="Q264" i="21"/>
  <c r="Q263" i="21"/>
  <c r="Q262" i="21"/>
  <c r="Q261" i="21"/>
  <c r="Q260" i="21"/>
  <c r="Q259" i="21"/>
  <c r="Q258" i="21"/>
  <c r="Q257" i="21"/>
  <c r="Q256" i="21"/>
  <c r="Q255" i="21"/>
  <c r="Q254" i="21"/>
  <c r="Q253" i="21"/>
  <c r="Q252" i="21"/>
  <c r="Q251" i="21"/>
  <c r="Q250" i="21"/>
  <c r="Q249" i="21"/>
  <c r="Q248" i="21"/>
  <c r="Q247" i="21"/>
  <c r="Q246" i="21"/>
  <c r="Q245" i="21"/>
  <c r="Q244" i="21"/>
  <c r="Q243" i="21"/>
  <c r="Q242" i="21"/>
  <c r="Q241" i="21"/>
  <c r="Q240" i="21"/>
  <c r="Q239" i="21"/>
  <c r="Q238" i="21"/>
  <c r="Q237" i="21"/>
  <c r="Q236" i="21"/>
  <c r="Q235" i="21"/>
  <c r="Q234" i="21"/>
  <c r="Q233" i="21"/>
  <c r="Q232" i="21"/>
  <c r="Q231" i="21"/>
  <c r="Q230" i="21"/>
  <c r="Q229" i="21"/>
  <c r="Q228" i="21"/>
  <c r="Q227" i="21"/>
  <c r="Q226" i="21"/>
  <c r="Q225" i="21"/>
  <c r="Q224" i="21"/>
  <c r="Q223" i="21"/>
  <c r="Q222" i="21"/>
  <c r="Q221" i="21"/>
  <c r="Q220" i="21"/>
  <c r="Q219" i="21"/>
  <c r="Q218" i="21"/>
  <c r="Q217" i="21"/>
  <c r="Q216" i="21"/>
  <c r="Q215" i="21"/>
  <c r="Q214" i="21"/>
  <c r="Q213" i="21"/>
  <c r="Q212" i="21"/>
  <c r="Q211" i="21"/>
  <c r="Q210" i="21"/>
  <c r="Q209" i="21"/>
  <c r="Q208" i="21"/>
  <c r="Q207" i="21"/>
  <c r="Q206" i="21"/>
  <c r="Q205" i="21"/>
  <c r="Q204" i="21"/>
  <c r="Q203" i="21"/>
  <c r="Q202" i="21"/>
  <c r="Q201" i="21"/>
  <c r="Q200" i="21"/>
  <c r="Q199" i="21"/>
  <c r="Q198" i="21"/>
  <c r="Q197" i="21"/>
  <c r="Q196" i="21"/>
  <c r="Q195" i="21"/>
  <c r="Q194" i="21"/>
  <c r="Q193" i="21"/>
  <c r="Q192" i="21"/>
  <c r="Q191" i="21"/>
  <c r="Q190" i="21"/>
  <c r="Q189" i="21"/>
  <c r="Q188" i="21"/>
  <c r="Q187" i="21"/>
  <c r="Q186" i="21"/>
  <c r="Q185" i="21"/>
  <c r="Q184" i="21"/>
  <c r="Q183" i="21"/>
  <c r="Q182" i="21"/>
  <c r="Q181" i="21"/>
  <c r="Q180" i="21"/>
  <c r="Q179" i="21"/>
  <c r="Q178" i="21"/>
  <c r="Q177" i="21"/>
  <c r="Q176" i="21"/>
  <c r="Q175" i="21"/>
  <c r="Q174" i="21"/>
  <c r="Q173" i="21"/>
  <c r="Q172" i="21"/>
  <c r="Q171" i="21"/>
  <c r="Q170" i="21"/>
  <c r="Q169" i="21"/>
  <c r="Q168" i="21"/>
  <c r="Q167" i="21"/>
  <c r="Q166" i="21"/>
  <c r="Q165" i="21"/>
  <c r="Q164" i="21"/>
  <c r="Q163" i="21"/>
  <c r="Q162" i="21"/>
  <c r="Q161" i="21"/>
  <c r="Q160" i="21"/>
  <c r="Q159" i="21"/>
  <c r="Q158" i="21"/>
  <c r="Q157" i="21"/>
  <c r="Q156" i="21"/>
  <c r="Q155" i="21"/>
  <c r="Q154" i="21"/>
  <c r="Q153" i="21"/>
  <c r="Q152" i="21"/>
  <c r="Q151" i="21"/>
  <c r="Q150" i="21"/>
  <c r="Q149" i="21"/>
  <c r="Q148" i="21"/>
  <c r="Q147" i="21"/>
  <c r="Q146" i="21"/>
  <c r="Q145" i="21"/>
  <c r="Q144" i="21"/>
  <c r="Q143" i="21"/>
  <c r="Q142" i="21"/>
  <c r="Q141" i="21"/>
  <c r="Q140" i="21"/>
  <c r="Q139" i="21"/>
  <c r="Q138" i="21"/>
  <c r="Q137" i="21"/>
  <c r="Q136" i="21"/>
  <c r="Q135" i="21"/>
  <c r="Q134" i="21"/>
  <c r="Q133" i="21"/>
  <c r="Q132" i="21"/>
  <c r="Q131" i="21"/>
  <c r="Q130" i="21"/>
  <c r="Q129" i="21"/>
  <c r="Q128" i="21"/>
  <c r="Q127" i="21"/>
  <c r="Q126" i="21"/>
  <c r="Q125" i="21"/>
  <c r="Q124" i="21"/>
  <c r="Q123" i="21"/>
  <c r="Q122" i="21"/>
  <c r="Q121" i="21"/>
  <c r="Q120" i="21"/>
  <c r="Q119" i="21"/>
  <c r="Q118" i="21"/>
  <c r="Q117" i="21"/>
  <c r="Q116" i="21"/>
  <c r="Q115" i="21"/>
  <c r="Q114" i="21"/>
  <c r="Q113" i="21"/>
  <c r="Q112" i="21"/>
  <c r="Q111" i="21"/>
  <c r="Q110" i="21"/>
  <c r="Q109" i="21"/>
  <c r="Q108" i="21"/>
  <c r="Q107" i="21"/>
  <c r="Q106" i="21"/>
  <c r="Q105" i="21"/>
  <c r="Q104" i="21"/>
  <c r="Q103" i="21"/>
  <c r="Q102" i="21"/>
  <c r="Q101" i="21"/>
  <c r="Q100" i="21"/>
  <c r="Q99" i="21"/>
  <c r="Q98" i="21"/>
  <c r="Q97" i="21"/>
  <c r="Q96" i="21"/>
  <c r="Q95" i="21"/>
  <c r="Q94" i="21"/>
  <c r="Q93" i="21"/>
  <c r="Q92" i="21"/>
  <c r="Q91" i="21"/>
  <c r="Q90" i="21"/>
  <c r="Q89" i="21"/>
  <c r="Q88" i="21"/>
  <c r="Q87" i="21"/>
  <c r="Q86" i="21"/>
  <c r="Q85" i="21"/>
  <c r="Q84" i="21"/>
  <c r="Q83" i="21"/>
  <c r="Q82" i="21"/>
  <c r="Q81" i="21"/>
  <c r="Q80" i="21"/>
  <c r="Q79" i="21"/>
  <c r="Q78" i="21"/>
  <c r="Q77" i="21"/>
  <c r="Q76" i="21"/>
  <c r="Q75" i="21"/>
  <c r="Q74" i="21"/>
  <c r="Q73" i="21"/>
  <c r="Q72" i="21"/>
  <c r="Q71" i="21"/>
  <c r="Q70" i="21"/>
  <c r="Q69" i="21"/>
  <c r="Q68" i="21"/>
  <c r="Q67" i="21"/>
  <c r="Q66" i="21"/>
  <c r="Q65" i="21"/>
  <c r="Q64" i="21"/>
  <c r="Q63" i="21"/>
  <c r="Q62" i="21"/>
  <c r="Q61" i="21"/>
  <c r="Q60" i="21"/>
  <c r="Q59" i="21"/>
  <c r="Q58" i="21"/>
  <c r="Q57" i="21"/>
  <c r="Q56" i="21"/>
  <c r="Q55" i="21"/>
  <c r="Q54" i="21"/>
  <c r="Q53" i="21"/>
  <c r="Q52" i="21"/>
  <c r="Q51" i="21"/>
  <c r="Q50" i="21"/>
  <c r="Q49" i="21"/>
  <c r="Q48" i="21"/>
  <c r="Q47" i="21"/>
  <c r="Q46" i="21"/>
  <c r="Q45" i="21"/>
  <c r="Q44" i="21"/>
  <c r="Q43" i="21"/>
  <c r="Q42" i="21"/>
  <c r="Q41" i="21"/>
  <c r="Q40" i="21"/>
  <c r="Q39" i="21"/>
  <c r="Q38" i="21"/>
  <c r="Q37" i="21"/>
  <c r="Q36" i="21"/>
  <c r="Q35" i="21"/>
  <c r="Q34" i="21"/>
  <c r="Q33" i="21"/>
  <c r="Q32" i="21"/>
  <c r="Q31" i="21"/>
  <c r="Q30" i="21"/>
  <c r="Q29" i="21"/>
  <c r="Q28" i="21"/>
  <c r="Q27" i="21"/>
  <c r="Q26" i="21"/>
  <c r="Q25" i="21"/>
  <c r="Q24" i="21"/>
  <c r="Q23" i="21"/>
  <c r="Q22" i="21"/>
  <c r="Q21" i="21"/>
  <c r="Q20" i="21"/>
  <c r="Q19" i="21"/>
  <c r="Q18" i="21"/>
  <c r="Q17" i="21"/>
  <c r="Q16" i="21"/>
  <c r="Q15" i="21"/>
  <c r="Q14" i="21"/>
  <c r="Q13" i="21"/>
  <c r="Q12" i="21"/>
  <c r="Q11" i="21"/>
  <c r="Q10" i="21"/>
  <c r="Q9" i="21"/>
  <c r="Q8" i="21"/>
  <c r="Q7" i="21"/>
  <c r="Q6" i="21"/>
  <c r="Q5" i="21"/>
  <c r="Q4" i="21"/>
  <c r="Q3" i="21"/>
  <c r="Q2" i="21"/>
  <c r="BA6" i="7"/>
  <c r="AY6" i="7"/>
  <c r="AW6" i="7"/>
  <c r="AU5" i="7"/>
  <c r="AU6" i="7"/>
  <c r="BA5" i="7"/>
  <c r="AY5" i="7"/>
  <c r="AW5" i="7"/>
  <c r="AA5" i="16"/>
  <c r="R2" i="7"/>
  <c r="R1099" i="7" s="1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R1042" i="7"/>
  <c r="R1043" i="7"/>
  <c r="R1044" i="7"/>
  <c r="R1045" i="7"/>
  <c r="R1046" i="7"/>
  <c r="R1047" i="7"/>
  <c r="R1048" i="7"/>
  <c r="R1049" i="7"/>
  <c r="R1050" i="7"/>
  <c r="R1051" i="7"/>
  <c r="R1052" i="7"/>
  <c r="R1053" i="7"/>
  <c r="R1054" i="7"/>
  <c r="R1055" i="7"/>
  <c r="R1056" i="7"/>
  <c r="R1057" i="7"/>
  <c r="R1058" i="7"/>
  <c r="R1059" i="7"/>
  <c r="R1060" i="7"/>
  <c r="R1061" i="7"/>
  <c r="R1062" i="7"/>
  <c r="R1063" i="7"/>
  <c r="R1064" i="7"/>
  <c r="R1065" i="7"/>
  <c r="R1066" i="7"/>
  <c r="R1067" i="7"/>
  <c r="R1068" i="7"/>
  <c r="R1069" i="7"/>
  <c r="R1070" i="7"/>
  <c r="R1071" i="7"/>
  <c r="R1072" i="7"/>
  <c r="R1073" i="7"/>
  <c r="R1074" i="7"/>
  <c r="R1075" i="7"/>
  <c r="R1076" i="7"/>
  <c r="R1077" i="7"/>
  <c r="R1078" i="7"/>
  <c r="R1079" i="7"/>
  <c r="R1080" i="7"/>
  <c r="R1081" i="7"/>
  <c r="R1082" i="7"/>
  <c r="R1083" i="7"/>
  <c r="R1084" i="7"/>
  <c r="R1085" i="7"/>
  <c r="R1086" i="7"/>
  <c r="R1087" i="7"/>
  <c r="R1088" i="7"/>
  <c r="R1089" i="7"/>
  <c r="R1090" i="7"/>
  <c r="R1091" i="7"/>
  <c r="R1092" i="7"/>
  <c r="R1093" i="7"/>
  <c r="R1094" i="7"/>
  <c r="R1095" i="7"/>
  <c r="R1096" i="7"/>
  <c r="R1097" i="7"/>
  <c r="R1098" i="7"/>
  <c r="X11" i="16"/>
  <c r="X12" i="16"/>
  <c r="X13" i="16"/>
  <c r="X10" i="16"/>
  <c r="C4" i="8"/>
  <c r="C3" i="8"/>
  <c r="C2" i="8"/>
  <c r="B4" i="8"/>
  <c r="B3" i="8"/>
  <c r="B2" i="8"/>
  <c r="Q1098" i="7"/>
  <c r="Q1097" i="7"/>
  <c r="Q1096" i="7"/>
  <c r="Q1095" i="7"/>
  <c r="Q1094" i="7"/>
  <c r="Q1093" i="7"/>
  <c r="Q1092" i="7"/>
  <c r="Q1091" i="7"/>
  <c r="Q1090" i="7"/>
  <c r="Q1089" i="7"/>
  <c r="Q1088" i="7"/>
  <c r="Q1087" i="7"/>
  <c r="Q1086" i="7"/>
  <c r="Q1085" i="7"/>
  <c r="Q1084" i="7"/>
  <c r="Q1083" i="7"/>
  <c r="Q1082" i="7"/>
  <c r="Q1081" i="7"/>
  <c r="Q1080" i="7"/>
  <c r="Q1079" i="7"/>
  <c r="Q1078" i="7"/>
  <c r="Q1077" i="7"/>
  <c r="Q1076" i="7"/>
  <c r="Q1075" i="7"/>
  <c r="Q1074" i="7"/>
  <c r="Q1073" i="7"/>
  <c r="Q1072" i="7"/>
  <c r="Q1071" i="7"/>
  <c r="Q1070" i="7"/>
  <c r="Q1069" i="7"/>
  <c r="Q1068" i="7"/>
  <c r="Q1067" i="7"/>
  <c r="Q1066" i="7"/>
  <c r="Q1065" i="7"/>
  <c r="Q1064" i="7"/>
  <c r="Q1063" i="7"/>
  <c r="Q1062" i="7"/>
  <c r="Q1061" i="7"/>
  <c r="Q1060" i="7"/>
  <c r="Q1059" i="7"/>
  <c r="Q1058" i="7"/>
  <c r="Q1057" i="7"/>
  <c r="Q1056" i="7"/>
  <c r="Q1055" i="7"/>
  <c r="Q1054" i="7"/>
  <c r="Q1053" i="7"/>
  <c r="Q1052" i="7"/>
  <c r="Q1051" i="7"/>
  <c r="Q1050" i="7"/>
  <c r="Q1049" i="7"/>
  <c r="Q1048" i="7"/>
  <c r="Q1047" i="7"/>
  <c r="Q1046" i="7"/>
  <c r="Q1045" i="7"/>
  <c r="Q1044" i="7"/>
  <c r="Q1043" i="7"/>
  <c r="Q1042" i="7"/>
  <c r="Q1041" i="7"/>
  <c r="Q1040" i="7"/>
  <c r="Q1039" i="7"/>
  <c r="Q1038" i="7"/>
  <c r="Q1037" i="7"/>
  <c r="Q1036" i="7"/>
  <c r="Q1035" i="7"/>
  <c r="Q1034" i="7"/>
  <c r="Q1033" i="7"/>
  <c r="Q1032" i="7"/>
  <c r="Q1031" i="7"/>
  <c r="Q1030" i="7"/>
  <c r="Q1029" i="7"/>
  <c r="Q1028" i="7"/>
  <c r="Q1027" i="7"/>
  <c r="Q1026" i="7"/>
  <c r="Q1025" i="7"/>
  <c r="Q1024" i="7"/>
  <c r="Q1023" i="7"/>
  <c r="Q1022" i="7"/>
  <c r="Q1021" i="7"/>
  <c r="Q1020" i="7"/>
  <c r="Q1019" i="7"/>
  <c r="Q1018" i="7"/>
  <c r="Q1017" i="7"/>
  <c r="Q1016" i="7"/>
  <c r="Q1015" i="7"/>
  <c r="Q1014" i="7"/>
  <c r="Q1013" i="7"/>
  <c r="Q1012" i="7"/>
  <c r="Q1011" i="7"/>
  <c r="Q1010" i="7"/>
  <c r="Q1009" i="7"/>
  <c r="Q1008" i="7"/>
  <c r="Q1007" i="7"/>
  <c r="Q1006" i="7"/>
  <c r="Q1005" i="7"/>
  <c r="Q1004" i="7"/>
  <c r="Q1003" i="7"/>
  <c r="Q1002" i="7"/>
  <c r="Q1001" i="7"/>
  <c r="Q1000" i="7"/>
  <c r="Q999" i="7"/>
  <c r="Q998" i="7"/>
  <c r="Q997" i="7"/>
  <c r="Q996" i="7"/>
  <c r="Q995" i="7"/>
  <c r="Q994" i="7"/>
  <c r="Q993" i="7"/>
  <c r="Q992" i="7"/>
  <c r="Q991" i="7"/>
  <c r="Q990" i="7"/>
  <c r="Q989" i="7"/>
  <c r="Q988" i="7"/>
  <c r="Q987" i="7"/>
  <c r="Q986" i="7"/>
  <c r="Q985" i="7"/>
  <c r="Q984" i="7"/>
  <c r="Q983" i="7"/>
  <c r="Q982" i="7"/>
  <c r="Q981" i="7"/>
  <c r="Q980" i="7"/>
  <c r="Q979" i="7"/>
  <c r="Q978" i="7"/>
  <c r="Q977" i="7"/>
  <c r="Q976" i="7"/>
  <c r="Q975" i="7"/>
  <c r="Q974" i="7"/>
  <c r="Q973" i="7"/>
  <c r="Q972" i="7"/>
  <c r="Q971" i="7"/>
  <c r="Q970" i="7"/>
  <c r="Q969" i="7"/>
  <c r="Q968" i="7"/>
  <c r="Q967" i="7"/>
  <c r="Q966" i="7"/>
  <c r="Q965" i="7"/>
  <c r="Q964" i="7"/>
  <c r="Q963" i="7"/>
  <c r="Q962" i="7"/>
  <c r="Q961" i="7"/>
  <c r="Q960" i="7"/>
  <c r="Q959" i="7"/>
  <c r="Q958" i="7"/>
  <c r="Q957" i="7"/>
  <c r="Q956" i="7"/>
  <c r="Q955" i="7"/>
  <c r="Q954" i="7"/>
  <c r="Q953" i="7"/>
  <c r="Q952" i="7"/>
  <c r="Q951" i="7"/>
  <c r="Q950" i="7"/>
  <c r="Q949" i="7"/>
  <c r="Q948" i="7"/>
  <c r="Q947" i="7"/>
  <c r="Q946" i="7"/>
  <c r="Q945" i="7"/>
  <c r="Q944" i="7"/>
  <c r="Q943" i="7"/>
  <c r="Q942" i="7"/>
  <c r="Q941" i="7"/>
  <c r="Q940" i="7"/>
  <c r="Q939" i="7"/>
  <c r="Q938" i="7"/>
  <c r="Q937" i="7"/>
  <c r="Q936" i="7"/>
  <c r="Q935" i="7"/>
  <c r="Q934" i="7"/>
  <c r="Q933" i="7"/>
  <c r="Q932" i="7"/>
  <c r="Q931" i="7"/>
  <c r="Q930" i="7"/>
  <c r="Q929" i="7"/>
  <c r="Q928" i="7"/>
  <c r="Q927" i="7"/>
  <c r="Q926" i="7"/>
  <c r="Q925" i="7"/>
  <c r="Q924" i="7"/>
  <c r="Q923" i="7"/>
  <c r="Q922" i="7"/>
  <c r="Q921" i="7"/>
  <c r="Q920" i="7"/>
  <c r="Q919" i="7"/>
  <c r="Q918" i="7"/>
  <c r="Q917" i="7"/>
  <c r="Q916" i="7"/>
  <c r="Q915" i="7"/>
  <c r="Q914" i="7"/>
  <c r="Q913" i="7"/>
  <c r="Q912" i="7"/>
  <c r="Q911" i="7"/>
  <c r="Q910" i="7"/>
  <c r="Q909" i="7"/>
  <c r="Q908" i="7"/>
  <c r="Q907" i="7"/>
  <c r="Q906" i="7"/>
  <c r="Q905" i="7"/>
  <c r="Q904" i="7"/>
  <c r="Q903" i="7"/>
  <c r="Q902" i="7"/>
  <c r="Q901" i="7"/>
  <c r="Q900" i="7"/>
  <c r="Q899" i="7"/>
  <c r="Q898" i="7"/>
  <c r="Q897" i="7"/>
  <c r="Q896" i="7"/>
  <c r="Q895" i="7"/>
  <c r="Q894" i="7"/>
  <c r="Q893" i="7"/>
  <c r="Q892" i="7"/>
  <c r="Q891" i="7"/>
  <c r="Q890" i="7"/>
  <c r="Q889" i="7"/>
  <c r="Q888" i="7"/>
  <c r="Q887" i="7"/>
  <c r="Q886" i="7"/>
  <c r="Q885" i="7"/>
  <c r="Q884" i="7"/>
  <c r="Q883" i="7"/>
  <c r="Q882" i="7"/>
  <c r="Q881" i="7"/>
  <c r="Q880" i="7"/>
  <c r="Q879" i="7"/>
  <c r="Q878" i="7"/>
  <c r="Q877" i="7"/>
  <c r="Q876" i="7"/>
  <c r="Q875" i="7"/>
  <c r="Q874" i="7"/>
  <c r="Q873" i="7"/>
  <c r="Q872" i="7"/>
  <c r="Q871" i="7"/>
  <c r="Q870" i="7"/>
  <c r="Q869" i="7"/>
  <c r="Q868" i="7"/>
  <c r="Q867" i="7"/>
  <c r="Q866" i="7"/>
  <c r="Q865" i="7"/>
  <c r="Q864" i="7"/>
  <c r="Q863" i="7"/>
  <c r="Q862" i="7"/>
  <c r="Q861" i="7"/>
  <c r="Q860" i="7"/>
  <c r="Q859" i="7"/>
  <c r="Q858" i="7"/>
  <c r="Q857" i="7"/>
  <c r="Q856" i="7"/>
  <c r="Q855" i="7"/>
  <c r="Q854" i="7"/>
  <c r="Q853" i="7"/>
  <c r="Q852" i="7"/>
  <c r="Q851" i="7"/>
  <c r="Q850" i="7"/>
  <c r="Q849" i="7"/>
  <c r="Q848" i="7"/>
  <c r="Q847" i="7"/>
  <c r="Q846" i="7"/>
  <c r="Q845" i="7"/>
  <c r="Q844" i="7"/>
  <c r="Q843" i="7"/>
  <c r="Q842" i="7"/>
  <c r="Q841" i="7"/>
  <c r="Q840" i="7"/>
  <c r="Q839" i="7"/>
  <c r="Q838" i="7"/>
  <c r="Q837" i="7"/>
  <c r="Q836" i="7"/>
  <c r="Q835" i="7"/>
  <c r="Q834" i="7"/>
  <c r="Q833" i="7"/>
  <c r="Q832" i="7"/>
  <c r="Q831" i="7"/>
  <c r="Q830" i="7"/>
  <c r="Q829" i="7"/>
  <c r="Q828" i="7"/>
  <c r="Q827" i="7"/>
  <c r="Q826" i="7"/>
  <c r="Q825" i="7"/>
  <c r="Q824" i="7"/>
  <c r="Q823" i="7"/>
  <c r="Q822" i="7"/>
  <c r="Q821" i="7"/>
  <c r="Q820" i="7"/>
  <c r="Q819" i="7"/>
  <c r="Q818" i="7"/>
  <c r="Q817" i="7"/>
  <c r="Q816" i="7"/>
  <c r="Q815" i="7"/>
  <c r="Q814" i="7"/>
  <c r="Q813" i="7"/>
  <c r="Q812" i="7"/>
  <c r="Q811" i="7"/>
  <c r="Q810" i="7"/>
  <c r="Q809" i="7"/>
  <c r="Q808" i="7"/>
  <c r="Q807" i="7"/>
  <c r="Q806" i="7"/>
  <c r="Q805" i="7"/>
  <c r="Q804" i="7"/>
  <c r="Q803" i="7"/>
  <c r="Q802" i="7"/>
  <c r="Q801" i="7"/>
  <c r="Q800" i="7"/>
  <c r="Q799" i="7"/>
  <c r="Q798" i="7"/>
  <c r="Q797" i="7"/>
  <c r="Q796" i="7"/>
  <c r="Q795" i="7"/>
  <c r="Q794" i="7"/>
  <c r="Q793" i="7"/>
  <c r="Q792" i="7"/>
  <c r="Q791" i="7"/>
  <c r="Q790" i="7"/>
  <c r="Q789" i="7"/>
  <c r="Q788" i="7"/>
  <c r="Q787" i="7"/>
  <c r="Q786" i="7"/>
  <c r="Q785" i="7"/>
  <c r="Q784" i="7"/>
  <c r="Q783" i="7"/>
  <c r="Q782" i="7"/>
  <c r="Q781" i="7"/>
  <c r="Q780" i="7"/>
  <c r="Q779" i="7"/>
  <c r="Q778" i="7"/>
  <c r="Q777" i="7"/>
  <c r="Q776" i="7"/>
  <c r="Q775" i="7"/>
  <c r="Q774" i="7"/>
  <c r="Q773" i="7"/>
  <c r="Q772" i="7"/>
  <c r="Q771" i="7"/>
  <c r="Q770" i="7"/>
  <c r="Q769" i="7"/>
  <c r="Q768" i="7"/>
  <c r="Q767" i="7"/>
  <c r="Q766" i="7"/>
  <c r="Q765" i="7"/>
  <c r="Q764" i="7"/>
  <c r="Q763" i="7"/>
  <c r="Q762" i="7"/>
  <c r="Q761" i="7"/>
  <c r="Q760" i="7"/>
  <c r="Q759" i="7"/>
  <c r="Q758" i="7"/>
  <c r="Q757" i="7"/>
  <c r="Q756" i="7"/>
  <c r="Q755" i="7"/>
  <c r="Q754" i="7"/>
  <c r="Q753" i="7"/>
  <c r="Q752" i="7"/>
  <c r="Q751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22" i="7"/>
  <c r="Q721" i="7"/>
  <c r="Q720" i="7"/>
  <c r="Q719" i="7"/>
  <c r="Q718" i="7"/>
  <c r="Q717" i="7"/>
  <c r="Q716" i="7"/>
  <c r="Q715" i="7"/>
  <c r="Q714" i="7"/>
  <c r="Q713" i="7"/>
  <c r="Q712" i="7"/>
  <c r="Q711" i="7"/>
  <c r="Q710" i="7"/>
  <c r="Q709" i="7"/>
  <c r="Q708" i="7"/>
  <c r="Q707" i="7"/>
  <c r="Q706" i="7"/>
  <c r="Q705" i="7"/>
  <c r="Q704" i="7"/>
  <c r="Q703" i="7"/>
  <c r="Q702" i="7"/>
  <c r="Q701" i="7"/>
  <c r="Q700" i="7"/>
  <c r="Q699" i="7"/>
  <c r="Q698" i="7"/>
  <c r="Q697" i="7"/>
  <c r="Q696" i="7"/>
  <c r="Q695" i="7"/>
  <c r="Q694" i="7"/>
  <c r="Q693" i="7"/>
  <c r="Q692" i="7"/>
  <c r="Q690" i="7"/>
  <c r="Q689" i="7"/>
  <c r="Q688" i="7"/>
  <c r="Q687" i="7"/>
  <c r="Q686" i="7"/>
  <c r="Q685" i="7"/>
  <c r="Q684" i="7"/>
  <c r="Q683" i="7"/>
  <c r="Q682" i="7"/>
  <c r="Q681" i="7"/>
  <c r="Q680" i="7"/>
  <c r="Q679" i="7"/>
  <c r="Q678" i="7"/>
  <c r="Q677" i="7"/>
  <c r="Q676" i="7"/>
  <c r="Q675" i="7"/>
  <c r="Q674" i="7"/>
  <c r="Q673" i="7"/>
  <c r="Q672" i="7"/>
  <c r="Q671" i="7"/>
  <c r="Q670" i="7"/>
  <c r="Q669" i="7"/>
  <c r="Q668" i="7"/>
  <c r="Q667" i="7"/>
  <c r="Q666" i="7"/>
  <c r="Q665" i="7"/>
  <c r="Q664" i="7"/>
  <c r="Q663" i="7"/>
  <c r="Q662" i="7"/>
  <c r="Q661" i="7"/>
  <c r="Q691" i="7"/>
  <c r="Q660" i="7"/>
  <c r="Q659" i="7"/>
  <c r="Q658" i="7"/>
  <c r="Q657" i="7"/>
  <c r="Q656" i="7"/>
  <c r="Q655" i="7"/>
  <c r="Q654" i="7"/>
  <c r="Q653" i="7"/>
  <c r="Q652" i="7"/>
  <c r="Q651" i="7"/>
  <c r="Q650" i="7"/>
  <c r="Q649" i="7"/>
  <c r="Q648" i="7"/>
  <c r="Q647" i="7"/>
  <c r="Q646" i="7"/>
  <c r="Q645" i="7"/>
  <c r="Q644" i="7"/>
  <c r="Q643" i="7"/>
  <c r="Q642" i="7"/>
  <c r="Q641" i="7"/>
  <c r="Q640" i="7"/>
  <c r="Q639" i="7"/>
  <c r="Q638" i="7"/>
  <c r="Q637" i="7"/>
  <c r="Q636" i="7"/>
  <c r="Q635" i="7"/>
  <c r="Q634" i="7"/>
  <c r="Q633" i="7"/>
  <c r="Q632" i="7"/>
  <c r="Q631" i="7"/>
  <c r="Q630" i="7"/>
  <c r="Q629" i="7"/>
  <c r="Q628" i="7"/>
  <c r="Q627" i="7"/>
  <c r="Q626" i="7"/>
  <c r="Q625" i="7"/>
  <c r="Q624" i="7"/>
  <c r="Q623" i="7"/>
  <c r="Q622" i="7"/>
  <c r="Q621" i="7"/>
  <c r="Q620" i="7"/>
  <c r="Q619" i="7"/>
  <c r="Q618" i="7"/>
  <c r="Q617" i="7"/>
  <c r="Q616" i="7"/>
  <c r="Q615" i="7"/>
  <c r="Q614" i="7"/>
  <c r="Q613" i="7"/>
  <c r="Q612" i="7"/>
  <c r="Q611" i="7"/>
  <c r="Q610" i="7"/>
  <c r="Q609" i="7"/>
  <c r="Q608" i="7"/>
  <c r="Q607" i="7"/>
  <c r="Q606" i="7"/>
  <c r="Q605" i="7"/>
  <c r="Q604" i="7"/>
  <c r="Q603" i="7"/>
  <c r="Q602" i="7"/>
  <c r="Q601" i="7"/>
  <c r="Q600" i="7"/>
  <c r="Q599" i="7"/>
  <c r="Q598" i="7"/>
  <c r="Q597" i="7"/>
  <c r="Q596" i="7"/>
  <c r="Q595" i="7"/>
  <c r="Q594" i="7"/>
  <c r="Q593" i="7"/>
  <c r="Q592" i="7"/>
  <c r="Q591" i="7"/>
  <c r="Q590" i="7"/>
  <c r="Q589" i="7"/>
  <c r="Q588" i="7"/>
  <c r="Q587" i="7"/>
  <c r="Q586" i="7"/>
  <c r="Q585" i="7"/>
  <c r="V15" i="26" l="1"/>
  <c r="BF24" i="26"/>
  <c r="BF20" i="26"/>
  <c r="BF27" i="26"/>
  <c r="BF33" i="26"/>
  <c r="BF17" i="26"/>
  <c r="BF6" i="26"/>
  <c r="BF7" i="26" s="1"/>
  <c r="BF92" i="26"/>
  <c r="BF96" i="26"/>
  <c r="BC96" i="26"/>
  <c r="BC78" i="26"/>
  <c r="BC79" i="26" s="1"/>
  <c r="BD92" i="26"/>
  <c r="BG59" i="26"/>
  <c r="BF68" i="26"/>
  <c r="BG30" i="26"/>
  <c r="BE27" i="26"/>
  <c r="BF69" i="26"/>
  <c r="BG92" i="26"/>
  <c r="BF80" i="26"/>
  <c r="BF82" i="26" s="1"/>
  <c r="BG15" i="26"/>
  <c r="BF89" i="26"/>
  <c r="BF84" i="26"/>
  <c r="BF78" i="26"/>
  <c r="BF83" i="26"/>
  <c r="BF77" i="26"/>
  <c r="BG95" i="26"/>
  <c r="BB39" i="26"/>
  <c r="BB40" i="26" s="1"/>
  <c r="BE23" i="26"/>
  <c r="BE14" i="26"/>
  <c r="BE8" i="26"/>
  <c r="BE26" i="26"/>
  <c r="BC36" i="26"/>
  <c r="BC37" i="26" s="1"/>
  <c r="BH51" i="26"/>
  <c r="BH93" i="26"/>
  <c r="BH42" i="26"/>
  <c r="BH6" i="26"/>
  <c r="BH65" i="26"/>
  <c r="BH96" i="26"/>
  <c r="BH78" i="26"/>
  <c r="BH44" i="26"/>
  <c r="BH9" i="26"/>
  <c r="BH32" i="26"/>
  <c r="BH15" i="26"/>
  <c r="BH30" i="26"/>
  <c r="BG71" i="26"/>
  <c r="BH86" i="26"/>
  <c r="BH11" i="26"/>
  <c r="BH21" i="26"/>
  <c r="BH72" i="26"/>
  <c r="BH47" i="26"/>
  <c r="BH56" i="26"/>
  <c r="BH36" i="26"/>
  <c r="BG18" i="26"/>
  <c r="BH48" i="26"/>
  <c r="BH84" i="26"/>
  <c r="BH29" i="26"/>
  <c r="BG63" i="26"/>
  <c r="BH75" i="26"/>
  <c r="BG74" i="26"/>
  <c r="BH23" i="26"/>
  <c r="BH68" i="26"/>
  <c r="BH92" i="26"/>
  <c r="BG20" i="26"/>
  <c r="BH18" i="26"/>
  <c r="BH19" i="26" s="1"/>
  <c r="BH8" i="26"/>
  <c r="BH63" i="26"/>
  <c r="BH27" i="26"/>
  <c r="BH14" i="26"/>
  <c r="BH39" i="26"/>
  <c r="BG45" i="26"/>
  <c r="BH89" i="26"/>
  <c r="BH45" i="26"/>
  <c r="BG89" i="26"/>
  <c r="BG6" i="26"/>
  <c r="BG26" i="26"/>
  <c r="BG96" i="26"/>
  <c r="BH5" i="26"/>
  <c r="BH83" i="26"/>
  <c r="BH26" i="26"/>
  <c r="BH24" i="26"/>
  <c r="BH50" i="26"/>
  <c r="BH20" i="26"/>
  <c r="BH77" i="26"/>
  <c r="BH71" i="26"/>
  <c r="BC54" i="26"/>
  <c r="BC55" i="26" s="1"/>
  <c r="BB27" i="26"/>
  <c r="BB28" i="26" s="1"/>
  <c r="BD89" i="26"/>
  <c r="BD96" i="26"/>
  <c r="X15" i="26"/>
  <c r="BG86" i="26"/>
  <c r="BG77" i="26"/>
  <c r="BH57" i="26"/>
  <c r="Z100" i="26"/>
  <c r="BG93" i="26"/>
  <c r="BG38" i="26"/>
  <c r="BG36" i="26"/>
  <c r="BG72" i="26"/>
  <c r="BG80" i="26"/>
  <c r="BG44" i="26"/>
  <c r="BG32" i="26"/>
  <c r="BG42" i="26"/>
  <c r="BG84" i="26"/>
  <c r="BG78" i="26"/>
  <c r="BG99" i="26"/>
  <c r="BG21" i="26"/>
  <c r="BG65" i="26"/>
  <c r="BE86" i="26"/>
  <c r="BG62" i="26"/>
  <c r="BF98" i="26"/>
  <c r="BG8" i="26"/>
  <c r="BE93" i="26"/>
  <c r="BE89" i="26"/>
  <c r="BG29" i="26"/>
  <c r="BG56" i="26"/>
  <c r="BI98" i="26"/>
  <c r="BG50" i="26"/>
  <c r="BG9" i="26"/>
  <c r="BG51" i="26"/>
  <c r="BE96" i="26"/>
  <c r="BE77" i="26"/>
  <c r="BF62" i="26"/>
  <c r="BI69" i="26"/>
  <c r="BE11" i="26"/>
  <c r="BE36" i="26"/>
  <c r="BH98" i="26"/>
  <c r="BC50" i="26"/>
  <c r="BC52" i="26" s="1"/>
  <c r="BE47" i="26"/>
  <c r="BD6" i="26"/>
  <c r="BE50" i="26"/>
  <c r="BE44" i="26"/>
  <c r="BI20" i="26"/>
  <c r="BB93" i="26"/>
  <c r="BB94" i="26" s="1"/>
  <c r="BD29" i="26"/>
  <c r="BD51" i="26"/>
  <c r="BE51" i="26"/>
  <c r="BE56" i="26"/>
  <c r="Z29" i="26"/>
  <c r="BI60" i="26"/>
  <c r="BI17" i="26"/>
  <c r="BE42" i="26"/>
  <c r="BD95" i="26"/>
  <c r="BE32" i="26"/>
  <c r="BE57" i="26"/>
  <c r="BB41" i="26"/>
  <c r="BB43" i="26" s="1"/>
  <c r="BF60" i="26"/>
  <c r="BA95" i="26"/>
  <c r="BE63" i="26"/>
  <c r="BE53" i="26"/>
  <c r="BB14" i="26"/>
  <c r="BB16" i="26" s="1"/>
  <c r="BE48" i="26"/>
  <c r="BE45" i="26"/>
  <c r="BB63" i="26"/>
  <c r="BB64" i="26" s="1"/>
  <c r="BE54" i="26"/>
  <c r="BC44" i="26"/>
  <c r="BC46" i="26" s="1"/>
  <c r="BC32" i="26"/>
  <c r="BC34" i="26" s="1"/>
  <c r="BG68" i="26"/>
  <c r="BF99" i="26"/>
  <c r="BF48" i="26"/>
  <c r="BH54" i="26"/>
  <c r="BC11" i="26"/>
  <c r="BC13" i="26" s="1"/>
  <c r="BE59" i="26"/>
  <c r="BI14" i="26"/>
  <c r="BE39" i="26"/>
  <c r="BD20" i="26"/>
  <c r="BD32" i="26"/>
  <c r="BE24" i="26"/>
  <c r="BE9" i="26"/>
  <c r="BF29" i="26"/>
  <c r="BF21" i="26"/>
  <c r="BF90" i="26"/>
  <c r="BF71" i="26"/>
  <c r="BF95" i="26"/>
  <c r="BE6" i="26"/>
  <c r="BD9" i="26"/>
  <c r="BD30" i="26"/>
  <c r="BE5" i="26"/>
  <c r="BD26" i="26"/>
  <c r="BD8" i="26"/>
  <c r="BE83" i="26"/>
  <c r="BE78" i="26"/>
  <c r="BE84" i="26"/>
  <c r="BD36" i="26"/>
  <c r="BD54" i="26"/>
  <c r="BF86" i="26"/>
  <c r="BE18" i="26"/>
  <c r="BC71" i="26"/>
  <c r="BC95" i="26"/>
  <c r="BD21" i="26"/>
  <c r="BE20" i="26"/>
  <c r="BE21" i="26"/>
  <c r="BF72" i="26"/>
  <c r="BD45" i="26"/>
  <c r="BD15" i="26"/>
  <c r="BD18" i="26"/>
  <c r="BE92" i="26"/>
  <c r="BE30" i="26"/>
  <c r="BD56" i="26"/>
  <c r="BA38" i="26"/>
  <c r="BF75" i="26"/>
  <c r="BF74" i="26"/>
  <c r="BC72" i="26"/>
  <c r="BE15" i="26"/>
  <c r="BE29" i="26"/>
  <c r="BD38" i="26"/>
  <c r="BF93" i="26"/>
  <c r="BF87" i="26"/>
  <c r="BF66" i="26"/>
  <c r="BF67" i="26" s="1"/>
  <c r="BC39" i="26"/>
  <c r="BD71" i="26"/>
  <c r="BD73" i="26" s="1"/>
  <c r="BE65" i="26"/>
  <c r="BD63" i="26"/>
  <c r="BD64" i="26" s="1"/>
  <c r="BG54" i="26"/>
  <c r="BG53" i="26"/>
  <c r="BB77" i="26"/>
  <c r="BB79" i="26" s="1"/>
  <c r="BI21" i="26"/>
  <c r="BD99" i="26"/>
  <c r="BF44" i="26"/>
  <c r="BB23" i="26"/>
  <c r="BB25" i="26" s="1"/>
  <c r="BD50" i="26"/>
  <c r="BD84" i="26"/>
  <c r="BF39" i="26"/>
  <c r="BC5" i="26"/>
  <c r="BC7" i="26" s="1"/>
  <c r="BI83" i="26"/>
  <c r="BF18" i="26"/>
  <c r="BF15" i="26"/>
  <c r="BG83" i="26"/>
  <c r="BG75" i="26"/>
  <c r="X89" i="26"/>
  <c r="X91" i="26" s="1"/>
  <c r="BH66" i="26"/>
  <c r="BE35" i="26"/>
  <c r="BA98" i="26"/>
  <c r="BD59" i="26"/>
  <c r="AW94" i="26"/>
  <c r="BI45" i="26"/>
  <c r="BF35" i="26"/>
  <c r="BE62" i="26"/>
  <c r="BD44" i="26"/>
  <c r="BF14" i="26"/>
  <c r="BB45" i="26"/>
  <c r="BB46" i="26" s="1"/>
  <c r="BC92" i="26"/>
  <c r="BC94" i="26" s="1"/>
  <c r="BF9" i="26"/>
  <c r="BD80" i="26"/>
  <c r="BB11" i="26"/>
  <c r="BB13" i="26" s="1"/>
  <c r="BF23" i="26"/>
  <c r="BG5" i="26"/>
  <c r="BF36" i="26"/>
  <c r="BB17" i="26"/>
  <c r="BB19" i="26" s="1"/>
  <c r="BD42" i="26"/>
  <c r="BF8" i="26"/>
  <c r="BF30" i="26"/>
  <c r="BB47" i="26"/>
  <c r="BB49" i="26" s="1"/>
  <c r="BF11" i="26"/>
  <c r="BF32" i="26"/>
  <c r="BF34" i="26" s="1"/>
  <c r="BB59" i="26"/>
  <c r="BB61" i="26" s="1"/>
  <c r="BE68" i="26"/>
  <c r="BF26" i="26"/>
  <c r="BE72" i="26"/>
  <c r="BE71" i="26"/>
  <c r="BF12" i="26"/>
  <c r="BF38" i="26"/>
  <c r="BE69" i="26"/>
  <c r="BD69" i="26"/>
  <c r="BB96" i="26"/>
  <c r="BE81" i="26"/>
  <c r="BI47" i="26"/>
  <c r="BC63" i="26"/>
  <c r="BC64" i="26" s="1"/>
  <c r="BD57" i="26"/>
  <c r="Y20" i="26"/>
  <c r="W20" i="26"/>
  <c r="AA20" i="26"/>
  <c r="BD33" i="26"/>
  <c r="V84" i="26"/>
  <c r="X84" i="26"/>
  <c r="Z84" i="26"/>
  <c r="BG35" i="26"/>
  <c r="BD39" i="26"/>
  <c r="BD66" i="26"/>
  <c r="BA47" i="26"/>
  <c r="AW49" i="26"/>
  <c r="BG48" i="26"/>
  <c r="V17" i="26"/>
  <c r="X17" i="26"/>
  <c r="Z17" i="26"/>
  <c r="BA83" i="26"/>
  <c r="AW85" i="26"/>
  <c r="BC98" i="26"/>
  <c r="X78" i="26"/>
  <c r="V78" i="26"/>
  <c r="Z78" i="26"/>
  <c r="V59" i="26"/>
  <c r="Z59" i="26"/>
  <c r="X59" i="26"/>
  <c r="X77" i="26"/>
  <c r="V77" i="26"/>
  <c r="Z77" i="26"/>
  <c r="BI27" i="26"/>
  <c r="BI39" i="26"/>
  <c r="BA21" i="26"/>
  <c r="BA22" i="26" s="1"/>
  <c r="AW22" i="26"/>
  <c r="W27" i="26"/>
  <c r="Y27" i="26"/>
  <c r="AA27" i="26"/>
  <c r="BA78" i="26"/>
  <c r="BA79" i="26" s="1"/>
  <c r="AW79" i="26"/>
  <c r="BI18" i="26"/>
  <c r="BI8" i="26"/>
  <c r="BI26" i="26"/>
  <c r="V33" i="26"/>
  <c r="X33" i="26"/>
  <c r="Z33" i="26"/>
  <c r="BF50" i="26"/>
  <c r="BI84" i="26"/>
  <c r="BD53" i="26"/>
  <c r="BA80" i="26"/>
  <c r="AW82" i="26"/>
  <c r="BA81" i="26"/>
  <c r="X80" i="26"/>
  <c r="V80" i="26"/>
  <c r="V82" i="26" s="1"/>
  <c r="Z80" i="26"/>
  <c r="Z82" i="26" s="1"/>
  <c r="V45" i="26"/>
  <c r="Z45" i="26"/>
  <c r="X45" i="26"/>
  <c r="BH69" i="26"/>
  <c r="BE66" i="26"/>
  <c r="BG69" i="26"/>
  <c r="BB35" i="26"/>
  <c r="BB37" i="26" s="1"/>
  <c r="BD98" i="26"/>
  <c r="BC47" i="26"/>
  <c r="BC49" i="26" s="1"/>
  <c r="BF56" i="26"/>
  <c r="BA69" i="26"/>
  <c r="BA70" i="26" s="1"/>
  <c r="AW70" i="26"/>
  <c r="BD90" i="26"/>
  <c r="Y38" i="26"/>
  <c r="AA38" i="26"/>
  <c r="X96" i="26"/>
  <c r="Z96" i="26"/>
  <c r="BD35" i="26"/>
  <c r="BG39" i="26"/>
  <c r="BH62" i="26"/>
  <c r="BH74" i="26"/>
  <c r="BA48" i="26"/>
  <c r="BD27" i="26"/>
  <c r="BC69" i="26"/>
  <c r="BC70" i="26" s="1"/>
  <c r="X68" i="26"/>
  <c r="V68" i="26"/>
  <c r="Z68" i="26"/>
  <c r="V23" i="26"/>
  <c r="Z23" i="26"/>
  <c r="X23" i="26"/>
  <c r="BI44" i="26"/>
  <c r="V26" i="26"/>
  <c r="Z26" i="26"/>
  <c r="X26" i="26"/>
  <c r="BB68" i="26"/>
  <c r="BB70" i="26" s="1"/>
  <c r="BA45" i="26"/>
  <c r="BA46" i="26" s="1"/>
  <c r="AW46" i="26"/>
  <c r="V6" i="26"/>
  <c r="X6" i="26"/>
  <c r="Z6" i="26"/>
  <c r="BI15" i="26"/>
  <c r="V5" i="26"/>
  <c r="Z5" i="26"/>
  <c r="X5" i="26"/>
  <c r="BI29" i="26"/>
  <c r="BI9" i="26"/>
  <c r="BA53" i="26"/>
  <c r="BA55" i="26" s="1"/>
  <c r="AW55" i="26"/>
  <c r="Z91" i="26"/>
  <c r="X95" i="26"/>
  <c r="Z95" i="26"/>
  <c r="X63" i="26"/>
  <c r="Z63" i="26"/>
  <c r="V21" i="26"/>
  <c r="Z21" i="26"/>
  <c r="X21" i="26"/>
  <c r="BI87" i="26"/>
  <c r="BD12" i="26"/>
  <c r="BI66" i="26"/>
  <c r="BI74" i="26"/>
  <c r="BI56" i="26"/>
  <c r="BG90" i="26"/>
  <c r="X81" i="26"/>
  <c r="X86" i="26"/>
  <c r="X72" i="26"/>
  <c r="Z72" i="26"/>
  <c r="BA35" i="26"/>
  <c r="BA37" i="26" s="1"/>
  <c r="AW37" i="26"/>
  <c r="X87" i="26"/>
  <c r="BH12" i="26"/>
  <c r="BE87" i="26"/>
  <c r="BB74" i="26"/>
  <c r="BB76" i="26" s="1"/>
  <c r="BG27" i="26"/>
  <c r="BI95" i="26"/>
  <c r="BI57" i="26"/>
  <c r="V36" i="26"/>
  <c r="X36" i="26"/>
  <c r="Z36" i="26"/>
  <c r="BA87" i="26"/>
  <c r="AW88" i="26"/>
  <c r="X71" i="26"/>
  <c r="Z71" i="26"/>
  <c r="V27" i="26"/>
  <c r="Z27" i="26"/>
  <c r="X27" i="26"/>
  <c r="BI5" i="26"/>
  <c r="BI78" i="26"/>
  <c r="BA57" i="26"/>
  <c r="BA58" i="26" s="1"/>
  <c r="AW58" i="26"/>
  <c r="V44" i="26"/>
  <c r="Z44" i="26"/>
  <c r="X44" i="26"/>
  <c r="BB20" i="26"/>
  <c r="BB22" i="26" s="1"/>
  <c r="V14" i="26"/>
  <c r="Z14" i="26"/>
  <c r="Z16" i="26" s="1"/>
  <c r="X14" i="26"/>
  <c r="V91" i="26"/>
  <c r="BA62" i="26"/>
  <c r="BA39" i="26"/>
  <c r="AW40" i="26"/>
  <c r="BB71" i="26"/>
  <c r="BB73" i="26" s="1"/>
  <c r="BI90" i="26"/>
  <c r="BI12" i="26"/>
  <c r="BI75" i="26"/>
  <c r="BG12" i="26"/>
  <c r="BG13" i="26" s="1"/>
  <c r="BG98" i="26"/>
  <c r="BC74" i="26"/>
  <c r="BC76" i="26" s="1"/>
  <c r="BG23" i="26"/>
  <c r="BF54" i="26"/>
  <c r="BD24" i="26"/>
  <c r="BD25" i="26" s="1"/>
  <c r="V69" i="26"/>
  <c r="X69" i="26"/>
  <c r="Z69" i="26"/>
  <c r="BD14" i="26"/>
  <c r="BE33" i="26"/>
  <c r="BH59" i="26"/>
  <c r="BE12" i="26"/>
  <c r="BD60" i="26"/>
  <c r="BH87" i="26"/>
  <c r="BE74" i="26"/>
  <c r="BE76" i="26" s="1"/>
  <c r="BE90" i="26"/>
  <c r="W21" i="26"/>
  <c r="Y21" i="26"/>
  <c r="AA21" i="26"/>
  <c r="BF57" i="26"/>
  <c r="AA100" i="26"/>
  <c r="BI23" i="26"/>
  <c r="BI81" i="26"/>
  <c r="BI48" i="26"/>
  <c r="BI33" i="26"/>
  <c r="BA27" i="26"/>
  <c r="BA28" i="26" s="1"/>
  <c r="AW28" i="26"/>
  <c r="W9" i="26"/>
  <c r="AA9" i="26"/>
  <c r="Y9" i="26"/>
  <c r="V54" i="26"/>
  <c r="Z54" i="26"/>
  <c r="X54" i="26"/>
  <c r="BA96" i="26"/>
  <c r="AW97" i="26"/>
  <c r="BD81" i="26"/>
  <c r="BI96" i="26"/>
  <c r="BI89" i="26"/>
  <c r="V32" i="26"/>
  <c r="X32" i="26"/>
  <c r="Z32" i="26"/>
  <c r="Z39" i="26"/>
  <c r="X39" i="26"/>
  <c r="BE98" i="26"/>
  <c r="BH53" i="26"/>
  <c r="BA99" i="26"/>
  <c r="AW100" i="26"/>
  <c r="BG81" i="26"/>
  <c r="BI77" i="26"/>
  <c r="BG87" i="26"/>
  <c r="BE38" i="26"/>
  <c r="BA23" i="26"/>
  <c r="BA25" i="26" s="1"/>
  <c r="AW25" i="26"/>
  <c r="BI54" i="26"/>
  <c r="X38" i="26"/>
  <c r="Z38" i="26"/>
  <c r="BG24" i="26"/>
  <c r="BI41" i="26"/>
  <c r="BG14" i="26"/>
  <c r="BB33" i="26"/>
  <c r="BB34" i="26" s="1"/>
  <c r="BF53" i="26"/>
  <c r="BH80" i="26"/>
  <c r="BD11" i="26"/>
  <c r="BG60" i="26"/>
  <c r="BB87" i="26"/>
  <c r="BB88" i="26" s="1"/>
  <c r="BI38" i="26"/>
  <c r="BB90" i="26"/>
  <c r="BB91" i="26" s="1"/>
  <c r="AA39" i="26"/>
  <c r="Y39" i="26"/>
  <c r="BF59" i="26"/>
  <c r="BE60" i="26"/>
  <c r="W8" i="26"/>
  <c r="Y8" i="26"/>
  <c r="AA8" i="26"/>
  <c r="BA90" i="26"/>
  <c r="BA91" i="26" s="1"/>
  <c r="AW91" i="26"/>
  <c r="BI68" i="26"/>
  <c r="V24" i="26"/>
  <c r="X24" i="26"/>
  <c r="Z24" i="26"/>
  <c r="V50" i="26"/>
  <c r="X50" i="26"/>
  <c r="Z50" i="26"/>
  <c r="BB6" i="26"/>
  <c r="BB7" i="26" s="1"/>
  <c r="BA71" i="26"/>
  <c r="AW73" i="26"/>
  <c r="X93" i="26"/>
  <c r="V93" i="26"/>
  <c r="Z93" i="26"/>
  <c r="V12" i="26"/>
  <c r="Z12" i="26"/>
  <c r="X12" i="26"/>
  <c r="X62" i="26"/>
  <c r="Z62" i="26"/>
  <c r="BA86" i="26"/>
  <c r="BI92" i="26"/>
  <c r="BD65" i="26"/>
  <c r="BD78" i="26"/>
  <c r="V74" i="26"/>
  <c r="X74" i="26"/>
  <c r="Z74" i="26"/>
  <c r="V11" i="26"/>
  <c r="X11" i="26"/>
  <c r="Z11" i="26"/>
  <c r="BI30" i="26"/>
  <c r="BA72" i="26"/>
  <c r="BB51" i="26"/>
  <c r="BB52" i="26" s="1"/>
  <c r="BC86" i="26"/>
  <c r="BC88" i="26" s="1"/>
  <c r="BF51" i="26"/>
  <c r="BD74" i="26"/>
  <c r="BI65" i="26"/>
  <c r="BC90" i="26"/>
  <c r="BC91" i="26" s="1"/>
  <c r="V57" i="26"/>
  <c r="X57" i="26"/>
  <c r="Z57" i="26"/>
  <c r="BB98" i="26"/>
  <c r="BD5" i="26"/>
  <c r="BB53" i="26"/>
  <c r="BB55" i="26" s="1"/>
  <c r="BG41" i="26"/>
  <c r="BE95" i="26"/>
  <c r="BH38" i="26"/>
  <c r="V20" i="26"/>
  <c r="Z20" i="26"/>
  <c r="X20" i="26"/>
  <c r="BF41" i="26"/>
  <c r="BH33" i="26"/>
  <c r="BI53" i="26"/>
  <c r="BE80" i="26"/>
  <c r="BA11" i="26"/>
  <c r="BA13" i="26" s="1"/>
  <c r="AW13" i="26"/>
  <c r="BG17" i="26"/>
  <c r="BE99" i="26"/>
  <c r="BC38" i="26"/>
  <c r="BH90" i="26"/>
  <c r="BC59" i="26"/>
  <c r="BC61" i="26" s="1"/>
  <c r="BH60" i="26"/>
  <c r="BA59" i="26"/>
  <c r="BA61" i="26" s="1"/>
  <c r="AW61" i="26"/>
  <c r="BC80" i="26"/>
  <c r="BC82" i="26" s="1"/>
  <c r="BI62" i="26"/>
  <c r="BI24" i="26"/>
  <c r="V35" i="26"/>
  <c r="X35" i="26"/>
  <c r="Z35" i="26"/>
  <c r="V41" i="26"/>
  <c r="Z41" i="26"/>
  <c r="X41" i="26"/>
  <c r="AW10" i="26"/>
  <c r="W26" i="26"/>
  <c r="AA26" i="26"/>
  <c r="Y26" i="26"/>
  <c r="BA29" i="26"/>
  <c r="BA31" i="26" s="1"/>
  <c r="AW31" i="26"/>
  <c r="BF42" i="26"/>
  <c r="V53" i="26"/>
  <c r="X53" i="26"/>
  <c r="Z53" i="26"/>
  <c r="BD77" i="26"/>
  <c r="BA33" i="26"/>
  <c r="BA34" i="26" s="1"/>
  <c r="AW34" i="26"/>
  <c r="BB65" i="26"/>
  <c r="BB67" i="26" s="1"/>
  <c r="BI99" i="26"/>
  <c r="BD86" i="26"/>
  <c r="BD88" i="26" s="1"/>
  <c r="BD93" i="26"/>
  <c r="BD94" i="26" s="1"/>
  <c r="BD83" i="26"/>
  <c r="BD75" i="26"/>
  <c r="BI86" i="26"/>
  <c r="BI51" i="26"/>
  <c r="BA63" i="26"/>
  <c r="AW64" i="26"/>
  <c r="BC21" i="26"/>
  <c r="BC22" i="26" s="1"/>
  <c r="BB56" i="26"/>
  <c r="BB58" i="26" s="1"/>
  <c r="BC65" i="26"/>
  <c r="BC67" i="26" s="1"/>
  <c r="V83" i="26"/>
  <c r="X83" i="26"/>
  <c r="Z83" i="26"/>
  <c r="V47" i="26"/>
  <c r="Z47" i="26"/>
  <c r="X47" i="26"/>
  <c r="BA5" i="26"/>
  <c r="BA7" i="26" s="1"/>
  <c r="AW7" i="26"/>
  <c r="BD41" i="26"/>
  <c r="BB95" i="26"/>
  <c r="BI11" i="26"/>
  <c r="BI32" i="26"/>
  <c r="BI63" i="26"/>
  <c r="V48" i="26"/>
  <c r="X48" i="26"/>
  <c r="Z48" i="26"/>
  <c r="V60" i="26"/>
  <c r="X60" i="26"/>
  <c r="Z60" i="26"/>
  <c r="BC41" i="26"/>
  <c r="BC43" i="26" s="1"/>
  <c r="BA15" i="26"/>
  <c r="BA16" i="26" s="1"/>
  <c r="AW16" i="26"/>
  <c r="BE41" i="26"/>
  <c r="BB80" i="26"/>
  <c r="BB82" i="26" s="1"/>
  <c r="BD47" i="26"/>
  <c r="BD17" i="26"/>
  <c r="BH99" i="26"/>
  <c r="BI59" i="26"/>
  <c r="X65" i="26"/>
  <c r="V65" i="26"/>
  <c r="Z65" i="26"/>
  <c r="V18" i="26"/>
  <c r="X18" i="26"/>
  <c r="Z18" i="26"/>
  <c r="BA66" i="26"/>
  <c r="BA67" i="26" s="1"/>
  <c r="AW67" i="26"/>
  <c r="BI80" i="26"/>
  <c r="V51" i="26"/>
  <c r="Z51" i="26"/>
  <c r="X51" i="26"/>
  <c r="V30" i="26"/>
  <c r="V31" i="26" s="1"/>
  <c r="Z30" i="26"/>
  <c r="X30" i="26"/>
  <c r="X31" i="26" s="1"/>
  <c r="BA51" i="26"/>
  <c r="BA52" i="26" s="1"/>
  <c r="AW52" i="26"/>
  <c r="BA84" i="26"/>
  <c r="BI42" i="26"/>
  <c r="V66" i="26"/>
  <c r="X66" i="26"/>
  <c r="Z66" i="26"/>
  <c r="BC99" i="26"/>
  <c r="BB84" i="26"/>
  <c r="BB85" i="26" s="1"/>
  <c r="BC83" i="26"/>
  <c r="BC85" i="26" s="1"/>
  <c r="BB29" i="26"/>
  <c r="BB31" i="26" s="1"/>
  <c r="BI6" i="26"/>
  <c r="BF45" i="26"/>
  <c r="BI50" i="26"/>
  <c r="BA75" i="26"/>
  <c r="BA76" i="26" s="1"/>
  <c r="AW76" i="26"/>
  <c r="BI93" i="26"/>
  <c r="X92" i="26"/>
  <c r="V92" i="26"/>
  <c r="Z92" i="26"/>
  <c r="V56" i="26"/>
  <c r="X56" i="26"/>
  <c r="Z56" i="26"/>
  <c r="BB99" i="26"/>
  <c r="BH81" i="26"/>
  <c r="BH35" i="26"/>
  <c r="BA41" i="26"/>
  <c r="BA43" i="26" s="1"/>
  <c r="AW43" i="26"/>
  <c r="BH95" i="26"/>
  <c r="BF47" i="26"/>
  <c r="BF63" i="26"/>
  <c r="BG57" i="26"/>
  <c r="BD68" i="26"/>
  <c r="BI36" i="26"/>
  <c r="V75" i="26"/>
  <c r="X75" i="26"/>
  <c r="Z75" i="26"/>
  <c r="BG33" i="26"/>
  <c r="BI35" i="26"/>
  <c r="BH41" i="26"/>
  <c r="BG66" i="26"/>
  <c r="BG47" i="26"/>
  <c r="BA17" i="26"/>
  <c r="BA19" i="26" s="1"/>
  <c r="AW19" i="26"/>
  <c r="BD48" i="26"/>
  <c r="BI71" i="26"/>
  <c r="BI73" i="26" s="1"/>
  <c r="V42" i="26"/>
  <c r="X42" i="26"/>
  <c r="Z42" i="26"/>
  <c r="BE17" i="26"/>
  <c r="P348" i="21"/>
  <c r="BB5" i="7"/>
  <c r="BB6" i="7"/>
  <c r="AX6" i="7"/>
  <c r="AZ6" i="7"/>
  <c r="AX5" i="7"/>
  <c r="AZ5" i="7"/>
  <c r="AV5" i="7"/>
  <c r="AV6" i="7"/>
  <c r="Q502" i="7"/>
  <c r="Q501" i="7"/>
  <c r="Q500" i="7"/>
  <c r="Q499" i="7"/>
  <c r="Q498" i="7"/>
  <c r="Q497" i="7"/>
  <c r="Q496" i="7"/>
  <c r="Q495" i="7"/>
  <c r="Q494" i="7"/>
  <c r="Q493" i="7"/>
  <c r="Q492" i="7"/>
  <c r="Q491" i="7"/>
  <c r="Q490" i="7"/>
  <c r="Q489" i="7"/>
  <c r="Q488" i="7"/>
  <c r="Q487" i="7"/>
  <c r="Q486" i="7"/>
  <c r="Q485" i="7"/>
  <c r="Q484" i="7"/>
  <c r="Q483" i="7"/>
  <c r="Q482" i="7"/>
  <c r="Q481" i="7"/>
  <c r="Q480" i="7"/>
  <c r="Q479" i="7"/>
  <c r="Q478" i="7"/>
  <c r="Q477" i="7"/>
  <c r="Q476" i="7"/>
  <c r="Q475" i="7"/>
  <c r="Q474" i="7"/>
  <c r="Q473" i="7"/>
  <c r="Q472" i="7"/>
  <c r="Q471" i="7"/>
  <c r="Q469" i="7"/>
  <c r="Q468" i="7"/>
  <c r="Q467" i="7"/>
  <c r="Q466" i="7"/>
  <c r="Q465" i="7"/>
  <c r="Q464" i="7"/>
  <c r="Q463" i="7"/>
  <c r="Q462" i="7"/>
  <c r="Q461" i="7"/>
  <c r="Q460" i="7"/>
  <c r="Q459" i="7"/>
  <c r="Q458" i="7"/>
  <c r="Q457" i="7"/>
  <c r="Q456" i="7"/>
  <c r="Q455" i="7"/>
  <c r="Q454" i="7"/>
  <c r="Q452" i="7"/>
  <c r="Q451" i="7"/>
  <c r="Q450" i="7"/>
  <c r="Q449" i="7"/>
  <c r="Q448" i="7"/>
  <c r="Q447" i="7"/>
  <c r="Q446" i="7"/>
  <c r="Q445" i="7"/>
  <c r="Q444" i="7"/>
  <c r="Q443" i="7"/>
  <c r="Q442" i="7"/>
  <c r="Q441" i="7"/>
  <c r="Q440" i="7"/>
  <c r="Q439" i="7"/>
  <c r="Q438" i="7"/>
  <c r="Q437" i="7"/>
  <c r="Q436" i="7"/>
  <c r="Q435" i="7"/>
  <c r="Q373" i="7"/>
  <c r="Q372" i="7"/>
  <c r="Q371" i="7"/>
  <c r="Q370" i="7"/>
  <c r="Q369" i="7"/>
  <c r="Q368" i="7"/>
  <c r="Q367" i="7"/>
  <c r="Q366" i="7"/>
  <c r="Q365" i="7"/>
  <c r="Q364" i="7"/>
  <c r="Q363" i="7"/>
  <c r="Q362" i="7"/>
  <c r="Q361" i="7"/>
  <c r="Q360" i="7"/>
  <c r="Q359" i="7"/>
  <c r="Q358" i="7"/>
  <c r="Q357" i="7"/>
  <c r="Q356" i="7"/>
  <c r="Q355" i="7"/>
  <c r="Q354" i="7"/>
  <c r="Q353" i="7"/>
  <c r="Q352" i="7"/>
  <c r="Q351" i="7"/>
  <c r="Q350" i="7"/>
  <c r="Q349" i="7"/>
  <c r="O348" i="7"/>
  <c r="P348" i="7" s="1"/>
  <c r="Q347" i="7"/>
  <c r="Q346" i="7"/>
  <c r="Q345" i="7"/>
  <c r="Q344" i="7"/>
  <c r="Q247" i="7"/>
  <c r="Q246" i="7"/>
  <c r="Q245" i="7"/>
  <c r="Q244" i="7"/>
  <c r="Q243" i="7"/>
  <c r="Q242" i="7"/>
  <c r="Q241" i="7"/>
  <c r="Q240" i="7"/>
  <c r="Q239" i="7"/>
  <c r="Q238" i="7"/>
  <c r="Q237" i="7"/>
  <c r="Q236" i="7"/>
  <c r="Q235" i="7"/>
  <c r="Q234" i="7"/>
  <c r="Q233" i="7"/>
  <c r="Q232" i="7"/>
  <c r="Q231" i="7"/>
  <c r="Q230" i="7"/>
  <c r="Q229" i="7"/>
  <c r="Q228" i="7"/>
  <c r="Q227" i="7"/>
  <c r="Q226" i="7"/>
  <c r="Q225" i="7"/>
  <c r="Q224" i="7"/>
  <c r="Q223" i="7"/>
  <c r="Q222" i="7"/>
  <c r="Q221" i="7"/>
  <c r="Q220" i="7"/>
  <c r="Q219" i="7"/>
  <c r="Q218" i="7"/>
  <c r="Q217" i="7"/>
  <c r="Q216" i="7"/>
  <c r="Q215" i="7"/>
  <c r="Q214" i="7"/>
  <c r="Q213" i="7"/>
  <c r="Q212" i="7"/>
  <c r="Q211" i="7"/>
  <c r="Q210" i="7"/>
  <c r="Q209" i="7"/>
  <c r="Q208" i="7"/>
  <c r="Q207" i="7"/>
  <c r="Q206" i="7"/>
  <c r="Q205" i="7"/>
  <c r="Q204" i="7"/>
  <c r="Q203" i="7"/>
  <c r="Q202" i="7"/>
  <c r="Q201" i="7"/>
  <c r="Q200" i="7"/>
  <c r="Q199" i="7"/>
  <c r="Q198" i="7"/>
  <c r="Q197" i="7"/>
  <c r="Q196" i="7"/>
  <c r="Q195" i="7"/>
  <c r="Q194" i="7"/>
  <c r="Q193" i="7"/>
  <c r="Q192" i="7"/>
  <c r="Q191" i="7"/>
  <c r="Q190" i="7"/>
  <c r="Q189" i="7"/>
  <c r="Q188" i="7"/>
  <c r="Q187" i="7"/>
  <c r="Q186" i="7"/>
  <c r="Q185" i="7"/>
  <c r="Q184" i="7"/>
  <c r="Q183" i="7"/>
  <c r="Q182" i="7"/>
  <c r="Q181" i="7"/>
  <c r="Q180" i="7"/>
  <c r="Q179" i="7"/>
  <c r="Q178" i="7"/>
  <c r="Q177" i="7"/>
  <c r="Q176" i="7"/>
  <c r="Q175" i="7"/>
  <c r="Q174" i="7"/>
  <c r="Q173" i="7"/>
  <c r="Q172" i="7"/>
  <c r="Q171" i="7"/>
  <c r="Q170" i="7"/>
  <c r="Q169" i="7"/>
  <c r="Q168" i="7"/>
  <c r="Q167" i="7"/>
  <c r="Q166" i="7"/>
  <c r="Q165" i="7"/>
  <c r="Q164" i="7"/>
  <c r="Q163" i="7"/>
  <c r="Q162" i="7"/>
  <c r="Q161" i="7"/>
  <c r="Q160" i="7"/>
  <c r="Q159" i="7"/>
  <c r="Q158" i="7"/>
  <c r="Q157" i="7"/>
  <c r="Q156" i="7"/>
  <c r="Q155" i="7"/>
  <c r="Q154" i="7"/>
  <c r="Q153" i="7"/>
  <c r="Q152" i="7"/>
  <c r="Q151" i="7"/>
  <c r="Q150" i="7"/>
  <c r="Q149" i="7"/>
  <c r="Q148" i="7"/>
  <c r="Q147" i="7"/>
  <c r="Q146" i="7"/>
  <c r="Q145" i="7"/>
  <c r="Q144" i="7"/>
  <c r="Q143" i="7"/>
  <c r="Q142" i="7"/>
  <c r="Q141" i="7"/>
  <c r="Q140" i="7"/>
  <c r="Q139" i="7"/>
  <c r="Q138" i="7"/>
  <c r="Q137" i="7"/>
  <c r="Q136" i="7"/>
  <c r="Q135" i="7"/>
  <c r="Q134" i="7"/>
  <c r="Q133" i="7"/>
  <c r="Q132" i="7"/>
  <c r="Q131" i="7"/>
  <c r="Q130" i="7"/>
  <c r="Q129" i="7"/>
  <c r="Q128" i="7"/>
  <c r="Q127" i="7"/>
  <c r="Q126" i="7"/>
  <c r="Q125" i="7"/>
  <c r="Q124" i="7"/>
  <c r="Q123" i="7"/>
  <c r="Q122" i="7"/>
  <c r="Q121" i="7"/>
  <c r="Q120" i="7"/>
  <c r="Q119" i="7"/>
  <c r="Q118" i="7"/>
  <c r="Q117" i="7"/>
  <c r="Q116" i="7"/>
  <c r="Q115" i="7"/>
  <c r="Q114" i="7"/>
  <c r="Q113" i="7"/>
  <c r="Q112" i="7"/>
  <c r="Q111" i="7"/>
  <c r="Q110" i="7"/>
  <c r="Q109" i="7"/>
  <c r="Q108" i="7"/>
  <c r="Q107" i="7"/>
  <c r="Q106" i="7"/>
  <c r="Q105" i="7"/>
  <c r="Q104" i="7"/>
  <c r="Q103" i="7"/>
  <c r="Q102" i="7"/>
  <c r="Q101" i="7"/>
  <c r="Q100" i="7"/>
  <c r="Q99" i="7"/>
  <c r="Q98" i="7"/>
  <c r="Q97" i="7"/>
  <c r="Q96" i="7"/>
  <c r="Q95" i="7"/>
  <c r="Q94" i="7"/>
  <c r="Q93" i="7"/>
  <c r="Q92" i="7"/>
  <c r="Q91" i="7"/>
  <c r="Q90" i="7"/>
  <c r="Q89" i="7"/>
  <c r="Q88" i="7"/>
  <c r="Q87" i="7"/>
  <c r="Q86" i="7"/>
  <c r="Q85" i="7"/>
  <c r="Q84" i="7"/>
  <c r="Q83" i="7"/>
  <c r="Q82" i="7"/>
  <c r="Q81" i="7"/>
  <c r="Q80" i="7"/>
  <c r="Q79" i="7"/>
  <c r="Q78" i="7"/>
  <c r="Q77" i="7"/>
  <c r="Q76" i="7"/>
  <c r="Q75" i="7"/>
  <c r="Q74" i="7"/>
  <c r="Q73" i="7"/>
  <c r="Q72" i="7"/>
  <c r="Q71" i="7"/>
  <c r="Q70" i="7"/>
  <c r="Q69" i="7"/>
  <c r="Q68" i="7"/>
  <c r="Q67" i="7"/>
  <c r="Q66" i="7"/>
  <c r="Q65" i="7"/>
  <c r="Q64" i="7"/>
  <c r="Q63" i="7"/>
  <c r="Q62" i="7"/>
  <c r="Q61" i="7"/>
  <c r="Q60" i="7"/>
  <c r="Q59" i="7"/>
  <c r="Q58" i="7"/>
  <c r="Q57" i="7"/>
  <c r="Q56" i="7"/>
  <c r="Q55" i="7"/>
  <c r="Q54" i="7"/>
  <c r="Q53" i="7"/>
  <c r="Q52" i="7"/>
  <c r="Q51" i="7"/>
  <c r="Q50" i="7"/>
  <c r="Q49" i="7"/>
  <c r="Q48" i="7"/>
  <c r="Q47" i="7"/>
  <c r="Q46" i="7"/>
  <c r="Q45" i="7"/>
  <c r="Q4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Q4" i="7"/>
  <c r="Q3" i="7"/>
  <c r="Q2" i="7"/>
  <c r="V16" i="26" l="1"/>
  <c r="BF22" i="26"/>
  <c r="BH10" i="26"/>
  <c r="BH52" i="26"/>
  <c r="BF25" i="26"/>
  <c r="BF94" i="26"/>
  <c r="BF19" i="26"/>
  <c r="BF28" i="26"/>
  <c r="BF70" i="26"/>
  <c r="BF97" i="26"/>
  <c r="BC97" i="26"/>
  <c r="BF91" i="26"/>
  <c r="BG61" i="26"/>
  <c r="BF85" i="26"/>
  <c r="BE28" i="26"/>
  <c r="BF79" i="26"/>
  <c r="BG31" i="26"/>
  <c r="BG94" i="26"/>
  <c r="BG16" i="26"/>
  <c r="BD91" i="26"/>
  <c r="BH13" i="26"/>
  <c r="BE43" i="26"/>
  <c r="BH88" i="26"/>
  <c r="BG97" i="26"/>
  <c r="BE25" i="26"/>
  <c r="BD70" i="26"/>
  <c r="BE16" i="26"/>
  <c r="BE49" i="26"/>
  <c r="BH76" i="26"/>
  <c r="BH43" i="26"/>
  <c r="BH94" i="26"/>
  <c r="BH49" i="26"/>
  <c r="BG88" i="26"/>
  <c r="BG82" i="26"/>
  <c r="BG91" i="26"/>
  <c r="BH22" i="26"/>
  <c r="Y22" i="26"/>
  <c r="Z46" i="26"/>
  <c r="BD97" i="26"/>
  <c r="BE97" i="26"/>
  <c r="BH97" i="26"/>
  <c r="BH7" i="26"/>
  <c r="X16" i="26"/>
  <c r="BH25" i="26"/>
  <c r="BG19" i="26"/>
  <c r="BH58" i="26"/>
  <c r="BH73" i="26"/>
  <c r="BH16" i="26"/>
  <c r="BE13" i="26"/>
  <c r="BE52" i="26"/>
  <c r="BG46" i="26"/>
  <c r="BI13" i="26"/>
  <c r="BE10" i="26"/>
  <c r="BE64" i="26"/>
  <c r="BE91" i="26"/>
  <c r="BH28" i="26"/>
  <c r="BH85" i="26"/>
  <c r="BA85" i="26"/>
  <c r="BH79" i="26"/>
  <c r="BG22" i="26"/>
  <c r="BH40" i="26"/>
  <c r="BH67" i="26"/>
  <c r="BG73" i="26"/>
  <c r="BH70" i="26"/>
  <c r="BE37" i="26"/>
  <c r="BH91" i="26"/>
  <c r="BE94" i="26"/>
  <c r="BH31" i="26"/>
  <c r="BH46" i="26"/>
  <c r="BE79" i="26"/>
  <c r="BG76" i="26"/>
  <c r="BH37" i="26"/>
  <c r="BH34" i="26"/>
  <c r="BH64" i="26"/>
  <c r="BG79" i="26"/>
  <c r="BG67" i="26"/>
  <c r="BG58" i="26"/>
  <c r="BF64" i="26"/>
  <c r="BG7" i="26"/>
  <c r="BH100" i="26"/>
  <c r="BG28" i="26"/>
  <c r="BD31" i="26"/>
  <c r="BG64" i="26"/>
  <c r="BE58" i="26"/>
  <c r="BI16" i="26"/>
  <c r="BG52" i="26"/>
  <c r="BE88" i="26"/>
  <c r="BD28" i="26"/>
  <c r="Z79" i="26"/>
  <c r="BF76" i="26"/>
  <c r="BE46" i="26"/>
  <c r="BG10" i="26"/>
  <c r="BC40" i="26"/>
  <c r="BA97" i="26"/>
  <c r="BG34" i="26"/>
  <c r="BI100" i="26"/>
  <c r="BG100" i="26"/>
  <c r="BA49" i="26"/>
  <c r="BG40" i="26"/>
  <c r="BE55" i="26"/>
  <c r="BG37" i="26"/>
  <c r="BG85" i="26"/>
  <c r="BF100" i="26"/>
  <c r="V85" i="26"/>
  <c r="V46" i="26"/>
  <c r="BG43" i="26"/>
  <c r="BI40" i="26"/>
  <c r="BI46" i="26"/>
  <c r="V55" i="26"/>
  <c r="BI61" i="26"/>
  <c r="BI85" i="26"/>
  <c r="BE31" i="26"/>
  <c r="BF73" i="26"/>
  <c r="X64" i="26"/>
  <c r="BF31" i="26"/>
  <c r="BC73" i="26"/>
  <c r="BI70" i="26"/>
  <c r="BH55" i="26"/>
  <c r="BA40" i="26"/>
  <c r="BD19" i="26"/>
  <c r="BD7" i="26"/>
  <c r="BE67" i="26"/>
  <c r="BF61" i="26"/>
  <c r="Z31" i="26"/>
  <c r="BE82" i="26"/>
  <c r="BF40" i="26"/>
  <c r="Z58" i="26"/>
  <c r="BE7" i="26"/>
  <c r="BF49" i="26"/>
  <c r="BF43" i="26"/>
  <c r="AA10" i="26"/>
  <c r="BI43" i="26"/>
  <c r="BD40" i="26"/>
  <c r="BI22" i="26"/>
  <c r="BD85" i="26"/>
  <c r="BD52" i="26"/>
  <c r="X55" i="26"/>
  <c r="BE34" i="26"/>
  <c r="V79" i="26"/>
  <c r="BD76" i="26"/>
  <c r="BA88" i="26"/>
  <c r="BI28" i="26"/>
  <c r="Z94" i="26"/>
  <c r="BI34" i="26"/>
  <c r="V94" i="26"/>
  <c r="BD13" i="26"/>
  <c r="BD37" i="26"/>
  <c r="BI19" i="26"/>
  <c r="BE85" i="26"/>
  <c r="BD34" i="26"/>
  <c r="BD61" i="26"/>
  <c r="BD46" i="26"/>
  <c r="BG70" i="26"/>
  <c r="BF46" i="26"/>
  <c r="V49" i="26"/>
  <c r="Y10" i="26"/>
  <c r="Z7" i="26"/>
  <c r="BE70" i="26"/>
  <c r="BD55" i="26"/>
  <c r="BB97" i="26"/>
  <c r="X85" i="26"/>
  <c r="BE61" i="26"/>
  <c r="BD100" i="26"/>
  <c r="BD58" i="26"/>
  <c r="BD10" i="26"/>
  <c r="W28" i="26"/>
  <c r="BI25" i="26"/>
  <c r="BE40" i="26"/>
  <c r="BE100" i="26"/>
  <c r="Z73" i="26"/>
  <c r="BI76" i="26"/>
  <c r="BA100" i="26"/>
  <c r="BG55" i="26"/>
  <c r="BA73" i="26"/>
  <c r="X34" i="26"/>
  <c r="X7" i="26"/>
  <c r="BE22" i="26"/>
  <c r="BD16" i="26"/>
  <c r="X49" i="26"/>
  <c r="BE19" i="26"/>
  <c r="X94" i="26"/>
  <c r="BD22" i="26"/>
  <c r="BD43" i="26"/>
  <c r="X73" i="26"/>
  <c r="BF37" i="26"/>
  <c r="BF88" i="26"/>
  <c r="BI55" i="26"/>
  <c r="Z40" i="26"/>
  <c r="BI91" i="26"/>
  <c r="V7" i="26"/>
  <c r="BD49" i="26"/>
  <c r="Z85" i="26"/>
  <c r="BI67" i="26"/>
  <c r="BD67" i="26"/>
  <c r="V13" i="26"/>
  <c r="BI10" i="26"/>
  <c r="BD82" i="26"/>
  <c r="BF13" i="26"/>
  <c r="V34" i="26"/>
  <c r="BG49" i="26"/>
  <c r="BI82" i="26"/>
  <c r="Z37" i="26"/>
  <c r="Z97" i="26"/>
  <c r="BE73" i="26"/>
  <c r="BF16" i="26"/>
  <c r="BI64" i="26"/>
  <c r="X46" i="26"/>
  <c r="Y40" i="26"/>
  <c r="BF10" i="26"/>
  <c r="AA28" i="26"/>
  <c r="BI7" i="26"/>
  <c r="V25" i="26"/>
  <c r="V61" i="26"/>
  <c r="V19" i="26"/>
  <c r="AA22" i="26"/>
  <c r="BI37" i="26"/>
  <c r="V67" i="26"/>
  <c r="BI88" i="26"/>
  <c r="V43" i="26"/>
  <c r="X22" i="26"/>
  <c r="X13" i="26"/>
  <c r="Z52" i="26"/>
  <c r="X40" i="26"/>
  <c r="Z34" i="26"/>
  <c r="BH61" i="26"/>
  <c r="BG25" i="26"/>
  <c r="BI97" i="26"/>
  <c r="Z70" i="26"/>
  <c r="W22" i="26"/>
  <c r="Z67" i="26"/>
  <c r="BI94" i="26"/>
  <c r="X58" i="26"/>
  <c r="BB100" i="26"/>
  <c r="X52" i="26"/>
  <c r="BH82" i="26"/>
  <c r="X28" i="26"/>
  <c r="V70" i="26"/>
  <c r="BF58" i="26"/>
  <c r="BA82" i="26"/>
  <c r="Z43" i="26"/>
  <c r="Z13" i="26"/>
  <c r="BI79" i="26"/>
  <c r="X67" i="26"/>
  <c r="Z22" i="26"/>
  <c r="V58" i="26"/>
  <c r="BI52" i="26"/>
  <c r="BD79" i="26"/>
  <c r="Y28" i="26"/>
  <c r="X37" i="26"/>
  <c r="V22" i="26"/>
  <c r="Z76" i="26"/>
  <c r="Z64" i="26"/>
  <c r="V52" i="26"/>
  <c r="BF55" i="26"/>
  <c r="X97" i="26"/>
  <c r="BI31" i="26"/>
  <c r="Z28" i="26"/>
  <c r="X70" i="26"/>
  <c r="X79" i="26"/>
  <c r="Z55" i="26"/>
  <c r="V37" i="26"/>
  <c r="X76" i="26"/>
  <c r="X88" i="26"/>
  <c r="V28" i="26"/>
  <c r="Z49" i="26"/>
  <c r="V76" i="26"/>
  <c r="BA64" i="26"/>
  <c r="AA40" i="26"/>
  <c r="BC100" i="26"/>
  <c r="X25" i="26"/>
  <c r="X82" i="26"/>
  <c r="X61" i="26"/>
  <c r="Z19" i="26"/>
  <c r="X43" i="26"/>
  <c r="W10" i="26"/>
  <c r="BI58" i="26"/>
  <c r="Z25" i="26"/>
  <c r="BF52" i="26"/>
  <c r="Z61" i="26"/>
  <c r="X19" i="26"/>
  <c r="BI49" i="26"/>
  <c r="Q348" i="21"/>
  <c r="Q1588" i="21" s="1"/>
  <c r="Q348" i="7"/>
  <c r="R5" i="16" l="1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" i="16"/>
  <c r="AD5" i="16"/>
  <c r="Y10" i="16" s="1"/>
  <c r="AD8" i="16"/>
  <c r="Y13" i="16" s="1"/>
  <c r="AD7" i="16"/>
  <c r="Y12" i="16" s="1"/>
  <c r="AD6" i="16"/>
  <c r="Y11" i="16" s="1"/>
  <c r="Y5" i="16"/>
  <c r="Y6" i="16"/>
  <c r="AA6" i="16"/>
  <c r="AA7" i="16"/>
  <c r="Y7" i="16"/>
  <c r="AA8" i="16"/>
  <c r="Y8" i="16"/>
  <c r="H11" i="16"/>
  <c r="H33" i="16"/>
  <c r="H35" i="16"/>
  <c r="H36" i="16"/>
  <c r="H37" i="16"/>
  <c r="H38" i="16"/>
  <c r="H39" i="16"/>
  <c r="H41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4" i="16"/>
  <c r="H5" i="16"/>
  <c r="H6" i="16"/>
  <c r="H7" i="16"/>
  <c r="H8" i="16"/>
  <c r="H9" i="16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AC8" i="16" l="1"/>
  <c r="Z8" i="16" s="1"/>
  <c r="AC7" i="16"/>
  <c r="Z7" i="16" s="1"/>
  <c r="AC6" i="16"/>
  <c r="AB6" i="16" s="1"/>
  <c r="AC5" i="16"/>
  <c r="AB5" i="16" s="1"/>
  <c r="AB8" i="16" l="1"/>
  <c r="Z6" i="16"/>
  <c r="AB7" i="16"/>
  <c r="Z5" i="16"/>
</calcChain>
</file>

<file path=xl/sharedStrings.xml><?xml version="1.0" encoding="utf-8"?>
<sst xmlns="http://schemas.openxmlformats.org/spreadsheetml/2006/main" count="25994" uniqueCount="3597">
  <si>
    <t>N°</t>
  </si>
  <si>
    <t>G</t>
  </si>
  <si>
    <t>F</t>
  </si>
  <si>
    <t>T</t>
  </si>
  <si>
    <t>ALLOU AMOIN BEATRICE</t>
  </si>
  <si>
    <t>KOUAKOU N'DA AHOU BRIGITTE</t>
  </si>
  <si>
    <t>0757126877</t>
  </si>
  <si>
    <t>KOUAME KONAN DESIRE</t>
  </si>
  <si>
    <t>0709985247</t>
  </si>
  <si>
    <t>M</t>
  </si>
  <si>
    <t>KONE SITA</t>
  </si>
  <si>
    <t>N'GUESSAN AKISSI MELENE</t>
  </si>
  <si>
    <t>0757250010</t>
  </si>
  <si>
    <t>KOUAME ADJOUA MADELENE</t>
  </si>
  <si>
    <t>0787368068</t>
  </si>
  <si>
    <t>YAO ADJOUA EUGENIE</t>
  </si>
  <si>
    <t>N'ZUE AFFOUE CHANTAL</t>
  </si>
  <si>
    <t>KOUAME ADJOUA HONORINE</t>
  </si>
  <si>
    <t>KONAN AFFOUE BAH</t>
  </si>
  <si>
    <t>KOUAME ADJOUA BRAKISSA</t>
  </si>
  <si>
    <t>N'GUESSAN AKISSI ANGE</t>
  </si>
  <si>
    <t>KONAN AMENAN SALOME</t>
  </si>
  <si>
    <t>KOUADIO AHOU REINE</t>
  </si>
  <si>
    <t>BROU KOFFI NOEL</t>
  </si>
  <si>
    <t>BROU KOUASSI HERMANM</t>
  </si>
  <si>
    <t>0768621397</t>
  </si>
  <si>
    <t>KOUADIO AFFOUE KEVINE</t>
  </si>
  <si>
    <t>0708861474</t>
  </si>
  <si>
    <t>KOUAME N'GUESSAN FIDEL</t>
  </si>
  <si>
    <t>0748244901</t>
  </si>
  <si>
    <t>KONAN ADJOUA CLAUDIA</t>
  </si>
  <si>
    <t>KOUAME N'GUESSAN HELENE</t>
  </si>
  <si>
    <t>KOFFI AHOU NADEGE</t>
  </si>
  <si>
    <t xml:space="preserve">KRAMO N'GUESSAN </t>
  </si>
  <si>
    <t>KOUADIO BROU JEAN</t>
  </si>
  <si>
    <t>KOUASSI KOFFI HYPPOLITHE</t>
  </si>
  <si>
    <t>N'GUESSAN AHOU CHARLOTTE</t>
  </si>
  <si>
    <t>KOUAME LOUKOU MARCEL</t>
  </si>
  <si>
    <t>NOM DE  l’AVEC </t>
  </si>
  <si>
    <t xml:space="preserve"> AWLIN TRALE</t>
  </si>
  <si>
    <t>Numéro AVEC</t>
  </si>
  <si>
    <t xml:space="preserve"> YAOKRO</t>
  </si>
  <si>
    <t>VILLAGE/QUARTIER </t>
  </si>
  <si>
    <t xml:space="preserve"> DEPARTEMANT</t>
  </si>
  <si>
    <t xml:space="preserve">BUYO   </t>
  </si>
  <si>
    <t xml:space="preserve">NOM &amp; PRENOMS DES MEMBRES D'AVEC </t>
  </si>
  <si>
    <t>CONTACT MEMBRE AVEC</t>
  </si>
  <si>
    <t>AGE MEMBRE AVEC</t>
  </si>
  <si>
    <t>SEXE MEMBRE AVEC</t>
  </si>
  <si>
    <t>SITUATION MATRIMONIALE MEMBRE AVEC</t>
  </si>
  <si>
    <t>ACTIVITE  MENEE MEMBRE AVEC</t>
  </si>
  <si>
    <t>NOM &amp; PRENOMS DU FACILITATEUR</t>
  </si>
  <si>
    <t>NOM SUPERVISEUR </t>
  </si>
  <si>
    <t xml:space="preserve">KOUADIO KOFFI TEYA              </t>
  </si>
  <si>
    <t>0748201409</t>
  </si>
  <si>
    <t>0709552808</t>
  </si>
  <si>
    <t>0709801804</t>
  </si>
  <si>
    <t>0768392600</t>
  </si>
  <si>
    <t>0758931248</t>
  </si>
  <si>
    <t>0749330943</t>
  </si>
  <si>
    <t>0708851326</t>
  </si>
  <si>
    <t>0787334834</t>
  </si>
  <si>
    <t>0787334884</t>
  </si>
  <si>
    <t>0758626215</t>
  </si>
  <si>
    <t>0709389036</t>
  </si>
  <si>
    <t>0747411107</t>
  </si>
  <si>
    <t>0769601370</t>
  </si>
  <si>
    <t>0769618005</t>
  </si>
  <si>
    <t>0749684128</t>
  </si>
  <si>
    <t>0707616914</t>
  </si>
  <si>
    <t>0708557609</t>
  </si>
  <si>
    <t>0749262679</t>
  </si>
  <si>
    <t>0707576158</t>
  </si>
  <si>
    <t>KOUAME AMENAN ELISE</t>
  </si>
  <si>
    <t>AMANI AMENAN ROSALIE</t>
  </si>
  <si>
    <t>OUATTARA MARIAM</t>
  </si>
  <si>
    <t>AMOIN GISELLE KOUADIO</t>
  </si>
  <si>
    <t>KOUAME AMOIN MADELEINE</t>
  </si>
  <si>
    <t>KOUADIO KOUAKOU J</t>
  </si>
  <si>
    <t>N'GUESSAN AFFOUE CELESTINE</t>
  </si>
  <si>
    <t>BROU ADJOUA AGNES</t>
  </si>
  <si>
    <t>KRA AMENAN ALBERTINE</t>
  </si>
  <si>
    <t>KOFFI AYA APPOLINE</t>
  </si>
  <si>
    <t>KOUAME AFFOUE JEANNETTE</t>
  </si>
  <si>
    <t>KOUADIO AMOIN LOUISE</t>
  </si>
  <si>
    <t xml:space="preserve">M'BRA ADJOUA SIMONE </t>
  </si>
  <si>
    <t xml:space="preserve">KOUAME ADJOUA BRIGITTE </t>
  </si>
  <si>
    <t>KOUAME AGOU JEANNETTE</t>
  </si>
  <si>
    <t>KOUAKOU DELPHINE AMENAN</t>
  </si>
  <si>
    <t>KOUAME AKISSI NADEGE</t>
  </si>
  <si>
    <t>EKRA ADJOUA BINTOU</t>
  </si>
  <si>
    <t>KOBENAN AHOU</t>
  </si>
  <si>
    <t>KOUADIO AKISSI BINTOU</t>
  </si>
  <si>
    <t>KOUADIO AHOU GISELE</t>
  </si>
  <si>
    <t>KOUADIO AMANI DESIRE</t>
  </si>
  <si>
    <t>KOUAKOU ADJOU</t>
  </si>
  <si>
    <t>YAO KONAN HENRY</t>
  </si>
  <si>
    <t>KOUASSI KOUASSI ELIE</t>
  </si>
  <si>
    <t>BRA AMOIN ODETTE</t>
  </si>
  <si>
    <t>KOBENAN ADJA ROSE</t>
  </si>
  <si>
    <t>KOMOE AMOIN</t>
  </si>
  <si>
    <t>N'GUESSAN KOUAME NICOLAS</t>
  </si>
  <si>
    <t>YAO AKISSI AMELIE</t>
  </si>
  <si>
    <t xml:space="preserve">EBO YO KUN       </t>
  </si>
  <si>
    <t>NICOLSKRO</t>
  </si>
  <si>
    <t>0707945781</t>
  </si>
  <si>
    <t>0778105109</t>
  </si>
  <si>
    <t>0749331951</t>
  </si>
  <si>
    <t>0709865907</t>
  </si>
  <si>
    <t>0909865907</t>
  </si>
  <si>
    <t>0767135471</t>
  </si>
  <si>
    <t>0545101811</t>
  </si>
  <si>
    <t>0707511710</t>
  </si>
  <si>
    <t>0769171214</t>
  </si>
  <si>
    <t>CONTACT DU FACILITATEUR AVEC</t>
  </si>
  <si>
    <t>N'GORAN N'GUESSAN VIRGINIE</t>
  </si>
  <si>
    <t>PANATOUGOURI ALIMATA</t>
  </si>
  <si>
    <t>KONANTE ALIMANTOU</t>
  </si>
  <si>
    <t>KONE DJENEBA</t>
  </si>
  <si>
    <t>KONATE ADJARATOU</t>
  </si>
  <si>
    <t>KONE NAMINATA</t>
  </si>
  <si>
    <t>OUEDRAOGO FATTY</t>
  </si>
  <si>
    <t>COULIBALY SALIMATA</t>
  </si>
  <si>
    <t>BOUAHINI TENIN</t>
  </si>
  <si>
    <t>KARIDJA KONATE</t>
  </si>
  <si>
    <t>KONATE ASSETOU</t>
  </si>
  <si>
    <t>KONATE KARIDJATOU</t>
  </si>
  <si>
    <t>KONE MAIMOUNA</t>
  </si>
  <si>
    <t>BANGALI SIATA</t>
  </si>
  <si>
    <t>OUATTARA SIATA</t>
  </si>
  <si>
    <t>KOUASSI AMENAN</t>
  </si>
  <si>
    <t>KOUAME AYA</t>
  </si>
  <si>
    <t>DEMBELE DJENEBA</t>
  </si>
  <si>
    <t>MARIATOU FINON</t>
  </si>
  <si>
    <t>DIARRA MAMAN</t>
  </si>
  <si>
    <t>OUATTARA MARIATOU</t>
  </si>
  <si>
    <t>KONATE ARIMATOU</t>
  </si>
  <si>
    <t>BELLO ADELE</t>
  </si>
  <si>
    <t>BERRE PHILIPPE</t>
  </si>
  <si>
    <t xml:space="preserve">SIKITEMONGOSSON  </t>
  </si>
  <si>
    <t>TCHETALY</t>
  </si>
  <si>
    <t>ATTA KOUADIO ALFRED</t>
  </si>
  <si>
    <t>ADJOUA ANASTASIE</t>
  </si>
  <si>
    <t>AMENAN BLANDINE</t>
  </si>
  <si>
    <t>AYA SARA</t>
  </si>
  <si>
    <t>KOFFI GOTIE</t>
  </si>
  <si>
    <t>AYA PAULINE</t>
  </si>
  <si>
    <t>AMOIN MIREILLE</t>
  </si>
  <si>
    <t>DIBI AKISSI</t>
  </si>
  <si>
    <t>AYA EVELYNE</t>
  </si>
  <si>
    <t>AMENAN SUZANNE</t>
  </si>
  <si>
    <t>DANI KARI</t>
  </si>
  <si>
    <t>KOUADIO EVARISTE</t>
  </si>
  <si>
    <t>KOUASSI ERNEST</t>
  </si>
  <si>
    <t>N'DA AHOU EDWIGE</t>
  </si>
  <si>
    <t>LOUKOU JULIETTE</t>
  </si>
  <si>
    <t>KONAN DENIS</t>
  </si>
  <si>
    <t>AHOU BERNADETTE</t>
  </si>
  <si>
    <t>TCHANDA AYA NOELLE</t>
  </si>
  <si>
    <t>AYA ELIANE</t>
  </si>
  <si>
    <t>ADJO PHILOMENE</t>
  </si>
  <si>
    <t xml:space="preserve">ATIWAKRO         </t>
  </si>
  <si>
    <t>AKIWAKRO</t>
  </si>
  <si>
    <t>TAPE LINA</t>
  </si>
  <si>
    <t>KOUASSI KOUASSI HONORE</t>
  </si>
  <si>
    <t>KOUASSI AMOIN ANGELE</t>
  </si>
  <si>
    <t>KIPRE NICOLE</t>
  </si>
  <si>
    <t>KOUASSI AHOU THERESE</t>
  </si>
  <si>
    <t xml:space="preserve">KOUASSI AYA ROSALIE </t>
  </si>
  <si>
    <t>KOUAME AYA LOUISE</t>
  </si>
  <si>
    <t>DIBI KOUASSI SAMUEL</t>
  </si>
  <si>
    <t>KOUASSI AYA VERONIQUE</t>
  </si>
  <si>
    <t>KOUADIO LOUKOU AGNES</t>
  </si>
  <si>
    <t>DIBI KOUAME FRANCOIS</t>
  </si>
  <si>
    <t>KONAN ADJOUA MADELEINE</t>
  </si>
  <si>
    <t>N'DA KONAN DENIS</t>
  </si>
  <si>
    <t>KONAN KOUAKOU ROMEO</t>
  </si>
  <si>
    <t>KOUASSI AYA VALERIE</t>
  </si>
  <si>
    <t>KOUASSI KOUADIO JEAN MODESTE</t>
  </si>
  <si>
    <t>KOUASSI KOUADIO JONAS</t>
  </si>
  <si>
    <t>N'DA N'DRI JULIETTE</t>
  </si>
  <si>
    <t>YAO AFFOUE YVETTE</t>
  </si>
  <si>
    <t>ZOUGRANA OUSMANE</t>
  </si>
  <si>
    <t>KOFFI KOUASSI GILDAS</t>
  </si>
  <si>
    <t>KRA AYA ROSE</t>
  </si>
  <si>
    <t xml:space="preserve">ATTA KOFFI DAVID </t>
  </si>
  <si>
    <t xml:space="preserve">YAO AMOIN JACQUELINE </t>
  </si>
  <si>
    <t xml:space="preserve">OUEDRAOGO INOUSSA </t>
  </si>
  <si>
    <t>LARISSA JEANNE</t>
  </si>
  <si>
    <t>0757416265</t>
  </si>
  <si>
    <t>WONSEALY</t>
  </si>
  <si>
    <t xml:space="preserve">N'TOBE </t>
  </si>
  <si>
    <t>DAMBELE BELCO</t>
  </si>
  <si>
    <t>SAMPANA GNAMOUE</t>
  </si>
  <si>
    <t>AMINATA ARMAN</t>
  </si>
  <si>
    <t>MAIGA FATOUMATA</t>
  </si>
  <si>
    <t>DJEBEKA ELIANE</t>
  </si>
  <si>
    <t>DICO FATOUMATA</t>
  </si>
  <si>
    <t>TCHINTAO KONANAN</t>
  </si>
  <si>
    <t>SONDE FATOUMATA</t>
  </si>
  <si>
    <t>DIKOUROU DEMBELE</t>
  </si>
  <si>
    <t>TRAORE AWA</t>
  </si>
  <si>
    <t>FATOUMATA TOMOTA</t>
  </si>
  <si>
    <t>TAMBOURA FATOUMATA</t>
  </si>
  <si>
    <t>BORE AICHA</t>
  </si>
  <si>
    <t>DRAME KALIDJA</t>
  </si>
  <si>
    <t>SALIMATA DJINDO</t>
  </si>
  <si>
    <t>CAMARA AICHA</t>
  </si>
  <si>
    <t>OUATTARA DJINIMBA</t>
  </si>
  <si>
    <t>CENSER DJOULDE</t>
  </si>
  <si>
    <t>MAIGA ADI 1</t>
  </si>
  <si>
    <t>MAIGA ADI 2</t>
  </si>
  <si>
    <t>DEMBELE KOUMBA</t>
  </si>
  <si>
    <t>FATOUMATA TAMBOURA</t>
  </si>
  <si>
    <t>ZONGO FATI</t>
  </si>
  <si>
    <t>MARIAM SIDIBE</t>
  </si>
  <si>
    <t>AHIDARA RAHIMOUNAN</t>
  </si>
  <si>
    <t>MAIGA AWA 1</t>
  </si>
  <si>
    <t>MAIGA AWA 2</t>
  </si>
  <si>
    <t>MAIGA AHOULATA</t>
  </si>
  <si>
    <t>COULIBALY FATOUMATA</t>
  </si>
  <si>
    <t>TOLBA</t>
  </si>
  <si>
    <t xml:space="preserve">BENKADI </t>
  </si>
  <si>
    <t>KRAMO N'DRI</t>
  </si>
  <si>
    <t>KOUAME KOUAKOU DIDIER</t>
  </si>
  <si>
    <t>KOUADIO AHOU</t>
  </si>
  <si>
    <t>N'GATTA AHOU MARCELINE</t>
  </si>
  <si>
    <t>N'GUESSAN KOUASSI DESIRE</t>
  </si>
  <si>
    <t>YAO KOUASSI DESIRE</t>
  </si>
  <si>
    <t>TORO ISSIAKA</t>
  </si>
  <si>
    <t>KONSA KOFFI N'DAYE</t>
  </si>
  <si>
    <t>KOUAME AHOU VIVIANE</t>
  </si>
  <si>
    <t>KOUADIO N'GUESSAN</t>
  </si>
  <si>
    <t>KRAMO AFFOUE</t>
  </si>
  <si>
    <t>KOUAKOU N'DRI ALPHONSE</t>
  </si>
  <si>
    <t>KOUAKOUSEYDOU DENIS</t>
  </si>
  <si>
    <t>N'GUESSAN SIALOU CHANTAL</t>
  </si>
  <si>
    <t>KOFFI AFFOUE</t>
  </si>
  <si>
    <t>TIEMOKO ADAMA</t>
  </si>
  <si>
    <t>YAO AKISSI BERNADETTE</t>
  </si>
  <si>
    <t>KOUAKOU N'GUESSAN GEORGETTE</t>
  </si>
  <si>
    <t>KOUASSI LOME IRENE</t>
  </si>
  <si>
    <t>N'GUESSAN AMAN</t>
  </si>
  <si>
    <t>KOUADIO YAO DENIS</t>
  </si>
  <si>
    <t>KOFFI AHOU JUSTINE</t>
  </si>
  <si>
    <t>KOUAKOU YAO</t>
  </si>
  <si>
    <t>KANGA ADJOUA SUZANNE</t>
  </si>
  <si>
    <t>YAO AFFOUE SUZANNE</t>
  </si>
  <si>
    <t>KOUAME AHOU VICTORINE</t>
  </si>
  <si>
    <t>KOUAME AHOU NADEGE</t>
  </si>
  <si>
    <t>KOUASSI N'GUESSAN MAXIMIN</t>
  </si>
  <si>
    <t>KOUADIO AFFOUE EUGENIE</t>
  </si>
  <si>
    <t>KOUAME KRA SIDONIE</t>
  </si>
  <si>
    <t xml:space="preserve">NANKOKO </t>
  </si>
  <si>
    <t>YAOBLEKRO</t>
  </si>
  <si>
    <t>TIENDREBEOGO ELISABETH</t>
  </si>
  <si>
    <t>KABORE ALASSANE</t>
  </si>
  <si>
    <t>ZONGO MAMOUNATA</t>
  </si>
  <si>
    <t>NIKIEMA SAFIATOU</t>
  </si>
  <si>
    <t>KOUALA ADAMA</t>
  </si>
  <si>
    <t>KABORE AMINATA</t>
  </si>
  <si>
    <t>OUEDRAOGO KARIDJATOU</t>
  </si>
  <si>
    <t>KABORE LISATA</t>
  </si>
  <si>
    <t>NIKIEMA AMI</t>
  </si>
  <si>
    <t>KABORE SOULEMANE</t>
  </si>
  <si>
    <t>KABORE ISSIAKA</t>
  </si>
  <si>
    <t>KABORE MADI</t>
  </si>
  <si>
    <t>KOANDA ABDOULAYE</t>
  </si>
  <si>
    <t>NAHANA ZEYNAB</t>
  </si>
  <si>
    <t>KABORE KOROTOUM</t>
  </si>
  <si>
    <t>WILLI HABIBATO</t>
  </si>
  <si>
    <t>KABORE MAMOUNATA</t>
  </si>
  <si>
    <t>KOANDA IBRAHIM</t>
  </si>
  <si>
    <t>KABORE IBRAHIM</t>
  </si>
  <si>
    <t>KABORE AWA</t>
  </si>
  <si>
    <t>TIENDREBEOGO RAMATA</t>
  </si>
  <si>
    <t>KOANDA KARIDJATOU</t>
  </si>
  <si>
    <t>ZOUNGRANA AMIDOU</t>
  </si>
  <si>
    <t>ZOUNGRANA SOULEYMANE</t>
  </si>
  <si>
    <t>ZOUNGRANA OUSMANE</t>
  </si>
  <si>
    <t>BOUGOUM MOUSSA</t>
  </si>
  <si>
    <t>KOANDA SALIMANTA</t>
  </si>
  <si>
    <t>KABORE FATOUMATA</t>
  </si>
  <si>
    <t>OUEDRAOGO AMINATA</t>
  </si>
  <si>
    <t xml:space="preserve">KOLOGO RAMATA </t>
  </si>
  <si>
    <t>0566619111</t>
  </si>
  <si>
    <t>0787632020</t>
  </si>
  <si>
    <t>0789572158</t>
  </si>
  <si>
    <t>015231510</t>
  </si>
  <si>
    <t>07768106255</t>
  </si>
  <si>
    <t>0546520208</t>
  </si>
  <si>
    <t>0798441003</t>
  </si>
  <si>
    <t>0708657302</t>
  </si>
  <si>
    <t>0778105884</t>
  </si>
  <si>
    <t>0748702967</t>
  </si>
  <si>
    <t>0151394507</t>
  </si>
  <si>
    <t>0777132580</t>
  </si>
  <si>
    <t>0757068149</t>
  </si>
  <si>
    <t>0747910820</t>
  </si>
  <si>
    <t>0778103746</t>
  </si>
  <si>
    <t>0798113505</t>
  </si>
  <si>
    <t>0747785419</t>
  </si>
  <si>
    <t>0758510795</t>
  </si>
  <si>
    <t>0778103467</t>
  </si>
  <si>
    <t>0566195231</t>
  </si>
  <si>
    <t>0758876879</t>
  </si>
  <si>
    <t>0742026800</t>
  </si>
  <si>
    <t>0759014585</t>
  </si>
  <si>
    <t>0747912400</t>
  </si>
  <si>
    <t>0768396232</t>
  </si>
  <si>
    <t>0777204741</t>
  </si>
  <si>
    <t>0748780881</t>
  </si>
  <si>
    <t xml:space="preserve">REED WENDE      </t>
  </si>
  <si>
    <t>MOSSIKRO NAN BODOGO</t>
  </si>
  <si>
    <t>KOFFI AMOIN HELENE</t>
  </si>
  <si>
    <t>KOUASSI AMOIN ISABELLE</t>
  </si>
  <si>
    <t>DJE AFFOUE MARIE</t>
  </si>
  <si>
    <t>KOUADIO AMENAN CATHERINE</t>
  </si>
  <si>
    <t xml:space="preserve">N'ZI AFFOUE JULIETTE </t>
  </si>
  <si>
    <t>KOUASSI AYA ROSALIE</t>
  </si>
  <si>
    <t>KOUADIO AKISSI GENEVIEVE</t>
  </si>
  <si>
    <t>KRA AFFOUE EDITH</t>
  </si>
  <si>
    <t>YAO N'DRI</t>
  </si>
  <si>
    <t>KOFFI N'GORAN JEANNE</t>
  </si>
  <si>
    <t>KOUASSI LOUKOU</t>
  </si>
  <si>
    <t>KONAN AHOU JEANNE</t>
  </si>
  <si>
    <t>KOFFI AFFOUE ESTELLE</t>
  </si>
  <si>
    <t>YAO AKISSI CHANTAL</t>
  </si>
  <si>
    <t>BROU AFFOUE ELISABETH</t>
  </si>
  <si>
    <t>KOUASSI KOFFI CHRISTOPHE</t>
  </si>
  <si>
    <t>LOUKOU KOFFI JOEL</t>
  </si>
  <si>
    <t>KOUASSI KAN</t>
  </si>
  <si>
    <t>KOUASSI KOFFI ABDOULAYE</t>
  </si>
  <si>
    <t>KOUADIO N'GORAN RACHELLE</t>
  </si>
  <si>
    <t>LOUKOU ALLA</t>
  </si>
  <si>
    <t>AYA DORCAS</t>
  </si>
  <si>
    <t>AMEMOU AMOIN CAROLINE</t>
  </si>
  <si>
    <t>KOUAME JUDICAEL</t>
  </si>
  <si>
    <t>KOFFI AHOU GENEVIEVE</t>
  </si>
  <si>
    <t>KOUAKOU AMOIN ESTER</t>
  </si>
  <si>
    <t>ASSUI LOUKOU</t>
  </si>
  <si>
    <t>ASSOU KOUADIO ALEXIS</t>
  </si>
  <si>
    <t>KINDREBEOGO NATALIE</t>
  </si>
  <si>
    <t>N'DRI JEAN ROMARIC</t>
  </si>
  <si>
    <t>0708555498</t>
  </si>
  <si>
    <t>0769779400</t>
  </si>
  <si>
    <t>0778270468</t>
  </si>
  <si>
    <t>0788934156</t>
  </si>
  <si>
    <t>0748154989</t>
  </si>
  <si>
    <t>0758738736</t>
  </si>
  <si>
    <t>0749633092</t>
  </si>
  <si>
    <t>0778105883</t>
  </si>
  <si>
    <t>0788934163</t>
  </si>
  <si>
    <t>0545037688</t>
  </si>
  <si>
    <t>EYO ENIAN</t>
  </si>
  <si>
    <t>OKABO</t>
  </si>
  <si>
    <t>KONAN N'DRI JACQUELINE</t>
  </si>
  <si>
    <t>KONAN KOUAKOU JOSE</t>
  </si>
  <si>
    <t>KOUAME AMENAN</t>
  </si>
  <si>
    <t>KOFFI AMOIN ODILE</t>
  </si>
  <si>
    <t xml:space="preserve">DELETO MOLAO </t>
  </si>
  <si>
    <t>AHOSSI AMENAN AGNES</t>
  </si>
  <si>
    <t>KOUAKOU N'GORAN MADELENE</t>
  </si>
  <si>
    <t>KOUADIO AKISSI ODILE</t>
  </si>
  <si>
    <t>KOUASSI AMENAN FELICITE</t>
  </si>
  <si>
    <t xml:space="preserve">DOGA ELA </t>
  </si>
  <si>
    <t>SATIA AMENAN EUGENIE</t>
  </si>
  <si>
    <t>TODJOU DEROTO EUGENE</t>
  </si>
  <si>
    <t>YAO N'DRI CLEMENT</t>
  </si>
  <si>
    <t>TANO KOUADIO</t>
  </si>
  <si>
    <t>ALLA GBA YAO EDOUARD</t>
  </si>
  <si>
    <t>KOUASSI LOPES</t>
  </si>
  <si>
    <t>KOFFI KONAN</t>
  </si>
  <si>
    <t>KOUAKOU AMENAN CLEMENTINE</t>
  </si>
  <si>
    <t>N'GUESSAN AHOU PRISCA</t>
  </si>
  <si>
    <t>KOUADIO KAN MOISE</t>
  </si>
  <si>
    <t>0757974948</t>
  </si>
  <si>
    <t>0758152391</t>
  </si>
  <si>
    <t>0709935743</t>
  </si>
  <si>
    <t>0778109012</t>
  </si>
  <si>
    <t>0759022162</t>
  </si>
  <si>
    <t>0747079237</t>
  </si>
  <si>
    <t>0759041121</t>
  </si>
  <si>
    <t>0747169851</t>
  </si>
  <si>
    <t>0708936026</t>
  </si>
  <si>
    <t>0707831671</t>
  </si>
  <si>
    <t>0707900401</t>
  </si>
  <si>
    <t>0747553808</t>
  </si>
  <si>
    <t>Couple</t>
  </si>
  <si>
    <t xml:space="preserve">YEKLOYEWU </t>
  </si>
  <si>
    <t>TANO KOUADIOKRO</t>
  </si>
  <si>
    <t>LAMINE KOFFI CELESTIN</t>
  </si>
  <si>
    <t>KOUASSI ADJOUA</t>
  </si>
  <si>
    <t>KOUAME AFFOUE ASSE MONIQUE</t>
  </si>
  <si>
    <t>KOUADIO AFFOUE SANDRINE</t>
  </si>
  <si>
    <t>KONAN CLARISSE AMOIN</t>
  </si>
  <si>
    <t>KOFFI AKISSI MARIE</t>
  </si>
  <si>
    <t>KOUAME AKISSI CHANTAL</t>
  </si>
  <si>
    <t xml:space="preserve">KOUAKOU AMENAN CHARLOTTE </t>
  </si>
  <si>
    <t>KOUAME AYA CELINE</t>
  </si>
  <si>
    <t>KONAN ADJOUA SUZANNE</t>
  </si>
  <si>
    <t>ALLA AFFOUE</t>
  </si>
  <si>
    <t xml:space="preserve">M'BRA N'GUESSAN CLEMENT </t>
  </si>
  <si>
    <t>KOUAKOU AHOU AGNES</t>
  </si>
  <si>
    <t xml:space="preserve">KOUAKOU AFFOUE JOSEPHINE </t>
  </si>
  <si>
    <t>N'DRI AHOU ODETTE</t>
  </si>
  <si>
    <t>BROU KOUAKOU AKISSI EUGENIE</t>
  </si>
  <si>
    <t xml:space="preserve">YAO AFFOUE </t>
  </si>
  <si>
    <t>YAO AMENAN JEANNETTE</t>
  </si>
  <si>
    <t>DOGBO AYA ROSALIE</t>
  </si>
  <si>
    <t>N'GUESSAN AFFOUE</t>
  </si>
  <si>
    <t xml:space="preserve">KOFFI AKISSI </t>
  </si>
  <si>
    <t>KANGA AMENAN NATALIE</t>
  </si>
  <si>
    <t>KOUAKOU AMOIN BENEDICTE</t>
  </si>
  <si>
    <t>KONAN AHOU VALERIE CHARLOTTE</t>
  </si>
  <si>
    <t>KOFFI N'GUESSAN AGNES</t>
  </si>
  <si>
    <t>KOFFI AMOIN EMILIENNE</t>
  </si>
  <si>
    <t>TEMOU AYA MONIQUE</t>
  </si>
  <si>
    <t>OUATTARA MANSOUGHARI</t>
  </si>
  <si>
    <t>GRAMOUTE ROKIA</t>
  </si>
  <si>
    <t>0749239434</t>
  </si>
  <si>
    <t>0748803225</t>
  </si>
  <si>
    <t>0709200770</t>
  </si>
  <si>
    <t>0778573754</t>
  </si>
  <si>
    <t>0709118719</t>
  </si>
  <si>
    <t>0708990224</t>
  </si>
  <si>
    <t>0747848067</t>
  </si>
  <si>
    <t>0758967370</t>
  </si>
  <si>
    <t>0747482128</t>
  </si>
  <si>
    <t>0787238317</t>
  </si>
  <si>
    <t>0768462369</t>
  </si>
  <si>
    <t>0747520753</t>
  </si>
  <si>
    <t>0758199468</t>
  </si>
  <si>
    <t>0789950884</t>
  </si>
  <si>
    <t>0758174336</t>
  </si>
  <si>
    <t>0789005725</t>
  </si>
  <si>
    <t>0749680005</t>
  </si>
  <si>
    <t>0778698015</t>
  </si>
  <si>
    <t>0749283383</t>
  </si>
  <si>
    <t>0758828830</t>
  </si>
  <si>
    <t>0556808726</t>
  </si>
  <si>
    <t>0574851861</t>
  </si>
  <si>
    <t xml:space="preserve">couple </t>
  </si>
  <si>
    <t xml:space="preserve">YEYO </t>
  </si>
  <si>
    <t>KOFFI KONANKRO</t>
  </si>
  <si>
    <t>BENIN SALI</t>
  </si>
  <si>
    <t>KOUAME ADJOUA MIREILLE</t>
  </si>
  <si>
    <t>KIN MTORE ZARA</t>
  </si>
  <si>
    <t xml:space="preserve">NEBIE ABI </t>
  </si>
  <si>
    <t>YAO AMENAN NADEGE</t>
  </si>
  <si>
    <t>KOFFI ADJOUA CLARISSE</t>
  </si>
  <si>
    <t>SAWADOGO NAFIATOU</t>
  </si>
  <si>
    <t>GOLI AFFOUE</t>
  </si>
  <si>
    <t>KOUAME ADJOUA MARIE LAURE</t>
  </si>
  <si>
    <t>OUEDRAOGO MAIMOUNA</t>
  </si>
  <si>
    <t>GANAME RAMATA</t>
  </si>
  <si>
    <t>N'GORAN AMOIN ELISEE</t>
  </si>
  <si>
    <t>RABOU MINATA</t>
  </si>
  <si>
    <t>NEBIE ADJARA</t>
  </si>
  <si>
    <t>GANAME SAFIATOU</t>
  </si>
  <si>
    <t>BOKA SIMONE DAVILA</t>
  </si>
  <si>
    <t>SAWADOGO ALIMATA</t>
  </si>
  <si>
    <t>SAWADOGO LIMATA</t>
  </si>
  <si>
    <t xml:space="preserve">SINON MONNIN </t>
  </si>
  <si>
    <t>SAWADOGO SALIMATA</t>
  </si>
  <si>
    <t xml:space="preserve">SAWADOGO SANATA </t>
  </si>
  <si>
    <t>KABORE FATIMATA</t>
  </si>
  <si>
    <t>KOUDJOLON RACHELLE</t>
  </si>
  <si>
    <t>SINPORE DJENEBOU</t>
  </si>
  <si>
    <t>ZONGO MARIE</t>
  </si>
  <si>
    <t>SARAKA N'GUESSAN JEANNOT</t>
  </si>
  <si>
    <t xml:space="preserve">TRAORE ABI </t>
  </si>
  <si>
    <t xml:space="preserve">RABE LAWINDE </t>
  </si>
  <si>
    <t>KAGAMBEGA OUANGO</t>
  </si>
  <si>
    <t>KOUADIO AFFOUE RACHELLE</t>
  </si>
  <si>
    <t>0769052287</t>
  </si>
  <si>
    <t>0789384925</t>
  </si>
  <si>
    <t>0747219701</t>
  </si>
  <si>
    <t>0708084515</t>
  </si>
  <si>
    <t>0757494591</t>
  </si>
  <si>
    <t>0707478025</t>
  </si>
  <si>
    <t>0141318138</t>
  </si>
  <si>
    <t>0768316591</t>
  </si>
  <si>
    <t>0749233589</t>
  </si>
  <si>
    <t>0708809629</t>
  </si>
  <si>
    <t>0777717097</t>
  </si>
  <si>
    <t>0748407370</t>
  </si>
  <si>
    <t>0768316542</t>
  </si>
  <si>
    <t>0709034711</t>
  </si>
  <si>
    <t>0767159576</t>
  </si>
  <si>
    <t>0777786916</t>
  </si>
  <si>
    <t>0747227960</t>
  </si>
  <si>
    <t>0768394490</t>
  </si>
  <si>
    <t>0768392932</t>
  </si>
  <si>
    <t>0707341177</t>
  </si>
  <si>
    <t>0759044988</t>
  </si>
  <si>
    <t>0708102647</t>
  </si>
  <si>
    <t>0709420642</t>
  </si>
  <si>
    <t>0757494590</t>
  </si>
  <si>
    <t xml:space="preserve">En couple </t>
  </si>
  <si>
    <t>KOUADIO AHOU CHRISTINE</t>
  </si>
  <si>
    <t>KOUASSI AHOU SONIA</t>
  </si>
  <si>
    <t>KOUADIO AYA</t>
  </si>
  <si>
    <t>TUINA TIWAWE ELENE</t>
  </si>
  <si>
    <t xml:space="preserve">OUFFOUE CLOYA ODETTE </t>
  </si>
  <si>
    <t>BROU N'DRI RODRIGUE</t>
  </si>
  <si>
    <t>KONAN KOFFI JEAN CLAUDE</t>
  </si>
  <si>
    <t xml:space="preserve">N'GORAN KOUASSI AUBIN </t>
  </si>
  <si>
    <t>KOUAKOU N'DRI THERESE</t>
  </si>
  <si>
    <t>TONDE WINDINDA</t>
  </si>
  <si>
    <t>KOUADIO N'GORAN SUZANNE</t>
  </si>
  <si>
    <t>KONAN AFFOUE CHANTAL</t>
  </si>
  <si>
    <t>KOUAKOU AMOIN ROSE</t>
  </si>
  <si>
    <t>YAO AYA DEBORAH</t>
  </si>
  <si>
    <t>BOUGMA RELWENDE</t>
  </si>
  <si>
    <t>KOUAKOU AYA ANNE MARIE</t>
  </si>
  <si>
    <t>0749491409</t>
  </si>
  <si>
    <t>0758090220</t>
  </si>
  <si>
    <t>0768396237</t>
  </si>
  <si>
    <t>0778266112</t>
  </si>
  <si>
    <t>0749 233589</t>
  </si>
  <si>
    <t>0748695507</t>
  </si>
  <si>
    <t>En couple</t>
  </si>
  <si>
    <t>KOUAME AYA BERNADETTE</t>
  </si>
  <si>
    <t xml:space="preserve"> BAZIE CLEMENTINE</t>
  </si>
  <si>
    <t>ALI AKISSI PELAGIE</t>
  </si>
  <si>
    <t>BAKOUAN ASSETOU</t>
  </si>
  <si>
    <t>KOFFI AKISSI HENRIETTE</t>
  </si>
  <si>
    <t>KANDO ALICE</t>
  </si>
  <si>
    <t xml:space="preserve">ZONGO FATOUMATA </t>
  </si>
  <si>
    <t>KANDO JUSTINE</t>
  </si>
  <si>
    <t>KOFFI ADJOUA MARIE LAURE</t>
  </si>
  <si>
    <t>AMANI KOUAKOU JOSEPH</t>
  </si>
  <si>
    <t xml:space="preserve">YAO KOUADIO HYACINTHE </t>
  </si>
  <si>
    <t>ALI N'GUESSAN DIDIER</t>
  </si>
  <si>
    <t>KOUAKOU AHOU SUZANNE</t>
  </si>
  <si>
    <t>BADO EWABOUE PAULINE</t>
  </si>
  <si>
    <t>KANDO CLARISSE</t>
  </si>
  <si>
    <t>LOU DJENAN BERNADETTE</t>
  </si>
  <si>
    <t>KENZIGA MONIQUE</t>
  </si>
  <si>
    <t>BOUDOU EMILIENNE</t>
  </si>
  <si>
    <t>KANDO EYAMAN</t>
  </si>
  <si>
    <t>KANDO DELPHINE</t>
  </si>
  <si>
    <t>BAKOUAN MAIMOUNAN</t>
  </si>
  <si>
    <t>BAKOUAN THERESE</t>
  </si>
  <si>
    <t>TOLOU MARIE FRANCOISE</t>
  </si>
  <si>
    <t>PALE CECILE</t>
  </si>
  <si>
    <t>BADO BAKA</t>
  </si>
  <si>
    <t>KOUAME KOFFI EUGENE</t>
  </si>
  <si>
    <t>OUATTARA KADIDJA</t>
  </si>
  <si>
    <t>BAKO KOURBE</t>
  </si>
  <si>
    <t>N'GUESSAN KOUADIO KEVIN</t>
  </si>
  <si>
    <t>0747078900</t>
  </si>
  <si>
    <t>0748172534</t>
  </si>
  <si>
    <t>0747105336</t>
  </si>
  <si>
    <t>0748884824</t>
  </si>
  <si>
    <t>0787989169</t>
  </si>
  <si>
    <t>0709170960</t>
  </si>
  <si>
    <t>0747664583</t>
  </si>
  <si>
    <t>0707449762</t>
  </si>
  <si>
    <t>0708557881</t>
  </si>
  <si>
    <t>0708173019</t>
  </si>
  <si>
    <t xml:space="preserve">SIGUITEMOGOSSON    </t>
  </si>
  <si>
    <t>KOUAMEKRO</t>
  </si>
  <si>
    <t xml:space="preserve">BOKON YOLE </t>
  </si>
  <si>
    <t>SRABANAN</t>
  </si>
  <si>
    <t>MILOGO MARIE</t>
  </si>
  <si>
    <t>YAO AMOIN ROSALIE</t>
  </si>
  <si>
    <t xml:space="preserve">KANDO MINATA </t>
  </si>
  <si>
    <t>ZOLOU HORTENSE</t>
  </si>
  <si>
    <t>TIENTEGA HABIBATOU</t>
  </si>
  <si>
    <t>KANYALA JACQUELINE</t>
  </si>
  <si>
    <t>KONE MARIAM</t>
  </si>
  <si>
    <t>KANDO ELIBIE SOLANGE</t>
  </si>
  <si>
    <t>MILOGO ROSALIE</t>
  </si>
  <si>
    <t>YACOUBA ADIZA</t>
  </si>
  <si>
    <t>KANKO CATHERINE</t>
  </si>
  <si>
    <t>OUEDRAOGO DJENIMBOU</t>
  </si>
  <si>
    <t>GANSAORE FADILATOU</t>
  </si>
  <si>
    <t>YAMEOGO ODETTE</t>
  </si>
  <si>
    <t>KOUASSI AMANI CATHERINE</t>
  </si>
  <si>
    <t>COMPAORE AGNES</t>
  </si>
  <si>
    <t>DIANDA BIBATOU</t>
  </si>
  <si>
    <t>KANDO EDOUA</t>
  </si>
  <si>
    <t>SON FATIMANTA</t>
  </si>
  <si>
    <t>KANKOUAN AWA</t>
  </si>
  <si>
    <t>KANDO ADISSA</t>
  </si>
  <si>
    <t>KAKO CHANTAL</t>
  </si>
  <si>
    <t>KANTIONO MARIAM</t>
  </si>
  <si>
    <t>ZONGO ROSALIE</t>
  </si>
  <si>
    <t>BAZONGO NATALIE</t>
  </si>
  <si>
    <t>BADOLO MARIE LOUISE</t>
  </si>
  <si>
    <t>KANKOUAN DJENAB</t>
  </si>
  <si>
    <t>KANDOLO BEATRICE</t>
  </si>
  <si>
    <t>KANKOUE MARIE JEANNE</t>
  </si>
  <si>
    <t>KANKOUAN ASSITA</t>
  </si>
  <si>
    <t>0747049830</t>
  </si>
  <si>
    <t>0152023177</t>
  </si>
  <si>
    <t>0768020249</t>
  </si>
  <si>
    <t>0778403663</t>
  </si>
  <si>
    <t>0707535688</t>
  </si>
  <si>
    <t>0747051152</t>
  </si>
  <si>
    <t>0778508735</t>
  </si>
  <si>
    <t>0769208347</t>
  </si>
  <si>
    <t xml:space="preserve">SABARIKAN </t>
  </si>
  <si>
    <t>OUATTARA DJATA</t>
  </si>
  <si>
    <t>OUATTARA AWA 1</t>
  </si>
  <si>
    <t>KONAN AMOIN BEATRICE</t>
  </si>
  <si>
    <t>OUATTARA MACROI</t>
  </si>
  <si>
    <t>GUE AMOIN SYNTHIA</t>
  </si>
  <si>
    <t>OUATTARA SALIMATA</t>
  </si>
  <si>
    <t>KOUAME AKISSI LEONTINE</t>
  </si>
  <si>
    <t>OUATTARA ABI 1</t>
  </si>
  <si>
    <t>COULIBALY ALIMENTOU</t>
  </si>
  <si>
    <t>OUATTARA ALIMATA</t>
  </si>
  <si>
    <t>OUATTARA ADJARA 1</t>
  </si>
  <si>
    <t>OUATTARA SETOU</t>
  </si>
  <si>
    <t>COULIBALY ADJARATOU</t>
  </si>
  <si>
    <t>KOUAKOU KONAN ERNEST</t>
  </si>
  <si>
    <t>OUATTARA AWA 2</t>
  </si>
  <si>
    <t>OUATTARA MAN</t>
  </si>
  <si>
    <t>OUATTARA MADINA</t>
  </si>
  <si>
    <t>OUATTARA BARAKISSA</t>
  </si>
  <si>
    <t>FARMA AWA</t>
  </si>
  <si>
    <t>OUATTARA ADJARA 2</t>
  </si>
  <si>
    <t>OUATTARA ALIMANTOU</t>
  </si>
  <si>
    <t>OUATTARA AWA 4</t>
  </si>
  <si>
    <t>OUATTARA  ABI 3</t>
  </si>
  <si>
    <t>OUATTARA FATOUMAN</t>
  </si>
  <si>
    <t>OUATTARA SALI</t>
  </si>
  <si>
    <t>OUATTARA SINATA</t>
  </si>
  <si>
    <t>COULIBALY SITA</t>
  </si>
  <si>
    <t>OUATTARA MANA</t>
  </si>
  <si>
    <t>0759059319</t>
  </si>
  <si>
    <t>0759059320</t>
  </si>
  <si>
    <t>0749230357</t>
  </si>
  <si>
    <t>0768717037</t>
  </si>
  <si>
    <t>0748281767</t>
  </si>
  <si>
    <t>0748861943</t>
  </si>
  <si>
    <t>0748861944</t>
  </si>
  <si>
    <t>0759048626</t>
  </si>
  <si>
    <t>0758179438</t>
  </si>
  <si>
    <t>0747943419</t>
  </si>
  <si>
    <t>0707532772</t>
  </si>
  <si>
    <t>0787335336</t>
  </si>
  <si>
    <t>0759061291</t>
  </si>
  <si>
    <t>0709117707</t>
  </si>
  <si>
    <t>0787556172</t>
  </si>
  <si>
    <t>0757720313</t>
  </si>
  <si>
    <t>0788032500</t>
  </si>
  <si>
    <t>0747728741</t>
  </si>
  <si>
    <t>0759049527</t>
  </si>
  <si>
    <t>0758947159</t>
  </si>
  <si>
    <t>0759068549</t>
  </si>
  <si>
    <t>0747786331</t>
  </si>
  <si>
    <t>Étiquettes de lignes</t>
  </si>
  <si>
    <t>Total général</t>
  </si>
  <si>
    <t xml:space="preserve">VILLAGE </t>
  </si>
  <si>
    <t>Total</t>
  </si>
  <si>
    <t xml:space="preserve">DEPARTEMENT </t>
  </si>
  <si>
    <t>BUYO</t>
  </si>
  <si>
    <t>SOUBRE</t>
  </si>
  <si>
    <t>GUEYO</t>
  </si>
  <si>
    <t>GRAND-ZATTRY</t>
  </si>
  <si>
    <t>Filles</t>
  </si>
  <si>
    <t>Garçons</t>
  </si>
  <si>
    <t>Nombre d'AVEC mis en place et fonctionnel</t>
  </si>
  <si>
    <t>SUPERVISEURS (nom, prénoms et contact du conseiller alphabétisation)</t>
  </si>
  <si>
    <t>DRENA SOUBRE</t>
  </si>
  <si>
    <t>IEPP</t>
  </si>
  <si>
    <t>SOUS -PREFECTURE</t>
  </si>
  <si>
    <t>LIEUX D'IMPLANTATIONS DES CLASSES</t>
  </si>
  <si>
    <t>NOM ET PRENOMS</t>
  </si>
  <si>
    <t>SEXE</t>
  </si>
  <si>
    <t>AGES (ans)</t>
  </si>
  <si>
    <t>NIVEAU D'ETUDE</t>
  </si>
  <si>
    <t>CONTACTS</t>
  </si>
  <si>
    <t>NOM DE L'ECOLE</t>
  </si>
  <si>
    <t>Gueyo Résidentiel</t>
  </si>
  <si>
    <t>KOUAKOU NAFIASSOU VERONIQUE</t>
  </si>
  <si>
    <t>BEPC</t>
  </si>
  <si>
    <t>KOUADIO KOUASSI ATHANASE  /0709143515</t>
  </si>
  <si>
    <t>Epp Résidentiel 2</t>
  </si>
  <si>
    <t>N'GORAN KOFFI GERARD</t>
  </si>
  <si>
    <t>01 03 71 99 90</t>
  </si>
  <si>
    <t>N'guessankro</t>
  </si>
  <si>
    <t>BROU AKISSI SUZANNE</t>
  </si>
  <si>
    <t>Epp Dagouayo</t>
  </si>
  <si>
    <t>KONAN KOFFI LIONEL</t>
  </si>
  <si>
    <t>07 47 78 24 78</t>
  </si>
  <si>
    <t>Bodouyo-bloc</t>
  </si>
  <si>
    <t>OUATTARA BARTINZANA YAYA</t>
  </si>
  <si>
    <t>Tle A avec BEPC</t>
  </si>
  <si>
    <t>Epp Bodouyo-Bloc</t>
  </si>
  <si>
    <t>AYEKOUE ASSI JEAN CLAUDE</t>
  </si>
  <si>
    <t>07 48 59 06 81</t>
  </si>
  <si>
    <t>Tourekro</t>
  </si>
  <si>
    <t>KONAN HENRY AIME CESAIRE</t>
  </si>
  <si>
    <t>Tle D avec BEPC</t>
  </si>
  <si>
    <t>Epp Tourékro</t>
  </si>
  <si>
    <t>LOBOGNON JOHN PHILEMON</t>
  </si>
  <si>
    <t>07 09 50 20 16</t>
  </si>
  <si>
    <t>Yobouet-Kouassikro</t>
  </si>
  <si>
    <t>TIBAH AKISSI MALA CLARISSE</t>
  </si>
  <si>
    <t>Epp Yobouet-Kouassikro</t>
  </si>
  <si>
    <t>BAYE ELIE EDMOND</t>
  </si>
  <si>
    <t>07 78 85 96 00</t>
  </si>
  <si>
    <t>DABOUYO</t>
  </si>
  <si>
    <t>Alikro</t>
  </si>
  <si>
    <t>OUATTARA ZIE DRAMANE</t>
  </si>
  <si>
    <t>Epp Alikro</t>
  </si>
  <si>
    <t>AKO ADJE OBERLIN</t>
  </si>
  <si>
    <t>05 86 78 75 67</t>
  </si>
  <si>
    <t>SANOGO SEYDOU</t>
  </si>
  <si>
    <t>Dabouyo 3</t>
  </si>
  <si>
    <t>YAO KOUADIO BLAISE</t>
  </si>
  <si>
    <t>BTS</t>
  </si>
  <si>
    <t xml:space="preserve">Epp Dabouyo3 </t>
  </si>
  <si>
    <t>BALET WASSIA MARIE France</t>
  </si>
  <si>
    <t>07 58 74 32 45</t>
  </si>
  <si>
    <t>KOFFI KOUAKOU MATHURIN</t>
  </si>
  <si>
    <t xml:space="preserve">3ème </t>
  </si>
  <si>
    <t>Kouamékro</t>
  </si>
  <si>
    <t>YAO KOUADIO HYACINTHE</t>
  </si>
  <si>
    <t>H</t>
  </si>
  <si>
    <t>0545021799</t>
  </si>
  <si>
    <t>GEORGES OUATTARA 0749828388</t>
  </si>
  <si>
    <t>EPP ALEXANDREKRO</t>
  </si>
  <si>
    <t>KOFFI JEAN MARC SYLVAIN</t>
  </si>
  <si>
    <t>0554934621</t>
  </si>
  <si>
    <t>Okabo</t>
  </si>
  <si>
    <t>YAO  SERAPHIN SIALLOUE</t>
  </si>
  <si>
    <t>0506763862</t>
  </si>
  <si>
    <t>EPP COULIBALYKRO</t>
  </si>
  <si>
    <t>VAGBEU MATHURIN ZADI</t>
  </si>
  <si>
    <t>0546848662</t>
  </si>
  <si>
    <t>Tolba</t>
  </si>
  <si>
    <t>KOUAME KOUASSI H. LEOPOLD</t>
  </si>
  <si>
    <t>Tle</t>
  </si>
  <si>
    <t>0749571054</t>
  </si>
  <si>
    <t>Yaoblékro</t>
  </si>
  <si>
    <t>2nde</t>
  </si>
  <si>
    <t>0545892390</t>
  </si>
  <si>
    <t>EPP NOUPKOUDOU</t>
  </si>
  <si>
    <t>ASSIENIN NAFIASSOU MARIE LAURE</t>
  </si>
  <si>
    <t>0707658142</t>
  </si>
  <si>
    <t>KOUAKOU N’drikro</t>
  </si>
  <si>
    <t>YAO YAO JULES</t>
  </si>
  <si>
    <t>0504951183</t>
  </si>
  <si>
    <t>EPP KOUAKOU N'DRIKRO</t>
  </si>
  <si>
    <t>KOUA DAMOI FRANCK</t>
  </si>
  <si>
    <t>0505793222</t>
  </si>
  <si>
    <t>Mayakoffikro</t>
  </si>
  <si>
    <t xml:space="preserve">KOUAKOU KONAN ISAAC </t>
  </si>
  <si>
    <t>0595196050</t>
  </si>
  <si>
    <t>GEORGES OUATTARA 0749828389</t>
  </si>
  <si>
    <t>EPP MAYAKOFFIKRO</t>
  </si>
  <si>
    <t>SALIFOU KOFFI ABDOURAMANE</t>
  </si>
  <si>
    <t>0504941390</t>
  </si>
  <si>
    <t xml:space="preserve">KOUADIO KOUAKOU CELESTIN </t>
  </si>
  <si>
    <t>BAC</t>
  </si>
  <si>
    <t>0585720858</t>
  </si>
  <si>
    <t>050494139</t>
  </si>
  <si>
    <t>Tanokouadiokro</t>
  </si>
  <si>
    <t>0769038495</t>
  </si>
  <si>
    <t>EPP WONSEALY 1</t>
  </si>
  <si>
    <t>NITE YAO DOMESAC ELIAKIM</t>
  </si>
  <si>
    <t>0574791965</t>
  </si>
  <si>
    <t>Koffi konankro</t>
  </si>
  <si>
    <t xml:space="preserve">LAMINE  KOFFI CELESTIN </t>
  </si>
  <si>
    <t>Wonsealy</t>
  </si>
  <si>
    <t>KOURAI TOULY DIANE</t>
  </si>
  <si>
    <t>0769930681</t>
  </si>
  <si>
    <t>EPP WONSEALY 2</t>
  </si>
  <si>
    <t>SAKO BAKARY</t>
  </si>
  <si>
    <t>0505223575</t>
  </si>
  <si>
    <t xml:space="preserve">KANGA KOUASSI SIMEON </t>
  </si>
  <si>
    <t>0701392820</t>
  </si>
  <si>
    <t>GEORGES OUATTARA 0749828390</t>
  </si>
  <si>
    <t>EPP WONSEALY 3</t>
  </si>
  <si>
    <t>ZOGBO WONBLEGON FRANCIS</t>
  </si>
  <si>
    <t>0757148655</t>
  </si>
  <si>
    <t>GEORGES OUATTARA 0749828391</t>
  </si>
  <si>
    <t>EPP WONSEALY 4</t>
  </si>
  <si>
    <t>DAPEOUA</t>
  </si>
  <si>
    <t>Bindougou</t>
  </si>
  <si>
    <t xml:space="preserve">SEGUI LEHIRI MARIE JEANNE </t>
  </si>
  <si>
    <t>0575692554</t>
  </si>
  <si>
    <t>SANGARE OUSMANE 0787141423</t>
  </si>
  <si>
    <t>EPP TROFORKRO</t>
  </si>
  <si>
    <t>KOUAME DJA ARMAND NOEL</t>
  </si>
  <si>
    <t>0576486390</t>
  </si>
  <si>
    <t>COULIBALY MOHAMED</t>
  </si>
  <si>
    <t>0778110717</t>
  </si>
  <si>
    <t xml:space="preserve">Gnaboya </t>
  </si>
  <si>
    <t xml:space="preserve">EBOUHE AFFOUE JUDITH </t>
  </si>
  <si>
    <t>0566373041</t>
  </si>
  <si>
    <t>EPP GNABOYA</t>
  </si>
  <si>
    <t>SILUE LIOFRA ADAMA</t>
  </si>
  <si>
    <t>0504509036</t>
  </si>
  <si>
    <t>KOUAME KOUAKOU JUDICAEL</t>
  </si>
  <si>
    <t>ZOUGRANA OUSSENI</t>
  </si>
  <si>
    <t>0574543635</t>
  </si>
  <si>
    <t>SOUBRE 1</t>
  </si>
  <si>
    <t>Bohoussoukro</t>
  </si>
  <si>
    <t>KONAN KOUAME ADRIEN</t>
  </si>
  <si>
    <t>05 95 48 11 23</t>
  </si>
  <si>
    <t>BABO AHIPOH MATHURIN/ 0142283875</t>
  </si>
  <si>
    <t>Epp Bohoussoukro</t>
  </si>
  <si>
    <t>BOTTI HOIN BI AXEL IVAN TRESOR</t>
  </si>
  <si>
    <t>Lapokro</t>
  </si>
  <si>
    <t>YAO KOUADION FRANCK</t>
  </si>
  <si>
    <t>05 54 67 98 32</t>
  </si>
  <si>
    <t>Gbaleville</t>
  </si>
  <si>
    <t>OUEDRAOGO SOUMAILA</t>
  </si>
  <si>
    <t>3è</t>
  </si>
  <si>
    <t>05 84 55 04 36</t>
  </si>
  <si>
    <t>EDJA KROU/ 07 07 43 55 70</t>
  </si>
  <si>
    <t>Epp Gbaleville</t>
  </si>
  <si>
    <t>GNAKO ELIE DANIEL</t>
  </si>
  <si>
    <t>01 60 18 63 97</t>
  </si>
  <si>
    <t>OBROU SERI CASIMIR</t>
  </si>
  <si>
    <t>05 86 09 23 74</t>
  </si>
  <si>
    <t>Roa</t>
  </si>
  <si>
    <t>BAGODOU MABO ALAIN</t>
  </si>
  <si>
    <t>05 86 09 94 56</t>
  </si>
  <si>
    <t>EPP ROA</t>
  </si>
  <si>
    <t>KOUASSI KOUAKOU FRANCOIS</t>
  </si>
  <si>
    <t>07 47 96 26 42</t>
  </si>
  <si>
    <t>Gadago</t>
  </si>
  <si>
    <t>GUEDE SEPE FRANCK</t>
  </si>
  <si>
    <t>BAC+1</t>
  </si>
  <si>
    <t>05 44 51 07 48</t>
  </si>
  <si>
    <t>EPP GADAGO</t>
  </si>
  <si>
    <t>ZORO BI TCHAN MEDARD</t>
  </si>
  <si>
    <t>01 71 85 04 95</t>
  </si>
  <si>
    <t>Kipiri</t>
  </si>
  <si>
    <t>DAH GNIME AUGUSTE</t>
  </si>
  <si>
    <t>1ère</t>
  </si>
  <si>
    <t>05 84 22 45 69</t>
  </si>
  <si>
    <t>EPP KIPIRI</t>
  </si>
  <si>
    <t>TEA AIME CESAIRE</t>
  </si>
  <si>
    <t>01 41 35 77 96</t>
  </si>
  <si>
    <t>Blésséoua</t>
  </si>
  <si>
    <t>MABO ONE LAZARE</t>
  </si>
  <si>
    <t>05 65 66 76 93</t>
  </si>
  <si>
    <t>EPP BLESSEOUA 1</t>
  </si>
  <si>
    <t>WALEKA BOTI MARUIS</t>
  </si>
  <si>
    <t>07 07 27 27 25</t>
  </si>
  <si>
    <t>Petit Goa(Lazoua)</t>
  </si>
  <si>
    <t>KOUADIO YAO IGNACE</t>
  </si>
  <si>
    <t>05 54 88 05 04</t>
  </si>
  <si>
    <t>Epp Lazoua</t>
  </si>
  <si>
    <t>LEGNON BLE DESIRE</t>
  </si>
  <si>
    <t>07 58 21 94 95</t>
  </si>
  <si>
    <t xml:space="preserve"> YOU BERO DENIS ROMEO</t>
  </si>
  <si>
    <t>05 45 74 95 88</t>
  </si>
  <si>
    <t>Maheoua</t>
  </si>
  <si>
    <t>SERI DJORLAUD SEVERIN</t>
  </si>
  <si>
    <t>05 65 12 55 24</t>
  </si>
  <si>
    <t>Epp Mahéoua</t>
  </si>
  <si>
    <t>KOFFI KOUADIO SILVERE</t>
  </si>
  <si>
    <t>07 07 03 25 08</t>
  </si>
  <si>
    <t>EFFECTIF GENERAL INSCRITS</t>
  </si>
  <si>
    <t>BUYO/EC</t>
  </si>
  <si>
    <t>BUYO 1/EC</t>
  </si>
  <si>
    <t>Dabouyo 4</t>
  </si>
  <si>
    <t>NOM ET PRENOMS DU DIRECTEUR TUTEUR</t>
  </si>
  <si>
    <t xml:space="preserve">RECHERCHE </t>
  </si>
  <si>
    <t>GUEYO Résidentiel</t>
  </si>
  <si>
    <t>%Filles</t>
  </si>
  <si>
    <t>%Garçons</t>
  </si>
  <si>
    <t>LOCALITES</t>
  </si>
  <si>
    <t>BUYO 1/CP</t>
  </si>
  <si>
    <t>BUYO 2/CP</t>
  </si>
  <si>
    <t>BASE DE DONNEES CLASSES PASSERELLES</t>
  </si>
  <si>
    <t>ANIMATEURS</t>
  </si>
  <si>
    <t xml:space="preserve"> ASSA AKISSI SIMONNE</t>
  </si>
  <si>
    <t>KOUAME AMOIN EMMA</t>
  </si>
  <si>
    <t>KOUASSI N'GUESSAN IVONNE</t>
  </si>
  <si>
    <t>KOUAME AYA BLANDINE</t>
  </si>
  <si>
    <t xml:space="preserve">ZIAO MONIQUE </t>
  </si>
  <si>
    <t>KOFFI AHOU CLARISSE</t>
  </si>
  <si>
    <t>YAO AKISSI MARIE CLAIRE</t>
  </si>
  <si>
    <t>N'DA AFFOUE HELENE</t>
  </si>
  <si>
    <t>BROU AYA THERESSE</t>
  </si>
  <si>
    <t>KONAN ADJOUA JACQUELINE</t>
  </si>
  <si>
    <t xml:space="preserve">KOUASSI AFFOUE VIVIANE </t>
  </si>
  <si>
    <t>N'GUESSAN AKISSI MONIQUE</t>
  </si>
  <si>
    <t>KOUAME AMOIN MONIQUE</t>
  </si>
  <si>
    <t>WAOGO MALAO LUCIE</t>
  </si>
  <si>
    <t>KOUASSI KOUAKOU MATURIN</t>
  </si>
  <si>
    <t>ESSE ADJOUA JUDITH</t>
  </si>
  <si>
    <t>KIEMOU IRRITE CELESTINE</t>
  </si>
  <si>
    <t>N'GORAN AMENAN RODA</t>
  </si>
  <si>
    <t>KOUAME KOUADIO GERAD</t>
  </si>
  <si>
    <t>BELLEVILLE</t>
  </si>
  <si>
    <t>AWLIN TRALE</t>
  </si>
  <si>
    <t>0747541533</t>
  </si>
  <si>
    <t>0768393330</t>
  </si>
  <si>
    <t>0748768861</t>
  </si>
  <si>
    <t>0759061349</t>
  </si>
  <si>
    <t>0747012014</t>
  </si>
  <si>
    <t>0769096196</t>
  </si>
  <si>
    <t>0769859184</t>
  </si>
  <si>
    <t>0546818908</t>
  </si>
  <si>
    <t>0758178839</t>
  </si>
  <si>
    <t>0749679733</t>
  </si>
  <si>
    <t>O779181316</t>
  </si>
  <si>
    <t>0748063998</t>
  </si>
  <si>
    <t>07488O4658</t>
  </si>
  <si>
    <t>O767519823</t>
  </si>
  <si>
    <t>0708197932</t>
  </si>
  <si>
    <t>0787999343</t>
  </si>
  <si>
    <t>0708143190</t>
  </si>
  <si>
    <t>0788168862</t>
  </si>
  <si>
    <t>0759059450</t>
  </si>
  <si>
    <t>en couple</t>
  </si>
  <si>
    <t>celibataire</t>
  </si>
  <si>
    <t>RESTAURATRICE</t>
  </si>
  <si>
    <t>COMMERCENTE</t>
  </si>
  <si>
    <t>VENDEUSE D'HABIT</t>
  </si>
  <si>
    <t>COMMERCENT</t>
  </si>
  <si>
    <t>COMMERCANTE</t>
  </si>
  <si>
    <t>COMMERCANT</t>
  </si>
  <si>
    <t>ESSOUYAKIEYOLAI</t>
  </si>
  <si>
    <t>N'GUESSAN AYA PELAGIE</t>
  </si>
  <si>
    <t>DJAHA JEAN JACQUE</t>
  </si>
  <si>
    <t>YAO AYA LUISE</t>
  </si>
  <si>
    <t>KOUAME AFFOUE RACHELLE</t>
  </si>
  <si>
    <t>KOUAKOU AMOIN MARINA</t>
  </si>
  <si>
    <t>KOFFI ADJOUA CHRISTINE</t>
  </si>
  <si>
    <t>KOFFI AMENAN LYDIE</t>
  </si>
  <si>
    <t>KOUAME AYA AIMEE</t>
  </si>
  <si>
    <t>KOUAME AMOIN NINA</t>
  </si>
  <si>
    <t>KOUASSI AFFOUE IVONNE</t>
  </si>
  <si>
    <t>ASSIE N'DRI ODILE</t>
  </si>
  <si>
    <t>KONAN KOUAME CONSTANT</t>
  </si>
  <si>
    <t>KOUADIO KONAN RICHARD</t>
  </si>
  <si>
    <t>AKANZA AMENAN PHILOMENE</t>
  </si>
  <si>
    <t xml:space="preserve">KONAN AHOU BRGITTE </t>
  </si>
  <si>
    <t>AONDJO ALIKA ANTOINETTE</t>
  </si>
  <si>
    <t>BROU AFFOUE VANESSA</t>
  </si>
  <si>
    <t>YAO AKISSI</t>
  </si>
  <si>
    <t>KONAN NAOMI</t>
  </si>
  <si>
    <t>N'GUESSAN KOUASSI</t>
  </si>
  <si>
    <t>Mme DJATI</t>
  </si>
  <si>
    <t>0759050212</t>
  </si>
  <si>
    <t>O787341875</t>
  </si>
  <si>
    <t>0758643130</t>
  </si>
  <si>
    <t>0787339390</t>
  </si>
  <si>
    <t>0708962921</t>
  </si>
  <si>
    <t>0759852526</t>
  </si>
  <si>
    <t>0703243184</t>
  </si>
  <si>
    <t>0759101560</t>
  </si>
  <si>
    <t>0787860856</t>
  </si>
  <si>
    <t>0759949388</t>
  </si>
  <si>
    <t>0758948388</t>
  </si>
  <si>
    <t>0758705034</t>
  </si>
  <si>
    <t>0709261042</t>
  </si>
  <si>
    <t>0769077487</t>
  </si>
  <si>
    <t>0757281391</t>
  </si>
  <si>
    <t>0758197890</t>
  </si>
  <si>
    <t>0749291300</t>
  </si>
  <si>
    <t>0747971493</t>
  </si>
  <si>
    <t>0767774477</t>
  </si>
  <si>
    <t>0757547430</t>
  </si>
  <si>
    <t>0758602595</t>
  </si>
  <si>
    <t>EN COUPLE</t>
  </si>
  <si>
    <t>CELIBATAIRE</t>
  </si>
  <si>
    <t xml:space="preserve">COMMERCANT </t>
  </si>
  <si>
    <t>COUTURIERE</t>
  </si>
  <si>
    <t>PLANTEUR</t>
  </si>
  <si>
    <t>COMMRECANTE</t>
  </si>
  <si>
    <t>CITE</t>
  </si>
  <si>
    <t>UNION_BUYO</t>
  </si>
  <si>
    <t>AUGUSTINE SEREBO</t>
  </si>
  <si>
    <t>LOGBO JOSEPHINE</t>
  </si>
  <si>
    <t>KOFFI ADJOUA GEOGETTE</t>
  </si>
  <si>
    <t xml:space="preserve">PASSA IRENE </t>
  </si>
  <si>
    <t>KOUADIO ISABELLE</t>
  </si>
  <si>
    <t xml:space="preserve">ADOU BOUSSOU ODETTE </t>
  </si>
  <si>
    <t xml:space="preserve">SIE LAURENT </t>
  </si>
  <si>
    <t>ASSAOULE GEORGETTE</t>
  </si>
  <si>
    <t>KOUADIO ADELAIDE</t>
  </si>
  <si>
    <t>KOUAME AFFOUE PHILOMENE</t>
  </si>
  <si>
    <t>N'GUESSAN AFFOU</t>
  </si>
  <si>
    <t>KOUAKOU ADJOUA</t>
  </si>
  <si>
    <t>KOFFI AMOIN GISSELLE</t>
  </si>
  <si>
    <t>ABY SUZANNE</t>
  </si>
  <si>
    <t xml:space="preserve">BIAOU PELAGIE </t>
  </si>
  <si>
    <t>KOUADIO LYDIA</t>
  </si>
  <si>
    <t xml:space="preserve">NANE AMA </t>
  </si>
  <si>
    <t>N'GUESSAN LAIGA JOCELYNE</t>
  </si>
  <si>
    <t>DJENZOU AMOIN ALPHONSINE</t>
  </si>
  <si>
    <t>N'GOMISA ABISSA ARNAUD</t>
  </si>
  <si>
    <t>KOUAME AYA FIDELE</t>
  </si>
  <si>
    <t>KOUASSI AKISSI FRANCELINE</t>
  </si>
  <si>
    <t>OUATTARA KADY</t>
  </si>
  <si>
    <t>BIAKPA AYADJE</t>
  </si>
  <si>
    <t>DIGBEU NADEGE</t>
  </si>
  <si>
    <t xml:space="preserve">KOUADIO PHILOMENE </t>
  </si>
  <si>
    <t>BAKAYOKO FATOU</t>
  </si>
  <si>
    <t>DJAHA APPOLINAIRE</t>
  </si>
  <si>
    <t>GBELI ORLI SOSTHENE</t>
  </si>
  <si>
    <t>0748156946</t>
  </si>
  <si>
    <t>0788933583</t>
  </si>
  <si>
    <t>0788831523</t>
  </si>
  <si>
    <t>0709238803</t>
  </si>
  <si>
    <t>0777707686</t>
  </si>
  <si>
    <t>0758108060</t>
  </si>
  <si>
    <t>0747098045</t>
  </si>
  <si>
    <t>0787018472</t>
  </si>
  <si>
    <t>0778439727</t>
  </si>
  <si>
    <t>O707189430</t>
  </si>
  <si>
    <t>0709552399</t>
  </si>
  <si>
    <t>0708034803</t>
  </si>
  <si>
    <t>0748861996</t>
  </si>
  <si>
    <t>0707502349</t>
  </si>
  <si>
    <t>0759055844</t>
  </si>
  <si>
    <t>0758508184</t>
  </si>
  <si>
    <t>0709101926</t>
  </si>
  <si>
    <t>0777707466</t>
  </si>
  <si>
    <t>0747105251</t>
  </si>
  <si>
    <t>0757048084</t>
  </si>
  <si>
    <t>0707070536</t>
  </si>
  <si>
    <t>0707305073</t>
  </si>
  <si>
    <t>0777743565</t>
  </si>
  <si>
    <t>0777477682</t>
  </si>
  <si>
    <t>0748632842</t>
  </si>
  <si>
    <t>0747275850</t>
  </si>
  <si>
    <t>0758660966</t>
  </si>
  <si>
    <t>0749209308</t>
  </si>
  <si>
    <t>0747057471</t>
  </si>
  <si>
    <t>0748143536</t>
  </si>
  <si>
    <t>VEUVRE</t>
  </si>
  <si>
    <t>DJOBO NENE DOUGLAS</t>
  </si>
  <si>
    <t>OTTE JOSEPH</t>
  </si>
  <si>
    <t>IDRE ANITA</t>
  </si>
  <si>
    <t>BOLOU NADEGE</t>
  </si>
  <si>
    <t>KABRE ZENAB</t>
  </si>
  <si>
    <t>ZOUZOUAJUSTINE</t>
  </si>
  <si>
    <t>OTTE MAXIME</t>
  </si>
  <si>
    <t>WEZE ANNE MARIE</t>
  </si>
  <si>
    <t>KINDO GEORGETTE</t>
  </si>
  <si>
    <t>PEHI LOGBO EMANUEL</t>
  </si>
  <si>
    <t>KAZA CHRISTINE</t>
  </si>
  <si>
    <t>KABI CELINE</t>
  </si>
  <si>
    <t>LAKPA CHANTAL</t>
  </si>
  <si>
    <t>ORI GBAHIKE MARTINE</t>
  </si>
  <si>
    <t>GBONENE LEOCADIE</t>
  </si>
  <si>
    <t>BADA GERMAINE</t>
  </si>
  <si>
    <t>KOUASSI AMENAN VALERIE</t>
  </si>
  <si>
    <t>IDRE MADELEINE</t>
  </si>
  <si>
    <t>KOUKO VICTORINE</t>
  </si>
  <si>
    <t>TAKORE ADOUA FERDINAND</t>
  </si>
  <si>
    <t>DIGBEU SAGOUHI AUGUSTINE</t>
  </si>
  <si>
    <t>GOGOUA CATHERINE</t>
  </si>
  <si>
    <t>GNOKA ELOIDE</t>
  </si>
  <si>
    <t>GAOTE SAMSUNG</t>
  </si>
  <si>
    <t>TIEROU ESTELLE</t>
  </si>
  <si>
    <t>GNALY MEZO JOCELYNE</t>
  </si>
  <si>
    <t>WLE CLARISSE</t>
  </si>
  <si>
    <t>CONCUBINAGE</t>
  </si>
  <si>
    <t>LAZOA</t>
  </si>
  <si>
    <t>OUYINE</t>
  </si>
  <si>
    <t xml:space="preserve">YAO VINCENT </t>
  </si>
  <si>
    <t>KOUAKOU JEAN DE DIEU</t>
  </si>
  <si>
    <t>YAO AFFOUE PAULINE</t>
  </si>
  <si>
    <t>KOUADIO AYA ADELINE</t>
  </si>
  <si>
    <t>KOUASSI AMENAN LARISSA</t>
  </si>
  <si>
    <t>KOUASSI BRICE ANNICET</t>
  </si>
  <si>
    <t>KOFFI N'GUESSAN HENRIETTE</t>
  </si>
  <si>
    <t>KONAN KOUAKOU EDMOND</t>
  </si>
  <si>
    <t>KOUASSI N'GUESSAN JEAN</t>
  </si>
  <si>
    <t>KOUAME ADJOUA NAOMIE</t>
  </si>
  <si>
    <t>KOUADIO ADJOUA VIRGINIE</t>
  </si>
  <si>
    <t>KOUADIO AYA GENEVIEVE</t>
  </si>
  <si>
    <t>YAO ADJOUA JULIE</t>
  </si>
  <si>
    <t>KOUASSI AYA VICTORINE</t>
  </si>
  <si>
    <t>KOUAKOU CYRILLE</t>
  </si>
  <si>
    <t>KONAN YAO GERMAIN</t>
  </si>
  <si>
    <t>N'DRI KONAN NOEL</t>
  </si>
  <si>
    <t xml:space="preserve">N'GORAN AHOU </t>
  </si>
  <si>
    <t>KOUAKOU KOUASSI ERIC</t>
  </si>
  <si>
    <t>KOUASSI KONAN MARUIS</t>
  </si>
  <si>
    <t>KOFFI KOUADIO EMANUEL</t>
  </si>
  <si>
    <t>N'DRI AHOUTOU VINCENT</t>
  </si>
  <si>
    <t>KOUAME AKISSI YVONNE</t>
  </si>
  <si>
    <t>KOFFI N'GORAN MARTHE</t>
  </si>
  <si>
    <t>KOFFI ADJOUA AMELIE</t>
  </si>
  <si>
    <t>KOUADIO AMOIN ADELINE</t>
  </si>
  <si>
    <t>KOUASSI AFFOUE MARIE CHANTAL</t>
  </si>
  <si>
    <t>YAO AFFOUE ANGELE</t>
  </si>
  <si>
    <t>SOLIDARITE</t>
  </si>
  <si>
    <t>MARIE</t>
  </si>
  <si>
    <t>YAO FABRICE</t>
  </si>
  <si>
    <t>KOUADIO MARIE PAULE</t>
  </si>
  <si>
    <t>KOUASSI N'GUESSAN PAULINE</t>
  </si>
  <si>
    <t xml:space="preserve">KOFFI YAO JEAN </t>
  </si>
  <si>
    <t>KOFFI ADJO PRESCALINE</t>
  </si>
  <si>
    <t>KOFFI LOUKOU MARIE-LAURE</t>
  </si>
  <si>
    <t>YAO STEPHANE</t>
  </si>
  <si>
    <t>KOUASSI YAO JOSUE</t>
  </si>
  <si>
    <t>KOUAKOU AKISSI NAOMIE</t>
  </si>
  <si>
    <t>BROU AKISSI THERESE</t>
  </si>
  <si>
    <t>LANGAH THERESE</t>
  </si>
  <si>
    <t>KOUAME AKISSI AMANDINE</t>
  </si>
  <si>
    <t>KOFFI AMOIN TINA</t>
  </si>
  <si>
    <t>KOUASSI KONAN ALFRED</t>
  </si>
  <si>
    <t>KOUAKOU EDMOND</t>
  </si>
  <si>
    <t>KOUASSI KOFFI RICHARD</t>
  </si>
  <si>
    <t>KOUASSI AHOU JOCELYNE</t>
  </si>
  <si>
    <t>KOUASSI AMENAN JACQUELINE</t>
  </si>
  <si>
    <t>KOUADIO KONAN FREJUS</t>
  </si>
  <si>
    <t>KANGA KOUADIO LAURENT</t>
  </si>
  <si>
    <t>YAO KOUASSI ST CLAIRE</t>
  </si>
  <si>
    <t>KOUASSI KONAN ALBERT</t>
  </si>
  <si>
    <t>KOUAME KOUASSI GERALD</t>
  </si>
  <si>
    <t>N'DRI ERIC</t>
  </si>
  <si>
    <t>SUCCES</t>
  </si>
  <si>
    <t>OBROU CHRISTINE</t>
  </si>
  <si>
    <t>GAPOH GOZE MAXIME</t>
  </si>
  <si>
    <t>LIGNON ZOUA</t>
  </si>
  <si>
    <t>YOHONA CHANTALE</t>
  </si>
  <si>
    <t>BOZOA MARTHE</t>
  </si>
  <si>
    <t>KABORE CECILE</t>
  </si>
  <si>
    <t>KOUADIO AYA ROSALIE</t>
  </si>
  <si>
    <t>GAMSORE VINCENT</t>
  </si>
  <si>
    <t>ABAIHI ZADI ANDERSON</t>
  </si>
  <si>
    <t>ZADI SMITH</t>
  </si>
  <si>
    <t>DAOBIA Y NATACHA</t>
  </si>
  <si>
    <t>SERI MONIQUE</t>
  </si>
  <si>
    <t>KOUAME  AMOIN</t>
  </si>
  <si>
    <t>KORE CHRISTINE</t>
  </si>
  <si>
    <t>ZARE MARINA</t>
  </si>
  <si>
    <t>ADELI LEOCADIE</t>
  </si>
  <si>
    <t>KOUAKOU A. SUZANNE</t>
  </si>
  <si>
    <t>MADOU SANDRINE</t>
  </si>
  <si>
    <t>ZOUZOUA LIGNON GERARD</t>
  </si>
  <si>
    <t>ZAKO GOHINA ALEXISE</t>
  </si>
  <si>
    <t>BIAGNE CHRISTINE</t>
  </si>
  <si>
    <t>KOUASSI MELAINE</t>
  </si>
  <si>
    <t>DALI DORCAS</t>
  </si>
  <si>
    <t>KORE ZEGBEU PELAGIE</t>
  </si>
  <si>
    <t>GRE WA YOLANDE</t>
  </si>
  <si>
    <t>GBOKOU CLEMENTINE</t>
  </si>
  <si>
    <t>OSSIRI MARTHE</t>
  </si>
  <si>
    <t>BAHI ODILE</t>
  </si>
  <si>
    <t>YAO ADJOUA</t>
  </si>
  <si>
    <t>KOALA ISSOUF</t>
  </si>
  <si>
    <t>0575999055</t>
  </si>
  <si>
    <t>0747521553</t>
  </si>
  <si>
    <t>0778716308</t>
  </si>
  <si>
    <t>0767746018</t>
  </si>
  <si>
    <t>0576787919</t>
  </si>
  <si>
    <t>0758488754</t>
  </si>
  <si>
    <t>0565119652</t>
  </si>
  <si>
    <t>0709052028</t>
  </si>
  <si>
    <t>0545856352</t>
  </si>
  <si>
    <t>055911197</t>
  </si>
  <si>
    <t>0758534512</t>
  </si>
  <si>
    <t>0797898137</t>
  </si>
  <si>
    <t>0707100119</t>
  </si>
  <si>
    <t>0574932446</t>
  </si>
  <si>
    <t>0574819037</t>
  </si>
  <si>
    <t>0769594740</t>
  </si>
  <si>
    <t>0748740053</t>
  </si>
  <si>
    <t>0787726283</t>
  </si>
  <si>
    <t>0788544048</t>
  </si>
  <si>
    <t>0779979947</t>
  </si>
  <si>
    <t>0170432024</t>
  </si>
  <si>
    <t>0759124178</t>
  </si>
  <si>
    <t>0788110149</t>
  </si>
  <si>
    <t>0564411077</t>
  </si>
  <si>
    <t>0757480715</t>
  </si>
  <si>
    <t>0759573624</t>
  </si>
  <si>
    <t>0779223109</t>
  </si>
  <si>
    <t>0747883817</t>
  </si>
  <si>
    <t>UNION LIBRE</t>
  </si>
  <si>
    <t>MARIEE</t>
  </si>
  <si>
    <t>DOTE</t>
  </si>
  <si>
    <t>MENAGERE</t>
  </si>
  <si>
    <t>UNION</t>
  </si>
  <si>
    <t>BLESSEOUA</t>
  </si>
  <si>
    <t>ZALO SOKOURI JEAN CLAUDE</t>
  </si>
  <si>
    <t>ZAKO AHIPO MARTIAL</t>
  </si>
  <si>
    <t>ZOKOU PIERRE</t>
  </si>
  <si>
    <t>NABO DJEDJE CHARLES</t>
  </si>
  <si>
    <t>NABO ZOUZOUA EMMANUEL</t>
  </si>
  <si>
    <t>KPLEGNON GAGO FRANCOIS</t>
  </si>
  <si>
    <t>LEKPA ZEGBEU HORTENSE</t>
  </si>
  <si>
    <t>BAHI DIGBEU MAMBERT</t>
  </si>
  <si>
    <t>MABO DODO FULGENCE</t>
  </si>
  <si>
    <t>ZAKO LEON</t>
  </si>
  <si>
    <t>KOKO ZADIHONON THERESE</t>
  </si>
  <si>
    <t>KOUAKOU AHOU FRANCINE</t>
  </si>
  <si>
    <t>KOUDOUGNON FLORE</t>
  </si>
  <si>
    <t>GOGOUA MARIE</t>
  </si>
  <si>
    <t>KIPRE GENEVIEVE</t>
  </si>
  <si>
    <t>KIPRE GREWA ROSE</t>
  </si>
  <si>
    <t>DEGRI DOGROU</t>
  </si>
  <si>
    <t xml:space="preserve">ZAKO JEAN </t>
  </si>
  <si>
    <t>ZOKOU LAHORE ISABELLE</t>
  </si>
  <si>
    <t>GUEHI CECILE</t>
  </si>
  <si>
    <t>BAHI GENEVIEVE</t>
  </si>
  <si>
    <t>ZAKO PREGNON ESSY CONSTY</t>
  </si>
  <si>
    <t>KOUASSI YAHA CATHERINE</t>
  </si>
  <si>
    <t>ABEAHI DONWAHI JOACHIM</t>
  </si>
  <si>
    <t>MATCHARO GUEHI BARTHELEMI</t>
  </si>
  <si>
    <t>GOGOUA GBAZOKOU ARMELLE</t>
  </si>
  <si>
    <t>MAIN DANS LA MAIN</t>
  </si>
  <si>
    <t>0574639213</t>
  </si>
  <si>
    <t>0566609416</t>
  </si>
  <si>
    <t>0778713966</t>
  </si>
  <si>
    <t>0779433364</t>
  </si>
  <si>
    <t>0545612370</t>
  </si>
  <si>
    <t>0779487967</t>
  </si>
  <si>
    <t>0777934111</t>
  </si>
  <si>
    <t>0709890572</t>
  </si>
  <si>
    <t>0779143251</t>
  </si>
  <si>
    <t>0777058079</t>
  </si>
  <si>
    <t>0778393409</t>
  </si>
  <si>
    <t>0789013316</t>
  </si>
  <si>
    <t>0797432577</t>
  </si>
  <si>
    <t>0545862598</t>
  </si>
  <si>
    <t>0564143365</t>
  </si>
  <si>
    <t>0778024233</t>
  </si>
  <si>
    <t>0779442900</t>
  </si>
  <si>
    <t>0574657233</t>
  </si>
  <si>
    <t>0555721437</t>
  </si>
  <si>
    <t>0788772389</t>
  </si>
  <si>
    <t>0709015990</t>
  </si>
  <si>
    <t>0141234250</t>
  </si>
  <si>
    <t>0748402984</t>
  </si>
  <si>
    <t>0747348103</t>
  </si>
  <si>
    <t>0575141721</t>
  </si>
  <si>
    <t>0747326053</t>
  </si>
  <si>
    <t>BLE ROBERT</t>
  </si>
  <si>
    <t>DEH GNEBELO CARLOS</t>
  </si>
  <si>
    <t>OSSOUA ORTHENSE</t>
  </si>
  <si>
    <t>LIDA GABRIERT</t>
  </si>
  <si>
    <t>DOUDOU KORE VINCENT</t>
  </si>
  <si>
    <t>DODO WAZI MICHAELLE</t>
  </si>
  <si>
    <t>DESSOU DANIELLE</t>
  </si>
  <si>
    <t>KORE BOUDOU CLARICE</t>
  </si>
  <si>
    <t>DOUDOU YOKORE ANATHOLE</t>
  </si>
  <si>
    <t>PLEGNON KORE GILLE</t>
  </si>
  <si>
    <t>ZOUZOU DEBORA</t>
  </si>
  <si>
    <t>NROMA VIVIANE</t>
  </si>
  <si>
    <t>TAPE ROKICE</t>
  </si>
  <si>
    <t>KORE ANGE MARIE</t>
  </si>
  <si>
    <t>SERY GNACO ANDERSON</t>
  </si>
  <si>
    <t>SOCO APPOLINE</t>
  </si>
  <si>
    <t>BAHI NOURA</t>
  </si>
  <si>
    <t>WO GUI FRANCK</t>
  </si>
  <si>
    <t>KOUAME KOUADIO EVARISTE</t>
  </si>
  <si>
    <t>ZOMADRE</t>
  </si>
  <si>
    <t>0747005040</t>
  </si>
  <si>
    <t>0747713372</t>
  </si>
  <si>
    <t>0788136542</t>
  </si>
  <si>
    <t>0747477264</t>
  </si>
  <si>
    <t>0555676399</t>
  </si>
  <si>
    <t>0747375130</t>
  </si>
  <si>
    <t>0555992356</t>
  </si>
  <si>
    <t>0787920738</t>
  </si>
  <si>
    <t>0748851139</t>
  </si>
  <si>
    <t>0574240751</t>
  </si>
  <si>
    <t>0798989386</t>
  </si>
  <si>
    <t>0769358868</t>
  </si>
  <si>
    <t>0545011190</t>
  </si>
  <si>
    <t>0555911821</t>
  </si>
  <si>
    <t>0779336786</t>
  </si>
  <si>
    <t>0575209921</t>
  </si>
  <si>
    <t>0556445382</t>
  </si>
  <si>
    <t>0708720850</t>
  </si>
  <si>
    <t>0749218633</t>
  </si>
  <si>
    <t>SAWADOGO ZOUMA</t>
  </si>
  <si>
    <t>BIMBA SAFIATOU</t>
  </si>
  <si>
    <t>GAMSORE SAFIATOU</t>
  </si>
  <si>
    <t>NIKIEMA KOTIM</t>
  </si>
  <si>
    <t xml:space="preserve">SAWADOGO FATIMATA </t>
  </si>
  <si>
    <t>KONFE SALIMATA</t>
  </si>
  <si>
    <t>OUEDRAOGO SALI</t>
  </si>
  <si>
    <t>YAMEOGO ROSALIE</t>
  </si>
  <si>
    <t>SAWADOGO AIBATA</t>
  </si>
  <si>
    <t>KIENDREBEOGO MARCELINE</t>
  </si>
  <si>
    <t>SAWADOGO AMI</t>
  </si>
  <si>
    <t>OUEDRAOGO MARIAM 2</t>
  </si>
  <si>
    <t>SARBA AMIDOU</t>
  </si>
  <si>
    <t>OUEDRAOGO MARIAM1</t>
  </si>
  <si>
    <t>SAWADOGO AZETA</t>
  </si>
  <si>
    <t>SAWADOGO KOTIM</t>
  </si>
  <si>
    <t>SAWADOGO BIBATA</t>
  </si>
  <si>
    <t>NAKANABO ZALISSA</t>
  </si>
  <si>
    <t>GONDE SARATA</t>
  </si>
  <si>
    <t>OREMI SAFIATA</t>
  </si>
  <si>
    <t>OUEDRAOGO MARIAM 3</t>
  </si>
  <si>
    <t>MAIGA RAMATA</t>
  </si>
  <si>
    <t>BAGUAN AZATA</t>
  </si>
  <si>
    <t>MADE AROUNA</t>
  </si>
  <si>
    <t>TRAORE RASMANI</t>
  </si>
  <si>
    <t>KIRAKOYA AMSETOU</t>
  </si>
  <si>
    <t>KAFANDO SALIMATA</t>
  </si>
  <si>
    <t>OUEDRAOGO MAMOUNATA</t>
  </si>
  <si>
    <t>SARBA ZOURATA</t>
  </si>
  <si>
    <t>RELEWENDE</t>
  </si>
  <si>
    <t>KIPIRI</t>
  </si>
  <si>
    <t>0749664007</t>
  </si>
  <si>
    <t>0767783686</t>
  </si>
  <si>
    <t>0709714315</t>
  </si>
  <si>
    <t>0768961817</t>
  </si>
  <si>
    <t>0748663835</t>
  </si>
  <si>
    <t>0709873904</t>
  </si>
  <si>
    <t>0777807902</t>
  </si>
  <si>
    <t>0747532244</t>
  </si>
  <si>
    <t>0759046388</t>
  </si>
  <si>
    <t>0777106343</t>
  </si>
  <si>
    <t>0797211108</t>
  </si>
  <si>
    <t>0747911820</t>
  </si>
  <si>
    <t>0778688037</t>
  </si>
  <si>
    <t>0171248216</t>
  </si>
  <si>
    <t>0758041545</t>
  </si>
  <si>
    <t>0767978676</t>
  </si>
  <si>
    <t>0777806808</t>
  </si>
  <si>
    <t>0788926673</t>
  </si>
  <si>
    <t>0749587983</t>
  </si>
  <si>
    <t>0708776905</t>
  </si>
  <si>
    <t>0759113148</t>
  </si>
  <si>
    <t>0777806804</t>
  </si>
  <si>
    <t>0153021400</t>
  </si>
  <si>
    <t xml:space="preserve">YOKORE LIDY </t>
  </si>
  <si>
    <t>DAH NAGO JEAN</t>
  </si>
  <si>
    <t>TETIALY SAHERE ALIDA</t>
  </si>
  <si>
    <t>MORY DJAGBA ELISABETH</t>
  </si>
  <si>
    <t>OYOUROU SEGUI</t>
  </si>
  <si>
    <t>DAH DJAGBA HORTENSE</t>
  </si>
  <si>
    <t>GRABY BERNADETTE</t>
  </si>
  <si>
    <t>LOGUHE LOUMA BRIGITTE</t>
  </si>
  <si>
    <t>GAGA IRENE</t>
  </si>
  <si>
    <t>NAMANE SAHERE EUGENIE</t>
  </si>
  <si>
    <t>ZIRIGNON SERI MATHIAS</t>
  </si>
  <si>
    <t>DEGRE MAZO RACHELLE</t>
  </si>
  <si>
    <t>LOGBO KOUDOUGNON NATHALIE</t>
  </si>
  <si>
    <t>OUGUEHI ANICK</t>
  </si>
  <si>
    <t>KOUKO GNIZAKO</t>
  </si>
  <si>
    <t>BLE GOKUI LUC</t>
  </si>
  <si>
    <t>ZADI CHANTAL</t>
  </si>
  <si>
    <t>KOUASSI AKISSI ROSINE</t>
  </si>
  <si>
    <t>DIGBEU CHRISTELLE</t>
  </si>
  <si>
    <t>ZEGBEU BOKOU MEHI CHARLOTTE</t>
  </si>
  <si>
    <t>GBAKA BALE IRENE</t>
  </si>
  <si>
    <t>GBALOU ESTELLE</t>
  </si>
  <si>
    <t>OUPOH PEGY LAURE</t>
  </si>
  <si>
    <t>DAH TAPE NICAISE</t>
  </si>
  <si>
    <t>BOBEA MELAINE</t>
  </si>
  <si>
    <t>GOGOUA NADEGE</t>
  </si>
  <si>
    <t>GUEDE DEYE THERESE</t>
  </si>
  <si>
    <t>LEKPA SAHOUA REBECCA</t>
  </si>
  <si>
    <t>KOUDOUGNON RAPHAEL</t>
  </si>
  <si>
    <t>YEPE CLAUDE</t>
  </si>
  <si>
    <t>0160330872</t>
  </si>
  <si>
    <t>0152625491</t>
  </si>
  <si>
    <t>0142257974</t>
  </si>
  <si>
    <t>0171478536</t>
  </si>
  <si>
    <t xml:space="preserve"> LAGOZI</t>
  </si>
  <si>
    <t>GUEDE VAGBEU YVONE</t>
  </si>
  <si>
    <t>SERI KREOUA ELISABETH</t>
  </si>
  <si>
    <t>KOUASSI ADJO ROSELINE</t>
  </si>
  <si>
    <t>BOBIA PELAGIE</t>
  </si>
  <si>
    <t>ZEZE CARINE</t>
  </si>
  <si>
    <t>GROGA BLANCHE CHRISTINE</t>
  </si>
  <si>
    <t>DABLE JUSTINE</t>
  </si>
  <si>
    <t>GNAZEBO IBO JOSEPHINE</t>
  </si>
  <si>
    <t>MAGUI HORTENSE</t>
  </si>
  <si>
    <t>BLE MARIE LOUISE</t>
  </si>
  <si>
    <t>KOBEI SABINE</t>
  </si>
  <si>
    <t>LOGNON JEANNETTE</t>
  </si>
  <si>
    <t>GNAZEBO CHRISTINE</t>
  </si>
  <si>
    <t>YAO AFFOUE SYLVIE</t>
  </si>
  <si>
    <t>KOUADIO BROU CATHERINE</t>
  </si>
  <si>
    <t>KONAN ADJOUA ROSINE</t>
  </si>
  <si>
    <t>DJA YOLANDE</t>
  </si>
  <si>
    <t>LOKPO CLEMENTINE</t>
  </si>
  <si>
    <t>KOUASSI AMOIN ELISABETH</t>
  </si>
  <si>
    <t>GUEDE ARMANDE</t>
  </si>
  <si>
    <t>YAO ADJO IDA</t>
  </si>
  <si>
    <t>ZABOUO GEORGETTE</t>
  </si>
  <si>
    <t>ZADY CHANTALE</t>
  </si>
  <si>
    <t>KOFFI AYA NOEL</t>
  </si>
  <si>
    <t>KONAN ANGE</t>
  </si>
  <si>
    <t>GOGOUA CHANTALE</t>
  </si>
  <si>
    <t>YOBOUE AFFOUE CHANTALE</t>
  </si>
  <si>
    <t>KOUAME AHOU ADELINE</t>
  </si>
  <si>
    <t>0173465578</t>
  </si>
  <si>
    <t>0172840308</t>
  </si>
  <si>
    <t>0757340886</t>
  </si>
  <si>
    <t>0101318120</t>
  </si>
  <si>
    <t>0172868568</t>
  </si>
  <si>
    <t>0545485506</t>
  </si>
  <si>
    <t>0554432003</t>
  </si>
  <si>
    <t>0153955563</t>
  </si>
  <si>
    <t>0584081793</t>
  </si>
  <si>
    <t>0150228941</t>
  </si>
  <si>
    <t>0556820007</t>
  </si>
  <si>
    <t>0143503626</t>
  </si>
  <si>
    <t>0798473582</t>
  </si>
  <si>
    <t>0766744531</t>
  </si>
  <si>
    <t>0769544381</t>
  </si>
  <si>
    <t>0709297137</t>
  </si>
  <si>
    <t>0707757382</t>
  </si>
  <si>
    <t>0584161940</t>
  </si>
  <si>
    <t>0757378636</t>
  </si>
  <si>
    <t>0555779387</t>
  </si>
  <si>
    <t>0545166569</t>
  </si>
  <si>
    <t>0143396939</t>
  </si>
  <si>
    <t>0757744571</t>
  </si>
  <si>
    <t>075855878722</t>
  </si>
  <si>
    <t>0799336229</t>
  </si>
  <si>
    <t>0749710388</t>
  </si>
  <si>
    <t>0140160023</t>
  </si>
  <si>
    <t>0565387003</t>
  </si>
  <si>
    <t>0170304941</t>
  </si>
  <si>
    <t>BENI</t>
  </si>
  <si>
    <t>MAIHEOUA</t>
  </si>
  <si>
    <t>N'DOUA ABEL</t>
  </si>
  <si>
    <t>ZAKO KESSIE PAULIN</t>
  </si>
  <si>
    <t>ZADY FABRICE</t>
  </si>
  <si>
    <t>BLE GNAORE RICHARD</t>
  </si>
  <si>
    <t xml:space="preserve">GBETE LOOURI DELPHIN </t>
  </si>
  <si>
    <t>TAKORE P. NARCISSE</t>
  </si>
  <si>
    <t>BELEMOU ROBERT</t>
  </si>
  <si>
    <t>KEUBLI LALOU CHAMBERT</t>
  </si>
  <si>
    <t>DEGBA YOKORE MAURICE</t>
  </si>
  <si>
    <t>GBRETE G PAULIN</t>
  </si>
  <si>
    <t>KOFFI KOUADIO SYLVERE</t>
  </si>
  <si>
    <t>BLE LAGO ELY</t>
  </si>
  <si>
    <t>DABO ZOMADRE HERVE</t>
  </si>
  <si>
    <t>KOUAKOU K.FULBERT</t>
  </si>
  <si>
    <t>KACOU K.CHRISTIAN</t>
  </si>
  <si>
    <t>BLE JULIEN</t>
  </si>
  <si>
    <t>BLE G.HERVE STEPHANE</t>
  </si>
  <si>
    <t>GOGOUA GUY DEMEL</t>
  </si>
  <si>
    <t>BLE TOH</t>
  </si>
  <si>
    <t>DOUDOU BOLOU AUGUSTIN</t>
  </si>
  <si>
    <t>TABIA ZADI NICAISE</t>
  </si>
  <si>
    <t>DIFFI KOUADIO JEAN-LOUIS</t>
  </si>
  <si>
    <t>DOUFFI KOUADDIO PIERRE</t>
  </si>
  <si>
    <t>BOZA TABLI THIERRY</t>
  </si>
  <si>
    <t>BLAY MADOU OLIVIER</t>
  </si>
  <si>
    <t>TRAORE MEITA NADINE</t>
  </si>
  <si>
    <t>BIAGNE CHRISTELLE</t>
  </si>
  <si>
    <t>DEDOU DIANE</t>
  </si>
  <si>
    <t>0779144096</t>
  </si>
  <si>
    <t>0565125524</t>
  </si>
  <si>
    <t>0748034236</t>
  </si>
  <si>
    <t>0707423621</t>
  </si>
  <si>
    <t>0554571975</t>
  </si>
  <si>
    <t>0141445876</t>
  </si>
  <si>
    <t>0759369296</t>
  </si>
  <si>
    <t>0172050926</t>
  </si>
  <si>
    <t>0171395223</t>
  </si>
  <si>
    <t>0574144332</t>
  </si>
  <si>
    <t>0152997145</t>
  </si>
  <si>
    <t>0565327304</t>
  </si>
  <si>
    <t>0140589529</t>
  </si>
  <si>
    <t>0708544169</t>
  </si>
  <si>
    <t>0143434756</t>
  </si>
  <si>
    <t>0103322190</t>
  </si>
  <si>
    <t>0140556295</t>
  </si>
  <si>
    <t>0748100307</t>
  </si>
  <si>
    <t>0140068278</t>
  </si>
  <si>
    <t>0749993501</t>
  </si>
  <si>
    <t>0576646552</t>
  </si>
  <si>
    <t>0141510802</t>
  </si>
  <si>
    <t>0152191489</t>
  </si>
  <si>
    <t>0143530852</t>
  </si>
  <si>
    <t>0140324340</t>
  </si>
  <si>
    <t>ENSEIGNANT</t>
  </si>
  <si>
    <t>TRANSPORTEUR TAXI MOTO</t>
  </si>
  <si>
    <t>TENNDE</t>
  </si>
  <si>
    <t>N'DRI AFFOUE JEANNETTE</t>
  </si>
  <si>
    <t>KOFFI KOUAME LAZARE</t>
  </si>
  <si>
    <t>M'BRA AMENAN RACHELLE</t>
  </si>
  <si>
    <t>YAO KOUAKOU JEAN BERTRAND</t>
  </si>
  <si>
    <t>N'DRI AFFOUE AMELIE</t>
  </si>
  <si>
    <t>TANO AFFOUET SOLANGE</t>
  </si>
  <si>
    <t>N'GORAN AHOU NATACHA</t>
  </si>
  <si>
    <t>KONAN N'DRI MARIETTE</t>
  </si>
  <si>
    <t>YAO AHOU AGNES</t>
  </si>
  <si>
    <t>KOUADIO N'DRI BERNADETTE</t>
  </si>
  <si>
    <t>KOUAKOU AMANI ROSE</t>
  </si>
  <si>
    <t>KOUAME AMOIN SUZANNE</t>
  </si>
  <si>
    <t>N'GUESSAN AKISSI SYLVIE</t>
  </si>
  <si>
    <t>YAO ADJOUA JEANNE</t>
  </si>
  <si>
    <t>KOUAKOU AFFOUET LEONNIE</t>
  </si>
  <si>
    <t>KONAN AYA CLARISSE</t>
  </si>
  <si>
    <t>KOFFI YAO THIERRY</t>
  </si>
  <si>
    <t>YAO AMOIN BRIGITTE</t>
  </si>
  <si>
    <t>KOUAKOU YAO SIMON</t>
  </si>
  <si>
    <t>N'GUESSAN AHOU SOLANGE</t>
  </si>
  <si>
    <t>BROU AYA SIDONIE</t>
  </si>
  <si>
    <t xml:space="preserve">YAO AFFOUE EMMA </t>
  </si>
  <si>
    <t>N'GUESSAN AHOU GHISLAINE</t>
  </si>
  <si>
    <t>OMOFOU AMENAN SOLANGE</t>
  </si>
  <si>
    <t>YAO ADJOUA ADELE</t>
  </si>
  <si>
    <t>KONAN LOUKOU  JEAN JACQUES</t>
  </si>
  <si>
    <t>N'GUESSAN KOUADIO BEENOIT</t>
  </si>
  <si>
    <t>N'GUESSAN AKISSI HELENE</t>
  </si>
  <si>
    <t>YAO ADJOUA LOUISE</t>
  </si>
  <si>
    <t>YAO AFFOUE LEONTINE</t>
  </si>
  <si>
    <t>0768578813</t>
  </si>
  <si>
    <t>0748537341</t>
  </si>
  <si>
    <t>0749191129</t>
  </si>
  <si>
    <t>0758824102</t>
  </si>
  <si>
    <t>0143765255</t>
  </si>
  <si>
    <t>0172887250</t>
  </si>
  <si>
    <t>0777267540</t>
  </si>
  <si>
    <t>0103186576</t>
  </si>
  <si>
    <t>0700130208</t>
  </si>
  <si>
    <t>0779427981</t>
  </si>
  <si>
    <t>0778955389</t>
  </si>
  <si>
    <t>0701546439</t>
  </si>
  <si>
    <t>0143667163</t>
  </si>
  <si>
    <t>0758483429</t>
  </si>
  <si>
    <t>0778979591</t>
  </si>
  <si>
    <t>0171962764</t>
  </si>
  <si>
    <t>0767779617</t>
  </si>
  <si>
    <t>077866894</t>
  </si>
  <si>
    <t>ISRAEL</t>
  </si>
  <si>
    <t>KONANKRO</t>
  </si>
  <si>
    <t>LOUBOGNON BEATRICE</t>
  </si>
  <si>
    <t>SAHUE MARIE</t>
  </si>
  <si>
    <t>LOGNON BOUKA MARIE</t>
  </si>
  <si>
    <t>LOGBO JACQUELINE</t>
  </si>
  <si>
    <t>PREGNON LOUISE</t>
  </si>
  <si>
    <t>BIAGNE VIVIANE</t>
  </si>
  <si>
    <t>KORE BERTINE</t>
  </si>
  <si>
    <t>LEKPA ODILE</t>
  </si>
  <si>
    <t>KIMOU BLANDINE</t>
  </si>
  <si>
    <t>DOBO EMMA</t>
  </si>
  <si>
    <t>YEPE JEANINE</t>
  </si>
  <si>
    <t>TAPE KRIZA THEODORE</t>
  </si>
  <si>
    <t>GOGUI DIANA CLARISSE</t>
  </si>
  <si>
    <t>DOUKORE GNIPLE RODRIGUE</t>
  </si>
  <si>
    <t>DOUKORE BOLOU SAMUEL</t>
  </si>
  <si>
    <t>GBOUGNON BITTY YVES</t>
  </si>
  <si>
    <t>GUEHI SUZANNE</t>
  </si>
  <si>
    <t>AGUI HELENE</t>
  </si>
  <si>
    <t>DORAN BERTINE</t>
  </si>
  <si>
    <t>BAHI MARINA</t>
  </si>
  <si>
    <t>TAPE MAZO SYLVIE</t>
  </si>
  <si>
    <t>KRIFO JEANNETTE</t>
  </si>
  <si>
    <t>DOUOBA REINE</t>
  </si>
  <si>
    <t>YOKOZOUA BAYERE PASCALINE</t>
  </si>
  <si>
    <t>ZADI SOLE SIMONE</t>
  </si>
  <si>
    <t>KOUAME KOSSIA DENISE</t>
  </si>
  <si>
    <t>GNIZAKA MAZO CHRISTINE</t>
  </si>
  <si>
    <t>BOLOU MABO ALEXANDRE</t>
  </si>
  <si>
    <t>YEPE LEOPOLINE</t>
  </si>
  <si>
    <t>SERI ANDRIENNE</t>
  </si>
  <si>
    <t>0152322529</t>
  </si>
  <si>
    <t>0143984338</t>
  </si>
  <si>
    <t>0152625443</t>
  </si>
  <si>
    <t>0143445186</t>
  </si>
  <si>
    <t>0749752465</t>
  </si>
  <si>
    <t>0748953407</t>
  </si>
  <si>
    <t>0150584831</t>
  </si>
  <si>
    <t>0103443178</t>
  </si>
  <si>
    <t>0140009358</t>
  </si>
  <si>
    <t>0102513505</t>
  </si>
  <si>
    <t>0778342970</t>
  </si>
  <si>
    <t>0102043546</t>
  </si>
  <si>
    <t>0171852653</t>
  </si>
  <si>
    <t>0171704075</t>
  </si>
  <si>
    <t>0160557843</t>
  </si>
  <si>
    <t>0546108301</t>
  </si>
  <si>
    <t>0789749001</t>
  </si>
  <si>
    <t>0715801707</t>
  </si>
  <si>
    <t>0143608091</t>
  </si>
  <si>
    <t>0787809241</t>
  </si>
  <si>
    <t>0749971999</t>
  </si>
  <si>
    <t>0141355445</t>
  </si>
  <si>
    <t>0748814811</t>
  </si>
  <si>
    <t>0172878548</t>
  </si>
  <si>
    <t>0707227697</t>
  </si>
  <si>
    <t>0759119444</t>
  </si>
  <si>
    <t>COMMERCE</t>
  </si>
  <si>
    <t>ELEVEUR</t>
  </si>
  <si>
    <t>ZOMANDRE</t>
  </si>
  <si>
    <t>GBALEVILLE</t>
  </si>
  <si>
    <t>ZAKO ZOUA MARIE</t>
  </si>
  <si>
    <t>GOGO GOYENA CAROLINE</t>
  </si>
  <si>
    <t>DOUANE JEANNE</t>
  </si>
  <si>
    <t>DALLY AKUEHIGBA ANASTHASIE</t>
  </si>
  <si>
    <t>LEGBROLO JULIETTE</t>
  </si>
  <si>
    <t>SERI DJAGBA ADRIENNE</t>
  </si>
  <si>
    <t>KAPOHO DJAGBA NADEGE</t>
  </si>
  <si>
    <t>YOUKOURIKE DONE CLARICE</t>
  </si>
  <si>
    <t>GBEUGRE DJAGBA AGNES</t>
  </si>
  <si>
    <t>PREGNON GOURAYO RAPHAEL</t>
  </si>
  <si>
    <t>GNAZEGBO LIKAGNELE JOSEPH</t>
  </si>
  <si>
    <t>DAGROU AKRO</t>
  </si>
  <si>
    <t>GBOAGBRE BROH EMILE</t>
  </si>
  <si>
    <t>DEGBRE YOHOU ANGE CLAUDIA</t>
  </si>
  <si>
    <t>SIBAHI ANGE DANIELLE</t>
  </si>
  <si>
    <t>GBOKO MEUGUI HERVE</t>
  </si>
  <si>
    <t>ZEGBEU KROYE JEANNE</t>
  </si>
  <si>
    <t>GUIGUI BOUKA GERMAINE</t>
  </si>
  <si>
    <t xml:space="preserve">OUPO SYLVIE </t>
  </si>
  <si>
    <t>GOBO AGBANEGO ALINE</t>
  </si>
  <si>
    <t>TAPE COLOZALO NATACHA</t>
  </si>
  <si>
    <t>LOGBO SERI LEON</t>
  </si>
  <si>
    <t>MADJARA AICHA</t>
  </si>
  <si>
    <t>LOGBO ZEKESSA VICTORINE</t>
  </si>
  <si>
    <t>WANDA NADEGE</t>
  </si>
  <si>
    <t>BADA BERNARD</t>
  </si>
  <si>
    <t>LOGBO BOUKA ODETTE</t>
  </si>
  <si>
    <t>OUPOH GOBOKI JOSEPHINE</t>
  </si>
  <si>
    <t>MATIO GABA INNOCENT</t>
  </si>
  <si>
    <t>DOBO SOLANGE</t>
  </si>
  <si>
    <t>0153049584</t>
  </si>
  <si>
    <t>0170737093</t>
  </si>
  <si>
    <t>0153044221</t>
  </si>
  <si>
    <t>0709936627</t>
  </si>
  <si>
    <t>0103937207</t>
  </si>
  <si>
    <t>0140200527</t>
  </si>
  <si>
    <t>0151274797</t>
  </si>
  <si>
    <t>0171611450</t>
  </si>
  <si>
    <t>0173425265</t>
  </si>
  <si>
    <t>0171090021</t>
  </si>
  <si>
    <t>0140215290</t>
  </si>
  <si>
    <t>0709135100</t>
  </si>
  <si>
    <t>0748487178</t>
  </si>
  <si>
    <t>0709890297</t>
  </si>
  <si>
    <t>0140103326</t>
  </si>
  <si>
    <t>0748892144</t>
  </si>
  <si>
    <t xml:space="preserve"> WANEZI</t>
  </si>
  <si>
    <t>BOSSA CATHERIENNE</t>
  </si>
  <si>
    <t>OUEDRAOGO ASSETA</t>
  </si>
  <si>
    <t>DOUMBIA BALAKISSA</t>
  </si>
  <si>
    <t>KIEBRE ASSETOU</t>
  </si>
  <si>
    <t>OUEDRAOGO AWA</t>
  </si>
  <si>
    <t>FATOU BELEM</t>
  </si>
  <si>
    <t>BAKA ISAAC</t>
  </si>
  <si>
    <t>KAMGOE SALIMATA</t>
  </si>
  <si>
    <t>ASSETOU KABORE</t>
  </si>
  <si>
    <t>NEBIE BALAKISSA</t>
  </si>
  <si>
    <t>GALEMAIN SALIMATA</t>
  </si>
  <si>
    <t>BELEM MARIAM</t>
  </si>
  <si>
    <t>OUEDRAOGO DJENABA</t>
  </si>
  <si>
    <t>DICKO ADJARATOU</t>
  </si>
  <si>
    <t>BELEM FATOU</t>
  </si>
  <si>
    <t>BADINI RAMATA</t>
  </si>
  <si>
    <t>ADJARATA OUEDRAOGO</t>
  </si>
  <si>
    <t>KADY SAWADOGO</t>
  </si>
  <si>
    <t>GROGUE CHANTAL</t>
  </si>
  <si>
    <t>BOSSO LEOCADIE</t>
  </si>
  <si>
    <t>JUSTINE AKPADONOU</t>
  </si>
  <si>
    <t>GBISSI CYPRIEN</t>
  </si>
  <si>
    <t>MARTINE</t>
  </si>
  <si>
    <t>JEANNE</t>
  </si>
  <si>
    <t>SAKINATA</t>
  </si>
  <si>
    <t>KINDA BALAKISSA</t>
  </si>
  <si>
    <t>DOUMBIA ASSETA</t>
  </si>
  <si>
    <t>DOUMBIA AWA</t>
  </si>
  <si>
    <t>OUEDRAOGO BALAKISSA</t>
  </si>
  <si>
    <t>BADINI BINTOU</t>
  </si>
  <si>
    <t>0748126645</t>
  </si>
  <si>
    <t>0768631586</t>
  </si>
  <si>
    <t>0172755278</t>
  </si>
  <si>
    <t>0777467815</t>
  </si>
  <si>
    <t>0150174466</t>
  </si>
  <si>
    <t>0757357680</t>
  </si>
  <si>
    <t>0151432650</t>
  </si>
  <si>
    <t>070850064</t>
  </si>
  <si>
    <t>RESTAURATION</t>
  </si>
  <si>
    <t>COUTURE</t>
  </si>
  <si>
    <t>COMMECRCE</t>
  </si>
  <si>
    <t>BENKADI</t>
  </si>
  <si>
    <t>DABRE MARIAM</t>
  </si>
  <si>
    <t>KONE FATI</t>
  </si>
  <si>
    <t>MANDE MAIMOUNA</t>
  </si>
  <si>
    <t>TRAORE LIBATA</t>
  </si>
  <si>
    <t>TIMTO AMINATA</t>
  </si>
  <si>
    <t>OUEDRAOGO  ALZATA</t>
  </si>
  <si>
    <t>OUEDRAOGO FATIMATA</t>
  </si>
  <si>
    <t>SANKARA RASSIRATOU</t>
  </si>
  <si>
    <t>SAWADOGO FATIMATA</t>
  </si>
  <si>
    <t>SAWADOGO AWA</t>
  </si>
  <si>
    <t>NAGABILA ALIMA</t>
  </si>
  <si>
    <t>SANKARA ALIMA</t>
  </si>
  <si>
    <t>NAKANABO ADJARATOU</t>
  </si>
  <si>
    <t>SAWADOGO RISNATA</t>
  </si>
  <si>
    <t>GONDE ADJARA</t>
  </si>
  <si>
    <t>SAWADOGO MARIAM</t>
  </si>
  <si>
    <t>OUEDRAOGO SALIMATA</t>
  </si>
  <si>
    <t>KARAMBIRI THERESE</t>
  </si>
  <si>
    <t>SAWADOGO MAMOUNATA</t>
  </si>
  <si>
    <t>GONDE ALZATA</t>
  </si>
  <si>
    <t>GUIRA RAMATA</t>
  </si>
  <si>
    <t>OUEDRAOGO MARIAM</t>
  </si>
  <si>
    <t>DERA ALZATA</t>
  </si>
  <si>
    <t>DIALLO KADIDIATOU</t>
  </si>
  <si>
    <t>OUEDRAOGO RAMATOU</t>
  </si>
  <si>
    <t>OUEDRAOGO ALIMATA</t>
  </si>
  <si>
    <t>KONE ADJARATOU</t>
  </si>
  <si>
    <t>GNOMOU HELENE</t>
  </si>
  <si>
    <t>0747928851</t>
  </si>
  <si>
    <t>0769089402</t>
  </si>
  <si>
    <t>0768250630</t>
  </si>
  <si>
    <t>0779384177</t>
  </si>
  <si>
    <t>0788809929</t>
  </si>
  <si>
    <t>0799381674</t>
  </si>
  <si>
    <t>0778187079</t>
  </si>
  <si>
    <t>0788066835</t>
  </si>
  <si>
    <t>0778673242</t>
  </si>
  <si>
    <t>0777454865</t>
  </si>
  <si>
    <t>0748047024</t>
  </si>
  <si>
    <t>0749842305</t>
  </si>
  <si>
    <t>0700129880</t>
  </si>
  <si>
    <t>0799013784</t>
  </si>
  <si>
    <t>0747502637</t>
  </si>
  <si>
    <t>0556264223</t>
  </si>
  <si>
    <t>0759038667</t>
  </si>
  <si>
    <t>0779309104</t>
  </si>
  <si>
    <t>0749452454</t>
  </si>
  <si>
    <t>0759006040</t>
  </si>
  <si>
    <t>0747512168</t>
  </si>
  <si>
    <t>0748583565</t>
  </si>
  <si>
    <t>0748026086</t>
  </si>
  <si>
    <t>0795154245</t>
  </si>
  <si>
    <t>0758113537</t>
  </si>
  <si>
    <t>0564262266</t>
  </si>
  <si>
    <t>0173426539</t>
  </si>
  <si>
    <t>0789104425</t>
  </si>
  <si>
    <t>05464222</t>
  </si>
  <si>
    <t>0747477414</t>
  </si>
  <si>
    <t>ROA</t>
  </si>
  <si>
    <t>ZADY NIAZEGBO BENJAMIN</t>
  </si>
  <si>
    <t>DALEBA MARIE PAULE</t>
  </si>
  <si>
    <t>GOSSE GNALY YVONNE</t>
  </si>
  <si>
    <t>YLAZALE VERONIQUE</t>
  </si>
  <si>
    <t>SERI NADINE CHRISTIANE</t>
  </si>
  <si>
    <t>BLE BEDEL</t>
  </si>
  <si>
    <t>BLE SAMUEL</t>
  </si>
  <si>
    <t>BISSOUMA SERI DAVID</t>
  </si>
  <si>
    <t>KOUEBO ZOKOU CLEMENT</t>
  </si>
  <si>
    <t>GNAPOH HONORINE</t>
  </si>
  <si>
    <t>ZADY CYNTHIA</t>
  </si>
  <si>
    <t>TAKORE SYLVIE</t>
  </si>
  <si>
    <t>GBOTTO GOGOUA FERNAND</t>
  </si>
  <si>
    <t>SERI GOGOUADE NATHALIE</t>
  </si>
  <si>
    <t>GNIZAKO PELAGIE</t>
  </si>
  <si>
    <t>KIPRE JEAN CLAUDE</t>
  </si>
  <si>
    <t>GNAKO AYEKPEU CHANTAL</t>
  </si>
  <si>
    <t>DOUANE ZAKEHI BERTINE</t>
  </si>
  <si>
    <t>TAPE YOLANDE</t>
  </si>
  <si>
    <t>KENO AGNES</t>
  </si>
  <si>
    <t>ZOBO PATRICIA</t>
  </si>
  <si>
    <t>ZABOUO ISIDORE</t>
  </si>
  <si>
    <t>BAWA ASSA CHRISTELLE</t>
  </si>
  <si>
    <t>LOUE AYEKPEU THERESE</t>
  </si>
  <si>
    <t>LOGBO ZAKEHI AIMEE</t>
  </si>
  <si>
    <t>MAMBO SOUA CLARISSE</t>
  </si>
  <si>
    <t>ZADI JOEL</t>
  </si>
  <si>
    <t>BOUAZO EBA ROSE</t>
  </si>
  <si>
    <t>GLA CHANTALE</t>
  </si>
  <si>
    <t>GBAHI MARCELINE</t>
  </si>
  <si>
    <t>0555017433</t>
  </si>
  <si>
    <t>0758120287</t>
  </si>
  <si>
    <t>0778540467</t>
  </si>
  <si>
    <t>0777121251</t>
  </si>
  <si>
    <t>0759889355</t>
  </si>
  <si>
    <t>0576859837</t>
  </si>
  <si>
    <t>0788904884</t>
  </si>
  <si>
    <t>0748070316</t>
  </si>
  <si>
    <t>0575105071</t>
  </si>
  <si>
    <t>0799574795</t>
  </si>
  <si>
    <t>0748048771</t>
  </si>
  <si>
    <t>0779546104</t>
  </si>
  <si>
    <t>0574737495</t>
  </si>
  <si>
    <t>0585824435</t>
  </si>
  <si>
    <t>0777796986</t>
  </si>
  <si>
    <t>0748888365</t>
  </si>
  <si>
    <t>0704196295</t>
  </si>
  <si>
    <t>0707093963</t>
  </si>
  <si>
    <t>0749469015</t>
  </si>
  <si>
    <t>0778766223</t>
  </si>
  <si>
    <t>0787835129</t>
  </si>
  <si>
    <t>0749973258</t>
  </si>
  <si>
    <t>0777215276</t>
  </si>
  <si>
    <t>0749672161</t>
  </si>
  <si>
    <t>ELEVAGE</t>
  </si>
  <si>
    <t>CULTIVATRICE</t>
  </si>
  <si>
    <t>COIFFEUSE</t>
  </si>
  <si>
    <t>DJORO</t>
  </si>
  <si>
    <t>KONAN ADJOUA MARIE SOLANGE</t>
  </si>
  <si>
    <t>BIDI LIKAGNENE EOLITTE</t>
  </si>
  <si>
    <t>DOUKOURE OURAPA</t>
  </si>
  <si>
    <t>BAHI ZOHONAN CECILE</t>
  </si>
  <si>
    <t>SERI TINA</t>
  </si>
  <si>
    <t>Mme NIOBLE Née BLE WASSIA</t>
  </si>
  <si>
    <t>ZIADOU GERMAINE</t>
  </si>
  <si>
    <t>KOUASSA DJAHUE MARTINE</t>
  </si>
  <si>
    <t>GOGOUA AKELE JULIE</t>
  </si>
  <si>
    <t>LIGNON CATHERINE</t>
  </si>
  <si>
    <t>DIGBEU DJEME SYLVIE</t>
  </si>
  <si>
    <t>DIGBEU WASSI THERESE</t>
  </si>
  <si>
    <t>KAZA ZOHONON HORTENSE</t>
  </si>
  <si>
    <t>TETIALY NICOLE</t>
  </si>
  <si>
    <t>DJOLOHONON JEANNETTE</t>
  </si>
  <si>
    <t>GOGOUA JULIENNE</t>
  </si>
  <si>
    <t>BLA BOUKA LYDIE</t>
  </si>
  <si>
    <t>GNOLOU GALO RACHELLE</t>
  </si>
  <si>
    <t>NIOBLE TIBURCE</t>
  </si>
  <si>
    <t>NIOBLE MAURICE</t>
  </si>
  <si>
    <t>ZOUZOUA SAHOUA PATRICIA</t>
  </si>
  <si>
    <t>TAPE RITA</t>
  </si>
  <si>
    <t>TIA SANDRINE</t>
  </si>
  <si>
    <t>GBOGOU ZADIHONON BRIGITTE</t>
  </si>
  <si>
    <t>NIABLE HENRY</t>
  </si>
  <si>
    <t>GOLEBA EDWIGE</t>
  </si>
  <si>
    <t>GOGOHI CAROLINE</t>
  </si>
  <si>
    <t>DOUDOU CHANTAL</t>
  </si>
  <si>
    <t>OUGUEHI DJEGBA ELISE</t>
  </si>
  <si>
    <t>DJODJORO SANDRINE</t>
  </si>
  <si>
    <t>0707495228</t>
  </si>
  <si>
    <t>0749913450</t>
  </si>
  <si>
    <t>0708960354</t>
  </si>
  <si>
    <t>0172804225</t>
  </si>
  <si>
    <t>0708933874</t>
  </si>
  <si>
    <t>0708910372</t>
  </si>
  <si>
    <t>0173827773</t>
  </si>
  <si>
    <t>0565112725</t>
  </si>
  <si>
    <t>0103933350</t>
  </si>
  <si>
    <t>05762028414</t>
  </si>
  <si>
    <t>0789118804</t>
  </si>
  <si>
    <t>0707089458</t>
  </si>
  <si>
    <t>0554299910</t>
  </si>
  <si>
    <t>0788115391</t>
  </si>
  <si>
    <t>0758918425</t>
  </si>
  <si>
    <t>0777564193</t>
  </si>
  <si>
    <t>0797326394</t>
  </si>
  <si>
    <t>0749452745</t>
  </si>
  <si>
    <t>055537649</t>
  </si>
  <si>
    <t>0595665492</t>
  </si>
  <si>
    <t>0709554618</t>
  </si>
  <si>
    <t>0749320970</t>
  </si>
  <si>
    <t>0707064568</t>
  </si>
  <si>
    <t>0789292212</t>
  </si>
  <si>
    <t>0778077385</t>
  </si>
  <si>
    <t>VEUVE</t>
  </si>
  <si>
    <t>TRAISSEUSE</t>
  </si>
  <si>
    <t>LEHIRI</t>
  </si>
  <si>
    <t>KOFFI KOUADIO MARUIS</t>
  </si>
  <si>
    <t>DAHO YAO NATHANAEL</t>
  </si>
  <si>
    <t>KOFFI AYA BRIGITTE</t>
  </si>
  <si>
    <t>BOHOUSSOU KOFFI ANDERSON</t>
  </si>
  <si>
    <t xml:space="preserve">KONAN YAO PARFAIT </t>
  </si>
  <si>
    <t>KOUADIO KOUASSI</t>
  </si>
  <si>
    <t>KOUADIO AHOU ELISABETH</t>
  </si>
  <si>
    <t>KOUADIO AHOU ANNE MARIE</t>
  </si>
  <si>
    <t>KOUAKOU ADJOUA CHANTAL N°1</t>
  </si>
  <si>
    <t>KOUASSI ADJOUA ESTELLE</t>
  </si>
  <si>
    <t>KONAN AMENAN REBECCA</t>
  </si>
  <si>
    <t>KOUADIO ADJO MARINA</t>
  </si>
  <si>
    <t>KOUAME CAROLINE</t>
  </si>
  <si>
    <t>N'DRI AYA EUGENIE</t>
  </si>
  <si>
    <t>KOUASSI K. EVARISTE</t>
  </si>
  <si>
    <t>KOUAKOU AMOIN REBECCA</t>
  </si>
  <si>
    <t>AGO N'DA AHOU</t>
  </si>
  <si>
    <t>KOFFI AKISSI JULIETTE</t>
  </si>
  <si>
    <t>KOUADIO KOUASSI JEAN-MARC</t>
  </si>
  <si>
    <t>YAO AYA MARIE-CLAIRE</t>
  </si>
  <si>
    <t>KOUAKOU ADJOUA CHANTAL N°2</t>
  </si>
  <si>
    <t>YAO AKISSI FIDELE</t>
  </si>
  <si>
    <t>KOUASSI AKISSI JULIETTE</t>
  </si>
  <si>
    <t>YAO AMELAN JACQUELINE</t>
  </si>
  <si>
    <t>0544475790</t>
  </si>
  <si>
    <t>0778118929</t>
  </si>
  <si>
    <t>0749282390</t>
  </si>
  <si>
    <t>0170658502</t>
  </si>
  <si>
    <t>0788546013</t>
  </si>
  <si>
    <t>0749521516</t>
  </si>
  <si>
    <t>0777675335</t>
  </si>
  <si>
    <t>0758097516</t>
  </si>
  <si>
    <t>0757606546</t>
  </si>
  <si>
    <t>0758548016</t>
  </si>
  <si>
    <t>0769391304</t>
  </si>
  <si>
    <t>0759695432</t>
  </si>
  <si>
    <t>0709564324</t>
  </si>
  <si>
    <t>0101212040</t>
  </si>
  <si>
    <t>0748425437</t>
  </si>
  <si>
    <t>MERVEILLE</t>
  </si>
  <si>
    <t>PARC-SOU</t>
  </si>
  <si>
    <t>N'DRI KOFFI KOFFI JUNIOR</t>
  </si>
  <si>
    <t>AMANI AKISSI MADELENE</t>
  </si>
  <si>
    <t>KONAN AKISSI SALOME</t>
  </si>
  <si>
    <t>KOUASSI KAN FIRMIN</t>
  </si>
  <si>
    <t>KOFFI N'GORAN PAULIN</t>
  </si>
  <si>
    <t>YAO AKISSI FRANCOISE</t>
  </si>
  <si>
    <t>KOUADIO ADJOUA</t>
  </si>
  <si>
    <t>GNAMIEN KOUASSI KAN</t>
  </si>
  <si>
    <t>DJAHA AMENAN JACQUELINE</t>
  </si>
  <si>
    <t>KOUADIO KOUADIO</t>
  </si>
  <si>
    <t>KONAN KOUADIO ARMAND</t>
  </si>
  <si>
    <t>KOUADIO AYA BLANDINE</t>
  </si>
  <si>
    <t>KONAN N'GORAN FELIX</t>
  </si>
  <si>
    <t>YAO AKISSI LEONNIE</t>
  </si>
  <si>
    <t>KOUASSI KAN SYLVAIN</t>
  </si>
  <si>
    <t>KOFFI AHOU ELINE</t>
  </si>
  <si>
    <t>KOUAME  AHOU PAULINE</t>
  </si>
  <si>
    <t>N'GUESSAN KONAN SIMON</t>
  </si>
  <si>
    <t>KOUASSI AYA</t>
  </si>
  <si>
    <t>KOUADIO N'DRI JULIEN</t>
  </si>
  <si>
    <t>KOUADIO AMOIN PAULINE</t>
  </si>
  <si>
    <t>N'DRI AFFOUE HONORINE</t>
  </si>
  <si>
    <t>N'GORAN AYA NADEGE</t>
  </si>
  <si>
    <t>KOFFI N'GUESSAN EUGENE</t>
  </si>
  <si>
    <t>YAO ADJOUA HELENE</t>
  </si>
  <si>
    <t>KANGA AHOU CLAUDINE</t>
  </si>
  <si>
    <t>N'GUESSAN AMEANAN</t>
  </si>
  <si>
    <t>KOUAKOU N'GUESSAN VIGINIE</t>
  </si>
  <si>
    <t>0748078652</t>
  </si>
  <si>
    <t>0787079211</t>
  </si>
  <si>
    <t>0778527868</t>
  </si>
  <si>
    <t>0779117079</t>
  </si>
  <si>
    <t>0758842115</t>
  </si>
  <si>
    <t>0749452244</t>
  </si>
  <si>
    <t>0747718300</t>
  </si>
  <si>
    <t>0749747022</t>
  </si>
  <si>
    <t>0749687460</t>
  </si>
  <si>
    <t>0749440328</t>
  </si>
  <si>
    <t xml:space="preserve"> DIEU BENI</t>
  </si>
  <si>
    <t>FATAMAN</t>
  </si>
  <si>
    <t>KOFFI ADJO ELISABETH</t>
  </si>
  <si>
    <t>BATO KAN AMOS</t>
  </si>
  <si>
    <t>Mme BATO EDWIGE</t>
  </si>
  <si>
    <t>N'DRI AYA CELINE</t>
  </si>
  <si>
    <t>AMANI AMOIN ROSALIE</t>
  </si>
  <si>
    <t>DJAHA AFFOUE MONIQUE</t>
  </si>
  <si>
    <t>KOUADIO AMOIN ODETTE</t>
  </si>
  <si>
    <t>KOUAKOU AMENAN CLARISSE</t>
  </si>
  <si>
    <t>N'GUESSAN AKISSI NICOLE</t>
  </si>
  <si>
    <t>N'GUESSAN AKISSI SOLANGE</t>
  </si>
  <si>
    <t>KOUASSI AKISSI YVONNE</t>
  </si>
  <si>
    <t>KOFFI AKISSI CHRIST</t>
  </si>
  <si>
    <t>KOUASSI AKISSI THERESE</t>
  </si>
  <si>
    <t>KOUASSI KONAN HENRY</t>
  </si>
  <si>
    <t>KOUAME AFFOUE ODETTE</t>
  </si>
  <si>
    <t>KOUAKOU AFFOUE VERONIQUE</t>
  </si>
  <si>
    <t>KOUASSI AFFOUE SEPHORA</t>
  </si>
  <si>
    <t>N'GUESSAN KOFFI FERNAND</t>
  </si>
  <si>
    <t>N'GUESSAN BOHOUSSOU</t>
  </si>
  <si>
    <t>AMANI YAO FELIX</t>
  </si>
  <si>
    <t>KOUADIO N'ZI LEONTINE</t>
  </si>
  <si>
    <t>N'GUESSAN KOUAKOU BIENVENU</t>
  </si>
  <si>
    <t>N'GUESSAN ADJOUA CECILE</t>
  </si>
  <si>
    <t>KOUASSI KOUADIO LUCIEN</t>
  </si>
  <si>
    <t>KOUASSI AMENAN CATHERINE</t>
  </si>
  <si>
    <t>KONAN AHOU ANICETTE</t>
  </si>
  <si>
    <t>N'GUESSAN AMOIN COLETTE</t>
  </si>
  <si>
    <t>0758087015</t>
  </si>
  <si>
    <t>0748075236</t>
  </si>
  <si>
    <t>0576775828</t>
  </si>
  <si>
    <t>L'UNION FAIT LA FORCE</t>
  </si>
  <si>
    <t>Étiquettes de colonnes</t>
  </si>
  <si>
    <t>Nombre de NOM DE  l’AVEC </t>
  </si>
  <si>
    <t xml:space="preserve">ZONES D'INTERVENTION </t>
  </si>
  <si>
    <t>DEPARTEMENTS</t>
  </si>
  <si>
    <t xml:space="preserve">recherche </t>
  </si>
  <si>
    <t>LOCALITE</t>
  </si>
  <si>
    <t xml:space="preserve">Femme </t>
  </si>
  <si>
    <t>Homme</t>
  </si>
  <si>
    <t>Fille</t>
  </si>
  <si>
    <t>%F</t>
  </si>
  <si>
    <t>%H</t>
  </si>
  <si>
    <t>%G</t>
  </si>
  <si>
    <t>%Fi</t>
  </si>
  <si>
    <t>NBRE AVEC</t>
  </si>
  <si>
    <t>Départements</t>
  </si>
  <si>
    <t>Villages</t>
  </si>
  <si>
    <t>Effectif initial</t>
  </si>
  <si>
    <t>%(au niveau du village)</t>
  </si>
  <si>
    <t>% (Selon l'effectif Départemental)</t>
  </si>
  <si>
    <t>% (Selon l'effectif Global)</t>
  </si>
  <si>
    <t>Effectifs des apprenants ayant composé (A transférer)</t>
  </si>
  <si>
    <t>Absents</t>
  </si>
  <si>
    <t>Buyo</t>
  </si>
  <si>
    <t xml:space="preserve">Filles </t>
  </si>
  <si>
    <t xml:space="preserve">Total Buyo </t>
  </si>
  <si>
    <t>TOTAL</t>
  </si>
  <si>
    <t>Guéyo</t>
  </si>
  <si>
    <t>Total Guéyo</t>
  </si>
  <si>
    <t>Soubré</t>
  </si>
  <si>
    <t>Total Global</t>
  </si>
  <si>
    <t>Nom &amp;Prénoms</t>
  </si>
  <si>
    <t>Sexes</t>
  </si>
  <si>
    <t>Ages</t>
  </si>
  <si>
    <t>Moyennes</t>
  </si>
  <si>
    <t>CLASSE</t>
  </si>
  <si>
    <t>DEPARTEMENT</t>
  </si>
  <si>
    <t>VILLAGE</t>
  </si>
  <si>
    <t>Observations</t>
  </si>
  <si>
    <t>Recommandations</t>
  </si>
  <si>
    <t>RANG</t>
  </si>
  <si>
    <t xml:space="preserve">STATUT </t>
  </si>
  <si>
    <t>BAMBA DJENEBOU</t>
  </si>
  <si>
    <t>CPU</t>
  </si>
  <si>
    <t>2è</t>
  </si>
  <si>
    <t>BAMBA KARIDJATOU</t>
  </si>
  <si>
    <t>4è</t>
  </si>
  <si>
    <t>BAMOGO ZAKARIA</t>
  </si>
  <si>
    <t>22è</t>
  </si>
  <si>
    <t>BERTE WASSA</t>
  </si>
  <si>
    <t>12è</t>
  </si>
  <si>
    <t>COULIBALY MAIMOUNA</t>
  </si>
  <si>
    <t>5è</t>
  </si>
  <si>
    <t>ETONDY INGRIDE</t>
  </si>
  <si>
    <t>KOFFI ADJOUA ANGE MARIE</t>
  </si>
  <si>
    <t>10è</t>
  </si>
  <si>
    <t>KOFFI AMOIN MARIE</t>
  </si>
  <si>
    <t>14è</t>
  </si>
  <si>
    <t>KOFFI KOUASSI MANASSE</t>
  </si>
  <si>
    <t>16è</t>
  </si>
  <si>
    <t>KONE FATOUMATA</t>
  </si>
  <si>
    <t>8è</t>
  </si>
  <si>
    <t>KOUADIO AHOU HORIANE</t>
  </si>
  <si>
    <t>KOUADIO AMENAN BENEDICTE</t>
  </si>
  <si>
    <t>18è</t>
  </si>
  <si>
    <t>KOUAME KOUASSI ISAAC</t>
  </si>
  <si>
    <t>KOUAME YAO PRINCE MOYE</t>
  </si>
  <si>
    <t>11è</t>
  </si>
  <si>
    <t>KOUASSI KOUADIO JEAN MARC</t>
  </si>
  <si>
    <t>1er</t>
  </si>
  <si>
    <t>KOUASSI KOUADIO NICAISE</t>
  </si>
  <si>
    <t>21è</t>
  </si>
  <si>
    <t>KOUASSI KOUAKOU YOHAN</t>
  </si>
  <si>
    <t>N'GUESSAN AMENAN SARAHIDE</t>
  </si>
  <si>
    <t>23è</t>
  </si>
  <si>
    <t>OUATTARA ZOULOUKALAMANI</t>
  </si>
  <si>
    <t>15è</t>
  </si>
  <si>
    <t>OUEDRAOGO NAFISSATOU</t>
  </si>
  <si>
    <t>6è</t>
  </si>
  <si>
    <t>SANOGO ISSA</t>
  </si>
  <si>
    <t>17è</t>
  </si>
  <si>
    <t>SAWADOGO ASSETOU</t>
  </si>
  <si>
    <t>7è</t>
  </si>
  <si>
    <t>YAO KOUAKOU ETIENNE</t>
  </si>
  <si>
    <t>KOFFI YAO NICKANOR</t>
  </si>
  <si>
    <t>26è</t>
  </si>
  <si>
    <t>KOUADIO AHOU SEPHORA</t>
  </si>
  <si>
    <t>25è</t>
  </si>
  <si>
    <t>BALLO ABDOULAYE</t>
  </si>
  <si>
    <t>BARRE FATOUMATA</t>
  </si>
  <si>
    <t>BAYA ACHA</t>
  </si>
  <si>
    <t>BAYA KADIDJATOU</t>
  </si>
  <si>
    <t>BERTE ABI</t>
  </si>
  <si>
    <t>DIARRA SOUNGALO</t>
  </si>
  <si>
    <t>EKRA OUATTARA CHAKA</t>
  </si>
  <si>
    <t>KONDO AYA CELINE</t>
  </si>
  <si>
    <t>13è</t>
  </si>
  <si>
    <t>KONE DAOUDA</t>
  </si>
  <si>
    <t>KOUAKOU ADJOUA RACHELLE</t>
  </si>
  <si>
    <t>KONAN AFFOUE CHARLOTTE</t>
  </si>
  <si>
    <t>19è</t>
  </si>
  <si>
    <t>KOUAKOU AHOU ESTELLE</t>
  </si>
  <si>
    <t>KOUAME CHARLOTTE</t>
  </si>
  <si>
    <t>KOUASSI ADJOUA GRACE DIVINE</t>
  </si>
  <si>
    <t>KOUASSI KOUAME GEDEON</t>
  </si>
  <si>
    <t>N'GUESSAN ADJOUA GENEVIEVE</t>
  </si>
  <si>
    <t>OUATTARA ABOUBACAR</t>
  </si>
  <si>
    <t>OUATTARA BAMORY</t>
  </si>
  <si>
    <t>TRAORE MARIAM</t>
  </si>
  <si>
    <t>SADIKA SOULEYMANE</t>
  </si>
  <si>
    <t>SAGNON YAYA</t>
  </si>
  <si>
    <t>YAO KONAN FANIEL</t>
  </si>
  <si>
    <t>20è</t>
  </si>
  <si>
    <t>KOUASSI AKISSI FELICITE</t>
  </si>
  <si>
    <t>KOFFI AMENAN SARA DORIS</t>
  </si>
  <si>
    <t>KONAN KOUAKOU DANIEL</t>
  </si>
  <si>
    <t>KONAN KOUAKOU MANASSE</t>
  </si>
  <si>
    <t>KOTOU SIGOLE MADOCHE</t>
  </si>
  <si>
    <t>KOUADIO AMENAN ANGE V</t>
  </si>
  <si>
    <t>KOUADIO KOFFI STEPHANE</t>
  </si>
  <si>
    <t>KOUAME AMENAN GRACE</t>
  </si>
  <si>
    <t>KOUASSI AYA ANGE MARIE</t>
  </si>
  <si>
    <t>KOUASSI KOFFI FOFANA</t>
  </si>
  <si>
    <t>9è</t>
  </si>
  <si>
    <t>KOUASSI KONAN MADOCHE</t>
  </si>
  <si>
    <t>KOUASSI KOUADIO ARON</t>
  </si>
  <si>
    <t>KOUASSI KOUAME NOE</t>
  </si>
  <si>
    <t>YAO AFFOUE IRENE</t>
  </si>
  <si>
    <t>YAO KOUASSI GUILLAUME</t>
  </si>
  <si>
    <t>KOUADIO KOUADIO EZEKIEL</t>
  </si>
  <si>
    <t>YOBOUET-KOUASSIKRO</t>
  </si>
  <si>
    <t>BAMBA MARIAM</t>
  </si>
  <si>
    <t>BAYILI DENIS(1)</t>
  </si>
  <si>
    <t>BAYILI DENIS(2)</t>
  </si>
  <si>
    <t>BAYILI JULES</t>
  </si>
  <si>
    <t>BAYILI PAULINE</t>
  </si>
  <si>
    <t>BAYILI YOLANDE</t>
  </si>
  <si>
    <t>BELMA ATHANASE</t>
  </si>
  <si>
    <t>DJINI YACOUBA</t>
  </si>
  <si>
    <t>KOFFI AMENAN ROLANDE</t>
  </si>
  <si>
    <t>KONE AWA</t>
  </si>
  <si>
    <t>OUATTARA BRAHIMA</t>
  </si>
  <si>
    <t>OUATTARA FATOUMATA</t>
  </si>
  <si>
    <t>OUEDRAOGO DAOUDA</t>
  </si>
  <si>
    <t>SAMAKE ADAMA</t>
  </si>
  <si>
    <t>TRAORE YACOUBA 1</t>
  </si>
  <si>
    <t>TRAORE YACOUBA 2</t>
  </si>
  <si>
    <t>BASSINGA BERTRAND</t>
  </si>
  <si>
    <t>BAYILI SYLVAIN</t>
  </si>
  <si>
    <t>KOUAME AKISSI HORGA</t>
  </si>
  <si>
    <t>ALIKRO</t>
  </si>
  <si>
    <t>BAMBA KASSARATIEN</t>
  </si>
  <si>
    <t>BAYILI ALEXIS</t>
  </si>
  <si>
    <t>BAYILI APOLINAIRE</t>
  </si>
  <si>
    <t>BAYILI COLETTE</t>
  </si>
  <si>
    <t>BAYILI HERVE</t>
  </si>
  <si>
    <t>BAYILI MARIAM</t>
  </si>
  <si>
    <t>COULIBALY AICHA</t>
  </si>
  <si>
    <t>DOUMBIA IBRAHIM</t>
  </si>
  <si>
    <t>GO ALEXANDRE</t>
  </si>
  <si>
    <t>GO ALEXIS</t>
  </si>
  <si>
    <t>MEA RABIATOU</t>
  </si>
  <si>
    <t>OUATTARA SIRIKI</t>
  </si>
  <si>
    <t>SANGARE BOUREIMA</t>
  </si>
  <si>
    <t>TRAORE IBRAHIM</t>
  </si>
  <si>
    <t>TRAORE KAFININ</t>
  </si>
  <si>
    <t>BAYILI OLIVIA</t>
  </si>
  <si>
    <t>COULIBALY NOUMOUSSO</t>
  </si>
  <si>
    <t>OUATTARA SOULEMANE</t>
  </si>
  <si>
    <t>TOUREKRO</t>
  </si>
  <si>
    <t>KOUADIO AHOU RACHELLE</t>
  </si>
  <si>
    <t>N'DRI KOUAME IVANE</t>
  </si>
  <si>
    <t>YAO KOUAKOU JEAN BAPTISTE</t>
  </si>
  <si>
    <t>ADOU KOUAME EZEKIEL</t>
  </si>
  <si>
    <t>YAO YAO TRESOR</t>
  </si>
  <si>
    <t>KOUADIO AHOU SALOME</t>
  </si>
  <si>
    <t>KOFFI AFFOUE CHRISTELLE</t>
  </si>
  <si>
    <t>KONAN AFFOUE SAHARA</t>
  </si>
  <si>
    <t>COULIBALY ASSETOU</t>
  </si>
  <si>
    <t>DOUMBIA ABDOUL KARIM</t>
  </si>
  <si>
    <t>DOUMBIA MOHAMED</t>
  </si>
  <si>
    <t>FOFANA FANTA</t>
  </si>
  <si>
    <t>FOFANA YAYA</t>
  </si>
  <si>
    <t>KONE ALASSANE</t>
  </si>
  <si>
    <t>KOUASSI KOUADIO DANIEL</t>
  </si>
  <si>
    <t>OUATTARA KADI</t>
  </si>
  <si>
    <t>SANGARE SAFIATOU</t>
  </si>
  <si>
    <t>SANOGO FATOUMATA</t>
  </si>
  <si>
    <t>TRAORE DRISSA</t>
  </si>
  <si>
    <t>ZABRE ISSIAKA</t>
  </si>
  <si>
    <t>ZABRE RAKIETA</t>
  </si>
  <si>
    <t>ZOHOURI OLIVIA</t>
  </si>
  <si>
    <t>KABORE ADJARA</t>
  </si>
  <si>
    <t>ZABRE DRAMANE</t>
  </si>
  <si>
    <t>ZOUAMBA KARIDJATOU</t>
  </si>
  <si>
    <t>KABORE MARGUERITE</t>
  </si>
  <si>
    <t>KONE FANTA</t>
  </si>
  <si>
    <t>BOUDOYO-BLOC</t>
  </si>
  <si>
    <t>BAMBA AMINATA</t>
  </si>
  <si>
    <t>Absent</t>
  </si>
  <si>
    <t>BELEM NIMATA</t>
  </si>
  <si>
    <t>BEUGRE MAJESTE DAVID</t>
  </si>
  <si>
    <t>BLEU EDWIGE</t>
  </si>
  <si>
    <t>DIARRA MARIAM</t>
  </si>
  <si>
    <t>DRAME MARIAM</t>
  </si>
  <si>
    <t>KANGBE AMADOU</t>
  </si>
  <si>
    <t>KANTORO BLANDINE</t>
  </si>
  <si>
    <t>KANTORO MAIMOUNA</t>
  </si>
  <si>
    <t>KONATE TININ</t>
  </si>
  <si>
    <t>KOUAKOU AFFOUE GHISLAINE</t>
  </si>
  <si>
    <t>KOUASSI AFFOUE ESTHER</t>
  </si>
  <si>
    <t>KOROKO MARIAM</t>
  </si>
  <si>
    <t>MALLE ILLIASSE</t>
  </si>
  <si>
    <t>KOUAKOU KOUAME EVRARD</t>
  </si>
  <si>
    <t>OUEDRAOGO DJENEBOU</t>
  </si>
  <si>
    <t>SAVADOGO SALIMATA</t>
  </si>
  <si>
    <t>SOUMAHORO KADI</t>
  </si>
  <si>
    <t>KOFFI KONAN WILFRIED</t>
  </si>
  <si>
    <t>PAHABELEM CLARISSE</t>
  </si>
  <si>
    <t>GUEYO-RESIDENTIEL</t>
  </si>
  <si>
    <t>KOFFI YAO ULRICH</t>
  </si>
  <si>
    <t>YAO KOUAME MICHAEL</t>
  </si>
  <si>
    <t>KOUAKOU AHOU SYNTHICHE</t>
  </si>
  <si>
    <t>KOUASSI KOUAME JUNIOR</t>
  </si>
  <si>
    <t>KOUAKOU AHOU MARIE LAURE</t>
  </si>
  <si>
    <t>YAO KOUADIO JOSEPH</t>
  </si>
  <si>
    <t>N'GUESSAN KOUADIO CHARLES</t>
  </si>
  <si>
    <t>KOUAKOU KOFFI MADOCHE</t>
  </si>
  <si>
    <t>KOUADIO KOUAME EPHREM</t>
  </si>
  <si>
    <t>KOUAKOU KOFFI MARTIAL</t>
  </si>
  <si>
    <t>YAO KOUAME ARIEL</t>
  </si>
  <si>
    <t>KOUAME AYA LYDIE</t>
  </si>
  <si>
    <t>N'GUESSANKRO</t>
  </si>
  <si>
    <t>BADO PRISCA</t>
  </si>
  <si>
    <t>OUATTARA BINTOU</t>
  </si>
  <si>
    <t xml:space="preserve">BAKOUAN MARTINE </t>
  </si>
  <si>
    <t>KAFFANO MAIMOUNA</t>
  </si>
  <si>
    <t>COULIBALY ALLASSANE</t>
  </si>
  <si>
    <t>BAKOUAN EDMOND</t>
  </si>
  <si>
    <t>BAKO ODETTE</t>
  </si>
  <si>
    <t>BROU YAO FRANCK</t>
  </si>
  <si>
    <t>KOFFI KOFFI MARC JETRO</t>
  </si>
  <si>
    <t>HIEN BAKARI</t>
  </si>
  <si>
    <t>BAZIE AMELIE</t>
  </si>
  <si>
    <t>OUATTARA MAIMOUNAN</t>
  </si>
  <si>
    <t>WERMAN YAYA</t>
  </si>
  <si>
    <t>20èx</t>
  </si>
  <si>
    <t>BAKOUAN ISIDORE</t>
  </si>
  <si>
    <t>24è</t>
  </si>
  <si>
    <t>BADO ANDRE</t>
  </si>
  <si>
    <t>27è</t>
  </si>
  <si>
    <t>1ére</t>
  </si>
  <si>
    <t>KABORE FADILATOU</t>
  </si>
  <si>
    <t>SAWADOGO SABANE</t>
  </si>
  <si>
    <t>3èx</t>
  </si>
  <si>
    <t>OUEDRAOGO NOUFOU</t>
  </si>
  <si>
    <t>KOUASSI KOUAME SAMUEL</t>
  </si>
  <si>
    <t>KOUASSI KOUAKOU ORTINIEL</t>
  </si>
  <si>
    <t>OUEDRAOGO ISSOUF</t>
  </si>
  <si>
    <t>KABORE NEIMATOU</t>
  </si>
  <si>
    <t>KOUANDA ROUKIATOU</t>
  </si>
  <si>
    <t>YAO YAO IVAN TRESOR</t>
  </si>
  <si>
    <t>11èx</t>
  </si>
  <si>
    <t>SAWADOGO NOUROU</t>
  </si>
  <si>
    <t>KABORE SAODJATOU</t>
  </si>
  <si>
    <t>KABORE ZALISSA</t>
  </si>
  <si>
    <t>KOBORE SEAYOUBA</t>
  </si>
  <si>
    <t>DIARRA KARIDJATOU</t>
  </si>
  <si>
    <t>KOUASSI KONAN CHRISTIAN</t>
  </si>
  <si>
    <t>KOBORE RAINATOU</t>
  </si>
  <si>
    <t xml:space="preserve">DJANTAO MAMADOU </t>
  </si>
  <si>
    <t>COULIBALY OUMOU</t>
  </si>
  <si>
    <t>DICKO TOMATA</t>
  </si>
  <si>
    <t>DJINTAO BALIFA</t>
  </si>
  <si>
    <t>DJINTAO OUMOU</t>
  </si>
  <si>
    <t>MAIGA IBRAHIM</t>
  </si>
  <si>
    <t>MAIGA AMADI</t>
  </si>
  <si>
    <t>LAGO YAPI HERMANN</t>
  </si>
  <si>
    <t>CEU</t>
  </si>
  <si>
    <t>COULIBALY AFFOU</t>
  </si>
  <si>
    <t>LEROU ANGE CHIMENE</t>
  </si>
  <si>
    <t>TRAORE ZAKARIA</t>
  </si>
  <si>
    <t>YAO AHOU AIME DAVILLA</t>
  </si>
  <si>
    <t>BAKOUAN SANDRINE</t>
  </si>
  <si>
    <t>KONAN KOUADIO ELIEZER</t>
  </si>
  <si>
    <t>KAMBIRE FRANCK</t>
  </si>
  <si>
    <t>OUATTARA MAIMOUNA</t>
  </si>
  <si>
    <t>BAKOUAN SOLO</t>
  </si>
  <si>
    <t>BAKOUAN ISSA ULRICH</t>
  </si>
  <si>
    <t>OUATTARA BAMBA</t>
  </si>
  <si>
    <t>OUATTARA ISSOUF</t>
  </si>
  <si>
    <t>WERMAN ZAKARIA</t>
  </si>
  <si>
    <t>OUATTARA FATOU</t>
  </si>
  <si>
    <t>KAFFANO ADJARA</t>
  </si>
  <si>
    <t>KAMBIRE JONI</t>
  </si>
  <si>
    <t>KOLLOGO DANIEL</t>
  </si>
  <si>
    <t>KABORE WAHAB</t>
  </si>
  <si>
    <t>FOFFI KOUADIO ONESIME</t>
  </si>
  <si>
    <t>OUEDRAOGO RIHAMATOU</t>
  </si>
  <si>
    <t>OUEDRAOGO ACHIM</t>
  </si>
  <si>
    <t>OUEDRAOGO SOULEYMANE</t>
  </si>
  <si>
    <t>OUEDRAOGO ZAKARIA</t>
  </si>
  <si>
    <t>KABORE ATOU</t>
  </si>
  <si>
    <t>KOUASSI AYA DOLCAS</t>
  </si>
  <si>
    <t>ZOUBONGO IBRAHIM</t>
  </si>
  <si>
    <t>KOBORE FADILATOU</t>
  </si>
  <si>
    <t>OUEDRAOGO BARAKISSA</t>
  </si>
  <si>
    <t>OUEDRAOGO DEBORA</t>
  </si>
  <si>
    <t>KABORE RAFIATOU</t>
  </si>
  <si>
    <t>KOUASSI AMENAN Noélle</t>
  </si>
  <si>
    <t>OUEDRAOGO  SAFIATOU</t>
  </si>
  <si>
    <t>OUEDRAOGO MAIMOUNATA</t>
  </si>
  <si>
    <t>KOFFI ADJOUA INESSE</t>
  </si>
  <si>
    <t>OUEDRAOGO NASSERATOU</t>
  </si>
  <si>
    <t>TIMBO BAYAN</t>
  </si>
  <si>
    <t>TIMBO LACINA</t>
  </si>
  <si>
    <t>TIMBO SOULEMANE</t>
  </si>
  <si>
    <t>FOFANA BATHIMEE</t>
  </si>
  <si>
    <t xml:space="preserve">KISSA NANAN </t>
  </si>
  <si>
    <t>SEKOU KEMPO</t>
  </si>
  <si>
    <t>TANGARA ABOULAYE</t>
  </si>
  <si>
    <t>KISSA MADOU 1</t>
  </si>
  <si>
    <t>TRAORE SOUNKO</t>
  </si>
  <si>
    <t>TIMBO MAIMOUNA</t>
  </si>
  <si>
    <t xml:space="preserve">KISSA KONGO </t>
  </si>
  <si>
    <t>KOUAME AMENAN ELODIE</t>
  </si>
  <si>
    <t xml:space="preserve">KISSA AWA </t>
  </si>
  <si>
    <t>TOURE AMINATA</t>
  </si>
  <si>
    <t xml:space="preserve">CISSE FATIMATA </t>
  </si>
  <si>
    <t>KISSA MADOU 2</t>
  </si>
  <si>
    <t>GINDO SOLO</t>
  </si>
  <si>
    <t>KOUADIO YAO WILFRID</t>
  </si>
  <si>
    <t>DAH RACHELLE</t>
  </si>
  <si>
    <t>N'GUESSAN AMENAN ANNE</t>
  </si>
  <si>
    <t>KOUAME KOFFI FRANCK</t>
  </si>
  <si>
    <t>KOFFI KOUAKOU NATANAEL</t>
  </si>
  <si>
    <t xml:space="preserve">KOUAME KOUASSI MODESTE </t>
  </si>
  <si>
    <t>KOUADIO AFFOUE ANGE</t>
  </si>
  <si>
    <t>KONAN KOFFI FRANCK</t>
  </si>
  <si>
    <t>KOUADIO AMOIN REBECCA</t>
  </si>
  <si>
    <t>KOUAME KOFFI PRINCE</t>
  </si>
  <si>
    <t>KOUADIO  ADJOUA ELODIE</t>
  </si>
  <si>
    <t>KOUAME KOUADIO ROMARIC</t>
  </si>
  <si>
    <t>KOFFI AHOU ELODIE</t>
  </si>
  <si>
    <t>KOFFI AMOIN CHARLENE</t>
  </si>
  <si>
    <t>YAO KONAN CHRISTOPHE</t>
  </si>
  <si>
    <t>ATTOUGBRE AFFOUE KENANIA</t>
  </si>
  <si>
    <t>KOUADIO KOUAKOU ROMARIC</t>
  </si>
  <si>
    <t>KOUAME KOFFI JEAN LUC</t>
  </si>
  <si>
    <t>KOUAME KOUAKOU PHILIPPE</t>
  </si>
  <si>
    <t>GNABOYA</t>
  </si>
  <si>
    <t xml:space="preserve">YAO AYA </t>
  </si>
  <si>
    <t>KOUADIO AKISSI SOSE BELLE</t>
  </si>
  <si>
    <t>KOUAKOU AMOIN ALISSE</t>
  </si>
  <si>
    <t>N'GUESSAN AHOU BEREKIA</t>
  </si>
  <si>
    <t>KANGA KOUAME MARUS</t>
  </si>
  <si>
    <t xml:space="preserve">KOFFI KONAN JAIRUS </t>
  </si>
  <si>
    <t>KOUAME AMENAN MAGUI</t>
  </si>
  <si>
    <t>KOUAKOU KOUAKIO MADOGE</t>
  </si>
  <si>
    <t>KOFFI AMENAN JOELLE</t>
  </si>
  <si>
    <t>KONAN AYA EDOXLE</t>
  </si>
  <si>
    <t>BROU AFFOUE PARFAITE</t>
  </si>
  <si>
    <t>KOFFI KOFFI JEAN CHRIST</t>
  </si>
  <si>
    <t>KOUAME AKISSI ESTELLE</t>
  </si>
  <si>
    <t>KOUAKOU YAO JEAN MARC</t>
  </si>
  <si>
    <t>KOUADIO AMENAN EDITTE</t>
  </si>
  <si>
    <t>KOUASSI AKISSI EDWIGE</t>
  </si>
  <si>
    <t>KONAN AFFOUE EPIPHANIE</t>
  </si>
  <si>
    <t>KOUAKOU YAO ARCHIL</t>
  </si>
  <si>
    <t>KOUASSI KONAN CESAR</t>
  </si>
  <si>
    <t xml:space="preserve">KOUAKOU AMENAN </t>
  </si>
  <si>
    <t>KOUASSI AKISSI ABIGAEL</t>
  </si>
  <si>
    <t>KOFFIKONANKRO</t>
  </si>
  <si>
    <t xml:space="preserve">KOFFI YAO JUNIOR </t>
  </si>
  <si>
    <t>TRAORE ADAMA</t>
  </si>
  <si>
    <t>KOUAKOU KOFFI ANGE ONESINE</t>
  </si>
  <si>
    <t>BAYALA ODA</t>
  </si>
  <si>
    <t xml:space="preserve">SAWADOGO SYLIVIE </t>
  </si>
  <si>
    <t>YAO KOUADIO JEAN NOEL</t>
  </si>
  <si>
    <t>BADJELA ALI</t>
  </si>
  <si>
    <t>9èx</t>
  </si>
  <si>
    <t>DAH ADAMA</t>
  </si>
  <si>
    <t>KONAN AYA LARISSA</t>
  </si>
  <si>
    <t>BAKO DANIEL</t>
  </si>
  <si>
    <t>KANKO ABOULAYE</t>
  </si>
  <si>
    <t>14èx</t>
  </si>
  <si>
    <t>TCHIENMAN LIMATA</t>
  </si>
  <si>
    <t>BAYALA FRANCOIS</t>
  </si>
  <si>
    <t>KANYALA IRENE</t>
  </si>
  <si>
    <t>MAYAKOFFIKRO</t>
  </si>
  <si>
    <t>DAH ABOU</t>
  </si>
  <si>
    <t>KOFFI KOUASSI NARCISSE</t>
  </si>
  <si>
    <t>KOUAKOU KOFFI CHRIST ROI</t>
  </si>
  <si>
    <t>N'DRI KONAN MOISE</t>
  </si>
  <si>
    <t>SAWADOGO MOUSSA</t>
  </si>
  <si>
    <t xml:space="preserve">KOUAKOU KOFFI MOISE </t>
  </si>
  <si>
    <t>DAH NIAMAN</t>
  </si>
  <si>
    <t>KONDOBO ALEXIS</t>
  </si>
  <si>
    <t>IRIE LOU INES</t>
  </si>
  <si>
    <t>BAYALA LYDIE</t>
  </si>
  <si>
    <t>KOUADIO AFFOUE EDOXIE</t>
  </si>
  <si>
    <t>TCHEMAN FADILA</t>
  </si>
  <si>
    <t>BAKO HAMED</t>
  </si>
  <si>
    <t>DAH ALEXIS</t>
  </si>
  <si>
    <t>KAOLA  YACOUBA</t>
  </si>
  <si>
    <t>KOFFI KOUASSI JOEL</t>
  </si>
  <si>
    <t xml:space="preserve">KOUADIO ADJOUA MIREILLE </t>
  </si>
  <si>
    <t>TCHIENTEKA MARTIN</t>
  </si>
  <si>
    <t>BELEM ABDOULAYE</t>
  </si>
  <si>
    <t>BELEM FATOUMATA</t>
  </si>
  <si>
    <t>DAH  SANSAN  BRICE</t>
  </si>
  <si>
    <t>HIEN ALAIN</t>
  </si>
  <si>
    <t>HIEN ERNEST</t>
  </si>
  <si>
    <t>HIEN REBECCA</t>
  </si>
  <si>
    <t>IZE TETIALY ENOCK</t>
  </si>
  <si>
    <t>KAMBOU INI JULIETTE</t>
  </si>
  <si>
    <t>KAMBOU VALENTIN</t>
  </si>
  <si>
    <t>KOMBASSERE ELYSE</t>
  </si>
  <si>
    <t>MALGOUBRI MATHIAS</t>
  </si>
  <si>
    <t>OUATTARA ABIBATOU</t>
  </si>
  <si>
    <t>OUATTARA AICHATOU</t>
  </si>
  <si>
    <t xml:space="preserve">OUATTARA DRISSA </t>
  </si>
  <si>
    <t>OUATTARA ZAKARI</t>
  </si>
  <si>
    <t>SOGBASSE GRACE</t>
  </si>
  <si>
    <t>SOGBASSE ISRAEL</t>
  </si>
  <si>
    <t>SOM PELAGIE</t>
  </si>
  <si>
    <t>SOM SIE JEAN BAPTISE</t>
  </si>
  <si>
    <t>BINDOUGOU</t>
  </si>
  <si>
    <t>COULIBALY ZAKARIA</t>
  </si>
  <si>
    <t>DAH FLORENT</t>
  </si>
  <si>
    <t>DAH MARCELIN</t>
  </si>
  <si>
    <t>HIEN AMANDINE</t>
  </si>
  <si>
    <t>HIEN ANGELE</t>
  </si>
  <si>
    <t>HIEN  PAULIN</t>
  </si>
  <si>
    <t>IZE SEPHORA</t>
  </si>
  <si>
    <t>KAMBOU JUNIOR</t>
  </si>
  <si>
    <t>KAMBOU SIE HABIB</t>
  </si>
  <si>
    <t>KINDA HOUDA</t>
  </si>
  <si>
    <t>KONE AMARA</t>
  </si>
  <si>
    <t>KONE SOUMAILA</t>
  </si>
  <si>
    <t>KONE YACOUBA</t>
  </si>
  <si>
    <t>OUATTARA ALASSANE</t>
  </si>
  <si>
    <t>OUATTARA AMINATOU</t>
  </si>
  <si>
    <t>OUATTARA ISSIF</t>
  </si>
  <si>
    <t>OUATTARA ISMAEL</t>
  </si>
  <si>
    <t>OUIYA PATRICIA</t>
  </si>
  <si>
    <t>SERY FRANCK</t>
  </si>
  <si>
    <t>SOM BEDY</t>
  </si>
  <si>
    <t>SANKARA AMINATA</t>
  </si>
  <si>
    <t xml:space="preserve">N'DRI AMANAN PICHELINE </t>
  </si>
  <si>
    <t xml:space="preserve">KAFFANDO ADISSA </t>
  </si>
  <si>
    <t>GANAME LADIE FATOU</t>
  </si>
  <si>
    <t xml:space="preserve">ROUAMBA ALLASSANE </t>
  </si>
  <si>
    <t>5èx</t>
  </si>
  <si>
    <t>RABO ADJERETOU</t>
  </si>
  <si>
    <t xml:space="preserve">OUATTARA AWA </t>
  </si>
  <si>
    <t>RABO DAOUDA</t>
  </si>
  <si>
    <t>KOFFI YAO YVANE</t>
  </si>
  <si>
    <t>RABO ASSAMNI</t>
  </si>
  <si>
    <t>MAIGA BRAHIMA</t>
  </si>
  <si>
    <t>BADO ASSELE</t>
  </si>
  <si>
    <t>DIARRA YOUBA</t>
  </si>
  <si>
    <t>OUATTARA OUSMANE</t>
  </si>
  <si>
    <t>DA HO HO</t>
  </si>
  <si>
    <t>SERI LURICHE</t>
  </si>
  <si>
    <t>1ere</t>
  </si>
  <si>
    <t>ZOUZOUA ELI MADOU</t>
  </si>
  <si>
    <t>GATTA ZOUZOU JUNIOR</t>
  </si>
  <si>
    <t>KEITA AFFOUSSATA</t>
  </si>
  <si>
    <t>SANGARE ARAMATOU</t>
  </si>
  <si>
    <t>KEITA WASSA</t>
  </si>
  <si>
    <t>DIARRA DJENEBOU</t>
  </si>
  <si>
    <t>FALLET CEDRIC WILFRID</t>
  </si>
  <si>
    <t>KEITA BAFININ</t>
  </si>
  <si>
    <t>SIEBRI DESIRE</t>
  </si>
  <si>
    <t>GUE TAPE FRANCK</t>
  </si>
  <si>
    <t>1ex</t>
  </si>
  <si>
    <t>BORO EMMA</t>
  </si>
  <si>
    <t>TAKORE JOEL</t>
  </si>
  <si>
    <t>KOULAHI PHILIPPE</t>
  </si>
  <si>
    <t xml:space="preserve">DIH JUNIOR </t>
  </si>
  <si>
    <t>KOUAME YAO CEDRIC</t>
  </si>
  <si>
    <t>KAMBIRE SARAH</t>
  </si>
  <si>
    <t>GUEHI CEDRIC</t>
  </si>
  <si>
    <t>DIARRA AWA</t>
  </si>
  <si>
    <t>DIARRA AICHA</t>
  </si>
  <si>
    <t>TAYOU DORIANE</t>
  </si>
  <si>
    <t>DAH BENEDICTE</t>
  </si>
  <si>
    <t>FALLET GEMIMA</t>
  </si>
  <si>
    <t>KOUAKOU KONAN JONAS</t>
  </si>
  <si>
    <t>KOUAKOU KONAN ZETRO</t>
  </si>
  <si>
    <t>KOUAKOU AYA JULIANA</t>
  </si>
  <si>
    <t>KOUAKOU KOUADIO WILIFRED</t>
  </si>
  <si>
    <t>YAO AMOIN REINE</t>
  </si>
  <si>
    <t>YAO KOFFI CHRIST</t>
  </si>
  <si>
    <t>KOUAKOU KOUAME ARCHIL</t>
  </si>
  <si>
    <t>YAO KOUAME ENOCHE</t>
  </si>
  <si>
    <t>KOUAME KAN FRANCK</t>
  </si>
  <si>
    <t>KOUAME ADJOUA ALEXENDRINE</t>
  </si>
  <si>
    <t>KOFFI KOUAME</t>
  </si>
  <si>
    <t>KOUAKOU N'DRIKRO</t>
  </si>
  <si>
    <t>DIARRA KALIFA</t>
  </si>
  <si>
    <t>DICKO ALASSANE</t>
  </si>
  <si>
    <t>SAWADOGO ALI</t>
  </si>
  <si>
    <t>BOURE FATOUMATA</t>
  </si>
  <si>
    <t xml:space="preserve">OUMOU TAMBOURA </t>
  </si>
  <si>
    <t>DIARRA AMADOU</t>
  </si>
  <si>
    <t>DIARRA OUMOU</t>
  </si>
  <si>
    <t>CAMARA MARIAM</t>
  </si>
  <si>
    <t>DICKO BINTOU</t>
  </si>
  <si>
    <t>SAWADOGO ADAMA</t>
  </si>
  <si>
    <t>COULIBALYKRO (TOLBA)</t>
  </si>
  <si>
    <t>KOUAKOU KOUADIO ENOCK</t>
  </si>
  <si>
    <t>AMANI KOUASSI WILLIAM</t>
  </si>
  <si>
    <t>KONAN AMENAN ANASTHASIE</t>
  </si>
  <si>
    <t>KONAN AMOIN BENEDICTE</t>
  </si>
  <si>
    <t>YAO KOUADIO BINJAMAIN</t>
  </si>
  <si>
    <t>KOFFI KOFFI MOISE</t>
  </si>
  <si>
    <t>YAO N'GUESSAN GISLAIN</t>
  </si>
  <si>
    <t>N'GUESSAN YAO CELESTIN</t>
  </si>
  <si>
    <t>KONAN N'GUESSAN MICHELINE</t>
  </si>
  <si>
    <t>SIKY ADJOUA CHELA</t>
  </si>
  <si>
    <t>KOUADIO KOFFI CEZA</t>
  </si>
  <si>
    <t>KONAN KOUADIO EZECHIELLE</t>
  </si>
  <si>
    <t>KONAN AYA UGUETTE</t>
  </si>
  <si>
    <t>KOUAKOU AYA BIENVENUE</t>
  </si>
  <si>
    <t>YAO AMENAN OCEANE</t>
  </si>
  <si>
    <t>BONKOUNGOU  BOUKARY</t>
  </si>
  <si>
    <t>CONVOLBO AICHA</t>
  </si>
  <si>
    <t>CONVOLBO FADILA</t>
  </si>
  <si>
    <t>KAMBOU SEHE</t>
  </si>
  <si>
    <t>KEITA SARAH</t>
  </si>
  <si>
    <t>KIEBRE JULIETTE</t>
  </si>
  <si>
    <t>OUEDRAOGO FRANCOIS</t>
  </si>
  <si>
    <t>OUEDRAOGO ISSA</t>
  </si>
  <si>
    <t>OUEDRAOGO LEA</t>
  </si>
  <si>
    <t>OUEDRAOGO SAORATA</t>
  </si>
  <si>
    <t>OUEDRAOGO ZALISSA</t>
  </si>
  <si>
    <t>SARBA ABDOUL GAWI</t>
  </si>
  <si>
    <t>SARBA KOUDOU</t>
  </si>
  <si>
    <t>SAWADOGO ZAKARY</t>
  </si>
  <si>
    <t>TENON DEBORA</t>
  </si>
  <si>
    <t>TENKODOGO PAULIN</t>
  </si>
  <si>
    <t>YAMEOGO SALIMATA</t>
  </si>
  <si>
    <t>ZOROME ABDOUL AMIDOU</t>
  </si>
  <si>
    <t>ZOROME ABDOUL BACHIROU</t>
  </si>
  <si>
    <t>ZOROME MOUSSA</t>
  </si>
  <si>
    <t>AMANI SAMIRA</t>
  </si>
  <si>
    <t>BAMOGO KOUDOUS</t>
  </si>
  <si>
    <t>BARRY BARAKISSA</t>
  </si>
  <si>
    <t>BELEM GUENEBA</t>
  </si>
  <si>
    <t>BAGAYA ADAMA</t>
  </si>
  <si>
    <t>KABORE  TOUSSAINE</t>
  </si>
  <si>
    <t>KIEBRE PAULINE</t>
  </si>
  <si>
    <t>KIEBRE STEPHANIE</t>
  </si>
  <si>
    <t>KIENDREBEOGO SEPHORA</t>
  </si>
  <si>
    <t>OUEDRAOGO SEYDOU</t>
  </si>
  <si>
    <t>OUEDRAOGO LADIFATOU</t>
  </si>
  <si>
    <t>OUEDRAOGO MAMOUNATOU</t>
  </si>
  <si>
    <t>OUEDRAOGO MINATA</t>
  </si>
  <si>
    <t>PORGO ASSA</t>
  </si>
  <si>
    <t>SAWADOGO KARIDJATOU</t>
  </si>
  <si>
    <t>ZONGO ABDOUL</t>
  </si>
  <si>
    <t>ZONGO ANDRE</t>
  </si>
  <si>
    <t>OUREMY ISSAKA</t>
  </si>
  <si>
    <t>ZONGO SABINE</t>
  </si>
  <si>
    <t>ZOROME AMADO</t>
  </si>
  <si>
    <t>7ex</t>
  </si>
  <si>
    <t>ZOROME MARIAM</t>
  </si>
  <si>
    <t>BOLOGO FATIM</t>
  </si>
  <si>
    <t>BEDI ZOHOUNON GRACE</t>
  </si>
  <si>
    <t>BLE ESTHER</t>
  </si>
  <si>
    <t>DOUDOU ELYSEE</t>
  </si>
  <si>
    <t>DJEBRE SALIF</t>
  </si>
  <si>
    <t>GBAHI EDWIGE</t>
  </si>
  <si>
    <t>GBAHI SAMUEL</t>
  </si>
  <si>
    <t>GBALE LAGO MARCEL</t>
  </si>
  <si>
    <t>GBALE JEAN-BAPTISTE</t>
  </si>
  <si>
    <t>GBALE GUEDE AMOS</t>
  </si>
  <si>
    <t>NAKANABO AWA</t>
  </si>
  <si>
    <t>N'GUESSAN AMANI M</t>
  </si>
  <si>
    <t>6ex</t>
  </si>
  <si>
    <t>N'GUESSAN KOUADIO J-L</t>
  </si>
  <si>
    <t>N'GUESSAN YAO VALENTIN</t>
  </si>
  <si>
    <t>N'GUESSAN AYA DAVILLA</t>
  </si>
  <si>
    <t>OUEDRAOGO KARIM</t>
  </si>
  <si>
    <t>PORGO RASIM</t>
  </si>
  <si>
    <t>PORGO SAFIATA</t>
  </si>
  <si>
    <t>PORGO AINATOU</t>
  </si>
  <si>
    <t>SEBOGO MATOU</t>
  </si>
  <si>
    <t>SERY DROGBA ELYSEE</t>
  </si>
  <si>
    <t>SERY LAGO GAEL</t>
  </si>
  <si>
    <t>SOULEY ANGELE</t>
  </si>
  <si>
    <t>SAWADOGO NASSIRATOU</t>
  </si>
  <si>
    <t>TRIFO JONAS</t>
  </si>
  <si>
    <t>3ex</t>
  </si>
  <si>
    <t>ZADI YOHOU SONIA-I</t>
  </si>
  <si>
    <t>ZOUZOUA JEAN-HERVE</t>
  </si>
  <si>
    <t>ZAHIBO RUTH</t>
  </si>
  <si>
    <t>GABA MAHE ARTHUR</t>
  </si>
  <si>
    <t>DJEMIA AZIZ</t>
  </si>
  <si>
    <t>GNIPRE GUEDE MIRACLE</t>
  </si>
  <si>
    <t>GNIPRE SERI TRESOR</t>
  </si>
  <si>
    <t>GOKOU JEAN FRANCOIS E</t>
  </si>
  <si>
    <t>KI AWA</t>
  </si>
  <si>
    <t>KUEGBO ZOUA NAOMI</t>
  </si>
  <si>
    <t>LOUO KEHIA AMOS</t>
  </si>
  <si>
    <t>ONE GBA DAVID</t>
  </si>
  <si>
    <t>OUEDRAOGO KRITA</t>
  </si>
  <si>
    <t>OUEDRAOGO  KRITO</t>
  </si>
  <si>
    <t>SALOUA JUNIOR</t>
  </si>
  <si>
    <t>SAWADOGO CEDRIC</t>
  </si>
  <si>
    <t>SIMPORE KRITO</t>
  </si>
  <si>
    <t>TONY ISMAEL</t>
  </si>
  <si>
    <t>TONY NATACHA</t>
  </si>
  <si>
    <t>ZONGO ANNICIET</t>
  </si>
  <si>
    <t>ZONGO INNOCENT</t>
  </si>
  <si>
    <t>GADAGO</t>
  </si>
  <si>
    <t>BAHI BOUABRE PRINCE</t>
  </si>
  <si>
    <t>DOME DIDIER</t>
  </si>
  <si>
    <t>GOZE SOROKOHI DEBORA</t>
  </si>
  <si>
    <t>KAHOU ESTHER</t>
  </si>
  <si>
    <t>NANA PASCAL</t>
  </si>
  <si>
    <t>OUEDRAOGO ABDOUL DRAMANE</t>
  </si>
  <si>
    <t>OUEDRAOGO DJENEBA</t>
  </si>
  <si>
    <t>OUEDRAOGO DJEWAYARATOU</t>
  </si>
  <si>
    <t>OUEDRAOGO INOUSSA</t>
  </si>
  <si>
    <t>OUEDRAOGO RACHID</t>
  </si>
  <si>
    <t>OUEDRAOGO YASSIA</t>
  </si>
  <si>
    <t>SANGA ALASSANE</t>
  </si>
  <si>
    <t>SAWADOGO SOULEYMANE</t>
  </si>
  <si>
    <t>SIB AIME</t>
  </si>
  <si>
    <t>SIB DENIS</t>
  </si>
  <si>
    <t>YAMEOGO PASCAL</t>
  </si>
  <si>
    <t>ZIDA WIMBA MAIMOUNATA</t>
  </si>
  <si>
    <t>BANISSI ABBAS</t>
  </si>
  <si>
    <t>BANISSI FAISSAL</t>
  </si>
  <si>
    <t>ZADI ZADI ALEX</t>
  </si>
  <si>
    <t>SAWADOGO SAFIATA</t>
  </si>
  <si>
    <t>KOUAME AMENAN CHIMELLE</t>
  </si>
  <si>
    <t>GUIPOH SAFIATA</t>
  </si>
  <si>
    <t>TINTO NAFISSATA</t>
  </si>
  <si>
    <t>4èEX</t>
  </si>
  <si>
    <t>ZAGRE SETOU</t>
  </si>
  <si>
    <t>KORE MICHAELLE</t>
  </si>
  <si>
    <t>ZADI ZOHONON DEBORAH</t>
  </si>
  <si>
    <t xml:space="preserve">BANISSI AMALYSE </t>
  </si>
  <si>
    <t>BELEM SAKINATOU</t>
  </si>
  <si>
    <t>YAO AFFOUE SYNTHICHE</t>
  </si>
  <si>
    <t>SAWADOGO ASSEMI</t>
  </si>
  <si>
    <t>TINTO APHANE</t>
  </si>
  <si>
    <t>DAGROU DOUDOU JEAN JAURES</t>
  </si>
  <si>
    <t xml:space="preserve">TINTO RASMATA </t>
  </si>
  <si>
    <t>SAWADOGO ADJARA</t>
  </si>
  <si>
    <t xml:space="preserve">KOUAM2 AYA GRACE </t>
  </si>
  <si>
    <t xml:space="preserve">DIPAMA MAMATA </t>
  </si>
  <si>
    <t xml:space="preserve">SAWADOGO RAMATA </t>
  </si>
  <si>
    <t>BANISSI AOUD</t>
  </si>
  <si>
    <t>GNAHUI JULES</t>
  </si>
  <si>
    <t>ZAGRE ILIASSE</t>
  </si>
  <si>
    <t>KIEMTORE ABDOULAYE</t>
  </si>
  <si>
    <t>SAWADOGO LATIFA</t>
  </si>
  <si>
    <t>YAO KOUAME KABILA</t>
  </si>
  <si>
    <t>MAHAN MARDOCHE</t>
  </si>
  <si>
    <t>COULIBALY FOUSSENI</t>
  </si>
  <si>
    <t xml:space="preserve">BELEM ADJARA </t>
  </si>
  <si>
    <t>KOUASSI KOUADIO CEDRIC</t>
  </si>
  <si>
    <t>KOUAKOU KOFFI DANIEL</t>
  </si>
  <si>
    <t>N'GUESSAN KOUADIO RAMA</t>
  </si>
  <si>
    <t>KONAN KOUASSI OLIVIER</t>
  </si>
  <si>
    <t>KOUAME AHOU BERNICE</t>
  </si>
  <si>
    <t>KOFFI ADJOUA JULIANA</t>
  </si>
  <si>
    <t>KORE DIEUDONNE</t>
  </si>
  <si>
    <t xml:space="preserve">YOFFO SAMUEL </t>
  </si>
  <si>
    <t>GONDE INOUSSA</t>
  </si>
  <si>
    <t>LOUKOU AYA CELINE</t>
  </si>
  <si>
    <t>SAWADOGO ALASSANE</t>
  </si>
  <si>
    <t>YAO YAO JEAN</t>
  </si>
  <si>
    <t>TAKORE AHMED</t>
  </si>
  <si>
    <t>OUPOH DJIMI SAMUEL</t>
  </si>
  <si>
    <t>N'GUESSAN AYA GRACE</t>
  </si>
  <si>
    <t>N'DRI AYA CHRISTELLE</t>
  </si>
  <si>
    <t>KOUAKOU KOUASSI JETAIME</t>
  </si>
  <si>
    <t>KOUAKOU AMENAN VICTOIRE</t>
  </si>
  <si>
    <t>KOFFI AHOU CHRISTELLE</t>
  </si>
  <si>
    <t>SAWADOGO AMIDOU</t>
  </si>
  <si>
    <t>PETIT GOA(LAZOUA)</t>
  </si>
  <si>
    <t>KOUASSI KOUADIO STEPHANE</t>
  </si>
  <si>
    <t>KOUAME KOUASSI MONDESIR</t>
  </si>
  <si>
    <t>KOUADIO KOUASSI F JUNIOR</t>
  </si>
  <si>
    <t>KOUAKOU AAFFOUE LIMINA</t>
  </si>
  <si>
    <t>PORGO SAYOUBA</t>
  </si>
  <si>
    <t>KOFFI KONAN ANICET</t>
  </si>
  <si>
    <t>KONAN AMENAN SYNTICHE</t>
  </si>
  <si>
    <t>LOUKOU KOUAME GAIS</t>
  </si>
  <si>
    <t>DJARAME G EDWIGE</t>
  </si>
  <si>
    <t>YARBANGA KALIZETA</t>
  </si>
  <si>
    <t>COULIBALY SARAH</t>
  </si>
  <si>
    <t>KOUAME AMOIN VICTOIRE</t>
  </si>
  <si>
    <t>MAHAN ELIE</t>
  </si>
  <si>
    <t xml:space="preserve">KOFFI AKISSI ANGE </t>
  </si>
  <si>
    <t>N'DRI KOUADIO  SCHADRAC</t>
  </si>
  <si>
    <t>YAO AKISSI AICHA</t>
  </si>
  <si>
    <t>KOUADIO KOUASSI THIERY</t>
  </si>
  <si>
    <t>SAWADOGO RAMADANE</t>
  </si>
  <si>
    <t>N'GUESSAN AKISSI DORIANE</t>
  </si>
  <si>
    <t>SERI JONAS</t>
  </si>
  <si>
    <t>KONAN KOUADIO FRANCK</t>
  </si>
  <si>
    <t>GNAZE NAHI CHRISTELLE</t>
  </si>
  <si>
    <t>SAWADOGO ABDOUL FATAO</t>
  </si>
  <si>
    <t>BADA YOKORE BERNARD</t>
  </si>
  <si>
    <t>TAONSA ROMAIN</t>
  </si>
  <si>
    <t>KAMBOU CHARLENE</t>
  </si>
  <si>
    <t>TAONSA AIMEE</t>
  </si>
  <si>
    <t>OUEDRAOGO BARTHELEMY</t>
  </si>
  <si>
    <t>ZOUZOUA BAHI ELISEE</t>
  </si>
  <si>
    <t>OUEDRAOGO PAULIN</t>
  </si>
  <si>
    <t>DAGO LOGOS GERVAIS</t>
  </si>
  <si>
    <t>DAGO SADIO DAVID</t>
  </si>
  <si>
    <t>DOMBA SALAM</t>
  </si>
  <si>
    <t>TAO ALASSANE</t>
  </si>
  <si>
    <t>TAONSA THOMAS</t>
  </si>
  <si>
    <t>TAONSA THEOPHILE</t>
  </si>
  <si>
    <t>SEBOGO RAHAMATA</t>
  </si>
  <si>
    <t>ZONGO NATA</t>
  </si>
  <si>
    <t>KAMBOU SUZANBE</t>
  </si>
  <si>
    <t>SAWADOGO JULES</t>
  </si>
  <si>
    <t>N'GUESSAN  SIEMOH</t>
  </si>
  <si>
    <t>DAHIRI K ARIEL</t>
  </si>
  <si>
    <t>MAHEOUA</t>
  </si>
  <si>
    <t>CE1-CE2</t>
  </si>
  <si>
    <t>CM1-CM2</t>
  </si>
  <si>
    <t>Nombre total des apprenants Des CP WNCB 2023</t>
  </si>
  <si>
    <t xml:space="preserve">Total GRAND-ZATTRY </t>
  </si>
  <si>
    <t>SAWADOGO BOURAHIMA</t>
  </si>
  <si>
    <t>N'DRI AMENAN DORCAS</t>
  </si>
  <si>
    <t>SAWADOGO RAFIATOU</t>
  </si>
  <si>
    <t>TANOH KOFFI MARC</t>
  </si>
  <si>
    <t>YAO YAO CEDRIC</t>
  </si>
  <si>
    <t>YAO ADJOUA SARA</t>
  </si>
  <si>
    <t>KOUAKOU AFFOUE ORLANE</t>
  </si>
  <si>
    <t>YAO AFFOUE GRACE</t>
  </si>
  <si>
    <t>BOHOUSSOUKRO</t>
  </si>
  <si>
    <t>N'GORAN YAO SIMON</t>
  </si>
  <si>
    <t>M'BRA KOFFI JURICE</t>
  </si>
  <si>
    <t>KOUASSI KONAN WILFRIED</t>
  </si>
  <si>
    <t>KOUASSI AMENAN ORTINIELLE</t>
  </si>
  <si>
    <t>SAWLE KOUADIO JUNIOR</t>
  </si>
  <si>
    <t>N'DRI KOUADIO YANE</t>
  </si>
  <si>
    <t>N'GUESSAN KOUADIO MARIUS</t>
  </si>
  <si>
    <t>KOUADIO AMENAN CARINE</t>
  </si>
  <si>
    <t>KOUADIO AHOU REGINA</t>
  </si>
  <si>
    <t>KOUASSI AKISSI FLORA</t>
  </si>
  <si>
    <t>N'DRI YAO ELVIS</t>
  </si>
  <si>
    <t>KOUAKOU KOUAKOU FRANCK</t>
  </si>
  <si>
    <t>N'DRI YAO EMERITE</t>
  </si>
  <si>
    <t>KOUAME AMOIN SANDRINE</t>
  </si>
  <si>
    <t>N'GORAN AMENAN FABIOLA</t>
  </si>
  <si>
    <t>LAPOKRO</t>
  </si>
  <si>
    <t>Total Soubré</t>
  </si>
  <si>
    <t>%CPU</t>
  </si>
  <si>
    <t>%CEU</t>
  </si>
  <si>
    <t>KOUASSI AHOU MELAINE</t>
  </si>
  <si>
    <t>KOUASSI AHOU JEANNETTE</t>
  </si>
  <si>
    <t>KANGA AHOU CHARLOTTE</t>
  </si>
  <si>
    <t>KOUAME AYA YVONNE</t>
  </si>
  <si>
    <t>TANOH AHOU LOUISE</t>
  </si>
  <si>
    <t>BOHOUSSOU AFFOUE</t>
  </si>
  <si>
    <t>YAO AKISSI CHRISTINE</t>
  </si>
  <si>
    <t>KOUAME N'GUESSAN ANNICK</t>
  </si>
  <si>
    <t>LALEKOU AYA</t>
  </si>
  <si>
    <t>KOUAME AYA ELYSE</t>
  </si>
  <si>
    <t>KOUASSI BROU MARIE LAURE</t>
  </si>
  <si>
    <t>BOHOUSSOU KOUASSI SERAPHIN</t>
  </si>
  <si>
    <t>BOUHOUSSOU KONAN HONORE</t>
  </si>
  <si>
    <t>KOUAME AKISSI CLEMENTINE</t>
  </si>
  <si>
    <t>KOUAME AMOIN MARINA</t>
  </si>
  <si>
    <t>KOUAKOU N'GORAN ANGE</t>
  </si>
  <si>
    <t>N'GUESSAN KOUAKOU MARC FIDELE</t>
  </si>
  <si>
    <t>KOUAKOU N'GUESSAN ALBERTINE</t>
  </si>
  <si>
    <t>KONAN LOUKOU</t>
  </si>
  <si>
    <t>KOUKOU AHOU MELAINE</t>
  </si>
  <si>
    <t xml:space="preserve">LOUKOU KOUAME </t>
  </si>
  <si>
    <t>KOUAME YAO IGUES</t>
  </si>
  <si>
    <t>YAO KOUADIO FRANCK</t>
  </si>
  <si>
    <t>N'GUESSAN AMENAN THERESE</t>
  </si>
  <si>
    <t>ETIEOUN WANNIEN</t>
  </si>
  <si>
    <t>07 69 33 52 32</t>
  </si>
  <si>
    <t>07 49 34 10 02</t>
  </si>
  <si>
    <t>07 67 92 34 89</t>
  </si>
  <si>
    <t>07 49 94 07 78</t>
  </si>
  <si>
    <t>07 67 29 64 45</t>
  </si>
  <si>
    <t>07 67 04 52 03</t>
  </si>
  <si>
    <t>07 49 68 99 82</t>
  </si>
  <si>
    <t>07 58 79 83 30</t>
  </si>
  <si>
    <t>07 48 45 56 74</t>
  </si>
  <si>
    <t>07 08 73 41 97</t>
  </si>
  <si>
    <t>KOFFI AYA ROSELYNE</t>
  </si>
  <si>
    <t>KONAN VERONIQUE</t>
  </si>
  <si>
    <t>KOUAME JOSEPHINE</t>
  </si>
  <si>
    <t>KRAMO CLEMENTINE</t>
  </si>
  <si>
    <t>N'GUESSAN LEONTINE</t>
  </si>
  <si>
    <t>KOUAME MADELAINE</t>
  </si>
  <si>
    <t>YAO MADELAINE</t>
  </si>
  <si>
    <t>BROU MARTINE</t>
  </si>
  <si>
    <t>KOFFI AGNES</t>
  </si>
  <si>
    <t>THANO ISABELLE</t>
  </si>
  <si>
    <t>KOUAME ANTOINETTE</t>
  </si>
  <si>
    <t>COULIBALY DJEMAN</t>
  </si>
  <si>
    <t>YAO ADJOUA PELAGIE</t>
  </si>
  <si>
    <t>KOUADIO DELPHINE</t>
  </si>
  <si>
    <t>KOUAKOU FRANCOISE</t>
  </si>
  <si>
    <t>KOFFI ¨PRISCA</t>
  </si>
  <si>
    <t>N'GORAN MARIE LAURE</t>
  </si>
  <si>
    <t>KOFFI GENEVIEVE</t>
  </si>
  <si>
    <t>KOUADIO NICOLE</t>
  </si>
  <si>
    <t>YOBOUE AYA BRIGITTE</t>
  </si>
  <si>
    <t>KOUASSI AYA ODETTE</t>
  </si>
  <si>
    <t>KOUADIO JOSIANE</t>
  </si>
  <si>
    <t>DJAMALA ODETTE</t>
  </si>
  <si>
    <t>N'GUESSAN AMENAN NADEGE</t>
  </si>
  <si>
    <t>EFON SABINE</t>
  </si>
  <si>
    <t>CESARD BERTINE</t>
  </si>
  <si>
    <t>KOUAME AYA NICOLE</t>
  </si>
  <si>
    <t>N'GUESSAN AHOU SIDONIE</t>
  </si>
  <si>
    <t>KONAN AKISSI HELENE</t>
  </si>
  <si>
    <t>KOUADIO MICHAEL</t>
  </si>
  <si>
    <t>EYOENIEN</t>
  </si>
  <si>
    <t>01 73 68 13 34/ 05 95 48 91 53</t>
  </si>
  <si>
    <t>KONAN  AKISSI ANGELE</t>
  </si>
  <si>
    <t>KOUAKOU KOUAME SEVERIN</t>
  </si>
  <si>
    <t>AMANI N'DRI THERESE</t>
  </si>
  <si>
    <t>AMANI AHOU VICTORINE</t>
  </si>
  <si>
    <t>LOUKOU ADJOUA</t>
  </si>
  <si>
    <t>KOUAKOU AMOIN HENRIETTE</t>
  </si>
  <si>
    <t>YAO N'GBIN FELICITE</t>
  </si>
  <si>
    <t>N'GORAN AFFOUE</t>
  </si>
  <si>
    <t>KOUAME AHOU SANDRINE</t>
  </si>
  <si>
    <t>BOHOUSSOU KOUADIO</t>
  </si>
  <si>
    <t>N'DRI AHOU ANGE MARIE</t>
  </si>
  <si>
    <t>BOHOUSSOU KONAN MARCEL</t>
  </si>
  <si>
    <t>KOUAKOU ABRAHAM</t>
  </si>
  <si>
    <t>KOUADIO KOUADIO SABE</t>
  </si>
  <si>
    <t>KONAN KOUADIO HILAIRE</t>
  </si>
  <si>
    <t xml:space="preserve">BOHOUSSOU N'GUESSAN </t>
  </si>
  <si>
    <t>KOUASSI AFFOUE MARIE CLAUDE</t>
  </si>
  <si>
    <t>N'GUESSAN N'DRI ALPHONSINE</t>
  </si>
  <si>
    <t>N'GORAN KONON</t>
  </si>
  <si>
    <t>YAO KLA JOSEPHINE</t>
  </si>
  <si>
    <t>KOUASSI AHOU</t>
  </si>
  <si>
    <t>KOUASSI ADJOUA ISABELLE</t>
  </si>
  <si>
    <t>KOUAKOU AMENAN  JEANNETTE</t>
  </si>
  <si>
    <t>KONAN N'DRI SABINE</t>
  </si>
  <si>
    <t>N'DRI ADJOUA RACHELLE</t>
  </si>
  <si>
    <t>KOUDIO N'GUESSAN ADELISE</t>
  </si>
  <si>
    <t>KOFFI CESARD</t>
  </si>
  <si>
    <t>KOUADIO SOUNKALO FIRMIN</t>
  </si>
  <si>
    <t>N'GUESSAN AMENAN VICTORINE</t>
  </si>
  <si>
    <t>BOHOUSSOU N'GUESSAN ERIC</t>
  </si>
  <si>
    <t>EBOYOKOUN</t>
  </si>
  <si>
    <t>07 09 48 27 92</t>
  </si>
  <si>
    <t>05 45 23 64 97</t>
  </si>
  <si>
    <t>07 49 45 28 51</t>
  </si>
  <si>
    <t>05 06 79 01 31</t>
  </si>
  <si>
    <t>07 77 17 27 88</t>
  </si>
  <si>
    <t>07 47 49 44 40</t>
  </si>
  <si>
    <t>07 09 76 75 28</t>
  </si>
  <si>
    <t>05 06 97 15 57</t>
  </si>
  <si>
    <t>07 49 51 43 96</t>
  </si>
  <si>
    <t>07 67 62 24 31</t>
  </si>
  <si>
    <t>01 51 43 39 56</t>
  </si>
  <si>
    <t>05 44 20 86 79</t>
  </si>
  <si>
    <t xml:space="preserve">KOUADIO AFFOUE PHILOMENE </t>
  </si>
  <si>
    <t>KOUADIO KONAN AIME</t>
  </si>
  <si>
    <t>ALYA VIVIANE</t>
  </si>
  <si>
    <t>KONAN KONAN MARCELIN</t>
  </si>
  <si>
    <t>KONAN AKISSI ALICE</t>
  </si>
  <si>
    <t>KOUADIO N'GUESSAN CYRIL</t>
  </si>
  <si>
    <t>KONAN YAO DESIRE</t>
  </si>
  <si>
    <t>YAO N'DRI ERIC</t>
  </si>
  <si>
    <t>TABROU BROU GENEVIEVE</t>
  </si>
  <si>
    <t>KOUADIO N'DRI SIDONIE</t>
  </si>
  <si>
    <t>N'DRI KOUADIO FREDERIC</t>
  </si>
  <si>
    <t>KOUADIO KOUAKOU FREDERIC</t>
  </si>
  <si>
    <t>KOUADIO HOUSSOU HELEINE</t>
  </si>
  <si>
    <t>YAO AKISSI CHANTALE</t>
  </si>
  <si>
    <t>KOFFI N'GORAN CATHERINE</t>
  </si>
  <si>
    <t>KOUASSI KOFFI SERGE</t>
  </si>
  <si>
    <t>KOUASSI KOUASSI FRANCK</t>
  </si>
  <si>
    <t>KOUADIO ADJOUA BENEDICTE</t>
  </si>
  <si>
    <t>KOUAME AYA LEA</t>
  </si>
  <si>
    <t>KOUASSI AMENAN BEATRICE</t>
  </si>
  <si>
    <t>KOUASSI AHOU HELEINE</t>
  </si>
  <si>
    <t>KONAN YAO DOMINIQUE</t>
  </si>
  <si>
    <t>KOUADIO YAO FABRICE</t>
  </si>
  <si>
    <t>KOUADIO N'DRI ROMAIN</t>
  </si>
  <si>
    <t>EKANYEBONOU</t>
  </si>
  <si>
    <t>KOUAKOU N'GUESSAN</t>
  </si>
  <si>
    <t>KOUASSI KONAN BARTHELEMY</t>
  </si>
  <si>
    <t>KOUASSI KOFFI ELOI</t>
  </si>
  <si>
    <t>KOUAMA AMENAN SUZANE</t>
  </si>
  <si>
    <t>KOUAME N'GBIN JEAN MARC</t>
  </si>
  <si>
    <t>KOUASSI LOUKOU LOUISE</t>
  </si>
  <si>
    <t>KOUAME AFFOUE SUZANE</t>
  </si>
  <si>
    <t>N'GUESSAN AKISSI ELISE</t>
  </si>
  <si>
    <t>KOUAME AFFOUE SOLANGE</t>
  </si>
  <si>
    <t>KOUAME AMOIN HELEINE</t>
  </si>
  <si>
    <t>KONGAH KOFFI AUGUSTIN</t>
  </si>
  <si>
    <t>KOUAME KOUAME AUBIN</t>
  </si>
  <si>
    <t>KOUAME KOUASSI ARSENE</t>
  </si>
  <si>
    <t>LALEKOU KOUAKOU EUGENE</t>
  </si>
  <si>
    <t>KOUAKOU BOHOUSSOU CELESTIN</t>
  </si>
  <si>
    <t>BOHOUSSOU YAO SIMPLICE</t>
  </si>
  <si>
    <t>YAO AMOIN JACQUELINE</t>
  </si>
  <si>
    <t>LALEKOU N'GUESSAN</t>
  </si>
  <si>
    <t>YAO AHOU ANNE MARIE</t>
  </si>
  <si>
    <t>KOUAME KONAN ERNEST</t>
  </si>
  <si>
    <t>KOUAME KOUAKOU HERVE</t>
  </si>
  <si>
    <t>KOFFI N'GUESSAN VERONIQUE</t>
  </si>
  <si>
    <t>KOUASSI KOFFI THEODORE</t>
  </si>
  <si>
    <t>LALEKOU ADJO SABINE</t>
  </si>
  <si>
    <t>KOUAME BROU CHRISTELLE</t>
  </si>
  <si>
    <t>KOUASSI YANMIEN</t>
  </si>
  <si>
    <t>KOFFI AKISSI PRUDENCE</t>
  </si>
  <si>
    <t>KOFFI N'GORAN SIDONIE</t>
  </si>
  <si>
    <t>BLI KPOSONDE PAUL</t>
  </si>
  <si>
    <t>EBOHIBO</t>
  </si>
  <si>
    <t>KONAN KOUASSI MICHEL</t>
  </si>
  <si>
    <t>KOUADIO AMENAN</t>
  </si>
  <si>
    <t xml:space="preserve">KOUAKOU KONAN ROGER </t>
  </si>
  <si>
    <t>LOUKOU AHOU</t>
  </si>
  <si>
    <t>LOUKOU KOUAKOU</t>
  </si>
  <si>
    <t>KOUAKOU AMENAN</t>
  </si>
  <si>
    <t>LOUKOU KOUAKOU PASCAL</t>
  </si>
  <si>
    <t xml:space="preserve">YAO N'GUESSAN </t>
  </si>
  <si>
    <t>YAO KOFFI LUCIEN</t>
  </si>
  <si>
    <t>KOUAME AMENAN ANGE</t>
  </si>
  <si>
    <t>KONAN AMOIN REBECA</t>
  </si>
  <si>
    <t>KOUASSI AKISSI CLEMENTINE</t>
  </si>
  <si>
    <t>KOFFI ADJOUA ROSINE</t>
  </si>
  <si>
    <t>KOFFI YAO EZECKIEL</t>
  </si>
  <si>
    <t>KOUAME KOUADIO</t>
  </si>
  <si>
    <t>YAO KONAN PIERRE</t>
  </si>
  <si>
    <t>KOUAME AFFOUE FLORENTINE</t>
  </si>
  <si>
    <t>KOUASSI KOUAKOU</t>
  </si>
  <si>
    <t>KOUASSI AFFOUE</t>
  </si>
  <si>
    <t>BOHOUSSOU AKISSI MELISSA</t>
  </si>
  <si>
    <t>KONAN AMOIN ODILE</t>
  </si>
  <si>
    <t>KOUAKOU AYA</t>
  </si>
  <si>
    <t xml:space="preserve">YAO AMOIN </t>
  </si>
  <si>
    <t xml:space="preserve">KOUADIO ADJOUA </t>
  </si>
  <si>
    <t>KOUADIO KOUAME GERARD</t>
  </si>
  <si>
    <t>N'GUESSAN SYLVIE</t>
  </si>
  <si>
    <t>KOUAKOU N'GORAN EDOUARD</t>
  </si>
  <si>
    <t>EKLOHEHOUN</t>
  </si>
  <si>
    <t>YAWAHAGA MARIAM</t>
  </si>
  <si>
    <t>DJIBRIL ZABRE</t>
  </si>
  <si>
    <t>ZOUMANA MARIAM</t>
  </si>
  <si>
    <t>DRISSA DJENEBA</t>
  </si>
  <si>
    <t>SORO ISSA</t>
  </si>
  <si>
    <t>DOFRA MATAIMAI</t>
  </si>
  <si>
    <t>SILUE DEBON</t>
  </si>
  <si>
    <t>COULIBALY KASSOUM MAWA</t>
  </si>
  <si>
    <t>YEO GONA</t>
  </si>
  <si>
    <t>SIGATA FANDA</t>
  </si>
  <si>
    <t>DRISSA MARIAM</t>
  </si>
  <si>
    <t>YAWAHAGA TIEMONGO</t>
  </si>
  <si>
    <t>DOROGO TIEGBANA</t>
  </si>
  <si>
    <t>DOUMBIA KONATE DJENEBA</t>
  </si>
  <si>
    <t>ADAMA LAVIELLE</t>
  </si>
  <si>
    <t>DJIBRIL KARIDJATOU</t>
  </si>
  <si>
    <t>PAPA ADJARATOU</t>
  </si>
  <si>
    <t>YAYA NAKPA</t>
  </si>
  <si>
    <t>NAOUOLO SITA</t>
  </si>
  <si>
    <t>SILUE SIRIKI OBE</t>
  </si>
  <si>
    <t>YEO ISSOUF BARAKISSA</t>
  </si>
  <si>
    <t>GONA MADJATA</t>
  </si>
  <si>
    <t>FOUGNIGUE DJENEBA</t>
  </si>
  <si>
    <t>DRAMANE N'GODIA</t>
  </si>
  <si>
    <t>NAWATIEN MADEDIA</t>
  </si>
  <si>
    <t>YEO DIAKALIDJA ADJA</t>
  </si>
  <si>
    <t>COULIBALY SITA DOUHOU</t>
  </si>
  <si>
    <t>TCHEKOURA MARIAM</t>
  </si>
  <si>
    <t>TCHEKOURA KARDJA</t>
  </si>
  <si>
    <t>FOTAMANA_T-Dioula</t>
  </si>
  <si>
    <t xml:space="preserve"> TAGBAYO-DIOULABOUGOU</t>
  </si>
  <si>
    <t>TRAORE SALIMATA</t>
  </si>
  <si>
    <t>TRAORE ALIMATOU</t>
  </si>
  <si>
    <t>YEO SERIBA</t>
  </si>
  <si>
    <t>YEO YACOUBA</t>
  </si>
  <si>
    <t>TOURE BRAHIMA</t>
  </si>
  <si>
    <t>SILUE DRAMANE</t>
  </si>
  <si>
    <t>DRISSA AWA</t>
  </si>
  <si>
    <t>MAMOUDOU AMY</t>
  </si>
  <si>
    <t>YEO FONNIMAN</t>
  </si>
  <si>
    <t>YEO NAYANIGA</t>
  </si>
  <si>
    <t>KOURAGO ADJARATOU</t>
  </si>
  <si>
    <t>BADINE FATOUMATA</t>
  </si>
  <si>
    <t>GUEGUIMAN ASSETOU</t>
  </si>
  <si>
    <t>SAWADOGO ACHATA</t>
  </si>
  <si>
    <t>GUIRI BIBATA</t>
  </si>
  <si>
    <t>COULIBALY AMINATA</t>
  </si>
  <si>
    <t>KONE ABOULAYE</t>
  </si>
  <si>
    <t>DRAMANE BAH DJELIKA</t>
  </si>
  <si>
    <t>COULIBALY ROKYA</t>
  </si>
  <si>
    <t>SEKONGO YAYA</t>
  </si>
  <si>
    <t>SORO YACOUBA</t>
  </si>
  <si>
    <t>FOTANA MARIAM</t>
  </si>
  <si>
    <t>TUO SELO</t>
  </si>
  <si>
    <t>SILUE LACINA FATOUMATA</t>
  </si>
  <si>
    <t xml:space="preserve">SILUE LACINA </t>
  </si>
  <si>
    <t>SIDIBE FATOUMATA</t>
  </si>
  <si>
    <t>KEITA AICHA</t>
  </si>
  <si>
    <t>SILUE DANIELLE</t>
  </si>
  <si>
    <t>DIGUITOUGOU_T-D</t>
  </si>
  <si>
    <t>TOURE YOUSSOUF</t>
  </si>
  <si>
    <t>SILUE YAWAHAGA</t>
  </si>
  <si>
    <t>SALIFOU KAFANDO AWA</t>
  </si>
  <si>
    <t>TRAORE SANDRI</t>
  </si>
  <si>
    <t>COULIBALY ZIE</t>
  </si>
  <si>
    <t>CISSE SETOU</t>
  </si>
  <si>
    <t>LELOUROU TIEWA</t>
  </si>
  <si>
    <t>PORIA MARIAM</t>
  </si>
  <si>
    <t>TOURE DJATA</t>
  </si>
  <si>
    <t>KIGNENEMAN YEFAKOMINA</t>
  </si>
  <si>
    <t>ZOUHATE LAMACE</t>
  </si>
  <si>
    <t>CHAKA MARIAM</t>
  </si>
  <si>
    <t>DRISSA MINATA</t>
  </si>
  <si>
    <t>YEO MAWA</t>
  </si>
  <si>
    <t>SILUE YACOU SALI</t>
  </si>
  <si>
    <t>TOURE DAOUDA</t>
  </si>
  <si>
    <t>BRAHIMA OUATTARA FATOUMATA</t>
  </si>
  <si>
    <t>YACOU OUATTARA DJENEBA</t>
  </si>
  <si>
    <t>DJEGUEMA BRAHIMA ABI</t>
  </si>
  <si>
    <t>BERTE MOUSSA MARIAM</t>
  </si>
  <si>
    <t>ZOUMANA KARDJATOU</t>
  </si>
  <si>
    <t>DOTANA FATOUMATA</t>
  </si>
  <si>
    <t>NAGNINON MINATA</t>
  </si>
  <si>
    <t>BRAMA GBE AWA</t>
  </si>
  <si>
    <t>DOUMBIA ZOUMANA</t>
  </si>
  <si>
    <t>LASSO ADJARATOU</t>
  </si>
  <si>
    <t>FILBA FATOUMATA</t>
  </si>
  <si>
    <t>BRAMA GBE KARIDJATOU</t>
  </si>
  <si>
    <t>SALIF DJEMINATA</t>
  </si>
  <si>
    <t>BAMBA SALI</t>
  </si>
  <si>
    <t>SOUTRA_T-Dlbgou</t>
  </si>
  <si>
    <t>KPAN IREINE</t>
  </si>
  <si>
    <t>DOUON MARIUS</t>
  </si>
  <si>
    <t>BIE AMI</t>
  </si>
  <si>
    <t>TOKPA LOUA ALICE D.</t>
  </si>
  <si>
    <t>DIANDA MAIMOUNA</t>
  </si>
  <si>
    <t>ZOU LOUA ROGER</t>
  </si>
  <si>
    <t>ZOGBI SYLVIE</t>
  </si>
  <si>
    <t>DOGA EDMOND CAMILLE</t>
  </si>
  <si>
    <t>GONO SOLIE AGNES</t>
  </si>
  <si>
    <t>DION DELPHINE</t>
  </si>
  <si>
    <t>SEUH JACKLINNE</t>
  </si>
  <si>
    <t>SOUMAHORO SITA DOROTHE</t>
  </si>
  <si>
    <t>DELY PELAGIE</t>
  </si>
  <si>
    <t>GOLOU GOUESSE CHIMELLE</t>
  </si>
  <si>
    <t>SEUH AMANDINE</t>
  </si>
  <si>
    <t>LOUA MICHEL</t>
  </si>
  <si>
    <t>BIE SEDRICK</t>
  </si>
  <si>
    <t>DIANDA ADJARATOU</t>
  </si>
  <si>
    <t>KONAN AMOIN EUGENIE</t>
  </si>
  <si>
    <t>LOUA MADELEINE</t>
  </si>
  <si>
    <t>BAGUI ARCHILLE</t>
  </si>
  <si>
    <t>GOUE GONDO ARTHUR</t>
  </si>
  <si>
    <t>DOUMBIA MAMADI</t>
  </si>
  <si>
    <t>SEUH MAWA VERONIQUE</t>
  </si>
  <si>
    <t>NANGO AMENAN MARCELINE</t>
  </si>
  <si>
    <t>KINDA AWA</t>
  </si>
  <si>
    <t>MERVEILLE_Dabouyo3</t>
  </si>
  <si>
    <t>DABOUYO3</t>
  </si>
  <si>
    <t>MERVEILLE_Dabouyo4</t>
  </si>
  <si>
    <t>DABOUYO4</t>
  </si>
  <si>
    <t>MERVEILLE_Dabouyo5</t>
  </si>
  <si>
    <t>DABOUYO5</t>
  </si>
  <si>
    <t>MERVEILLE_Dabouyo6</t>
  </si>
  <si>
    <t>DABOUYO6</t>
  </si>
  <si>
    <t>MERVEILLE_Dabouyo7</t>
  </si>
  <si>
    <t>DABOUYO7</t>
  </si>
  <si>
    <t>MERVEILLE_Dabouyo8</t>
  </si>
  <si>
    <t>DABOUYO8</t>
  </si>
  <si>
    <t>MERVEILLE_Dabouyo9</t>
  </si>
  <si>
    <t>DABOUYO9</t>
  </si>
  <si>
    <t>MERVEILLE_Dabouyo10</t>
  </si>
  <si>
    <t>DABOUYO10</t>
  </si>
  <si>
    <t>MERVEILLE_Dabouyo11</t>
  </si>
  <si>
    <t>DABOUYO11</t>
  </si>
  <si>
    <t>MERVEILLE_Dabouyo12</t>
  </si>
  <si>
    <t>DABOUYO12</t>
  </si>
  <si>
    <t>MERVEILLE_Dabouyo13</t>
  </si>
  <si>
    <t>DABOUYO13</t>
  </si>
  <si>
    <t>MERVEILLE_Dabouyo14</t>
  </si>
  <si>
    <t>DABOUYO14</t>
  </si>
  <si>
    <t>MERVEILLE_Dabouyo15</t>
  </si>
  <si>
    <t>DABOUYO15</t>
  </si>
  <si>
    <t>MERVEILLE_Dabouyo16</t>
  </si>
  <si>
    <t>DABOUYO16</t>
  </si>
  <si>
    <t>MERVEILLE_Dabouyo17</t>
  </si>
  <si>
    <t>DABOUYO17</t>
  </si>
  <si>
    <t>MERVEILLE_Dabouyo18</t>
  </si>
  <si>
    <t>DABOUYO18</t>
  </si>
  <si>
    <t>MERVEILLE_Dabouyo19</t>
  </si>
  <si>
    <t>DABOUYO19</t>
  </si>
  <si>
    <t>MERVEILLE_Dabouyo20</t>
  </si>
  <si>
    <t>DABOUYO20</t>
  </si>
  <si>
    <t>MERVEILLE_Dabouyo21</t>
  </si>
  <si>
    <t>DABOUYO21</t>
  </si>
  <si>
    <t>MERVEILLE_Dabouyo22</t>
  </si>
  <si>
    <t>DABOUYO22</t>
  </si>
  <si>
    <t>MERVEILLE_Dabouyo23</t>
  </si>
  <si>
    <t>DABOUYO23</t>
  </si>
  <si>
    <t>MERVEILLE_Dabouyo24</t>
  </si>
  <si>
    <t>DABOUYO24</t>
  </si>
  <si>
    <t>MERVEILLE_Dabouyo25</t>
  </si>
  <si>
    <t>DABOUYO25</t>
  </si>
  <si>
    <t>MERVEILLE_Dabouyo26</t>
  </si>
  <si>
    <t>DABOUYO26</t>
  </si>
  <si>
    <t>MERVEILLE_Dabouyo27</t>
  </si>
  <si>
    <t>DABOUYO27</t>
  </si>
  <si>
    <t>MERVEILLE_Dabouyo28</t>
  </si>
  <si>
    <t>DABOUYO28</t>
  </si>
  <si>
    <t>BAMBA ESTELLE</t>
  </si>
  <si>
    <t>KADI TETY SERGE</t>
  </si>
  <si>
    <t>BAMBA MABERE</t>
  </si>
  <si>
    <t>ANGHI ANGE</t>
  </si>
  <si>
    <t>KINDA CATHERINE</t>
  </si>
  <si>
    <t>FATOUMATA BARY</t>
  </si>
  <si>
    <t>SARAMBE AMY</t>
  </si>
  <si>
    <t>BARY MARIAM</t>
  </si>
  <si>
    <t>BARY AMADOU</t>
  </si>
  <si>
    <t>LAOU PAUL</t>
  </si>
  <si>
    <t>COULIBALY FATOU</t>
  </si>
  <si>
    <t>MEIBO SANDRINE</t>
  </si>
  <si>
    <t>KOFFI JEAN BEDEL</t>
  </si>
  <si>
    <t>GUEI SERGE PACOME</t>
  </si>
  <si>
    <t>KOUMA MAIGA</t>
  </si>
  <si>
    <t>AMANI JULES</t>
  </si>
  <si>
    <t>AMANI CARMELLE</t>
  </si>
  <si>
    <t>GOGBEU NADIA</t>
  </si>
  <si>
    <t>KONE KOROTOUMOU</t>
  </si>
  <si>
    <t>ZOUEGBE K. ADELINE</t>
  </si>
  <si>
    <t>ZOUEGBE K. PRIVAT</t>
  </si>
  <si>
    <t>KOUADIO IBRAHIM</t>
  </si>
  <si>
    <t>DIALLO HANOUMAN</t>
  </si>
  <si>
    <t>N'DA FRANCK</t>
  </si>
  <si>
    <t>MEMBA GUY MOREL</t>
  </si>
  <si>
    <t>N'GUESSAN EDITH</t>
  </si>
  <si>
    <t>BINKADI_Dabouyo</t>
  </si>
  <si>
    <t>DABOUYO29</t>
  </si>
  <si>
    <t>DABOUYO30</t>
  </si>
  <si>
    <t>DABOUYO31</t>
  </si>
  <si>
    <t>DABOUYO32</t>
  </si>
  <si>
    <t>DABOUYO33</t>
  </si>
  <si>
    <t>DABOUYO34</t>
  </si>
  <si>
    <t>DABOUYO35</t>
  </si>
  <si>
    <t>DABOUYO36</t>
  </si>
  <si>
    <t>DABOUYO37</t>
  </si>
  <si>
    <t>DABOUYO38</t>
  </si>
  <si>
    <t>DABOUYO39</t>
  </si>
  <si>
    <t>DABOUYO40</t>
  </si>
  <si>
    <t>DABOUYO41</t>
  </si>
  <si>
    <t>DABOUYO42</t>
  </si>
  <si>
    <t>DABOUYO43</t>
  </si>
  <si>
    <t>DABOUYO44</t>
  </si>
  <si>
    <t>DABOUYO45</t>
  </si>
  <si>
    <t>DABOUYO46</t>
  </si>
  <si>
    <t>DABOUYO47</t>
  </si>
  <si>
    <t>DABOUYO48</t>
  </si>
  <si>
    <t>DABOUYO49</t>
  </si>
  <si>
    <t>DABOUYO50</t>
  </si>
  <si>
    <t>DABOUYO51</t>
  </si>
  <si>
    <t>DABOUYO52</t>
  </si>
  <si>
    <t>DABOUYO53</t>
  </si>
  <si>
    <t>DABOUYO54</t>
  </si>
  <si>
    <t>DABOUYO55</t>
  </si>
  <si>
    <t>07 49 88 01 91</t>
  </si>
  <si>
    <t>07 48 05 03 16</t>
  </si>
  <si>
    <t>05 44 56 60 74</t>
  </si>
  <si>
    <t>07 08 13 92 03</t>
  </si>
  <si>
    <t>07 58 63 13 65</t>
  </si>
  <si>
    <t>07 49 36 77 37</t>
  </si>
  <si>
    <t>TTRAORE SIDOU</t>
  </si>
  <si>
    <t>DIALLO DJAKARIDJA</t>
  </si>
  <si>
    <t>DIOMANDE MOUSSA</t>
  </si>
  <si>
    <t>TRAORE SALI</t>
  </si>
  <si>
    <t>DIOMANDE SIRIKI</t>
  </si>
  <si>
    <t>DIOMANDE MARIAM</t>
  </si>
  <si>
    <t>TRAORE ROKIA</t>
  </si>
  <si>
    <t>KONE ABI</t>
  </si>
  <si>
    <t>CAMARA MADJOU</t>
  </si>
  <si>
    <t>TRAORE LOSSENI</t>
  </si>
  <si>
    <t>DIOMANDE MAFERIMA</t>
  </si>
  <si>
    <t>FOFANA AICHA</t>
  </si>
  <si>
    <t>SEKOU DIOMANDE</t>
  </si>
  <si>
    <t>SIDIBE LACINA</t>
  </si>
  <si>
    <t>SIDIBE KOROTOUM</t>
  </si>
  <si>
    <t>TIENNE SANGARE</t>
  </si>
  <si>
    <t>COULIBALY ABDOUKARIM</t>
  </si>
  <si>
    <t>SANGARE ALIMATA</t>
  </si>
  <si>
    <t>SANGARE SALITOU</t>
  </si>
  <si>
    <t>KONE MOUSSA</t>
  </si>
  <si>
    <t>BAMBA NADOUKOU</t>
  </si>
  <si>
    <t>SANOGO NAKOUMA</t>
  </si>
  <si>
    <t>SIDIBE CHATA</t>
  </si>
  <si>
    <t>COULIBALY SEYDOU</t>
  </si>
  <si>
    <t>DIOMANDE MADOU</t>
  </si>
  <si>
    <t>KONATE KOROTOU</t>
  </si>
  <si>
    <t>SABARIKAGNI_Alikro</t>
  </si>
  <si>
    <t>DOUMBIA SIDIKI</t>
  </si>
  <si>
    <t>SAMAKE BOURLAYE</t>
  </si>
  <si>
    <t>DIOMANDE AROUNA</t>
  </si>
  <si>
    <t>TRAORE DJAKARI</t>
  </si>
  <si>
    <t>BAMBA MABITY</t>
  </si>
  <si>
    <t>KONATE LAMINE</t>
  </si>
  <si>
    <t>DIAKITE MOUSSA</t>
  </si>
  <si>
    <t>SANGARE DJAKARY</t>
  </si>
  <si>
    <t>KONATE AWA</t>
  </si>
  <si>
    <t>DIAKITE KARIDJATOU</t>
  </si>
  <si>
    <t>SIDIBE LACINA SOW</t>
  </si>
  <si>
    <t>KONE SAFIATOU</t>
  </si>
  <si>
    <t>KONATE KOROTOUM</t>
  </si>
  <si>
    <t>SAMAKE ISSOUF</t>
  </si>
  <si>
    <t>TRAORE AICHATOU</t>
  </si>
  <si>
    <t>DIARRA MOCTAR</t>
  </si>
  <si>
    <t>DIARRA YACOUBA</t>
  </si>
  <si>
    <t>COULIBALY ADJATA</t>
  </si>
  <si>
    <t>DIAKITE LALA</t>
  </si>
  <si>
    <t>KONE FATOUMA</t>
  </si>
  <si>
    <t>KONE SALIF</t>
  </si>
  <si>
    <t>SOW ABOUBAKAR</t>
  </si>
  <si>
    <t>COULIBALY DRISSA</t>
  </si>
  <si>
    <t>SIDIBE KARIDJATOU</t>
  </si>
  <si>
    <t>DAO AWA</t>
  </si>
  <si>
    <t>DIALLO AWA</t>
  </si>
  <si>
    <t>DIAKITE RAMATA</t>
  </si>
  <si>
    <t>TRAORE MOUSSOKORO</t>
  </si>
  <si>
    <t>TRAORE DJATOU</t>
  </si>
  <si>
    <t>BINKADI_Alikro</t>
  </si>
  <si>
    <t>OUATTARA SOULEYMAN</t>
  </si>
  <si>
    <t>OUATTARA DRISSA</t>
  </si>
  <si>
    <t>TRAORE MOUSSA</t>
  </si>
  <si>
    <t>OUATTARA LASSO</t>
  </si>
  <si>
    <t>DAO KOROTOUM</t>
  </si>
  <si>
    <t>SOUMAHORO LAVI</t>
  </si>
  <si>
    <t>TRAORE MOUSSA BINGUE</t>
  </si>
  <si>
    <t>INZA DIOMANDE</t>
  </si>
  <si>
    <t>DIAKITE KARIM</t>
  </si>
  <si>
    <t>DIABATE THERESE</t>
  </si>
  <si>
    <t>SAMAKE YACOU</t>
  </si>
  <si>
    <t>DIAKITE DJELIKA</t>
  </si>
  <si>
    <t>DAO MOUSSABA</t>
  </si>
  <si>
    <t>DAO MAYATOU</t>
  </si>
  <si>
    <t>TRAORE FATOUMATA</t>
  </si>
  <si>
    <t>BALLO SANATA</t>
  </si>
  <si>
    <t>ZIBA BILLY</t>
  </si>
  <si>
    <t>OUATTARA KOROTOUM</t>
  </si>
  <si>
    <t>COULIBALY TINNIN</t>
  </si>
  <si>
    <t>SANOGO BEMA</t>
  </si>
  <si>
    <t>DEMBELE ABIBA</t>
  </si>
  <si>
    <t>BALLO MAYATOU</t>
  </si>
  <si>
    <t>DIOMANDE MABINTOU</t>
  </si>
  <si>
    <t>TRAORE SOUMAIRA</t>
  </si>
  <si>
    <t>SAIBA ZOGORE</t>
  </si>
  <si>
    <t>TRAORE ISSOUF</t>
  </si>
  <si>
    <t>TRAORE KASSOUM</t>
  </si>
  <si>
    <t>ESPOIR_Alikro</t>
  </si>
  <si>
    <t>SIDIBE SALI</t>
  </si>
  <si>
    <t>OBAH BROU ELVIS</t>
  </si>
  <si>
    <t>KOFFI JEAN CLAUDE</t>
  </si>
  <si>
    <t>OBO PELAGIE</t>
  </si>
  <si>
    <t>ODI ATSAIN FIDELE</t>
  </si>
  <si>
    <t>KOUASSI JEAN-MARC ANICET</t>
  </si>
  <si>
    <t>DOUMBIA MARIAM</t>
  </si>
  <si>
    <t>DAGROU BERTINE</t>
  </si>
  <si>
    <t>DAGROU THIERRY</t>
  </si>
  <si>
    <t>TRAORE AMI</t>
  </si>
  <si>
    <t>BAGOU LOUISE</t>
  </si>
  <si>
    <t>KOUGOUE DAHIONON NATHALIE</t>
  </si>
  <si>
    <t>TIEDREBEOGO EMILIENNE</t>
  </si>
  <si>
    <t>GRAH BAZE CLEMENCE</t>
  </si>
  <si>
    <t>GUEHISSOU GOUELE NATACHA</t>
  </si>
  <si>
    <t>YAO MICHAEL</t>
  </si>
  <si>
    <t>YAO LANDRY</t>
  </si>
  <si>
    <t>MAHAN COLETTE</t>
  </si>
  <si>
    <t>SENI ALI MADELEINE</t>
  </si>
  <si>
    <t>GNABRE CHANTAL</t>
  </si>
  <si>
    <t>BOA ELIANE</t>
  </si>
  <si>
    <t>KOUAME AMENAN BLANDINE</t>
  </si>
  <si>
    <t>KOUASSI AYA ROSE</t>
  </si>
  <si>
    <t>SAWADOGO FRANCOISE</t>
  </si>
  <si>
    <t>YAWA CHARLOTTE</t>
  </si>
  <si>
    <t>SHALOM_Zohourayo</t>
  </si>
  <si>
    <t>ZOHOURAYO</t>
  </si>
  <si>
    <t>DIOMANDE FATOU</t>
  </si>
  <si>
    <t>GUEHISSOU NATACHA</t>
  </si>
  <si>
    <t>BADI PRISCA</t>
  </si>
  <si>
    <t>KOUADIO AFFOUE MARINA</t>
  </si>
  <si>
    <t>KOUAME AFFOUE GENEVIERVE</t>
  </si>
  <si>
    <t>TOKPA SONIA</t>
  </si>
  <si>
    <t>GOSSO EDWIGE</t>
  </si>
  <si>
    <t>LOGNON MAURIELLE</t>
  </si>
  <si>
    <t>GNAGO DAVID</t>
  </si>
  <si>
    <t>GNAGO  ELYSE</t>
  </si>
  <si>
    <t>KANGA AHOU YOLANDE</t>
  </si>
  <si>
    <t>KOFFI BOSCO</t>
  </si>
  <si>
    <t>KOUASSI ADJOUA HELEINE</t>
  </si>
  <si>
    <t>KOUASSI CHANTAL</t>
  </si>
  <si>
    <t>NAKRO DIANE</t>
  </si>
  <si>
    <t>OBROU JULIE</t>
  </si>
  <si>
    <t>ZOHOURAYO_2</t>
  </si>
  <si>
    <t>OULAI ADELE</t>
  </si>
  <si>
    <t>GUEHI MARCELINE</t>
  </si>
  <si>
    <t>IRIE BLAISE</t>
  </si>
  <si>
    <t>GOUE ROMEO STANISLAS</t>
  </si>
  <si>
    <t>FOFANA MARIAM</t>
  </si>
  <si>
    <t>KALA PASCAL</t>
  </si>
  <si>
    <t>GAUGA LEPOH NOELLE LYDIE</t>
  </si>
  <si>
    <t>EBOHUM CYNTHIA</t>
  </si>
  <si>
    <t>GONDI NADEGE</t>
  </si>
  <si>
    <t>BAH SAMUEL</t>
  </si>
  <si>
    <t>TEWELE MARCELIN</t>
  </si>
  <si>
    <t>LOGNON EVELYNE CYNTHIA</t>
  </si>
  <si>
    <t>OKOMA ABO MAXIM</t>
  </si>
  <si>
    <t>OBOUMOU AKOUA VIRGINIE</t>
  </si>
  <si>
    <t>SIBAHI PAUL IVOIRE</t>
  </si>
  <si>
    <t>KOUASSI N'CHO AMBROISE</t>
  </si>
  <si>
    <t>TOURE SAFIATOU</t>
  </si>
  <si>
    <t>TRAYE BI</t>
  </si>
  <si>
    <t>GUIRE GBABLE</t>
  </si>
  <si>
    <t>ZAMBLE BI</t>
  </si>
  <si>
    <t>SIBAHI AGGEE</t>
  </si>
  <si>
    <t>ZOHORE LAURENCE</t>
  </si>
  <si>
    <t>TIAN LOU GOULE PHILOMENE</t>
  </si>
  <si>
    <t>NIANGORAN RAN HELVIS</t>
  </si>
  <si>
    <t>KONE SEYDOU</t>
  </si>
  <si>
    <t>COULIBALY SEKOU</t>
  </si>
  <si>
    <t>DONGO PIERRE</t>
  </si>
  <si>
    <t>FOFANA MIREILLE</t>
  </si>
  <si>
    <t>TCHETCHE JOCELYNE</t>
  </si>
  <si>
    <t>BREBLY_Djegnadou</t>
  </si>
  <si>
    <t>DJEGNADOU</t>
  </si>
  <si>
    <t>AYE ODILE</t>
  </si>
  <si>
    <t>TCHETCHE RACHELLE</t>
  </si>
  <si>
    <t>GAYE DAGO BEN</t>
  </si>
  <si>
    <t>SERY ALEXANDRE</t>
  </si>
  <si>
    <t>TCHETCHE LOBA MICHEL</t>
  </si>
  <si>
    <t>ILBOUDO SIBIRI</t>
  </si>
  <si>
    <t>DIENON FAYE DORGELES</t>
  </si>
  <si>
    <t>LOGNON FRANCK</t>
  </si>
  <si>
    <t>LIGNON MAURELLE</t>
  </si>
  <si>
    <t>ZAMBLE BI IRIE FERDINAND</t>
  </si>
  <si>
    <t>SIBAHI POPO AGEE ROSALIE</t>
  </si>
  <si>
    <t>EMOLO CHANTAL</t>
  </si>
  <si>
    <t>DEGUI CHARLOTTE</t>
  </si>
  <si>
    <t>AKOUPO JONAS</t>
  </si>
  <si>
    <t>Djegnadou</t>
  </si>
  <si>
    <t>KONAN KOFFI DOMINIQUE</t>
  </si>
  <si>
    <t>KOFFI KONAN CEDRIC</t>
  </si>
  <si>
    <t>KONAN N'GUESSAN JEAN-MARIE</t>
  </si>
  <si>
    <t>KONAN AKISSI PRISCA</t>
  </si>
  <si>
    <t>KOFFI AKISSI JESSYCA</t>
  </si>
  <si>
    <t>KOUADIO AMOIN JULIETTE</t>
  </si>
  <si>
    <t>N'GUESSAN AKISSI CARENE</t>
  </si>
  <si>
    <t>BROU AKISSI VICTOIRE</t>
  </si>
  <si>
    <t>MAIGA AMHED</t>
  </si>
  <si>
    <t>MAIGA GNAMOUE</t>
  </si>
  <si>
    <t>YANNIN FATOUMATA</t>
  </si>
  <si>
    <t>YANNIN KALIDJA</t>
  </si>
  <si>
    <t>DJINTAO FAFOURE</t>
  </si>
  <si>
    <t>TANGARA YAYE</t>
  </si>
  <si>
    <t>TIMBO MAMA</t>
  </si>
  <si>
    <t>KOUAKOU KOUASSI LEANDRE</t>
  </si>
  <si>
    <t xml:space="preserve">SOM LAURENT </t>
  </si>
  <si>
    <t>PALE ELIZABETH</t>
  </si>
  <si>
    <t>KAMO GRACE EMMANUELLA</t>
  </si>
  <si>
    <t>KEITA FATOUMATA</t>
  </si>
  <si>
    <t xml:space="preserve">TOAPLI SOMANGNON ESTELLE </t>
  </si>
  <si>
    <t>ZOUZOU CHARLES</t>
  </si>
  <si>
    <t>DAH MARIE JOELLE</t>
  </si>
  <si>
    <t>FALLET ACHILE</t>
  </si>
  <si>
    <t>KAMBIRE EVARISTE</t>
  </si>
  <si>
    <t>LOUE PRINCE</t>
  </si>
  <si>
    <t>PALE  ABIBA</t>
  </si>
  <si>
    <t xml:space="preserve">PALE ESTHER </t>
  </si>
  <si>
    <t xml:space="preserve">SERY FREDERIC </t>
  </si>
  <si>
    <t>KOUADIO AYA ANNE CHIMELLE</t>
  </si>
  <si>
    <t>KOUASSI KONAN CHARLES</t>
  </si>
  <si>
    <t>KOUAKOU YAO CEDRIC</t>
  </si>
  <si>
    <t xml:space="preserve">KOUAME AMOIN </t>
  </si>
  <si>
    <t xml:space="preserve">KOUAME KOUAME ERCIC </t>
  </si>
  <si>
    <t xml:space="preserve">KOUAME KOFFI </t>
  </si>
  <si>
    <t>KOUAME LOUKOU ANICE</t>
  </si>
  <si>
    <t>KOUAME YAO</t>
  </si>
  <si>
    <t>KOUASSI AMOIN GRACE EMMANUELLA</t>
  </si>
  <si>
    <t>N'GUESSAN KOUAKOU MADOCHE</t>
  </si>
  <si>
    <t>N'GUESSAN KOUAKOU ABRAHAM</t>
  </si>
  <si>
    <t>N'GUESSAN KOUAKOU</t>
  </si>
  <si>
    <t>SERI SAMUEL DELOR</t>
  </si>
  <si>
    <t>TANO KOFFI PRINCE</t>
  </si>
  <si>
    <t>TODJOU DEBE OSE</t>
  </si>
  <si>
    <t>TOUOLE RELENI CHRISTELLE</t>
  </si>
  <si>
    <t>TODJOU KOBOU SIMEON</t>
  </si>
  <si>
    <t>YAO AMENAN GRACE</t>
  </si>
  <si>
    <t>YAO AMOIN MIRABELLE</t>
  </si>
  <si>
    <t>YAO ELISE</t>
  </si>
  <si>
    <t>YAO KOUAME</t>
  </si>
  <si>
    <t>Colonne1</t>
  </si>
  <si>
    <t>CE1</t>
  </si>
  <si>
    <t>CE2</t>
  </si>
  <si>
    <t>CP2</t>
  </si>
  <si>
    <t>Nombre de Colonne1</t>
  </si>
  <si>
    <t>PAS CONCERNE</t>
  </si>
  <si>
    <t>KOUAME KOUADIO DIEU-FERA</t>
  </si>
  <si>
    <t>YAO AHOU ROSELYNE</t>
  </si>
  <si>
    <t>LOUKOU YAO ARSENE</t>
  </si>
  <si>
    <t xml:space="preserve">KOFFI AMENAN DONATIEN </t>
  </si>
  <si>
    <t>MAKOUNDE PARFAIT</t>
  </si>
  <si>
    <t>KOUADIO KOUAKOU FELIX</t>
  </si>
  <si>
    <t>N'GUESSAN AYA ROSE</t>
  </si>
  <si>
    <t>KOUAME AYA BENEDICTE</t>
  </si>
  <si>
    <t>*ACCAD*</t>
  </si>
  <si>
    <t xml:space="preserve">2è </t>
  </si>
  <si>
    <t>KOFFI KONAN NICRETTE</t>
  </si>
  <si>
    <t>KAMBOU HENRY</t>
  </si>
  <si>
    <t>BADO JEANNE</t>
  </si>
  <si>
    <t>DEMBELE BELCO</t>
  </si>
  <si>
    <t>DIARRA GOURO</t>
  </si>
  <si>
    <t>GNANPA RAIMATOU</t>
  </si>
  <si>
    <t>SAO  FATOUMANTA</t>
  </si>
  <si>
    <t>SAWADOGO ROKIA</t>
  </si>
  <si>
    <t>YAILCOUE MOUSSA</t>
  </si>
  <si>
    <t>BAKO  REBECCA</t>
  </si>
  <si>
    <t>BAKO ARIELLE</t>
  </si>
  <si>
    <t>BAKO CLAVERINE</t>
  </si>
  <si>
    <t>BAKO PARFAIT</t>
  </si>
  <si>
    <t>ILY WAHABO</t>
  </si>
  <si>
    <t>KOUASSI AHOU ANGE SEPHORA</t>
  </si>
  <si>
    <t>NOUFOU FADILA SAIDOU</t>
  </si>
  <si>
    <t xml:space="preserve">14è </t>
  </si>
  <si>
    <t>TAORE ALI</t>
  </si>
  <si>
    <t>ZONGO OUMAROU</t>
  </si>
  <si>
    <t xml:space="preserve">12è </t>
  </si>
  <si>
    <t>15èX</t>
  </si>
  <si>
    <t>KOUASSI AYA MIENMO</t>
  </si>
  <si>
    <t>KOUASSI KOUADIO  CHRIST</t>
  </si>
  <si>
    <t>TANGARA  DJELIKA</t>
  </si>
  <si>
    <t>TANGARA AMINATA 1</t>
  </si>
  <si>
    <t>TANGARA AMINATA 2</t>
  </si>
  <si>
    <t>TANGARA AWA</t>
  </si>
  <si>
    <t>ZOUNGANA HAIDARA</t>
  </si>
  <si>
    <t>22èX</t>
  </si>
  <si>
    <t>KOFFI ADJOUA BERENICE</t>
  </si>
  <si>
    <t xml:space="preserve">TIMBO FATIMANTA </t>
  </si>
  <si>
    <t>TRAORE BINTOU</t>
  </si>
  <si>
    <t>9èX</t>
  </si>
  <si>
    <t>TIMBO ASSATA</t>
  </si>
  <si>
    <t>11èX</t>
  </si>
  <si>
    <t>KISSA ASSATA</t>
  </si>
  <si>
    <t>KOUADIO KOUASSI SAINT ARMAND</t>
  </si>
  <si>
    <t>YOUBET KOFFI AIME</t>
  </si>
  <si>
    <t>YAO KONAN JORESSE</t>
  </si>
  <si>
    <t>KOUAME KOUASSI PACOME</t>
  </si>
  <si>
    <t>KOUAME KOUASSI MESAC</t>
  </si>
  <si>
    <t>7èX</t>
  </si>
  <si>
    <t>KOUAME AKISSI LUDIE</t>
  </si>
  <si>
    <t>13èX</t>
  </si>
  <si>
    <t>KOUAKOU ADJOUA CHRISTELLE</t>
  </si>
  <si>
    <t>17èX</t>
  </si>
  <si>
    <t>YOBOUET AKISSI ELLA ENICE</t>
  </si>
  <si>
    <t>17Xè</t>
  </si>
  <si>
    <t>KOUASSI AMOIN GEMIMA</t>
  </si>
  <si>
    <t>KOUAME ADJOUA SEPHORA</t>
  </si>
  <si>
    <t>3èX</t>
  </si>
  <si>
    <t>KOUAKOU KONAN MIEN- RAMISSOU</t>
  </si>
  <si>
    <t>TCHINTINGA ERNEST</t>
  </si>
  <si>
    <t>KONAN YAO SAMUEL</t>
  </si>
  <si>
    <t>DAH TIMBA</t>
  </si>
  <si>
    <t>2èX</t>
  </si>
  <si>
    <t>4èX</t>
  </si>
  <si>
    <t>KANDJELA CATHERINE</t>
  </si>
  <si>
    <t>SAWADOGO HOUNDO</t>
  </si>
  <si>
    <t>DAH INI GERMAINE</t>
  </si>
  <si>
    <t>KAMBOU VICTOIRA</t>
  </si>
  <si>
    <t>KOMBASSERE  FIDELE</t>
  </si>
  <si>
    <t>KAFFANDO ABIBA</t>
  </si>
  <si>
    <t>OUEDRAOGO AZIZ</t>
  </si>
  <si>
    <t>SCPS SIE JOEL</t>
  </si>
  <si>
    <t>GANAME SAMATOU</t>
  </si>
  <si>
    <t>KOFFI AMENAN ODILLE</t>
  </si>
  <si>
    <t>KOFFI AYA ONELA</t>
  </si>
  <si>
    <t>KOFFI AMENAN RUTH</t>
  </si>
  <si>
    <t>KOUASSI KOUADIO YOWANE</t>
  </si>
  <si>
    <t>DIENTAO FAFOUNIN</t>
  </si>
  <si>
    <t>DIENTAO ALI</t>
  </si>
  <si>
    <t>DIARA SALA</t>
  </si>
  <si>
    <t>OUATTARA DAOOUDA</t>
  </si>
  <si>
    <t>SALA OUMAROU</t>
  </si>
  <si>
    <t>ARAMAN ALI</t>
  </si>
  <si>
    <t>DIENTAO FATOUMATA</t>
  </si>
  <si>
    <t>ARAMAN OUMAR</t>
  </si>
  <si>
    <t>DIENTAO ISSOUF</t>
  </si>
  <si>
    <t>YANNIN MARIAM</t>
  </si>
  <si>
    <t>DIENTAO KALIDJA</t>
  </si>
  <si>
    <t>MAIGA SOULEYMANE</t>
  </si>
  <si>
    <t>MAIGA ANMZA</t>
  </si>
  <si>
    <t>BAYILI CLAUDINE</t>
  </si>
  <si>
    <t>YAO AHOU SAHARA</t>
  </si>
  <si>
    <t>ROI KOUADIO MICHAEL</t>
  </si>
  <si>
    <t>YAO KOUAKOU SALOMON</t>
  </si>
  <si>
    <t>KOUAKOU YAO RODRIGUE</t>
  </si>
  <si>
    <t xml:space="preserve"> KOUAKOU KONAN DAVID</t>
  </si>
  <si>
    <t>KOUASSI AMOIN CHARLOTTE</t>
  </si>
  <si>
    <t>KOFFI AYA GRACE</t>
  </si>
  <si>
    <t>KOUAKOU AKISSI CHRISTELLE ELLA</t>
  </si>
  <si>
    <t>BAMIBA SALIMANTA</t>
  </si>
  <si>
    <t>KOUASSI KOFFI SADOCK</t>
  </si>
  <si>
    <t>YEFFO ANGE CLAVER</t>
  </si>
  <si>
    <t>5èX</t>
  </si>
  <si>
    <t>YALETY ROMEO</t>
  </si>
  <si>
    <t>HIONTY  FLAVIEN</t>
  </si>
  <si>
    <t>12èX</t>
  </si>
  <si>
    <t>SONOU PIERRE</t>
  </si>
  <si>
    <t>AMANI KOUADIO PRINCE</t>
  </si>
  <si>
    <t>KONAN KOUADIO MARIUS</t>
  </si>
  <si>
    <t>KOUAME AHOU RACHELLE</t>
  </si>
  <si>
    <t>9ex</t>
  </si>
  <si>
    <t>DALY NADJE TIANE JUDITH</t>
  </si>
  <si>
    <t>1èrex</t>
  </si>
  <si>
    <t>13ex</t>
  </si>
  <si>
    <t>1erx</t>
  </si>
  <si>
    <t>20ex</t>
  </si>
  <si>
    <t>12èx</t>
  </si>
  <si>
    <t>KONAN KOUADIO RAMAEL</t>
  </si>
  <si>
    <t>KOUADIO AMENAN NAOMI</t>
  </si>
  <si>
    <t xml:space="preserve">N'GORAN AMOIN LILIANE </t>
  </si>
  <si>
    <t>KOUAKOU KOUAKOU JUNIOR</t>
  </si>
  <si>
    <t>BADA BLE CEDRIC</t>
  </si>
  <si>
    <t>KOMBASERE WALILAYE</t>
  </si>
  <si>
    <t>Colonne2</t>
  </si>
  <si>
    <t xml:space="preserve">   HGF21²1</t>
  </si>
  <si>
    <t xml:space="preserve">Effectifs initial des apprenants </t>
  </si>
  <si>
    <t>%CP2</t>
  </si>
  <si>
    <t>%CE1</t>
  </si>
  <si>
    <t>%CE2</t>
  </si>
  <si>
    <t>Apprenants Absents</t>
  </si>
  <si>
    <t xml:space="preserve">Apprenants ayant la moyenne </t>
  </si>
  <si>
    <t xml:space="preserve">Apprenants n'ayant pas la moyenne </t>
  </si>
  <si>
    <t xml:space="preserve">Effectifs des apprenants  ayant la moyenne </t>
  </si>
  <si>
    <t xml:space="preserve">Effectifs des apprenants n'ayant pas la moyenne </t>
  </si>
  <si>
    <t>Effectifs des apprenants Absents</t>
  </si>
  <si>
    <t>Effectifs des apprenants ayant composé (A transférer au CP2, CE1 et CE2)</t>
  </si>
  <si>
    <t>Effectifs des apprenants à tranférer</t>
  </si>
  <si>
    <t>Apprenants</t>
  </si>
  <si>
    <t>Effectifs des apprenants tranférés</t>
  </si>
  <si>
    <t>INDICATEUR</t>
  </si>
  <si>
    <t>Nombre total des apprenants Des CP WNCB 2022</t>
  </si>
  <si>
    <t>Dabouyo</t>
  </si>
  <si>
    <t>Djégnadou</t>
  </si>
  <si>
    <t>Zohourayo</t>
  </si>
  <si>
    <t>*BUYO*</t>
  </si>
  <si>
    <t>F1</t>
  </si>
  <si>
    <t>G1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</si>
  <si>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</si>
  <si>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</si>
  <si>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</si>
  <si>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</si>
  <si>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</si>
  <si>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</si>
  <si>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</si>
  <si>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</si>
  <si>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</si>
  <si>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</si>
  <si>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</si>
  <si>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</si>
  <si>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</si>
  <si>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</si>
  <si>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</si>
  <si>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</si>
  <si>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</si>
  <si>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</si>
  <si>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</si>
  <si>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</si>
  <si>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</si>
  <si>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</si>
  <si>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</si>
  <si>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</si>
  <si>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</si>
  <si>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ZONES D'INTERVENTION</t>
  </si>
  <si>
    <t>Nombre d'enfants fréquentant issus des classes passerelles intègrés dans le système formel</t>
  </si>
  <si>
    <t>Effectif initial
CPU</t>
  </si>
  <si>
    <t>Effectif initial
CEU</t>
  </si>
  <si>
    <t>Effectifs des apprenants à tranférer (CPU)</t>
  </si>
  <si>
    <t xml:space="preserve">Buyo </t>
  </si>
  <si>
    <t>Grand-Zattry</t>
  </si>
  <si>
    <t>Global</t>
  </si>
  <si>
    <t>Initial</t>
  </si>
  <si>
    <t>Taux Absentéisme %</t>
  </si>
  <si>
    <t>2021-2022</t>
  </si>
  <si>
    <t>Année</t>
  </si>
  <si>
    <t>2020 - 2021</t>
  </si>
  <si>
    <t>2021 - 2022</t>
  </si>
  <si>
    <t>Fi</t>
  </si>
  <si>
    <t>A1</t>
  </si>
  <si>
    <t>A2</t>
  </si>
  <si>
    <t>A3</t>
  </si>
  <si>
    <t>..L</t>
  </si>
  <si>
    <t>ZONES</t>
  </si>
  <si>
    <t>Classe</t>
  </si>
  <si>
    <t>Effectif total de la classe</t>
  </si>
  <si>
    <t>Effectif ayant pris part à l’évaluation</t>
  </si>
  <si>
    <t>Nbre d’élèves ayant eu la moyenne</t>
  </si>
  <si>
    <t>Plus forte moyenne</t>
  </si>
  <si>
    <t>Plus faible moyenne</t>
  </si>
  <si>
    <t>Taux de réussite</t>
  </si>
  <si>
    <t>ECOLE COMMUNAUTAITE</t>
  </si>
  <si>
    <t>CLASSES PASSERELLES</t>
  </si>
  <si>
    <t>TANOKOUADIOKRO</t>
  </si>
  <si>
    <t>CPU 1</t>
  </si>
  <si>
    <t>CPU 2</t>
  </si>
  <si>
    <t>NENEKRO</t>
  </si>
  <si>
    <t>BANDAMANKRO</t>
  </si>
  <si>
    <t>ECOLE COMMUNAUTAIRE</t>
  </si>
  <si>
    <t xml:space="preserve">CPU </t>
  </si>
  <si>
    <t>KOREGUHE</t>
  </si>
  <si>
    <t>ZOUGOUZOA</t>
  </si>
  <si>
    <t>96 ,29%</t>
  </si>
  <si>
    <t>GZ</t>
  </si>
  <si>
    <t>Total 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</si>
</sst>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72" x14ac:knownFonts="1">
    <font>
      <sz val="11"/>
      <color theme="1"/>
      <name val="Calibri"/>
      <family val="2"/>
      <scheme val="minor"/>
    </font>
    <font>
      <b/>
      <i/>
      <sz val="11"/>
      <color theme="1"/>
      <name val="Times New Roman"/>
      <family val="1"/>
    </font>
    <font>
      <b/>
      <sz val="11"/>
      <color rgb="FF000000"/>
      <name val="Gill Sans MT"/>
      <family val="2"/>
    </font>
    <font>
      <sz val="11"/>
      <color theme="1"/>
      <name val="Gill Sans MT"/>
      <family val="2"/>
    </font>
    <font>
      <sz val="11"/>
      <color rgb="FF000000"/>
      <name val="Gill Sans MT"/>
      <family val="2"/>
    </font>
    <font>
      <sz val="11"/>
      <name val="Gill Sans MT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rgb="FFFF0000"/>
      <name val="Times New Roman"/>
      <family val="1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2"/>
      <name val="Gill Sans MT"/>
      <family val="2"/>
    </font>
    <font>
      <b/>
      <sz val="12"/>
      <color theme="1"/>
      <name val="Gill Sans MT"/>
      <family val="2"/>
    </font>
    <font>
      <sz val="12"/>
      <color theme="1"/>
      <name val="Gill Sans MT"/>
      <family val="2"/>
    </font>
    <font>
      <sz val="12"/>
      <name val="Gill Sans MT"/>
      <family val="2"/>
    </font>
    <font>
      <sz val="14"/>
      <color theme="1"/>
      <name val="Gill Sans MT"/>
      <family val="2"/>
    </font>
    <font>
      <sz val="12"/>
      <color rgb="FF000000"/>
      <name val="Gill Sans MT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8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9"/>
      <color theme="1"/>
      <name val="Times New Roman"/>
      <family val="1"/>
    </font>
    <font>
      <b/>
      <i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  <font>
      <b/>
      <sz val="36"/>
      <color theme="1"/>
      <name val="Times New Roman"/>
      <family val="1"/>
    </font>
    <font>
      <b/>
      <sz val="48"/>
      <color theme="1"/>
      <name val="Times New Roman"/>
      <family val="1"/>
    </font>
    <font>
      <sz val="14"/>
      <name val="Gill Sans MT"/>
      <family val="2"/>
    </font>
    <font>
      <b/>
      <sz val="14"/>
      <color theme="1"/>
      <name val="Gill Sans MT"/>
      <family val="2"/>
    </font>
    <font>
      <b/>
      <sz val="12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B050"/>
      <name val="Times New Roman"/>
      <family val="1"/>
    </font>
    <font>
      <b/>
      <sz val="11"/>
      <color rgb="FFFF0000"/>
      <name val="Times New Roman"/>
      <family val="1"/>
    </font>
    <font>
      <b/>
      <sz val="11"/>
      <color theme="1"/>
      <name val="Tahoma"/>
      <family val="2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10"/>
      <color theme="1"/>
      <name val="Tahoma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22"/>
      <color theme="1"/>
      <name val="Times New Roman"/>
      <family val="1"/>
    </font>
    <font>
      <i/>
      <sz val="11"/>
      <color theme="1"/>
      <name val="Times New Roman"/>
      <family val="1"/>
    </font>
    <font>
      <sz val="18"/>
      <color theme="1"/>
      <name val="Times New Roman"/>
      <family val="1"/>
    </font>
    <font>
      <b/>
      <sz val="12"/>
      <name val="Times New Roman"/>
      <family val="1"/>
    </font>
    <font>
      <b/>
      <sz val="12"/>
      <color rgb="FF2F5496"/>
      <name val="Times New Roman"/>
      <family val="1"/>
    </font>
    <font>
      <sz val="12"/>
      <color rgb="FF2F5496"/>
      <name val="Times New Roman"/>
      <family val="1"/>
    </font>
    <font>
      <b/>
      <sz val="14"/>
      <name val="Times New Roman"/>
      <family val="1"/>
    </font>
    <font>
      <b/>
      <sz val="11"/>
      <color rgb="FF000000"/>
      <name val="Times New Roman"/>
      <family val="1"/>
    </font>
    <font>
      <b/>
      <sz val="16"/>
      <color rgb="FF000000"/>
      <name val="Times New Roman"/>
      <family val="1"/>
    </font>
  </fonts>
  <fills count="4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BDD6E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001">
    <xf numFmtId="0" fontId="0" fillId="0" borderId="0" xfId="0"/>
    <xf numFmtId="0" fontId="0" fillId="3" borderId="0" xfId="0" applyFill="1"/>
    <xf numFmtId="0" fontId="5" fillId="3" borderId="2" xfId="0" applyFont="1" applyFill="1" applyBorder="1" applyAlignment="1">
      <alignment vertical="center"/>
    </xf>
    <xf numFmtId="49" fontId="4" fillId="3" borderId="2" xfId="0" applyNumberFormat="1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vertical="center"/>
    </xf>
    <xf numFmtId="0" fontId="3" fillId="3" borderId="2" xfId="0" applyFont="1" applyFill="1" applyBorder="1"/>
    <xf numFmtId="49" fontId="0" fillId="3" borderId="2" xfId="0" applyNumberFormat="1" applyFill="1" applyBorder="1" applyAlignment="1">
      <alignment horizontal="left"/>
    </xf>
    <xf numFmtId="0" fontId="0" fillId="3" borderId="2" xfId="0" applyFill="1" applyBorder="1"/>
    <xf numFmtId="0" fontId="5" fillId="3" borderId="4" xfId="0" applyFont="1" applyFill="1" applyBorder="1" applyAlignment="1">
      <alignment vertical="center"/>
    </xf>
    <xf numFmtId="49" fontId="0" fillId="3" borderId="4" xfId="0" applyNumberFormat="1" applyFill="1" applyBorder="1" applyAlignment="1">
      <alignment horizontal="left"/>
    </xf>
    <xf numFmtId="0" fontId="0" fillId="3" borderId="4" xfId="0" applyFill="1" applyBorder="1"/>
    <xf numFmtId="0" fontId="4" fillId="3" borderId="6" xfId="0" applyFont="1" applyFill="1" applyBorder="1" applyAlignment="1">
      <alignment vertical="center"/>
    </xf>
    <xf numFmtId="49" fontId="0" fillId="3" borderId="6" xfId="0" applyNumberFormat="1" applyFill="1" applyBorder="1" applyAlignment="1">
      <alignment horizontal="left"/>
    </xf>
    <xf numFmtId="0" fontId="0" fillId="3" borderId="6" xfId="0" applyFill="1" applyBorder="1"/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10" xfId="0" applyFont="1" applyFill="1" applyBorder="1" applyAlignment="1">
      <alignment vertical="center"/>
    </xf>
    <xf numFmtId="0" fontId="5" fillId="3" borderId="11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49" fontId="4" fillId="3" borderId="2" xfId="0" applyNumberFormat="1" applyFon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/>
    </xf>
    <xf numFmtId="49" fontId="0" fillId="3" borderId="4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4" fillId="3" borderId="4" xfId="0" applyFont="1" applyFill="1" applyBorder="1" applyAlignment="1">
      <alignment vertical="center"/>
    </xf>
    <xf numFmtId="0" fontId="4" fillId="3" borderId="10" xfId="0" applyFont="1" applyFill="1" applyBorder="1" applyAlignment="1">
      <alignment vertical="center"/>
    </xf>
    <xf numFmtId="49" fontId="4" fillId="3" borderId="4" xfId="0" applyNumberFormat="1" applyFont="1" applyFill="1" applyBorder="1" applyAlignment="1">
      <alignment vertical="center"/>
    </xf>
    <xf numFmtId="49" fontId="4" fillId="3" borderId="12" xfId="0" applyNumberFormat="1" applyFont="1" applyFill="1" applyBorder="1" applyAlignment="1">
      <alignment vertical="center"/>
    </xf>
    <xf numFmtId="49" fontId="4" fillId="3" borderId="8" xfId="0" applyNumberFormat="1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49" fontId="5" fillId="3" borderId="2" xfId="0" applyNumberFormat="1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left"/>
    </xf>
    <xf numFmtId="49" fontId="8" fillId="3" borderId="4" xfId="0" applyNumberFormat="1" applyFont="1" applyFill="1" applyBorder="1" applyAlignment="1">
      <alignment horizontal="left"/>
    </xf>
    <xf numFmtId="49" fontId="8" fillId="3" borderId="6" xfId="0" applyNumberFormat="1" applyFont="1" applyFill="1" applyBorder="1" applyAlignment="1">
      <alignment horizontal="left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1" xfId="0" applyFont="1" applyFill="1" applyBorder="1" applyAlignment="1">
      <alignment vertical="center"/>
    </xf>
    <xf numFmtId="0" fontId="2" fillId="8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7" borderId="9" xfId="0" applyFont="1" applyFill="1" applyBorder="1" applyAlignment="1">
      <alignment vertical="center" wrapText="1"/>
    </xf>
    <xf numFmtId="0" fontId="2" fillId="4" borderId="7" xfId="0" applyFont="1" applyFill="1" applyBorder="1" applyAlignment="1">
      <alignment horizontal="left" vertical="center" wrapText="1"/>
    </xf>
    <xf numFmtId="0" fontId="5" fillId="3" borderId="2" xfId="0" applyFont="1" applyFill="1" applyBorder="1" applyAlignment="1">
      <alignment horizontal="left" vertical="center"/>
    </xf>
    <xf numFmtId="0" fontId="0" fillId="0" borderId="0" xfId="0" applyAlignment="1">
      <alignment horizontal="left" wrapText="1"/>
    </xf>
    <xf numFmtId="9" fontId="7" fillId="0" borderId="0" xfId="1" applyFont="1" applyAlignment="1">
      <alignment horizontal="center"/>
    </xf>
    <xf numFmtId="9" fontId="0" fillId="0" borderId="0" xfId="1" applyFont="1" applyAlignment="1">
      <alignment horizontal="center"/>
    </xf>
    <xf numFmtId="0" fontId="2" fillId="5" borderId="14" xfId="0" applyFont="1" applyFill="1" applyBorder="1" applyAlignment="1">
      <alignment vertical="center"/>
    </xf>
    <xf numFmtId="0" fontId="4" fillId="3" borderId="1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9" fontId="0" fillId="0" borderId="0" xfId="1" applyFont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7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4" fillId="0" borderId="36" xfId="0" applyFont="1" applyBorder="1" applyAlignment="1">
      <alignment horizontal="center" vertical="center" wrapText="1" readingOrder="1"/>
    </xf>
    <xf numFmtId="0" fontId="14" fillId="0" borderId="37" xfId="0" applyFont="1" applyBorder="1" applyAlignment="1">
      <alignment horizontal="center" vertical="center" wrapText="1" readingOrder="1"/>
    </xf>
    <xf numFmtId="0" fontId="14" fillId="0" borderId="38" xfId="0" applyFont="1" applyBorder="1" applyAlignment="1">
      <alignment horizontal="center" vertical="center" wrapText="1" readingOrder="1"/>
    </xf>
    <xf numFmtId="3" fontId="14" fillId="0" borderId="37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37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left" vertical="center" wrapText="1" readingOrder="1"/>
    </xf>
    <xf numFmtId="0" fontId="14" fillId="0" borderId="30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3" fontId="14" fillId="0" borderId="39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vertical="center" wrapText="1"/>
    </xf>
    <xf numFmtId="0" fontId="14" fillId="0" borderId="2" xfId="0" applyFont="1" applyBorder="1" applyAlignment="1">
      <alignment horizontal="center" vertical="center"/>
    </xf>
    <xf numFmtId="3" fontId="14" fillId="0" borderId="2" xfId="0" applyNumberFormat="1" applyFont="1" applyBorder="1" applyAlignment="1">
      <alignment horizontal="center" vertical="center" wrapText="1"/>
    </xf>
    <xf numFmtId="0" fontId="14" fillId="0" borderId="40" xfId="0" applyFont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4" fillId="0" borderId="5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12" borderId="2" xfId="0" applyFont="1" applyFill="1" applyBorder="1" applyAlignment="1">
      <alignment horizontal="center" vertical="center"/>
    </xf>
    <xf numFmtId="0" fontId="14" fillId="0" borderId="30" xfId="0" applyFont="1" applyBorder="1" applyAlignment="1">
      <alignment horizontal="center" vertical="center" wrapText="1" readingOrder="1"/>
    </xf>
    <xf numFmtId="0" fontId="14" fillId="0" borderId="29" xfId="0" applyFont="1" applyBorder="1" applyAlignment="1">
      <alignment horizontal="center" vertical="center" wrapText="1" readingOrder="1"/>
    </xf>
    <xf numFmtId="0" fontId="13" fillId="0" borderId="4" xfId="0" applyFont="1" applyBorder="1" applyAlignment="1">
      <alignment vertical="center" wrapText="1" readingOrder="1"/>
    </xf>
    <xf numFmtId="0" fontId="13" fillId="0" borderId="60" xfId="0" applyFont="1" applyBorder="1" applyAlignment="1">
      <alignment vertical="center"/>
    </xf>
    <xf numFmtId="0" fontId="13" fillId="0" borderId="61" xfId="0" applyFont="1" applyBorder="1" applyAlignment="1">
      <alignment vertical="center" wrapText="1" readingOrder="1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Border="1" applyAlignment="1">
      <alignment vertical="center" wrapText="1" readingOrder="1"/>
    </xf>
    <xf numFmtId="0" fontId="13" fillId="0" borderId="8" xfId="0" applyFont="1" applyBorder="1" applyAlignment="1">
      <alignment vertical="center"/>
    </xf>
    <xf numFmtId="0" fontId="11" fillId="4" borderId="62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 wrapText="1" readingOrder="1"/>
    </xf>
    <xf numFmtId="0" fontId="11" fillId="4" borderId="64" xfId="0" applyFont="1" applyFill="1" applyBorder="1" applyAlignment="1">
      <alignment horizontal="center" vertical="center" wrapText="1" readingOrder="1"/>
    </xf>
    <xf numFmtId="0" fontId="12" fillId="0" borderId="8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/>
    </xf>
    <xf numFmtId="0" fontId="19" fillId="3" borderId="8" xfId="0" applyFont="1" applyFill="1" applyBorder="1" applyAlignment="1">
      <alignment horizontal="center" vertical="center"/>
    </xf>
    <xf numFmtId="0" fontId="19" fillId="3" borderId="51" xfId="0" applyFont="1" applyFill="1" applyBorder="1" applyAlignment="1">
      <alignment horizontal="center" vertical="center" wrapText="1" readingOrder="1"/>
    </xf>
    <xf numFmtId="0" fontId="19" fillId="3" borderId="59" xfId="0" applyFont="1" applyFill="1" applyBorder="1" applyAlignment="1">
      <alignment horizontal="center" vertical="center" wrapText="1" readingOrder="1"/>
    </xf>
    <xf numFmtId="0" fontId="19" fillId="3" borderId="47" xfId="0" applyFont="1" applyFill="1" applyBorder="1" applyAlignment="1">
      <alignment horizontal="center" vertical="center" wrapText="1" readingOrder="1"/>
    </xf>
    <xf numFmtId="0" fontId="19" fillId="13" borderId="29" xfId="0" applyFont="1" applyFill="1" applyBorder="1" applyAlignment="1">
      <alignment horizontal="center" vertical="center" wrapText="1" readingOrder="1"/>
    </xf>
    <xf numFmtId="0" fontId="19" fillId="13" borderId="30" xfId="0" applyFont="1" applyFill="1" applyBorder="1" applyAlignment="1">
      <alignment horizontal="center" vertical="center" wrapText="1" readingOrder="1"/>
    </xf>
    <xf numFmtId="0" fontId="19" fillId="13" borderId="31" xfId="0" applyFont="1" applyFill="1" applyBorder="1" applyAlignment="1">
      <alignment horizontal="center" vertical="center" wrapText="1" readingOrder="1"/>
    </xf>
    <xf numFmtId="0" fontId="19" fillId="14" borderId="26" xfId="0" applyFont="1" applyFill="1" applyBorder="1" applyAlignment="1">
      <alignment horizontal="center" vertical="center" wrapText="1" readingOrder="1"/>
    </xf>
    <xf numFmtId="0" fontId="19" fillId="14" borderId="27" xfId="0" applyFont="1" applyFill="1" applyBorder="1" applyAlignment="1">
      <alignment horizontal="center" vertical="center" wrapText="1" readingOrder="1"/>
    </xf>
    <xf numFmtId="0" fontId="19" fillId="14" borderId="28" xfId="0" applyFont="1" applyFill="1" applyBorder="1" applyAlignment="1">
      <alignment horizontal="center" vertical="center" wrapText="1" readingOrder="1"/>
    </xf>
    <xf numFmtId="0" fontId="19" fillId="15" borderId="33" xfId="0" applyFont="1" applyFill="1" applyBorder="1" applyAlignment="1">
      <alignment horizontal="center" vertical="center" wrapText="1" readingOrder="1"/>
    </xf>
    <xf numFmtId="0" fontId="19" fillId="15" borderId="28" xfId="0" applyFont="1" applyFill="1" applyBorder="1" applyAlignment="1">
      <alignment horizontal="center" vertical="center" wrapText="1" readingOrder="1"/>
    </xf>
    <xf numFmtId="0" fontId="21" fillId="15" borderId="2" xfId="0" applyFont="1" applyFill="1" applyBorder="1" applyAlignment="1">
      <alignment horizontal="center" vertical="center"/>
    </xf>
    <xf numFmtId="0" fontId="19" fillId="14" borderId="27" xfId="0" applyFont="1" applyFill="1" applyBorder="1" applyAlignment="1">
      <alignment horizontal="center" vertical="center" wrapText="1"/>
    </xf>
    <xf numFmtId="0" fontId="21" fillId="13" borderId="3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 wrapText="1" readingOrder="1"/>
    </xf>
    <xf numFmtId="0" fontId="19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 wrapText="1" readingOrder="1"/>
    </xf>
    <xf numFmtId="0" fontId="19" fillId="15" borderId="72" xfId="0" applyFont="1" applyFill="1" applyBorder="1" applyAlignment="1">
      <alignment horizontal="center" vertical="center" wrapText="1" readingOrder="1"/>
    </xf>
    <xf numFmtId="0" fontId="19" fillId="14" borderId="2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 wrapText="1" readingOrder="1"/>
    </xf>
    <xf numFmtId="0" fontId="10" fillId="0" borderId="2" xfId="0" applyFont="1" applyBorder="1" applyAlignment="1">
      <alignment horizontal="center" vertical="center"/>
    </xf>
    <xf numFmtId="10" fontId="10" fillId="0" borderId="2" xfId="1" applyNumberFormat="1" applyFont="1" applyBorder="1" applyAlignment="1">
      <alignment horizontal="center" vertical="center"/>
    </xf>
    <xf numFmtId="0" fontId="11" fillId="3" borderId="42" xfId="0" applyFont="1" applyFill="1" applyBorder="1" applyAlignment="1">
      <alignment horizontal="center" vertical="center" wrapText="1" readingOrder="1"/>
    </xf>
    <xf numFmtId="0" fontId="14" fillId="0" borderId="2" xfId="0" applyFont="1" applyBorder="1" applyAlignment="1">
      <alignment vertical="center" wrapText="1" readingOrder="1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quotePrefix="1" applyFont="1" applyBorder="1" applyAlignment="1">
      <alignment horizontal="center"/>
    </xf>
    <xf numFmtId="0" fontId="2" fillId="8" borderId="1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0" fillId="3" borderId="16" xfId="0" applyNumberFormat="1" applyFill="1" applyBorder="1" applyAlignment="1">
      <alignment horizontal="left"/>
    </xf>
    <xf numFmtId="49" fontId="4" fillId="3" borderId="2" xfId="0" applyNumberFormat="1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22" fillId="16" borderId="2" xfId="0" applyFont="1" applyFill="1" applyBorder="1"/>
    <xf numFmtId="0" fontId="22" fillId="16" borderId="4" xfId="0" applyFont="1" applyFill="1" applyBorder="1"/>
    <xf numFmtId="0" fontId="8" fillId="16" borderId="4" xfId="0" applyFont="1" applyFill="1" applyBorder="1"/>
    <xf numFmtId="49" fontId="23" fillId="3" borderId="2" xfId="0" applyNumberFormat="1" applyFont="1" applyFill="1" applyBorder="1" applyAlignment="1">
      <alignment horizontal="center"/>
    </xf>
    <xf numFmtId="49" fontId="23" fillId="3" borderId="4" xfId="0" applyNumberFormat="1" applyFont="1" applyFill="1" applyBorder="1" applyAlignment="1">
      <alignment horizontal="center"/>
    </xf>
    <xf numFmtId="0" fontId="8" fillId="16" borderId="2" xfId="0" applyFont="1" applyFill="1" applyBorder="1" applyAlignment="1">
      <alignment horizontal="center"/>
    </xf>
    <xf numFmtId="0" fontId="8" fillId="16" borderId="4" xfId="0" applyFont="1" applyFill="1" applyBorder="1" applyAlignment="1">
      <alignment horizontal="center"/>
    </xf>
    <xf numFmtId="49" fontId="5" fillId="3" borderId="2" xfId="0" applyNumberFormat="1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0" fontId="22" fillId="16" borderId="2" xfId="0" applyFont="1" applyFill="1" applyBorder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23" fillId="3" borderId="2" xfId="0" applyFont="1" applyFill="1" applyBorder="1" applyAlignment="1">
      <alignment horizontal="center"/>
    </xf>
    <xf numFmtId="0" fontId="23" fillId="3" borderId="4" xfId="0" applyFont="1" applyFill="1" applyBorder="1" applyAlignment="1">
      <alignment horizontal="center"/>
    </xf>
    <xf numFmtId="0" fontId="14" fillId="0" borderId="4" xfId="0" applyFont="1" applyBorder="1" applyAlignment="1">
      <alignment horizontal="center" vertical="center" wrapText="1" readingOrder="1"/>
    </xf>
    <xf numFmtId="0" fontId="14" fillId="0" borderId="8" xfId="0" applyFont="1" applyBorder="1" applyAlignment="1">
      <alignment horizontal="center" vertical="center" wrapText="1" readingOrder="1"/>
    </xf>
    <xf numFmtId="0" fontId="14" fillId="0" borderId="4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3" fillId="3" borderId="6" xfId="0" applyFont="1" applyFill="1" applyBorder="1"/>
    <xf numFmtId="0" fontId="4" fillId="3" borderId="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73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49" fontId="0" fillId="3" borderId="6" xfId="0" applyNumberFormat="1" applyFill="1" applyBorder="1" applyAlignment="1">
      <alignment horizontal="center"/>
    </xf>
    <xf numFmtId="49" fontId="0" fillId="3" borderId="16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left" vertical="center" wrapText="1"/>
    </xf>
    <xf numFmtId="10" fontId="0" fillId="0" borderId="0" xfId="0" applyNumberFormat="1"/>
    <xf numFmtId="9" fontId="24" fillId="17" borderId="2" xfId="1" applyFont="1" applyFill="1" applyBorder="1" applyAlignment="1">
      <alignment horizontal="center"/>
    </xf>
    <xf numFmtId="9" fontId="7" fillId="18" borderId="0" xfId="1" applyFont="1" applyFill="1"/>
    <xf numFmtId="9" fontId="6" fillId="0" borderId="2" xfId="1" applyFont="1" applyBorder="1" applyAlignment="1">
      <alignment horizontal="center"/>
    </xf>
    <xf numFmtId="9" fontId="6" fillId="19" borderId="2" xfId="1" applyFont="1" applyFill="1" applyBorder="1" applyAlignment="1">
      <alignment horizontal="center"/>
    </xf>
    <xf numFmtId="9" fontId="7" fillId="19" borderId="2" xfId="1" applyFont="1" applyFill="1" applyBorder="1" applyAlignment="1">
      <alignment horizontal="center"/>
    </xf>
    <xf numFmtId="9" fontId="24" fillId="17" borderId="10" xfId="1" applyFont="1" applyFill="1" applyBorder="1" applyAlignment="1">
      <alignment horizontal="center"/>
    </xf>
    <xf numFmtId="9" fontId="6" fillId="0" borderId="10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164" fontId="0" fillId="0" borderId="2" xfId="1" applyNumberFormat="1" applyFont="1" applyBorder="1" applyAlignment="1">
      <alignment horizontal="center" vertical="center"/>
    </xf>
    <xf numFmtId="9" fontId="23" fillId="0" borderId="2" xfId="1" applyFont="1" applyBorder="1" applyAlignment="1">
      <alignment horizontal="center"/>
    </xf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3" fillId="0" borderId="20" xfId="0" applyFont="1" applyBorder="1" applyAlignment="1">
      <alignment horizontal="center" vertical="center"/>
    </xf>
    <xf numFmtId="0" fontId="13" fillId="0" borderId="60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 wrapText="1" readingOrder="1"/>
    </xf>
    <xf numFmtId="0" fontId="14" fillId="0" borderId="36" xfId="0" applyFont="1" applyBorder="1" applyAlignment="1">
      <alignment horizontal="center" vertical="center"/>
    </xf>
    <xf numFmtId="1" fontId="14" fillId="0" borderId="2" xfId="0" applyNumberFormat="1" applyFont="1" applyBorder="1" applyAlignment="1">
      <alignment horizontal="center" vertical="center"/>
    </xf>
    <xf numFmtId="0" fontId="14" fillId="0" borderId="40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66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 wrapText="1" readingOrder="1"/>
    </xf>
    <xf numFmtId="0" fontId="13" fillId="0" borderId="50" xfId="0" applyFont="1" applyBorder="1" applyAlignment="1">
      <alignment horizontal="center" vertical="center"/>
    </xf>
    <xf numFmtId="0" fontId="13" fillId="0" borderId="67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 wrapText="1" readingOrder="1"/>
    </xf>
    <xf numFmtId="1" fontId="15" fillId="0" borderId="2" xfId="0" applyNumberFormat="1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 readingOrder="1"/>
    </xf>
    <xf numFmtId="0" fontId="13" fillId="0" borderId="61" xfId="0" applyFont="1" applyBorder="1" applyAlignment="1">
      <alignment horizontal="center" vertical="center" wrapText="1" readingOrder="1"/>
    </xf>
    <xf numFmtId="0" fontId="14" fillId="0" borderId="48" xfId="0" applyFont="1" applyBorder="1" applyAlignment="1">
      <alignment horizontal="center" vertical="center" wrapText="1" readingOrder="1"/>
    </xf>
    <xf numFmtId="0" fontId="14" fillId="0" borderId="39" xfId="0" applyFont="1" applyBorder="1" applyAlignment="1">
      <alignment horizontal="center" vertical="center" wrapText="1" readingOrder="1"/>
    </xf>
    <xf numFmtId="0" fontId="14" fillId="0" borderId="49" xfId="0" applyFont="1" applyBorder="1" applyAlignment="1">
      <alignment horizontal="center" vertical="center" wrapText="1" readingOrder="1"/>
    </xf>
    <xf numFmtId="0" fontId="14" fillId="0" borderId="45" xfId="0" applyFont="1" applyBorder="1" applyAlignment="1">
      <alignment horizontal="center" vertical="center" wrapText="1"/>
    </xf>
    <xf numFmtId="49" fontId="15" fillId="10" borderId="2" xfId="0" applyNumberFormat="1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center" vertical="center" wrapText="1" readingOrder="1"/>
    </xf>
    <xf numFmtId="3" fontId="14" fillId="0" borderId="37" xfId="0" applyNumberFormat="1" applyFont="1" applyBorder="1" applyAlignment="1">
      <alignment horizontal="center" vertical="center" wrapText="1"/>
    </xf>
    <xf numFmtId="49" fontId="14" fillId="0" borderId="38" xfId="0" applyNumberFormat="1" applyFont="1" applyBorder="1" applyAlignment="1">
      <alignment horizontal="center" vertical="center"/>
    </xf>
    <xf numFmtId="49" fontId="14" fillId="0" borderId="35" xfId="0" applyNumberFormat="1" applyFont="1" applyBorder="1" applyAlignment="1">
      <alignment horizontal="center" vertical="center" wrapText="1"/>
    </xf>
    <xf numFmtId="0" fontId="15" fillId="10" borderId="4" xfId="0" applyFont="1" applyFill="1" applyBorder="1" applyAlignment="1">
      <alignment horizontal="center" vertical="center" wrapText="1"/>
    </xf>
    <xf numFmtId="49" fontId="15" fillId="10" borderId="4" xfId="0" quotePrefix="1" applyNumberFormat="1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 wrapText="1"/>
    </xf>
    <xf numFmtId="49" fontId="14" fillId="0" borderId="38" xfId="0" applyNumberFormat="1" applyFont="1" applyBorder="1" applyAlignment="1">
      <alignment horizontal="center" vertical="center" wrapText="1"/>
    </xf>
    <xf numFmtId="0" fontId="14" fillId="0" borderId="50" xfId="0" applyFont="1" applyBorder="1" applyAlignment="1">
      <alignment horizontal="center" vertical="center" wrapText="1" readingOrder="1"/>
    </xf>
    <xf numFmtId="0" fontId="14" fillId="0" borderId="2" xfId="0" applyFont="1" applyBorder="1" applyAlignment="1">
      <alignment horizontal="center" vertical="center" wrapText="1" readingOrder="1"/>
    </xf>
    <xf numFmtId="0" fontId="15" fillId="11" borderId="10" xfId="0" applyFont="1" applyFill="1" applyBorder="1" applyAlignment="1">
      <alignment horizontal="center" vertical="center"/>
    </xf>
    <xf numFmtId="3" fontId="14" fillId="0" borderId="30" xfId="0" applyNumberFormat="1" applyFont="1" applyBorder="1" applyAlignment="1">
      <alignment horizontal="center" vertical="center" wrapText="1"/>
    </xf>
    <xf numFmtId="49" fontId="14" fillId="0" borderId="31" xfId="0" applyNumberFormat="1" applyFont="1" applyBorder="1" applyAlignment="1">
      <alignment horizontal="center" vertical="center"/>
    </xf>
    <xf numFmtId="0" fontId="15" fillId="10" borderId="11" xfId="0" applyFont="1" applyFill="1" applyBorder="1" applyAlignment="1">
      <alignment horizontal="center" vertical="center"/>
    </xf>
    <xf numFmtId="49" fontId="14" fillId="0" borderId="43" xfId="0" applyNumberFormat="1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 readingOrder="1"/>
    </xf>
    <xf numFmtId="0" fontId="13" fillId="0" borderId="4" xfId="0" applyFont="1" applyBorder="1" applyAlignment="1">
      <alignment horizontal="center" vertical="center" wrapText="1" readingOrder="1"/>
    </xf>
    <xf numFmtId="49" fontId="14" fillId="0" borderId="2" xfId="0" applyNumberFormat="1" applyFont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51" xfId="0" applyFont="1" applyBorder="1" applyAlignment="1">
      <alignment horizontal="center" vertical="center" wrapText="1" readingOrder="1"/>
    </xf>
    <xf numFmtId="0" fontId="14" fillId="0" borderId="41" xfId="0" applyFont="1" applyBorder="1" applyAlignment="1">
      <alignment horizontal="center" vertical="center" wrapText="1" readingOrder="1"/>
    </xf>
    <xf numFmtId="0" fontId="14" fillId="0" borderId="52" xfId="0" applyFont="1" applyBorder="1" applyAlignment="1">
      <alignment horizontal="center" vertical="center" wrapText="1" readingOrder="1"/>
    </xf>
    <xf numFmtId="3" fontId="14" fillId="0" borderId="41" xfId="0" applyNumberFormat="1" applyFont="1" applyBorder="1" applyAlignment="1">
      <alignment horizontal="center" vertical="center" wrapText="1"/>
    </xf>
    <xf numFmtId="49" fontId="15" fillId="10" borderId="4" xfId="0" applyNumberFormat="1" applyFont="1" applyFill="1" applyBorder="1" applyAlignment="1">
      <alignment horizontal="center" vertical="center"/>
    </xf>
    <xf numFmtId="49" fontId="14" fillId="0" borderId="42" xfId="0" applyNumberFormat="1" applyFont="1" applyBorder="1" applyAlignment="1">
      <alignment horizontal="center" vertical="center" wrapText="1"/>
    </xf>
    <xf numFmtId="3" fontId="14" fillId="0" borderId="8" xfId="0" applyNumberFormat="1" applyFont="1" applyBorder="1" applyAlignment="1">
      <alignment horizontal="center" vertical="center" wrapText="1"/>
    </xf>
    <xf numFmtId="49" fontId="14" fillId="0" borderId="8" xfId="0" applyNumberFormat="1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 wrapText="1"/>
    </xf>
    <xf numFmtId="0" fontId="14" fillId="0" borderId="44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 wrapText="1"/>
    </xf>
    <xf numFmtId="0" fontId="14" fillId="0" borderId="56" xfId="0" applyFont="1" applyBorder="1" applyAlignment="1">
      <alignment horizontal="center" vertical="center" wrapText="1"/>
    </xf>
    <xf numFmtId="3" fontId="14" fillId="0" borderId="2" xfId="0" applyNumberFormat="1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/>
    </xf>
    <xf numFmtId="0" fontId="2" fillId="4" borderId="75" xfId="0" applyFont="1" applyFill="1" applyBorder="1" applyAlignment="1">
      <alignment horizontal="center" vertical="center" wrapText="1"/>
    </xf>
    <xf numFmtId="0" fontId="2" fillId="7" borderId="7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5" borderId="7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16" xfId="0" applyBorder="1" applyAlignment="1">
      <alignment horizontal="center"/>
    </xf>
    <xf numFmtId="0" fontId="5" fillId="3" borderId="16" xfId="0" applyFont="1" applyFill="1" applyBorder="1" applyAlignment="1">
      <alignment vertical="center"/>
    </xf>
    <xf numFmtId="0" fontId="0" fillId="3" borderId="16" xfId="0" applyFill="1" applyBorder="1" applyAlignment="1">
      <alignment horizontal="left"/>
    </xf>
    <xf numFmtId="0" fontId="4" fillId="3" borderId="16" xfId="0" applyFont="1" applyFill="1" applyBorder="1" applyAlignment="1">
      <alignment vertical="center"/>
    </xf>
    <xf numFmtId="0" fontId="26" fillId="3" borderId="12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3" fillId="0" borderId="2" xfId="0" applyFont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9" fillId="10" borderId="2" xfId="0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0" fontId="29" fillId="0" borderId="2" xfId="0" quotePrefix="1" applyFont="1" applyBorder="1" applyAlignment="1">
      <alignment horizontal="center" vertical="center" wrapText="1"/>
    </xf>
    <xf numFmtId="0" fontId="23" fillId="2" borderId="2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 wrapText="1"/>
    </xf>
    <xf numFmtId="0" fontId="27" fillId="3" borderId="89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9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/>
    </xf>
    <xf numFmtId="0" fontId="35" fillId="22" borderId="62" xfId="0" applyFont="1" applyFill="1" applyBorder="1" applyAlignment="1">
      <alignment horizontal="center" vertical="center"/>
    </xf>
    <xf numFmtId="0" fontId="35" fillId="23" borderId="63" xfId="0" applyFont="1" applyFill="1" applyBorder="1" applyAlignment="1">
      <alignment horizontal="center" vertical="center"/>
    </xf>
    <xf numFmtId="0" fontId="35" fillId="22" borderId="12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6" fillId="24" borderId="65" xfId="0" applyFont="1" applyFill="1" applyBorder="1" applyAlignment="1">
      <alignment horizontal="center"/>
    </xf>
    <xf numFmtId="0" fontId="36" fillId="24" borderId="87" xfId="0" applyFont="1" applyFill="1" applyBorder="1" applyAlignment="1">
      <alignment horizontal="center"/>
    </xf>
    <xf numFmtId="0" fontId="37" fillId="21" borderId="86" xfId="0" applyFont="1" applyFill="1" applyBorder="1" applyAlignment="1">
      <alignment horizontal="center"/>
    </xf>
    <xf numFmtId="0" fontId="36" fillId="24" borderId="93" xfId="0" applyFont="1" applyFill="1" applyBorder="1" applyAlignment="1">
      <alignment horizontal="center"/>
    </xf>
    <xf numFmtId="0" fontId="37" fillId="26" borderId="65" xfId="0" applyFont="1" applyFill="1" applyBorder="1" applyAlignment="1">
      <alignment horizontal="center" vertical="center"/>
    </xf>
    <xf numFmtId="0" fontId="37" fillId="26" borderId="87" xfId="0" applyFont="1" applyFill="1" applyBorder="1" applyAlignment="1">
      <alignment horizontal="center" vertical="center"/>
    </xf>
    <xf numFmtId="0" fontId="37" fillId="25" borderId="86" xfId="0" applyFont="1" applyFill="1" applyBorder="1" applyAlignment="1">
      <alignment horizontal="center"/>
    </xf>
    <xf numFmtId="0" fontId="37" fillId="21" borderId="83" xfId="0" applyFont="1" applyFill="1" applyBorder="1" applyAlignment="1">
      <alignment horizontal="center"/>
    </xf>
    <xf numFmtId="0" fontId="37" fillId="29" borderId="86" xfId="0" applyFont="1" applyFill="1" applyBorder="1" applyAlignment="1">
      <alignment horizontal="center"/>
    </xf>
    <xf numFmtId="0" fontId="36" fillId="24" borderId="83" xfId="0" applyFont="1" applyFill="1" applyBorder="1" applyAlignment="1">
      <alignment horizontal="center"/>
    </xf>
    <xf numFmtId="0" fontId="37" fillId="21" borderId="12" xfId="0" applyFont="1" applyFill="1" applyBorder="1" applyAlignment="1">
      <alignment horizontal="center"/>
    </xf>
    <xf numFmtId="0" fontId="0" fillId="30" borderId="2" xfId="0" applyFill="1" applyBorder="1" applyAlignment="1">
      <alignment horizontal="center" vertical="center"/>
    </xf>
    <xf numFmtId="0" fontId="36" fillId="24" borderId="88" xfId="0" applyFont="1" applyFill="1" applyBorder="1" applyAlignment="1">
      <alignment horizontal="center"/>
    </xf>
    <xf numFmtId="0" fontId="36" fillId="24" borderId="92" xfId="0" applyFont="1" applyFill="1" applyBorder="1" applyAlignment="1">
      <alignment horizontal="center"/>
    </xf>
    <xf numFmtId="0" fontId="36" fillId="24" borderId="80" xfId="0" applyFont="1" applyFill="1" applyBorder="1" applyAlignment="1">
      <alignment horizontal="center"/>
    </xf>
    <xf numFmtId="0" fontId="36" fillId="24" borderId="94" xfId="0" applyFont="1" applyFill="1" applyBorder="1" applyAlignment="1">
      <alignment horizontal="center"/>
    </xf>
    <xf numFmtId="0" fontId="37" fillId="21" borderId="56" xfId="0" applyFont="1" applyFill="1" applyBorder="1" applyAlignment="1">
      <alignment horizontal="center"/>
    </xf>
    <xf numFmtId="2" fontId="37" fillId="21" borderId="56" xfId="0" applyNumberFormat="1" applyFont="1" applyFill="1" applyBorder="1" applyAlignment="1">
      <alignment horizontal="center"/>
    </xf>
    <xf numFmtId="2" fontId="37" fillId="21" borderId="24" xfId="0" applyNumberFormat="1" applyFont="1" applyFill="1" applyBorder="1" applyAlignment="1">
      <alignment horizontal="center"/>
    </xf>
    <xf numFmtId="0" fontId="37" fillId="21" borderId="76" xfId="0" applyFont="1" applyFill="1" applyBorder="1" applyAlignment="1">
      <alignment horizontal="center"/>
    </xf>
    <xf numFmtId="2" fontId="37" fillId="21" borderId="76" xfId="0" applyNumberFormat="1" applyFont="1" applyFill="1" applyBorder="1" applyAlignment="1">
      <alignment horizontal="center"/>
    </xf>
    <xf numFmtId="2" fontId="37" fillId="21" borderId="77" xfId="0" applyNumberFormat="1" applyFont="1" applyFill="1" applyBorder="1" applyAlignment="1">
      <alignment horizontal="center"/>
    </xf>
    <xf numFmtId="0" fontId="36" fillId="24" borderId="96" xfId="0" applyFont="1" applyFill="1" applyBorder="1" applyAlignment="1">
      <alignment horizontal="center"/>
    </xf>
    <xf numFmtId="0" fontId="37" fillId="21" borderId="25" xfId="0" applyFont="1" applyFill="1" applyBorder="1" applyAlignment="1">
      <alignment horizontal="center"/>
    </xf>
    <xf numFmtId="2" fontId="37" fillId="21" borderId="18" xfId="0" applyNumberFormat="1" applyFont="1" applyFill="1" applyBorder="1" applyAlignment="1">
      <alignment horizontal="center"/>
    </xf>
    <xf numFmtId="2" fontId="37" fillId="21" borderId="19" xfId="0" applyNumberFormat="1" applyFont="1" applyFill="1" applyBorder="1" applyAlignment="1">
      <alignment horizontal="center"/>
    </xf>
    <xf numFmtId="2" fontId="37" fillId="21" borderId="22" xfId="0" applyNumberFormat="1" applyFont="1" applyFill="1" applyBorder="1" applyAlignment="1">
      <alignment horizontal="center"/>
    </xf>
    <xf numFmtId="2" fontId="37" fillId="21" borderId="23" xfId="0" applyNumberFormat="1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2" fillId="23" borderId="7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 wrapText="1"/>
    </xf>
    <xf numFmtId="0" fontId="2" fillId="23" borderId="1" xfId="0" applyFont="1" applyFill="1" applyBorder="1" applyAlignment="1">
      <alignment vertical="center" wrapText="1"/>
    </xf>
    <xf numFmtId="0" fontId="2" fillId="23" borderId="1" xfId="0" applyFont="1" applyFill="1" applyBorder="1" applyAlignment="1">
      <alignment vertical="center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49" fontId="3" fillId="3" borderId="2" xfId="0" applyNumberFormat="1" applyFont="1" applyFill="1" applyBorder="1" applyAlignment="1">
      <alignment horizontal="left"/>
    </xf>
    <xf numFmtId="49" fontId="3" fillId="3" borderId="4" xfId="0" applyNumberFormat="1" applyFont="1" applyFill="1" applyBorder="1" applyAlignment="1">
      <alignment horizontal="left"/>
    </xf>
    <xf numFmtId="0" fontId="2" fillId="2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4" fillId="3" borderId="12" xfId="0" applyNumberFormat="1" applyFont="1" applyFill="1" applyBorder="1" applyAlignment="1">
      <alignment horizontal="center" vertical="center"/>
    </xf>
    <xf numFmtId="49" fontId="4" fillId="3" borderId="8" xfId="0" applyNumberFormat="1" applyFont="1" applyFill="1" applyBorder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/>
    </xf>
    <xf numFmtId="49" fontId="8" fillId="3" borderId="4" xfId="0" applyNumberFormat="1" applyFont="1" applyFill="1" applyBorder="1" applyAlignment="1">
      <alignment horizontal="center"/>
    </xf>
    <xf numFmtId="49" fontId="8" fillId="3" borderId="6" xfId="0" applyNumberFormat="1" applyFont="1" applyFill="1" applyBorder="1" applyAlignment="1">
      <alignment horizontal="center"/>
    </xf>
    <xf numFmtId="0" fontId="2" fillId="23" borderId="2" xfId="0" applyFont="1" applyFill="1" applyBorder="1" applyAlignment="1">
      <alignment horizontal="left" vertical="center"/>
    </xf>
    <xf numFmtId="0" fontId="2" fillId="23" borderId="2" xfId="0" applyFont="1" applyFill="1" applyBorder="1" applyAlignment="1">
      <alignment horizontal="left" vertical="center" wrapText="1"/>
    </xf>
    <xf numFmtId="0" fontId="2" fillId="23" borderId="3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85" xfId="0" applyFill="1" applyBorder="1" applyAlignment="1">
      <alignment horizontal="left"/>
    </xf>
    <xf numFmtId="0" fontId="5" fillId="3" borderId="16" xfId="0" applyFont="1" applyFill="1" applyBorder="1" applyAlignment="1">
      <alignment horizontal="center" vertical="center"/>
    </xf>
    <xf numFmtId="0" fontId="0" fillId="14" borderId="65" xfId="0" applyFill="1" applyBorder="1" applyAlignment="1">
      <alignment horizontal="center" vertical="center"/>
    </xf>
    <xf numFmtId="0" fontId="0" fillId="14" borderId="87" xfId="0" applyFill="1" applyBorder="1" applyAlignment="1">
      <alignment horizontal="center" vertical="center"/>
    </xf>
    <xf numFmtId="0" fontId="0" fillId="14" borderId="93" xfId="0" applyFill="1" applyBorder="1" applyAlignment="1">
      <alignment horizontal="center" vertical="center"/>
    </xf>
    <xf numFmtId="0" fontId="0" fillId="14" borderId="83" xfId="0" applyFill="1" applyBorder="1" applyAlignment="1">
      <alignment horizontal="center" vertical="center"/>
    </xf>
    <xf numFmtId="0" fontId="0" fillId="19" borderId="65" xfId="0" applyFill="1" applyBorder="1" applyAlignment="1">
      <alignment horizontal="center" vertical="center"/>
    </xf>
    <xf numFmtId="0" fontId="0" fillId="19" borderId="87" xfId="0" applyFill="1" applyBorder="1" applyAlignment="1">
      <alignment horizontal="center" vertical="center"/>
    </xf>
    <xf numFmtId="0" fontId="0" fillId="19" borderId="83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0" fillId="2" borderId="2" xfId="0" applyFill="1" applyBorder="1"/>
    <xf numFmtId="0" fontId="0" fillId="0" borderId="2" xfId="0" applyBorder="1" applyAlignment="1">
      <alignment wrapText="1"/>
    </xf>
    <xf numFmtId="0" fontId="0" fillId="2" borderId="8" xfId="0" applyFill="1" applyBorder="1"/>
    <xf numFmtId="0" fontId="30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8" xfId="0" applyBorder="1"/>
    <xf numFmtId="0" fontId="28" fillId="4" borderId="6" xfId="0" applyFont="1" applyFill="1" applyBorder="1" applyAlignment="1">
      <alignment vertical="center" wrapText="1"/>
    </xf>
    <xf numFmtId="0" fontId="0" fillId="14" borderId="0" xfId="0" applyFill="1" applyAlignment="1">
      <alignment horizontal="center" vertical="center"/>
    </xf>
    <xf numFmtId="0" fontId="29" fillId="0" borderId="2" xfId="0" applyFont="1" applyBorder="1" applyAlignment="1">
      <alignment vertical="center" wrapText="1"/>
    </xf>
    <xf numFmtId="0" fontId="0" fillId="0" borderId="90" xfId="0" applyBorder="1" applyAlignment="1">
      <alignment horizontal="center" vertical="center"/>
    </xf>
    <xf numFmtId="0" fontId="0" fillId="10" borderId="87" xfId="0" applyFill="1" applyBorder="1"/>
    <xf numFmtId="9" fontId="0" fillId="0" borderId="0" xfId="0" applyNumberFormat="1"/>
    <xf numFmtId="0" fontId="0" fillId="0" borderId="61" xfId="0" applyBorder="1"/>
    <xf numFmtId="0" fontId="0" fillId="0" borderId="8" xfId="0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0" fillId="14" borderId="94" xfId="0" applyFill="1" applyBorder="1" applyAlignment="1">
      <alignment horizontal="center" vertical="center"/>
    </xf>
    <xf numFmtId="0" fontId="0" fillId="14" borderId="98" xfId="0" applyFill="1" applyBorder="1" applyAlignment="1">
      <alignment horizontal="center" vertical="center"/>
    </xf>
    <xf numFmtId="0" fontId="0" fillId="10" borderId="2" xfId="0" applyFill="1" applyBorder="1"/>
    <xf numFmtId="0" fontId="29" fillId="0" borderId="83" xfId="0" applyFont="1" applyBorder="1" applyAlignment="1">
      <alignment horizontal="center" vertical="center" wrapText="1"/>
    </xf>
    <xf numFmtId="0" fontId="29" fillId="0" borderId="87" xfId="0" applyFont="1" applyBorder="1" applyAlignment="1">
      <alignment horizontal="center" vertical="center" wrapText="1"/>
    </xf>
    <xf numFmtId="0" fontId="28" fillId="4" borderId="2" xfId="0" applyFont="1" applyFill="1" applyBorder="1" applyAlignment="1">
      <alignment vertical="center" wrapText="1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6" fillId="0" borderId="2" xfId="0" applyFont="1" applyBorder="1" applyAlignment="1">
      <alignment vertical="center" wrapText="1"/>
    </xf>
    <xf numFmtId="0" fontId="41" fillId="0" borderId="2" xfId="0" applyFont="1" applyBorder="1"/>
    <xf numFmtId="0" fontId="16" fillId="0" borderId="2" xfId="0" applyFont="1" applyBorder="1"/>
    <xf numFmtId="0" fontId="41" fillId="0" borderId="16" xfId="0" applyFont="1" applyBorder="1"/>
    <xf numFmtId="0" fontId="42" fillId="4" borderId="6" xfId="0" applyFont="1" applyFill="1" applyBorder="1" applyAlignment="1">
      <alignment vertical="center" wrapText="1"/>
    </xf>
    <xf numFmtId="0" fontId="27" fillId="0" borderId="2" xfId="0" applyFont="1" applyBorder="1"/>
    <xf numFmtId="0" fontId="27" fillId="0" borderId="2" xfId="0" applyFont="1" applyBorder="1" applyAlignment="1">
      <alignment horizontal="center" vertical="center"/>
    </xf>
    <xf numFmtId="0" fontId="27" fillId="14" borderId="2" xfId="0" applyFont="1" applyFill="1" applyBorder="1" applyAlignment="1">
      <alignment horizontal="center" vertical="center"/>
    </xf>
    <xf numFmtId="0" fontId="27" fillId="0" borderId="2" xfId="0" applyFont="1" applyBorder="1" applyAlignment="1">
      <alignment vertical="center" wrapText="1"/>
    </xf>
    <xf numFmtId="0" fontId="27" fillId="0" borderId="8" xfId="0" applyFont="1" applyBorder="1"/>
    <xf numFmtId="0" fontId="27" fillId="0" borderId="16" xfId="0" applyFont="1" applyBorder="1"/>
    <xf numFmtId="0" fontId="27" fillId="0" borderId="4" xfId="0" applyFont="1" applyBorder="1"/>
    <xf numFmtId="0" fontId="28" fillId="2" borderId="2" xfId="0" applyFont="1" applyFill="1" applyBorder="1"/>
    <xf numFmtId="0" fontId="27" fillId="0" borderId="16" xfId="0" applyFont="1" applyBorder="1" applyAlignment="1">
      <alignment horizontal="center" vertical="center"/>
    </xf>
    <xf numFmtId="0" fontId="27" fillId="14" borderId="16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 wrapText="1"/>
    </xf>
    <xf numFmtId="0" fontId="27" fillId="14" borderId="4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vertical="center" wrapText="1"/>
    </xf>
    <xf numFmtId="0" fontId="27" fillId="14" borderId="65" xfId="0" applyFont="1" applyFill="1" applyBorder="1" applyAlignment="1">
      <alignment horizontal="center" vertical="center"/>
    </xf>
    <xf numFmtId="0" fontId="28" fillId="10" borderId="6" xfId="0" applyFont="1" applyFill="1" applyBorder="1" applyAlignment="1">
      <alignment vertical="center" wrapText="1"/>
    </xf>
    <xf numFmtId="0" fontId="27" fillId="10" borderId="2" xfId="0" applyFont="1" applyFill="1" applyBorder="1"/>
    <xf numFmtId="0" fontId="27" fillId="14" borderId="87" xfId="0" applyFont="1" applyFill="1" applyBorder="1" applyAlignment="1">
      <alignment horizontal="center" vertical="center"/>
    </xf>
    <xf numFmtId="0" fontId="27" fillId="14" borderId="93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14" borderId="8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7" fillId="0" borderId="0" xfId="0" applyFont="1"/>
    <xf numFmtId="0" fontId="0" fillId="0" borderId="16" xfId="0" applyBorder="1" applyAlignment="1">
      <alignment horizontal="center" vertical="center"/>
    </xf>
    <xf numFmtId="0" fontId="27" fillId="0" borderId="2" xfId="0" applyFont="1" applyBorder="1" applyAlignment="1">
      <alignment vertical="center"/>
    </xf>
    <xf numFmtId="0" fontId="16" fillId="0" borderId="2" xfId="0" applyFont="1" applyBorder="1" applyAlignment="1">
      <alignment horizontal="center"/>
    </xf>
    <xf numFmtId="0" fontId="16" fillId="19" borderId="2" xfId="0" applyFont="1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27" fillId="19" borderId="2" xfId="0" applyFont="1" applyFill="1" applyBorder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27" fillId="19" borderId="16" xfId="0" applyFont="1" applyFill="1" applyBorder="1" applyAlignment="1">
      <alignment horizontal="center" vertical="center"/>
    </xf>
    <xf numFmtId="0" fontId="16" fillId="19" borderId="16" xfId="0" applyFont="1" applyFill="1" applyBorder="1" applyAlignment="1">
      <alignment horizontal="center" vertical="center"/>
    </xf>
    <xf numFmtId="0" fontId="16" fillId="10" borderId="2" xfId="0" applyFont="1" applyFill="1" applyBorder="1"/>
    <xf numFmtId="0" fontId="27" fillId="0" borderId="4" xfId="0" applyFont="1" applyBorder="1" applyAlignment="1">
      <alignment vertical="center" wrapText="1"/>
    </xf>
    <xf numFmtId="0" fontId="16" fillId="10" borderId="2" xfId="0" applyFont="1" applyFill="1" applyBorder="1" applyAlignment="1">
      <alignment vertical="center" wrapText="1"/>
    </xf>
    <xf numFmtId="0" fontId="27" fillId="0" borderId="83" xfId="0" applyFont="1" applyBorder="1" applyAlignment="1">
      <alignment vertical="center" wrapText="1"/>
    </xf>
    <xf numFmtId="0" fontId="29" fillId="0" borderId="87" xfId="0" applyFont="1" applyBorder="1" applyAlignment="1">
      <alignment wrapText="1"/>
    </xf>
    <xf numFmtId="0" fontId="27" fillId="0" borderId="65" xfId="0" applyFont="1" applyBorder="1" applyAlignment="1">
      <alignment vertical="center" wrapText="1"/>
    </xf>
    <xf numFmtId="0" fontId="27" fillId="0" borderId="87" xfId="0" applyFont="1" applyBorder="1" applyAlignment="1">
      <alignment vertical="center" wrapText="1"/>
    </xf>
    <xf numFmtId="0" fontId="28" fillId="10" borderId="2" xfId="0" applyFont="1" applyFill="1" applyBorder="1" applyAlignment="1">
      <alignment vertical="center" wrapText="1"/>
    </xf>
    <xf numFmtId="0" fontId="27" fillId="2" borderId="6" xfId="0" applyFont="1" applyFill="1" applyBorder="1"/>
    <xf numFmtId="0" fontId="28" fillId="35" borderId="2" xfId="0" applyFont="1" applyFill="1" applyBorder="1"/>
    <xf numFmtId="0" fontId="28" fillId="4" borderId="8" xfId="0" applyFont="1" applyFill="1" applyBorder="1" applyAlignment="1">
      <alignment vertical="center" wrapText="1"/>
    </xf>
    <xf numFmtId="0" fontId="28" fillId="10" borderId="2" xfId="0" applyFont="1" applyFill="1" applyBorder="1" applyAlignment="1">
      <alignment horizontal="left" vertical="center"/>
    </xf>
    <xf numFmtId="0" fontId="28" fillId="35" borderId="6" xfId="0" applyFont="1" applyFill="1" applyBorder="1"/>
    <xf numFmtId="0" fontId="0" fillId="2" borderId="2" xfId="0" applyFill="1" applyBorder="1" applyAlignment="1">
      <alignment vertical="center" wrapText="1"/>
    </xf>
    <xf numFmtId="0" fontId="0" fillId="35" borderId="15" xfId="0" applyFill="1" applyBorder="1"/>
    <xf numFmtId="0" fontId="29" fillId="10" borderId="87" xfId="0" applyFont="1" applyFill="1" applyBorder="1" applyAlignment="1">
      <alignment vertical="center" wrapText="1"/>
    </xf>
    <xf numFmtId="0" fontId="0" fillId="10" borderId="83" xfId="0" applyFill="1" applyBorder="1"/>
    <xf numFmtId="0" fontId="29" fillId="10" borderId="65" xfId="0" applyFont="1" applyFill="1" applyBorder="1" applyAlignment="1">
      <alignment vertical="center" wrapText="1"/>
    </xf>
    <xf numFmtId="0" fontId="0" fillId="0" borderId="83" xfId="0" applyBorder="1"/>
    <xf numFmtId="0" fontId="0" fillId="35" borderId="74" xfId="0" applyFill="1" applyBorder="1"/>
    <xf numFmtId="0" fontId="0" fillId="0" borderId="61" xfId="0" applyBorder="1" applyAlignment="1">
      <alignment horizontal="right"/>
    </xf>
    <xf numFmtId="0" fontId="0" fillId="0" borderId="87" xfId="0" applyBorder="1"/>
    <xf numFmtId="0" fontId="0" fillId="0" borderId="15" xfId="0" applyBorder="1" applyAlignment="1">
      <alignment horizontal="right"/>
    </xf>
    <xf numFmtId="0" fontId="0" fillId="0" borderId="65" xfId="0" applyBorder="1"/>
    <xf numFmtId="0" fontId="0" fillId="0" borderId="2" xfId="0" applyBorder="1" applyAlignment="1">
      <alignment horizontal="right"/>
    </xf>
    <xf numFmtId="0" fontId="30" fillId="2" borderId="2" xfId="0" applyFont="1" applyFill="1" applyBorder="1" applyAlignment="1">
      <alignment vertical="center" wrapText="1"/>
    </xf>
    <xf numFmtId="0" fontId="0" fillId="10" borderId="2" xfId="0" applyFill="1" applyBorder="1" applyAlignment="1">
      <alignment vertical="center" wrapText="1"/>
    </xf>
    <xf numFmtId="0" fontId="29" fillId="10" borderId="2" xfId="0" applyFont="1" applyFill="1" applyBorder="1" applyAlignment="1">
      <alignment vertical="center" wrapText="1"/>
    </xf>
    <xf numFmtId="0" fontId="0" fillId="0" borderId="15" xfId="0" applyBorder="1"/>
    <xf numFmtId="0" fontId="0" fillId="0" borderId="0" xfId="0" applyAlignment="1">
      <alignment vertical="center" wrapText="1"/>
    </xf>
    <xf numFmtId="0" fontId="30" fillId="0" borderId="0" xfId="0" applyFont="1" applyAlignment="1">
      <alignment vertical="center" wrapText="1"/>
    </xf>
    <xf numFmtId="0" fontId="0" fillId="10" borderId="0" xfId="0" applyFill="1"/>
    <xf numFmtId="0" fontId="0" fillId="0" borderId="83" xfId="0" applyBorder="1" applyAlignment="1">
      <alignment horizontal="center"/>
    </xf>
    <xf numFmtId="0" fontId="0" fillId="35" borderId="74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center"/>
    </xf>
    <xf numFmtId="0" fontId="28" fillId="4" borderId="6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7" fillId="0" borderId="83" xfId="0" applyFont="1" applyBorder="1" applyAlignment="1">
      <alignment horizontal="center" vertical="center" wrapText="1"/>
    </xf>
    <xf numFmtId="0" fontId="42" fillId="4" borderId="6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/>
    </xf>
    <xf numFmtId="0" fontId="30" fillId="0" borderId="0" xfId="0" applyFont="1" applyAlignment="1">
      <alignment horizontal="center" vertical="center" wrapText="1"/>
    </xf>
    <xf numFmtId="0" fontId="36" fillId="0" borderId="2" xfId="0" applyFont="1" applyBorder="1" applyAlignment="1">
      <alignment horizontal="center"/>
    </xf>
    <xf numFmtId="2" fontId="36" fillId="0" borderId="2" xfId="0" applyNumberFormat="1" applyFont="1" applyBorder="1" applyAlignment="1">
      <alignment horizontal="center"/>
    </xf>
    <xf numFmtId="0" fontId="36" fillId="0" borderId="0" xfId="0" applyFont="1" applyAlignment="1">
      <alignment horizontal="center"/>
    </xf>
    <xf numFmtId="2" fontId="36" fillId="0" borderId="0" xfId="0" applyNumberFormat="1" applyFont="1" applyAlignment="1">
      <alignment horizontal="center"/>
    </xf>
    <xf numFmtId="2" fontId="36" fillId="0" borderId="15" xfId="0" applyNumberFormat="1" applyFont="1" applyBorder="1" applyAlignment="1">
      <alignment horizontal="center"/>
    </xf>
    <xf numFmtId="0" fontId="36" fillId="7" borderId="76" xfId="0" applyFont="1" applyFill="1" applyBorder="1" applyAlignment="1">
      <alignment horizontal="center"/>
    </xf>
    <xf numFmtId="0" fontId="43" fillId="33" borderId="76" xfId="0" applyFont="1" applyFill="1" applyBorder="1" applyAlignment="1">
      <alignment horizontal="center"/>
    </xf>
    <xf numFmtId="0" fontId="32" fillId="20" borderId="76" xfId="0" applyFont="1" applyFill="1" applyBorder="1"/>
    <xf numFmtId="0" fontId="32" fillId="20" borderId="77" xfId="0" applyFont="1" applyFill="1" applyBorder="1"/>
    <xf numFmtId="0" fontId="35" fillId="23" borderId="77" xfId="0" applyFont="1" applyFill="1" applyBorder="1" applyAlignment="1">
      <alignment horizontal="center" vertical="center"/>
    </xf>
    <xf numFmtId="1" fontId="37" fillId="21" borderId="76" xfId="0" applyNumberFormat="1" applyFont="1" applyFill="1" applyBorder="1" applyAlignment="1">
      <alignment horizontal="center"/>
    </xf>
    <xf numFmtId="165" fontId="36" fillId="0" borderId="0" xfId="0" applyNumberFormat="1" applyFont="1" applyAlignment="1">
      <alignment horizontal="center"/>
    </xf>
    <xf numFmtId="0" fontId="35" fillId="23" borderId="76" xfId="0" applyFont="1" applyFill="1" applyBorder="1" applyAlignment="1">
      <alignment horizontal="center" vertical="center"/>
    </xf>
    <xf numFmtId="0" fontId="35" fillId="22" borderId="99" xfId="0" applyFont="1" applyFill="1" applyBorder="1" applyAlignment="1">
      <alignment horizontal="center" vertical="center"/>
    </xf>
    <xf numFmtId="0" fontId="36" fillId="24" borderId="107" xfId="0" applyFont="1" applyFill="1" applyBorder="1" applyAlignment="1">
      <alignment horizontal="center"/>
    </xf>
    <xf numFmtId="0" fontId="36" fillId="24" borderId="108" xfId="0" applyFont="1" applyFill="1" applyBorder="1" applyAlignment="1">
      <alignment horizontal="center"/>
    </xf>
    <xf numFmtId="0" fontId="37" fillId="26" borderId="88" xfId="0" applyFont="1" applyFill="1" applyBorder="1" applyAlignment="1">
      <alignment horizontal="center" vertical="center"/>
    </xf>
    <xf numFmtId="0" fontId="37" fillId="26" borderId="92" xfId="0" applyFont="1" applyFill="1" applyBorder="1" applyAlignment="1">
      <alignment horizontal="center" vertical="center"/>
    </xf>
    <xf numFmtId="0" fontId="37" fillId="25" borderId="104" xfId="0" applyFont="1" applyFill="1" applyBorder="1" applyAlignment="1">
      <alignment horizontal="center"/>
    </xf>
    <xf numFmtId="0" fontId="37" fillId="29" borderId="104" xfId="0" applyFont="1" applyFill="1" applyBorder="1" applyAlignment="1">
      <alignment horizontal="center"/>
    </xf>
    <xf numFmtId="0" fontId="37" fillId="21" borderId="78" xfId="0" applyFont="1" applyFill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36" fillId="24" borderId="2" xfId="0" applyFont="1" applyFill="1" applyBorder="1" applyAlignment="1">
      <alignment horizontal="center"/>
    </xf>
    <xf numFmtId="0" fontId="37" fillId="21" borderId="2" xfId="0" applyFont="1" applyFill="1" applyBorder="1" applyAlignment="1">
      <alignment horizontal="center"/>
    </xf>
    <xf numFmtId="0" fontId="44" fillId="36" borderId="2" xfId="0" applyFont="1" applyFill="1" applyBorder="1" applyAlignment="1">
      <alignment horizontal="center"/>
    </xf>
    <xf numFmtId="0" fontId="36" fillId="24" borderId="3" xfId="0" applyFont="1" applyFill="1" applyBorder="1" applyAlignment="1">
      <alignment horizontal="center"/>
    </xf>
    <xf numFmtId="0" fontId="31" fillId="0" borderId="2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/>
    </xf>
    <xf numFmtId="0" fontId="46" fillId="3" borderId="6" xfId="0" applyFont="1" applyFill="1" applyBorder="1" applyAlignment="1">
      <alignment horizontal="center"/>
    </xf>
    <xf numFmtId="0" fontId="47" fillId="3" borderId="85" xfId="0" applyFont="1" applyFill="1" applyBorder="1" applyAlignment="1">
      <alignment horizontal="center"/>
    </xf>
    <xf numFmtId="0" fontId="47" fillId="3" borderId="6" xfId="0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0" fontId="45" fillId="0" borderId="2" xfId="0" applyFont="1" applyBorder="1" applyAlignment="1">
      <alignment horizontal="center"/>
    </xf>
    <xf numFmtId="0" fontId="45" fillId="3" borderId="2" xfId="0" applyFont="1" applyFill="1" applyBorder="1" applyAlignment="1">
      <alignment horizontal="center" vertical="center"/>
    </xf>
    <xf numFmtId="0" fontId="0" fillId="0" borderId="17" xfId="0" applyBorder="1"/>
    <xf numFmtId="0" fontId="53" fillId="22" borderId="81" xfId="0" applyFont="1" applyFill="1" applyBorder="1" applyAlignment="1">
      <alignment horizontal="center" vertical="center"/>
    </xf>
    <xf numFmtId="0" fontId="53" fillId="23" borderId="6" xfId="0" applyFont="1" applyFill="1" applyBorder="1" applyAlignment="1">
      <alignment horizontal="center" vertical="center"/>
    </xf>
    <xf numFmtId="0" fontId="53" fillId="19" borderId="82" xfId="0" applyFont="1" applyFill="1" applyBorder="1" applyAlignment="1">
      <alignment horizontal="center" vertical="center"/>
    </xf>
    <xf numFmtId="0" fontId="53" fillId="22" borderId="25" xfId="0" applyFont="1" applyFill="1" applyBorder="1" applyAlignment="1">
      <alignment horizontal="center" vertical="center"/>
    </xf>
    <xf numFmtId="0" fontId="53" fillId="23" borderId="25" xfId="0" applyFont="1" applyFill="1" applyBorder="1" applyAlignment="1">
      <alignment horizontal="center" vertical="center"/>
    </xf>
    <xf numFmtId="0" fontId="53" fillId="19" borderId="25" xfId="0" applyFont="1" applyFill="1" applyBorder="1" applyAlignment="1">
      <alignment horizontal="center" vertical="center"/>
    </xf>
    <xf numFmtId="0" fontId="23" fillId="24" borderId="65" xfId="0" applyFont="1" applyFill="1" applyBorder="1" applyAlignment="1">
      <alignment horizontal="center"/>
    </xf>
    <xf numFmtId="0" fontId="25" fillId="0" borderId="65" xfId="0" applyFont="1" applyBorder="1" applyAlignment="1">
      <alignment horizontal="center" vertical="center"/>
    </xf>
    <xf numFmtId="2" fontId="0" fillId="0" borderId="87" xfId="0" applyNumberFormat="1" applyBorder="1" applyAlignment="1">
      <alignment horizontal="center"/>
    </xf>
    <xf numFmtId="2" fontId="0" fillId="0" borderId="88" xfId="0" applyNumberFormat="1" applyBorder="1" applyAlignment="1">
      <alignment horizontal="center"/>
    </xf>
    <xf numFmtId="2" fontId="0" fillId="0" borderId="65" xfId="0" applyNumberFormat="1" applyBorder="1" applyAlignment="1">
      <alignment horizontal="center"/>
    </xf>
    <xf numFmtId="0" fontId="23" fillId="24" borderId="89" xfId="0" applyFont="1" applyFill="1" applyBorder="1"/>
    <xf numFmtId="0" fontId="7" fillId="10" borderId="79" xfId="0" applyFont="1" applyFill="1" applyBorder="1" applyAlignment="1">
      <alignment horizontal="center"/>
    </xf>
    <xf numFmtId="0" fontId="25" fillId="22" borderId="110" xfId="0" applyFont="1" applyFill="1" applyBorder="1" applyAlignment="1">
      <alignment horizontal="center" vertical="center"/>
    </xf>
    <xf numFmtId="0" fontId="25" fillId="23" borderId="8" xfId="0" applyFont="1" applyFill="1" applyBorder="1" applyAlignment="1">
      <alignment horizontal="center" vertical="center"/>
    </xf>
    <xf numFmtId="0" fontId="25" fillId="19" borderId="90" xfId="0" applyFont="1" applyFill="1" applyBorder="1" applyAlignment="1">
      <alignment horizontal="center" vertical="center"/>
    </xf>
    <xf numFmtId="2" fontId="25" fillId="22" borderId="65" xfId="0" applyNumberFormat="1" applyFont="1" applyFill="1" applyBorder="1" applyAlignment="1">
      <alignment horizontal="center" vertical="center"/>
    </xf>
    <xf numFmtId="0" fontId="25" fillId="23" borderId="65" xfId="0" applyFont="1" applyFill="1" applyBorder="1" applyAlignment="1">
      <alignment horizontal="center" vertical="center"/>
    </xf>
    <xf numFmtId="0" fontId="25" fillId="19" borderId="65" xfId="0" applyFont="1" applyFill="1" applyBorder="1" applyAlignment="1">
      <alignment horizontal="center" vertical="center"/>
    </xf>
    <xf numFmtId="2" fontId="25" fillId="23" borderId="65" xfId="0" applyNumberFormat="1" applyFont="1" applyFill="1" applyBorder="1" applyAlignment="1">
      <alignment horizontal="center" vertical="center"/>
    </xf>
    <xf numFmtId="0" fontId="23" fillId="24" borderId="65" xfId="0" applyFont="1" applyFill="1" applyBorder="1"/>
    <xf numFmtId="0" fontId="25" fillId="10" borderId="65" xfId="0" applyFont="1" applyFill="1" applyBorder="1" applyAlignment="1">
      <alignment horizontal="center"/>
    </xf>
    <xf numFmtId="2" fontId="0" fillId="0" borderId="80" xfId="0" applyNumberFormat="1" applyBorder="1" applyAlignment="1">
      <alignment horizontal="center"/>
    </xf>
    <xf numFmtId="0" fontId="23" fillId="24" borderId="87" xfId="0" applyFont="1" applyFill="1" applyBorder="1" applyAlignment="1">
      <alignment horizontal="center"/>
    </xf>
    <xf numFmtId="0" fontId="25" fillId="0" borderId="56" xfId="0" applyFont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0" fontId="23" fillId="24" borderId="15" xfId="0" applyFont="1" applyFill="1" applyBorder="1"/>
    <xf numFmtId="0" fontId="25" fillId="23" borderId="2" xfId="0" applyFont="1" applyFill="1" applyBorder="1" applyAlignment="1">
      <alignment horizontal="center" vertical="center"/>
    </xf>
    <xf numFmtId="0" fontId="25" fillId="19" borderId="10" xfId="0" applyFont="1" applyFill="1" applyBorder="1" applyAlignment="1">
      <alignment horizontal="center" vertical="center"/>
    </xf>
    <xf numFmtId="2" fontId="25" fillId="22" borderId="87" xfId="0" applyNumberFormat="1" applyFont="1" applyFill="1" applyBorder="1" applyAlignment="1">
      <alignment horizontal="center" vertical="center"/>
    </xf>
    <xf numFmtId="0" fontId="25" fillId="23" borderId="87" xfId="0" applyFont="1" applyFill="1" applyBorder="1" applyAlignment="1">
      <alignment horizontal="center" vertical="center"/>
    </xf>
    <xf numFmtId="2" fontId="25" fillId="23" borderId="87" xfId="0" applyNumberFormat="1" applyFont="1" applyFill="1" applyBorder="1" applyAlignment="1">
      <alignment horizontal="center" vertical="center"/>
    </xf>
    <xf numFmtId="0" fontId="25" fillId="19" borderId="87" xfId="0" applyFont="1" applyFill="1" applyBorder="1" applyAlignment="1">
      <alignment horizontal="center" vertical="center"/>
    </xf>
    <xf numFmtId="0" fontId="23" fillId="24" borderId="87" xfId="0" applyFont="1" applyFill="1" applyBorder="1"/>
    <xf numFmtId="0" fontId="25" fillId="10" borderId="87" xfId="0" applyFont="1" applyFill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0" fontId="25" fillId="21" borderId="86" xfId="0" applyFont="1" applyFill="1" applyBorder="1" applyAlignment="1">
      <alignment horizontal="center"/>
    </xf>
    <xf numFmtId="0" fontId="54" fillId="21" borderId="12" xfId="0" applyFont="1" applyFill="1" applyBorder="1" applyAlignment="1">
      <alignment horizontal="center" vertical="center"/>
    </xf>
    <xf numFmtId="0" fontId="7" fillId="21" borderId="105" xfId="0" applyFont="1" applyFill="1" applyBorder="1" applyAlignment="1">
      <alignment horizontal="center"/>
    </xf>
    <xf numFmtId="2" fontId="7" fillId="21" borderId="104" xfId="0" applyNumberFormat="1" applyFont="1" applyFill="1" applyBorder="1" applyAlignment="1">
      <alignment horizontal="center"/>
    </xf>
    <xf numFmtId="1" fontId="7" fillId="21" borderId="86" xfId="0" applyNumberFormat="1" applyFont="1" applyFill="1" applyBorder="1" applyAlignment="1">
      <alignment horizontal="center"/>
    </xf>
    <xf numFmtId="0" fontId="25" fillId="21" borderId="84" xfId="0" applyFont="1" applyFill="1" applyBorder="1" applyAlignment="1">
      <alignment horizontal="center"/>
    </xf>
    <xf numFmtId="0" fontId="54" fillId="21" borderId="85" xfId="0" applyFont="1" applyFill="1" applyBorder="1" applyAlignment="1">
      <alignment horizontal="center"/>
    </xf>
    <xf numFmtId="0" fontId="54" fillId="21" borderId="6" xfId="0" applyFont="1" applyFill="1" applyBorder="1" applyAlignment="1">
      <alignment horizontal="center" vertical="center"/>
    </xf>
    <xf numFmtId="0" fontId="7" fillId="21" borderId="6" xfId="0" applyFont="1" applyFill="1" applyBorder="1" applyAlignment="1">
      <alignment horizontal="center" vertical="center"/>
    </xf>
    <xf numFmtId="0" fontId="7" fillId="21" borderId="82" xfId="0" applyFont="1" applyFill="1" applyBorder="1" applyAlignment="1">
      <alignment horizontal="center" vertical="center"/>
    </xf>
    <xf numFmtId="165" fontId="7" fillId="21" borderId="86" xfId="0" applyNumberFormat="1" applyFont="1" applyFill="1" applyBorder="1" applyAlignment="1">
      <alignment horizontal="center" vertical="center"/>
    </xf>
    <xf numFmtId="0" fontId="7" fillId="21" borderId="86" xfId="0" applyFont="1" applyFill="1" applyBorder="1" applyAlignment="1">
      <alignment horizontal="center" vertical="center"/>
    </xf>
    <xf numFmtId="2" fontId="7" fillId="21" borderId="86" xfId="0" applyNumberFormat="1" applyFont="1" applyFill="1" applyBorder="1" applyAlignment="1">
      <alignment horizontal="center" vertical="center"/>
    </xf>
    <xf numFmtId="0" fontId="54" fillId="21" borderId="86" xfId="0" applyFont="1" applyFill="1" applyBorder="1" applyAlignment="1">
      <alignment horizontal="center"/>
    </xf>
    <xf numFmtId="2" fontId="25" fillId="21" borderId="86" xfId="0" applyNumberFormat="1" applyFont="1" applyFill="1" applyBorder="1"/>
    <xf numFmtId="2" fontId="25" fillId="21" borderId="105" xfId="0" applyNumberFormat="1" applyFont="1" applyFill="1" applyBorder="1"/>
    <xf numFmtId="2" fontId="25" fillId="21" borderId="86" xfId="0" applyNumberFormat="1" applyFont="1" applyFill="1" applyBorder="1" applyAlignment="1">
      <alignment horizontal="center"/>
    </xf>
    <xf numFmtId="0" fontId="25" fillId="0" borderId="93" xfId="0" applyFont="1" applyBorder="1" applyAlignment="1">
      <alignment horizontal="center" vertical="center"/>
    </xf>
    <xf numFmtId="0" fontId="23" fillId="24" borderId="14" xfId="0" applyFont="1" applyFill="1" applyBorder="1"/>
    <xf numFmtId="0" fontId="23" fillId="24" borderId="93" xfId="0" applyFont="1" applyFill="1" applyBorder="1"/>
    <xf numFmtId="0" fontId="25" fillId="10" borderId="93" xfId="0" applyFont="1" applyFill="1" applyBorder="1" applyAlignment="1">
      <alignment horizontal="center"/>
    </xf>
    <xf numFmtId="2" fontId="25" fillId="19" borderId="87" xfId="0" applyNumberFormat="1" applyFont="1" applyFill="1" applyBorder="1" applyAlignment="1">
      <alignment horizontal="center" vertical="center"/>
    </xf>
    <xf numFmtId="0" fontId="54" fillId="21" borderId="86" xfId="0" applyFont="1" applyFill="1" applyBorder="1" applyAlignment="1">
      <alignment horizontal="center" vertical="center"/>
    </xf>
    <xf numFmtId="0" fontId="7" fillId="21" borderId="85" xfId="0" applyFont="1" applyFill="1" applyBorder="1" applyAlignment="1">
      <alignment horizontal="center" vertical="center"/>
    </xf>
    <xf numFmtId="2" fontId="25" fillId="21" borderId="83" xfId="0" applyNumberFormat="1" applyFont="1" applyFill="1" applyBorder="1" applyAlignment="1">
      <alignment horizontal="center"/>
    </xf>
    <xf numFmtId="0" fontId="23" fillId="24" borderId="93" xfId="0" applyFont="1" applyFill="1" applyBorder="1" applyAlignment="1">
      <alignment horizontal="center"/>
    </xf>
    <xf numFmtId="0" fontId="25" fillId="23" borderId="1" xfId="0" applyFont="1" applyFill="1" applyBorder="1" applyAlignment="1">
      <alignment horizontal="center" vertical="center"/>
    </xf>
    <xf numFmtId="0" fontId="25" fillId="19" borderId="9" xfId="0" applyFont="1" applyFill="1" applyBorder="1" applyAlignment="1">
      <alignment horizontal="center" vertical="center"/>
    </xf>
    <xf numFmtId="0" fontId="7" fillId="10" borderId="87" xfId="0" applyFont="1" applyFill="1" applyBorder="1" applyAlignment="1">
      <alignment horizontal="center"/>
    </xf>
    <xf numFmtId="0" fontId="54" fillId="21" borderId="83" xfId="0" applyFont="1" applyFill="1" applyBorder="1" applyAlignment="1">
      <alignment horizontal="center" vertical="center"/>
    </xf>
    <xf numFmtId="0" fontId="7" fillId="21" borderId="94" xfId="0" applyFont="1" applyFill="1" applyBorder="1" applyAlignment="1">
      <alignment horizontal="center"/>
    </xf>
    <xf numFmtId="2" fontId="7" fillId="21" borderId="106" xfId="0" applyNumberFormat="1" applyFont="1" applyFill="1" applyBorder="1" applyAlignment="1">
      <alignment horizontal="center"/>
    </xf>
    <xf numFmtId="0" fontId="25" fillId="21" borderId="61" xfId="0" applyFont="1" applyFill="1" applyBorder="1" applyAlignment="1">
      <alignment horizontal="center"/>
    </xf>
    <xf numFmtId="0" fontId="7" fillId="21" borderId="5" xfId="0" applyFont="1" applyFill="1" applyBorder="1" applyAlignment="1">
      <alignment horizontal="center" vertical="center"/>
    </xf>
    <xf numFmtId="0" fontId="7" fillId="21" borderId="11" xfId="0" applyFont="1" applyFill="1" applyBorder="1" applyAlignment="1">
      <alignment horizontal="center" vertical="center"/>
    </xf>
    <xf numFmtId="2" fontId="7" fillId="21" borderId="83" xfId="0" applyNumberFormat="1" applyFont="1" applyFill="1" applyBorder="1" applyAlignment="1">
      <alignment horizontal="center" vertical="center"/>
    </xf>
    <xf numFmtId="0" fontId="25" fillId="21" borderId="83" xfId="0" applyFont="1" applyFill="1" applyBorder="1" applyAlignment="1">
      <alignment horizontal="center"/>
    </xf>
    <xf numFmtId="0" fontId="54" fillId="21" borderId="83" xfId="0" applyFont="1" applyFill="1" applyBorder="1" applyAlignment="1">
      <alignment horizontal="center"/>
    </xf>
    <xf numFmtId="2" fontId="7" fillId="21" borderId="83" xfId="0" applyNumberFormat="1" applyFont="1" applyFill="1" applyBorder="1" applyAlignment="1">
      <alignment horizontal="center"/>
    </xf>
    <xf numFmtId="0" fontId="25" fillId="26" borderId="65" xfId="0" applyFont="1" applyFill="1" applyBorder="1" applyAlignment="1">
      <alignment horizontal="center" vertical="center"/>
    </xf>
    <xf numFmtId="0" fontId="25" fillId="26" borderId="14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2" fontId="7" fillId="10" borderId="65" xfId="0" applyNumberFormat="1" applyFont="1" applyFill="1" applyBorder="1" applyAlignment="1">
      <alignment horizontal="center" vertical="center"/>
    </xf>
    <xf numFmtId="0" fontId="7" fillId="21" borderId="65" xfId="0" applyFont="1" applyFill="1" applyBorder="1" applyAlignment="1">
      <alignment horizontal="center"/>
    </xf>
    <xf numFmtId="0" fontId="25" fillId="26" borderId="87" xfId="0" applyFont="1" applyFill="1" applyBorder="1" applyAlignment="1">
      <alignment horizontal="center" vertical="center"/>
    </xf>
    <xf numFmtId="0" fontId="25" fillId="26" borderId="15" xfId="0" applyFont="1" applyFill="1" applyBorder="1" applyAlignment="1">
      <alignment horizontal="center" vertical="center"/>
    </xf>
    <xf numFmtId="0" fontId="7" fillId="21" borderId="87" xfId="0" applyFont="1" applyFill="1" applyBorder="1" applyAlignment="1">
      <alignment horizontal="center"/>
    </xf>
    <xf numFmtId="0" fontId="25" fillId="25" borderId="86" xfId="0" applyFont="1" applyFill="1" applyBorder="1" applyAlignment="1">
      <alignment horizontal="center"/>
    </xf>
    <xf numFmtId="0" fontId="55" fillId="21" borderId="86" xfId="0" applyFont="1" applyFill="1" applyBorder="1" applyAlignment="1">
      <alignment horizontal="center" vertical="center"/>
    </xf>
    <xf numFmtId="1" fontId="7" fillId="21" borderId="106" xfId="0" applyNumberFormat="1" applyFont="1" applyFill="1" applyBorder="1" applyAlignment="1">
      <alignment horizontal="center"/>
    </xf>
    <xf numFmtId="0" fontId="25" fillId="25" borderId="84" xfId="0" applyFont="1" applyFill="1" applyBorder="1" applyAlignment="1">
      <alignment horizontal="center"/>
    </xf>
    <xf numFmtId="2" fontId="7" fillId="21" borderId="105" xfId="0" applyNumberFormat="1" applyFont="1" applyFill="1" applyBorder="1"/>
    <xf numFmtId="2" fontId="7" fillId="21" borderId="86" xfId="0" applyNumberFormat="1" applyFont="1" applyFill="1" applyBorder="1" applyAlignment="1">
      <alignment horizontal="center"/>
    </xf>
    <xf numFmtId="0" fontId="7" fillId="23" borderId="8" xfId="0" applyFont="1" applyFill="1" applyBorder="1" applyAlignment="1">
      <alignment horizontal="center" vertical="center"/>
    </xf>
    <xf numFmtId="0" fontId="7" fillId="19" borderId="90" xfId="0" applyFont="1" applyFill="1" applyBorder="1" applyAlignment="1">
      <alignment horizontal="center" vertical="center"/>
    </xf>
    <xf numFmtId="2" fontId="7" fillId="22" borderId="65" xfId="0" applyNumberFormat="1" applyFont="1" applyFill="1" applyBorder="1" applyAlignment="1">
      <alignment horizontal="center" vertical="center"/>
    </xf>
    <xf numFmtId="2" fontId="7" fillId="23" borderId="65" xfId="0" applyNumberFormat="1" applyFont="1" applyFill="1" applyBorder="1" applyAlignment="1">
      <alignment horizontal="center" vertical="center"/>
    </xf>
    <xf numFmtId="2" fontId="7" fillId="19" borderId="65" xfId="0" applyNumberFormat="1" applyFont="1" applyFill="1" applyBorder="1" applyAlignment="1">
      <alignment horizontal="center" vertical="center"/>
    </xf>
    <xf numFmtId="2" fontId="7" fillId="22" borderId="93" xfId="0" applyNumberFormat="1" applyFont="1" applyFill="1" applyBorder="1" applyAlignment="1">
      <alignment horizontal="center" vertical="center"/>
    </xf>
    <xf numFmtId="2" fontId="7" fillId="23" borderId="93" xfId="0" applyNumberFormat="1" applyFont="1" applyFill="1" applyBorder="1" applyAlignment="1">
      <alignment horizontal="center" vertical="center"/>
    </xf>
    <xf numFmtId="2" fontId="7" fillId="19" borderId="93" xfId="0" applyNumberFormat="1" applyFont="1" applyFill="1" applyBorder="1" applyAlignment="1">
      <alignment horizontal="center" vertical="center"/>
    </xf>
    <xf numFmtId="0" fontId="7" fillId="10" borderId="93" xfId="0" applyFont="1" applyFill="1" applyBorder="1" applyAlignment="1">
      <alignment horizontal="center"/>
    </xf>
    <xf numFmtId="0" fontId="7" fillId="23" borderId="2" xfId="0" applyFont="1" applyFill="1" applyBorder="1" applyAlignment="1">
      <alignment horizontal="center" vertical="center"/>
    </xf>
    <xf numFmtId="0" fontId="7" fillId="19" borderId="10" xfId="0" applyFont="1" applyFill="1" applyBorder="1" applyAlignment="1">
      <alignment horizontal="center" vertical="center"/>
    </xf>
    <xf numFmtId="2" fontId="7" fillId="23" borderId="87" xfId="0" applyNumberFormat="1" applyFont="1" applyFill="1" applyBorder="1" applyAlignment="1">
      <alignment horizontal="center" vertical="center"/>
    </xf>
    <xf numFmtId="2" fontId="7" fillId="19" borderId="87" xfId="0" applyNumberFormat="1" applyFont="1" applyFill="1" applyBorder="1" applyAlignment="1">
      <alignment horizontal="center" vertical="center"/>
    </xf>
    <xf numFmtId="0" fontId="7" fillId="10" borderId="65" xfId="0" applyFont="1" applyFill="1" applyBorder="1" applyAlignment="1">
      <alignment horizontal="center"/>
    </xf>
    <xf numFmtId="1" fontId="7" fillId="21" borderId="105" xfId="0" applyNumberFormat="1" applyFont="1" applyFill="1" applyBorder="1" applyAlignment="1">
      <alignment horizontal="center"/>
    </xf>
    <xf numFmtId="2" fontId="7" fillId="22" borderId="86" xfId="0" applyNumberFormat="1" applyFont="1" applyFill="1" applyBorder="1" applyAlignment="1">
      <alignment horizontal="center" vertical="center"/>
    </xf>
    <xf numFmtId="0" fontId="7" fillId="23" borderId="1" xfId="0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/>
    </xf>
    <xf numFmtId="0" fontId="7" fillId="19" borderId="65" xfId="0" applyFont="1" applyFill="1" applyBorder="1" applyAlignment="1">
      <alignment horizontal="center" vertical="center"/>
    </xf>
    <xf numFmtId="0" fontId="7" fillId="19" borderId="87" xfId="0" applyFont="1" applyFill="1" applyBorder="1" applyAlignment="1">
      <alignment horizontal="center" vertical="center"/>
    </xf>
    <xf numFmtId="2" fontId="0" fillId="0" borderId="105" xfId="0" applyNumberFormat="1" applyBorder="1" applyAlignment="1">
      <alignment horizontal="center"/>
    </xf>
    <xf numFmtId="0" fontId="54" fillId="21" borderId="65" xfId="0" applyFont="1" applyFill="1" applyBorder="1" applyAlignment="1">
      <alignment horizontal="center"/>
    </xf>
    <xf numFmtId="1" fontId="7" fillId="21" borderId="104" xfId="0" applyNumberFormat="1" applyFont="1" applyFill="1" applyBorder="1" applyAlignment="1">
      <alignment horizontal="center"/>
    </xf>
    <xf numFmtId="2" fontId="25" fillId="21" borderId="24" xfId="0" applyNumberFormat="1" applyFont="1" applyFill="1" applyBorder="1"/>
    <xf numFmtId="0" fontId="7" fillId="10" borderId="9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25" fillId="29" borderId="86" xfId="0" applyFont="1" applyFill="1" applyBorder="1" applyAlignment="1">
      <alignment horizontal="center"/>
    </xf>
    <xf numFmtId="0" fontId="55" fillId="21" borderId="86" xfId="0" applyFont="1" applyFill="1" applyBorder="1" applyAlignment="1">
      <alignment horizontal="center"/>
    </xf>
    <xf numFmtId="0" fontId="25" fillId="29" borderId="84" xfId="0" applyFont="1" applyFill="1" applyBorder="1" applyAlignment="1">
      <alignment horizontal="center"/>
    </xf>
    <xf numFmtId="1" fontId="7" fillId="21" borderId="86" xfId="0" applyNumberFormat="1" applyFont="1" applyFill="1" applyBorder="1" applyAlignment="1">
      <alignment horizontal="center" vertical="center"/>
    </xf>
    <xf numFmtId="0" fontId="45" fillId="3" borderId="10" xfId="0" applyFont="1" applyFill="1" applyBorder="1" applyAlignment="1">
      <alignment horizontal="center" vertical="center"/>
    </xf>
    <xf numFmtId="0" fontId="45" fillId="0" borderId="4" xfId="0" applyFont="1" applyBorder="1" applyAlignment="1">
      <alignment horizontal="center"/>
    </xf>
    <xf numFmtId="0" fontId="7" fillId="0" borderId="0" xfId="0" applyFont="1"/>
    <xf numFmtId="0" fontId="14" fillId="0" borderId="8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14" fillId="0" borderId="54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57" fillId="26" borderId="95" xfId="0" applyFont="1" applyFill="1" applyBorder="1" applyAlignment="1">
      <alignment horizontal="center" vertical="center"/>
    </xf>
    <xf numFmtId="0" fontId="56" fillId="0" borderId="81" xfId="0" applyFont="1" applyBorder="1" applyAlignment="1">
      <alignment horizontal="center"/>
    </xf>
    <xf numFmtId="0" fontId="58" fillId="0" borderId="0" xfId="0" applyFont="1"/>
    <xf numFmtId="0" fontId="57" fillId="26" borderId="110" xfId="0" applyFont="1" applyFill="1" applyBorder="1" applyAlignment="1">
      <alignment horizontal="center" vertical="center"/>
    </xf>
    <xf numFmtId="0" fontId="57" fillId="0" borderId="81" xfId="0" applyFont="1" applyBorder="1" applyAlignment="1">
      <alignment horizontal="center" vertical="center"/>
    </xf>
    <xf numFmtId="0" fontId="36" fillId="41" borderId="2" xfId="0" applyFont="1" applyFill="1" applyBorder="1" applyAlignment="1">
      <alignment horizontal="center"/>
    </xf>
    <xf numFmtId="0" fontId="57" fillId="41" borderId="96" xfId="0" applyFont="1" applyFill="1" applyBorder="1" applyAlignment="1">
      <alignment horizontal="center" vertical="center"/>
    </xf>
    <xf numFmtId="0" fontId="57" fillId="41" borderId="92" xfId="0" applyFont="1" applyFill="1" applyBorder="1" applyAlignment="1">
      <alignment horizontal="center" vertical="center"/>
    </xf>
    <xf numFmtId="0" fontId="57" fillId="41" borderId="88" xfId="0" applyFont="1" applyFill="1" applyBorder="1" applyAlignment="1">
      <alignment horizontal="center" vertical="center"/>
    </xf>
    <xf numFmtId="0" fontId="60" fillId="13" borderId="2" xfId="0" applyFont="1" applyFill="1" applyBorder="1" applyAlignment="1">
      <alignment horizontal="center" vertical="center"/>
    </xf>
    <xf numFmtId="0" fontId="62" fillId="13" borderId="2" xfId="0" applyFont="1" applyFill="1" applyBorder="1" applyAlignment="1">
      <alignment horizontal="center" vertical="center"/>
    </xf>
    <xf numFmtId="0" fontId="57" fillId="26" borderId="104" xfId="0" applyFont="1" applyFill="1" applyBorder="1" applyAlignment="1">
      <alignment horizontal="center"/>
    </xf>
    <xf numFmtId="0" fontId="0" fillId="42" borderId="2" xfId="0" applyFill="1" applyBorder="1"/>
    <xf numFmtId="0" fontId="60" fillId="42" borderId="2" xfId="0" applyFont="1" applyFill="1" applyBorder="1" applyAlignment="1">
      <alignment horizontal="center" vertical="center"/>
    </xf>
    <xf numFmtId="0" fontId="23" fillId="41" borderId="2" xfId="0" applyFont="1" applyFill="1" applyBorder="1" applyAlignment="1">
      <alignment horizontal="center" vertical="center"/>
    </xf>
    <xf numFmtId="0" fontId="0" fillId="41" borderId="2" xfId="0" applyFill="1" applyBorder="1" applyAlignment="1">
      <alignment horizontal="center"/>
    </xf>
    <xf numFmtId="0" fontId="64" fillId="43" borderId="2" xfId="0" applyFont="1" applyFill="1" applyBorder="1" applyAlignment="1">
      <alignment horizontal="center" vertical="center" wrapText="1"/>
    </xf>
    <xf numFmtId="0" fontId="44" fillId="0" borderId="118" xfId="0" applyFont="1" applyBorder="1" applyAlignment="1">
      <alignment horizontal="center"/>
    </xf>
    <xf numFmtId="0" fontId="65" fillId="27" borderId="89" xfId="0" applyFont="1" applyFill="1" applyBorder="1" applyAlignment="1">
      <alignment horizontal="center" vertical="center"/>
    </xf>
    <xf numFmtId="0" fontId="65" fillId="36" borderId="8" xfId="0" applyFont="1" applyFill="1" applyBorder="1" applyAlignment="1">
      <alignment horizontal="center" vertical="center"/>
    </xf>
    <xf numFmtId="0" fontId="65" fillId="38" borderId="8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23" xfId="0" applyFont="1" applyBorder="1" applyAlignment="1">
      <alignment horizontal="center"/>
    </xf>
    <xf numFmtId="0" fontId="31" fillId="0" borderId="0" xfId="0" applyFont="1" applyAlignment="1">
      <alignment horizontal="left" vertical="center" indent="1"/>
    </xf>
    <xf numFmtId="0" fontId="31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/>
    </xf>
    <xf numFmtId="0" fontId="7" fillId="0" borderId="2" xfId="0" applyFont="1" applyBorder="1"/>
    <xf numFmtId="0" fontId="57" fillId="41" borderId="2" xfId="0" applyFont="1" applyFill="1" applyBorder="1" applyAlignment="1">
      <alignment horizontal="center" vertical="center"/>
    </xf>
    <xf numFmtId="0" fontId="57" fillId="26" borderId="2" xfId="0" applyFont="1" applyFill="1" applyBorder="1" applyAlignment="1">
      <alignment horizontal="center"/>
    </xf>
    <xf numFmtId="166" fontId="62" fillId="13" borderId="2" xfId="0" applyNumberFormat="1" applyFont="1" applyFill="1" applyBorder="1" applyAlignment="1">
      <alignment horizontal="center" vertical="center"/>
    </xf>
    <xf numFmtId="2" fontId="62" fillId="13" borderId="2" xfId="0" applyNumberFormat="1" applyFon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0" fontId="66" fillId="0" borderId="76" xfId="0" applyFont="1" applyBorder="1" applyAlignment="1">
      <alignment horizontal="center"/>
    </xf>
    <xf numFmtId="0" fontId="68" fillId="45" borderId="78" xfId="0" applyFont="1" applyFill="1" applyBorder="1" applyAlignment="1">
      <alignment horizontal="center" vertical="center" wrapText="1"/>
    </xf>
    <xf numFmtId="0" fontId="68" fillId="4" borderId="12" xfId="0" applyFont="1" applyFill="1" applyBorder="1" applyAlignment="1">
      <alignment horizontal="center" vertical="center" wrapText="1"/>
    </xf>
    <xf numFmtId="0" fontId="68" fillId="46" borderId="56" xfId="0" applyFont="1" applyFill="1" applyBorder="1" applyAlignment="1">
      <alignment horizontal="center" vertical="center" wrapText="1"/>
    </xf>
    <xf numFmtId="0" fontId="68" fillId="4" borderId="56" xfId="0" applyFont="1" applyFill="1" applyBorder="1" applyAlignment="1">
      <alignment horizontal="center" vertical="center" wrapText="1"/>
    </xf>
    <xf numFmtId="0" fontId="69" fillId="0" borderId="24" xfId="0" applyFont="1" applyBorder="1" applyAlignment="1">
      <alignment horizontal="center"/>
    </xf>
    <xf numFmtId="0" fontId="69" fillId="31" borderId="3" xfId="0" applyFont="1" applyFill="1" applyBorder="1" applyAlignment="1">
      <alignment horizontal="center" vertical="center"/>
    </xf>
    <xf numFmtId="0" fontId="69" fillId="31" borderId="3" xfId="0" applyFont="1" applyFill="1" applyBorder="1" applyAlignment="1">
      <alignment horizontal="center"/>
    </xf>
    <xf numFmtId="0" fontId="36" fillId="28" borderId="2" xfId="0" applyFont="1" applyFill="1" applyBorder="1" applyAlignment="1">
      <alignment horizontal="center" vertical="center"/>
    </xf>
    <xf numFmtId="0" fontId="36" fillId="28" borderId="2" xfId="0" applyFont="1" applyFill="1" applyBorder="1" applyAlignment="1">
      <alignment horizontal="center"/>
    </xf>
    <xf numFmtId="0" fontId="68" fillId="28" borderId="24" xfId="0" applyFont="1" applyFill="1" applyBorder="1" applyAlignment="1">
      <alignment horizontal="center" vertical="center" wrapText="1"/>
    </xf>
    <xf numFmtId="0" fontId="67" fillId="19" borderId="12" xfId="0" applyFont="1" applyFill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8" xfId="0" applyFont="1" applyBorder="1" applyAlignment="1">
      <alignment vertical="center" wrapText="1"/>
    </xf>
    <xf numFmtId="0" fontId="45" fillId="0" borderId="24" xfId="0" applyFont="1" applyBorder="1" applyAlignment="1">
      <alignment vertical="center" wrapText="1"/>
    </xf>
    <xf numFmtId="0" fontId="31" fillId="0" borderId="24" xfId="0" applyFont="1" applyBorder="1" applyAlignment="1">
      <alignment vertical="center" wrapText="1"/>
    </xf>
    <xf numFmtId="10" fontId="45" fillId="0" borderId="24" xfId="0" applyNumberFormat="1" applyFont="1" applyBorder="1" applyAlignment="1">
      <alignment vertical="center" wrapText="1"/>
    </xf>
    <xf numFmtId="9" fontId="45" fillId="0" borderId="24" xfId="0" applyNumberFormat="1" applyFont="1" applyBorder="1" applyAlignment="1">
      <alignment vertical="center" wrapText="1"/>
    </xf>
    <xf numFmtId="0" fontId="45" fillId="4" borderId="56" xfId="0" applyFont="1" applyFill="1" applyBorder="1" applyAlignment="1">
      <alignment horizontal="center" vertical="center" wrapText="1"/>
    </xf>
    <xf numFmtId="0" fontId="70" fillId="4" borderId="24" xfId="0" applyFont="1" applyFill="1" applyBorder="1" applyAlignment="1">
      <alignment horizontal="center" vertical="center" wrapText="1"/>
    </xf>
    <xf numFmtId="0" fontId="45" fillId="4" borderId="24" xfId="0" applyFont="1" applyFill="1" applyBorder="1" applyAlignment="1">
      <alignment horizontal="center" vertical="center" wrapText="1"/>
    </xf>
    <xf numFmtId="10" fontId="70" fillId="4" borderId="24" xfId="0" applyNumberFormat="1" applyFont="1" applyFill="1" applyBorder="1" applyAlignment="1">
      <alignment horizontal="center" vertical="center" wrapText="1"/>
    </xf>
    <xf numFmtId="0" fontId="47" fillId="3" borderId="0" xfId="0" applyFont="1" applyFill="1" applyAlignment="1">
      <alignment horizontal="center"/>
    </xf>
    <xf numFmtId="0" fontId="14" fillId="0" borderId="4" xfId="0" applyFont="1" applyBorder="1" applyAlignment="1">
      <alignment horizontal="center" vertical="center" wrapText="1" readingOrder="1"/>
    </xf>
    <xf numFmtId="0" fontId="14" fillId="0" borderId="8" xfId="0" applyFont="1" applyBorder="1" applyAlignment="1">
      <alignment horizontal="center" vertical="center" wrapText="1" readingOrder="1"/>
    </xf>
    <xf numFmtId="0" fontId="14" fillId="0" borderId="4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4" fillId="0" borderId="44" xfId="0" applyFont="1" applyBorder="1" applyAlignment="1">
      <alignment horizontal="center" vertical="center"/>
    </xf>
    <xf numFmtId="0" fontId="14" fillId="0" borderId="54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 wrapText="1" readingOrder="1"/>
    </xf>
    <xf numFmtId="0" fontId="14" fillId="0" borderId="46" xfId="0" applyFont="1" applyBorder="1" applyAlignment="1">
      <alignment horizontal="center" vertical="center" wrapText="1" readingOrder="1"/>
    </xf>
    <xf numFmtId="0" fontId="14" fillId="0" borderId="69" xfId="0" applyFont="1" applyBorder="1" applyAlignment="1">
      <alignment horizontal="center" vertical="center" wrapText="1" readingOrder="1"/>
    </xf>
    <xf numFmtId="0" fontId="14" fillId="0" borderId="70" xfId="0" applyFont="1" applyBorder="1" applyAlignment="1">
      <alignment horizontal="center" vertical="center" wrapText="1" readingOrder="1"/>
    </xf>
    <xf numFmtId="0" fontId="14" fillId="0" borderId="71" xfId="0" applyFont="1" applyBorder="1" applyAlignment="1">
      <alignment horizontal="center" vertical="center" wrapText="1" readingOrder="1"/>
    </xf>
    <xf numFmtId="0" fontId="14" fillId="0" borderId="47" xfId="0" applyFont="1" applyBorder="1" applyAlignment="1">
      <alignment horizontal="center" vertical="center" wrapText="1" readingOrder="1"/>
    </xf>
    <xf numFmtId="0" fontId="51" fillId="21" borderId="65" xfId="0" applyFont="1" applyFill="1" applyBorder="1" applyAlignment="1">
      <alignment horizontal="center" vertical="center" wrapText="1"/>
    </xf>
    <xf numFmtId="0" fontId="51" fillId="21" borderId="86" xfId="0" applyFont="1" applyFill="1" applyBorder="1" applyAlignment="1">
      <alignment horizontal="center" vertical="center" wrapText="1"/>
    </xf>
    <xf numFmtId="0" fontId="49" fillId="20" borderId="76" xfId="0" applyFont="1" applyFill="1" applyBorder="1" applyAlignment="1">
      <alignment horizontal="left"/>
    </xf>
    <xf numFmtId="0" fontId="49" fillId="20" borderId="77" xfId="0" applyFont="1" applyFill="1" applyBorder="1" applyAlignment="1">
      <alignment horizontal="left"/>
    </xf>
    <xf numFmtId="0" fontId="50" fillId="21" borderId="25" xfId="0" applyFont="1" applyFill="1" applyBorder="1" applyAlignment="1">
      <alignment horizontal="center" vertical="center"/>
    </xf>
    <xf numFmtId="0" fontId="50" fillId="21" borderId="56" xfId="0" applyFont="1" applyFill="1" applyBorder="1" applyAlignment="1">
      <alignment horizontal="center" vertical="center"/>
    </xf>
    <xf numFmtId="0" fontId="50" fillId="21" borderId="18" xfId="0" applyFont="1" applyFill="1" applyBorder="1" applyAlignment="1">
      <alignment horizontal="center" vertical="center"/>
    </xf>
    <xf numFmtId="0" fontId="50" fillId="21" borderId="17" xfId="0" applyFont="1" applyFill="1" applyBorder="1" applyAlignment="1">
      <alignment horizontal="center" vertical="center"/>
    </xf>
    <xf numFmtId="0" fontId="50" fillId="4" borderId="74" xfId="0" applyFont="1" applyFill="1" applyBorder="1" applyAlignment="1">
      <alignment horizontal="center" vertical="center"/>
    </xf>
    <xf numFmtId="0" fontId="50" fillId="4" borderId="9" xfId="0" applyFont="1" applyFill="1" applyBorder="1" applyAlignment="1">
      <alignment horizontal="center" vertical="center"/>
    </xf>
    <xf numFmtId="0" fontId="50" fillId="4" borderId="81" xfId="0" applyFont="1" applyFill="1" applyBorder="1" applyAlignment="1">
      <alignment horizontal="center" vertical="center"/>
    </xf>
    <xf numFmtId="0" fontId="50" fillId="4" borderId="82" xfId="0" applyFont="1" applyFill="1" applyBorder="1" applyAlignment="1">
      <alignment horizontal="center" vertical="center"/>
    </xf>
    <xf numFmtId="0" fontId="51" fillId="21" borderId="83" xfId="0" applyFont="1" applyFill="1" applyBorder="1" applyAlignment="1">
      <alignment horizontal="center" vertical="center" wrapText="1"/>
    </xf>
    <xf numFmtId="0" fontId="51" fillId="21" borderId="14" xfId="0" applyFont="1" applyFill="1" applyBorder="1" applyAlignment="1">
      <alignment horizontal="center" vertical="center" wrapText="1"/>
    </xf>
    <xf numFmtId="0" fontId="51" fillId="21" borderId="84" xfId="0" applyFont="1" applyFill="1" applyBorder="1" applyAlignment="1">
      <alignment horizontal="center" vertical="center" wrapText="1"/>
    </xf>
    <xf numFmtId="0" fontId="51" fillId="21" borderId="79" xfId="0" applyFont="1" applyFill="1" applyBorder="1" applyAlignment="1">
      <alignment horizontal="center" vertical="center" wrapText="1"/>
    </xf>
    <xf numFmtId="0" fontId="51" fillId="21" borderId="85" xfId="0" applyFont="1" applyFill="1" applyBorder="1" applyAlignment="1">
      <alignment horizontal="center" vertical="center" wrapText="1"/>
    </xf>
    <xf numFmtId="0" fontId="51" fillId="4" borderId="14" xfId="0" applyFont="1" applyFill="1" applyBorder="1" applyAlignment="1">
      <alignment horizontal="center" vertical="center" wrapText="1"/>
    </xf>
    <xf numFmtId="0" fontId="51" fillId="4" borderId="1" xfId="0" applyFont="1" applyFill="1" applyBorder="1" applyAlignment="1">
      <alignment horizontal="center" vertical="center" wrapText="1"/>
    </xf>
    <xf numFmtId="0" fontId="51" fillId="4" borderId="84" xfId="0" applyFont="1" applyFill="1" applyBorder="1" applyAlignment="1">
      <alignment horizontal="center" vertical="center" wrapText="1"/>
    </xf>
    <xf numFmtId="0" fontId="51" fillId="4" borderId="6" xfId="0" applyFont="1" applyFill="1" applyBorder="1" applyAlignment="1">
      <alignment horizontal="center" vertical="center" wrapText="1"/>
    </xf>
    <xf numFmtId="0" fontId="52" fillId="4" borderId="74" xfId="0" applyFont="1" applyFill="1" applyBorder="1" applyAlignment="1">
      <alignment horizontal="center" vertical="center" wrapText="1"/>
    </xf>
    <xf numFmtId="0" fontId="52" fillId="4" borderId="1" xfId="0" applyFont="1" applyFill="1" applyBorder="1" applyAlignment="1">
      <alignment horizontal="center" vertical="center" wrapText="1"/>
    </xf>
    <xf numFmtId="0" fontId="51" fillId="21" borderId="19" xfId="0" applyFont="1" applyFill="1" applyBorder="1" applyAlignment="1">
      <alignment horizontal="center" vertical="center" wrapText="1"/>
    </xf>
    <xf numFmtId="0" fontId="51" fillId="21" borderId="20" xfId="0" applyFont="1" applyFill="1" applyBorder="1" applyAlignment="1">
      <alignment horizontal="center" vertical="center" wrapText="1"/>
    </xf>
    <xf numFmtId="0" fontId="51" fillId="21" borderId="76" xfId="0" applyFont="1" applyFill="1" applyBorder="1" applyAlignment="1">
      <alignment horizontal="center" vertical="center" wrapText="1"/>
    </xf>
    <xf numFmtId="0" fontId="51" fillId="21" borderId="77" xfId="0" applyFont="1" applyFill="1" applyBorder="1" applyAlignment="1">
      <alignment horizontal="center" vertical="center" wrapText="1"/>
    </xf>
    <xf numFmtId="0" fontId="51" fillId="21" borderId="78" xfId="0" applyFont="1" applyFill="1" applyBorder="1" applyAlignment="1">
      <alignment horizontal="center" vertical="center" wrapText="1"/>
    </xf>
    <xf numFmtId="0" fontId="53" fillId="4" borderId="74" xfId="0" applyFont="1" applyFill="1" applyBorder="1" applyAlignment="1">
      <alignment horizontal="center" vertical="center"/>
    </xf>
    <xf numFmtId="0" fontId="53" fillId="4" borderId="9" xfId="0" applyFont="1" applyFill="1" applyBorder="1" applyAlignment="1">
      <alignment horizontal="center" vertical="center"/>
    </xf>
    <xf numFmtId="0" fontId="53" fillId="4" borderId="111" xfId="0" applyFont="1" applyFill="1" applyBorder="1" applyAlignment="1">
      <alignment horizontal="center" vertical="center"/>
    </xf>
    <xf numFmtId="0" fontId="53" fillId="4" borderId="11" xfId="0" applyFont="1" applyFill="1" applyBorder="1" applyAlignment="1">
      <alignment horizontal="center" vertical="center"/>
    </xf>
    <xf numFmtId="0" fontId="51" fillId="21" borderId="80" xfId="0" applyFont="1" applyFill="1" applyBorder="1" applyAlignment="1">
      <alignment horizontal="center" vertical="center" wrapText="1"/>
    </xf>
    <xf numFmtId="0" fontId="51" fillId="21" borderId="105" xfId="0" applyFont="1" applyFill="1" applyBorder="1" applyAlignment="1">
      <alignment horizontal="center" vertical="center" wrapText="1"/>
    </xf>
    <xf numFmtId="0" fontId="49" fillId="2" borderId="25" xfId="0" applyFont="1" applyFill="1" applyBorder="1" applyAlignment="1">
      <alignment horizontal="center" vertical="center" wrapText="1"/>
    </xf>
    <xf numFmtId="0" fontId="49" fillId="2" borderId="91" xfId="0" applyFont="1" applyFill="1" applyBorder="1" applyAlignment="1">
      <alignment horizontal="center" vertical="center" wrapText="1"/>
    </xf>
    <xf numFmtId="0" fontId="49" fillId="2" borderId="56" xfId="0" applyFont="1" applyFill="1" applyBorder="1" applyAlignment="1">
      <alignment horizontal="center" vertical="center" wrapText="1"/>
    </xf>
    <xf numFmtId="0" fontId="23" fillId="13" borderId="65" xfId="0" applyFont="1" applyFill="1" applyBorder="1" applyAlignment="1">
      <alignment horizontal="center" vertical="center"/>
    </xf>
    <xf numFmtId="0" fontId="23" fillId="13" borderId="87" xfId="0" applyFont="1" applyFill="1" applyBorder="1" applyAlignment="1">
      <alignment horizontal="center" vertical="center"/>
    </xf>
    <xf numFmtId="0" fontId="23" fillId="13" borderId="86" xfId="0" applyFont="1" applyFill="1" applyBorder="1" applyAlignment="1">
      <alignment horizontal="center" vertical="center"/>
    </xf>
    <xf numFmtId="0" fontId="49" fillId="25" borderId="1" xfId="0" applyFont="1" applyFill="1" applyBorder="1" applyAlignment="1">
      <alignment horizontal="center" vertical="center" wrapText="1"/>
    </xf>
    <xf numFmtId="0" fontId="49" fillId="25" borderId="9" xfId="0" applyFont="1" applyFill="1" applyBorder="1" applyAlignment="1">
      <alignment horizontal="center" vertical="center" wrapText="1"/>
    </xf>
    <xf numFmtId="0" fontId="49" fillId="25" borderId="2" xfId="0" applyFont="1" applyFill="1" applyBorder="1" applyAlignment="1">
      <alignment horizontal="center" vertical="center" wrapText="1"/>
    </xf>
    <xf numFmtId="0" fontId="49" fillId="25" borderId="10" xfId="0" applyFont="1" applyFill="1" applyBorder="1" applyAlignment="1">
      <alignment horizontal="center" vertical="center" wrapText="1"/>
    </xf>
    <xf numFmtId="0" fontId="49" fillId="25" borderId="6" xfId="0" applyFont="1" applyFill="1" applyBorder="1" applyAlignment="1">
      <alignment horizontal="center" vertical="center" wrapText="1"/>
    </xf>
    <xf numFmtId="0" fontId="49" fillId="25" borderId="82" xfId="0" applyFont="1" applyFill="1" applyBorder="1" applyAlignment="1">
      <alignment horizontal="center" vertical="center" wrapText="1"/>
    </xf>
    <xf numFmtId="0" fontId="7" fillId="39" borderId="112" xfId="0" applyFont="1" applyFill="1" applyBorder="1" applyAlignment="1">
      <alignment horizontal="center" vertical="center"/>
    </xf>
    <xf numFmtId="0" fontId="7" fillId="39" borderId="19" xfId="0" applyFont="1" applyFill="1" applyBorder="1" applyAlignment="1">
      <alignment horizontal="center" vertical="center"/>
    </xf>
    <xf numFmtId="0" fontId="7" fillId="39" borderId="109" xfId="0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39" borderId="113" xfId="0" applyFont="1" applyFill="1" applyBorder="1" applyAlignment="1">
      <alignment horizontal="center" vertical="center"/>
    </xf>
    <xf numFmtId="0" fontId="7" fillId="39" borderId="23" xfId="0" applyFont="1" applyFill="1" applyBorder="1" applyAlignment="1">
      <alignment horizontal="center" vertical="center"/>
    </xf>
    <xf numFmtId="0" fontId="7" fillId="39" borderId="25" xfId="0" applyFont="1" applyFill="1" applyBorder="1" applyAlignment="1">
      <alignment horizontal="center"/>
    </xf>
    <xf numFmtId="0" fontId="7" fillId="39" borderId="91" xfId="0" applyFont="1" applyFill="1" applyBorder="1" applyAlignment="1">
      <alignment horizontal="center"/>
    </xf>
    <xf numFmtId="0" fontId="7" fillId="39" borderId="56" xfId="0" applyFont="1" applyFill="1" applyBorder="1" applyAlignment="1">
      <alignment horizontal="center"/>
    </xf>
    <xf numFmtId="0" fontId="49" fillId="27" borderId="25" xfId="0" applyFont="1" applyFill="1" applyBorder="1" applyAlignment="1">
      <alignment horizontal="center" vertical="center"/>
    </xf>
    <xf numFmtId="0" fontId="49" fillId="27" borderId="91" xfId="0" applyFont="1" applyFill="1" applyBorder="1" applyAlignment="1">
      <alignment horizontal="center" vertical="center"/>
    </xf>
    <xf numFmtId="0" fontId="49" fillId="27" borderId="56" xfId="0" applyFont="1" applyFill="1" applyBorder="1" applyAlignment="1">
      <alignment horizontal="center" vertical="center"/>
    </xf>
    <xf numFmtId="0" fontId="23" fillId="14" borderId="88" xfId="0" applyFont="1" applyFill="1" applyBorder="1" applyAlignment="1">
      <alignment horizontal="center" vertical="center"/>
    </xf>
    <xf numFmtId="0" fontId="23" fillId="14" borderId="92" xfId="0" applyFont="1" applyFill="1" applyBorder="1" applyAlignment="1">
      <alignment horizontal="center" vertical="center"/>
    </xf>
    <xf numFmtId="0" fontId="23" fillId="14" borderId="106" xfId="0" applyFont="1" applyFill="1" applyBorder="1" applyAlignment="1">
      <alignment horizontal="center" vertical="center"/>
    </xf>
    <xf numFmtId="0" fontId="23" fillId="14" borderId="18" xfId="0" applyFont="1" applyFill="1" applyBorder="1" applyAlignment="1">
      <alignment horizontal="center" vertical="center"/>
    </xf>
    <xf numFmtId="0" fontId="23" fillId="14" borderId="17" xfId="0" applyFont="1" applyFill="1" applyBorder="1" applyAlignment="1">
      <alignment horizontal="center" vertical="center"/>
    </xf>
    <xf numFmtId="0" fontId="23" fillId="14" borderId="22" xfId="0" applyFont="1" applyFill="1" applyBorder="1" applyAlignment="1">
      <alignment horizontal="center" vertical="center"/>
    </xf>
    <xf numFmtId="0" fontId="7" fillId="39" borderId="20" xfId="0" applyFont="1" applyFill="1" applyBorder="1" applyAlignment="1">
      <alignment horizontal="center"/>
    </xf>
    <xf numFmtId="0" fontId="7" fillId="39" borderId="21" xfId="0" applyFont="1" applyFill="1" applyBorder="1" applyAlignment="1">
      <alignment horizontal="center"/>
    </xf>
    <xf numFmtId="0" fontId="7" fillId="39" borderId="24" xfId="0" applyFont="1" applyFill="1" applyBorder="1" applyAlignment="1">
      <alignment horizontal="center"/>
    </xf>
    <xf numFmtId="0" fontId="49" fillId="28" borderId="25" xfId="0" applyFont="1" applyFill="1" applyBorder="1" applyAlignment="1">
      <alignment horizontal="center" vertical="center"/>
    </xf>
    <xf numFmtId="0" fontId="49" fillId="28" borderId="91" xfId="0" applyFont="1" applyFill="1" applyBorder="1" applyAlignment="1">
      <alignment horizontal="center" vertical="center"/>
    </xf>
    <xf numFmtId="0" fontId="49" fillId="28" borderId="56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7" fillId="39" borderId="18" xfId="0" applyFont="1" applyFill="1" applyBorder="1" applyAlignment="1">
      <alignment horizontal="center"/>
    </xf>
    <xf numFmtId="0" fontId="7" fillId="39" borderId="17" xfId="0" applyFont="1" applyFill="1" applyBorder="1" applyAlignment="1">
      <alignment horizontal="center"/>
    </xf>
    <xf numFmtId="0" fontId="7" fillId="39" borderId="22" xfId="0" applyFont="1" applyFill="1" applyBorder="1" applyAlignment="1">
      <alignment horizontal="center"/>
    </xf>
    <xf numFmtId="0" fontId="49" fillId="29" borderId="1" xfId="0" applyFont="1" applyFill="1" applyBorder="1" applyAlignment="1">
      <alignment horizontal="center" vertical="center" wrapText="1"/>
    </xf>
    <xf numFmtId="0" fontId="49" fillId="29" borderId="9" xfId="0" applyFont="1" applyFill="1" applyBorder="1" applyAlignment="1">
      <alignment horizontal="center" vertical="center" wrapText="1"/>
    </xf>
    <xf numFmtId="0" fontId="49" fillId="29" borderId="2" xfId="0" applyFont="1" applyFill="1" applyBorder="1" applyAlignment="1">
      <alignment horizontal="center" vertical="center" wrapText="1"/>
    </xf>
    <xf numFmtId="0" fontId="49" fillId="29" borderId="10" xfId="0" applyFont="1" applyFill="1" applyBorder="1" applyAlignment="1">
      <alignment horizontal="center" vertical="center" wrapText="1"/>
    </xf>
    <xf numFmtId="0" fontId="49" fillId="29" borderId="6" xfId="0" applyFont="1" applyFill="1" applyBorder="1" applyAlignment="1">
      <alignment horizontal="center" vertical="center" wrapText="1"/>
    </xf>
    <xf numFmtId="0" fontId="49" fillId="29" borderId="82" xfId="0" applyFont="1" applyFill="1" applyBorder="1" applyAlignment="1">
      <alignment horizontal="center" vertical="center" wrapText="1"/>
    </xf>
    <xf numFmtId="0" fontId="7" fillId="39" borderId="19" xfId="0" applyFont="1" applyFill="1" applyBorder="1" applyAlignment="1">
      <alignment horizontal="center"/>
    </xf>
    <xf numFmtId="0" fontId="7" fillId="39" borderId="0" xfId="0" applyFont="1" applyFill="1" applyAlignment="1">
      <alignment horizontal="center"/>
    </xf>
    <xf numFmtId="0" fontId="7" fillId="39" borderId="23" xfId="0" applyFont="1" applyFill="1" applyBorder="1" applyAlignment="1">
      <alignment horizontal="center"/>
    </xf>
    <xf numFmtId="0" fontId="33" fillId="21" borderId="82" xfId="0" applyFont="1" applyFill="1" applyBorder="1" applyAlignment="1">
      <alignment horizontal="center" vertical="center" wrapText="1"/>
    </xf>
    <xf numFmtId="0" fontId="33" fillId="21" borderId="102" xfId="0" applyFont="1" applyFill="1" applyBorder="1" applyAlignment="1">
      <alignment horizontal="center" vertical="center" wrapText="1"/>
    </xf>
    <xf numFmtId="0" fontId="33" fillId="21" borderId="84" xfId="0" applyFont="1" applyFill="1" applyBorder="1" applyAlignment="1">
      <alignment horizontal="center" vertical="center" wrapText="1"/>
    </xf>
    <xf numFmtId="0" fontId="33" fillId="36" borderId="22" xfId="0" applyFont="1" applyFill="1" applyBorder="1" applyAlignment="1">
      <alignment horizontal="center" vertical="center" wrapText="1"/>
    </xf>
    <xf numFmtId="0" fontId="33" fillId="36" borderId="101" xfId="0" applyFont="1" applyFill="1" applyBorder="1" applyAlignment="1">
      <alignment horizontal="center" vertical="center" wrapText="1"/>
    </xf>
    <xf numFmtId="0" fontId="33" fillId="21" borderId="19" xfId="0" applyFont="1" applyFill="1" applyBorder="1" applyAlignment="1">
      <alignment horizontal="center" vertical="center" wrapText="1"/>
    </xf>
    <xf numFmtId="2" fontId="36" fillId="34" borderId="18" xfId="0" applyNumberFormat="1" applyFont="1" applyFill="1" applyBorder="1" applyAlignment="1">
      <alignment horizontal="center"/>
    </xf>
    <xf numFmtId="2" fontId="36" fillId="34" borderId="20" xfId="0" applyNumberFormat="1" applyFont="1" applyFill="1" applyBorder="1" applyAlignment="1">
      <alignment horizontal="center"/>
    </xf>
    <xf numFmtId="2" fontId="36" fillId="34" borderId="17" xfId="0" applyNumberFormat="1" applyFont="1" applyFill="1" applyBorder="1" applyAlignment="1">
      <alignment horizontal="center"/>
    </xf>
    <xf numFmtId="2" fontId="36" fillId="34" borderId="21" xfId="0" applyNumberFormat="1" applyFont="1" applyFill="1" applyBorder="1" applyAlignment="1">
      <alignment horizontal="center"/>
    </xf>
    <xf numFmtId="2" fontId="36" fillId="34" borderId="22" xfId="0" applyNumberFormat="1" applyFont="1" applyFill="1" applyBorder="1" applyAlignment="1">
      <alignment horizontal="center"/>
    </xf>
    <xf numFmtId="2" fontId="36" fillId="34" borderId="24" xfId="0" applyNumberFormat="1" applyFont="1" applyFill="1" applyBorder="1" applyAlignment="1">
      <alignment horizontal="center"/>
    </xf>
    <xf numFmtId="0" fontId="36" fillId="34" borderId="25" xfId="0" applyFont="1" applyFill="1" applyBorder="1" applyAlignment="1">
      <alignment horizontal="center"/>
    </xf>
    <xf numFmtId="0" fontId="36" fillId="34" borderId="91" xfId="0" applyFont="1" applyFill="1" applyBorder="1" applyAlignment="1">
      <alignment horizontal="center"/>
    </xf>
    <xf numFmtId="0" fontId="36" fillId="34" borderId="56" xfId="0" applyFont="1" applyFill="1" applyBorder="1" applyAlignment="1">
      <alignment horizontal="center"/>
    </xf>
    <xf numFmtId="0" fontId="33" fillId="29" borderId="104" xfId="0" applyFont="1" applyFill="1" applyBorder="1" applyAlignment="1">
      <alignment horizontal="center" vertical="center" wrapText="1"/>
    </xf>
    <xf numFmtId="0" fontId="33" fillId="29" borderId="105" xfId="0" applyFont="1" applyFill="1" applyBorder="1" applyAlignment="1">
      <alignment horizontal="center" vertical="center" wrapText="1"/>
    </xf>
    <xf numFmtId="0" fontId="34" fillId="19" borderId="18" xfId="0" applyFont="1" applyFill="1" applyBorder="1" applyAlignment="1">
      <alignment horizontal="center" vertical="center" wrapText="1"/>
    </xf>
    <xf numFmtId="0" fontId="34" fillId="19" borderId="19" xfId="0" applyFont="1" applyFill="1" applyBorder="1" applyAlignment="1">
      <alignment horizontal="center" vertical="center" wrapText="1"/>
    </xf>
    <xf numFmtId="0" fontId="34" fillId="19" borderId="103" xfId="0" applyFont="1" applyFill="1" applyBorder="1" applyAlignment="1">
      <alignment horizontal="center" vertical="center" wrapText="1"/>
    </xf>
    <xf numFmtId="0" fontId="34" fillId="4" borderId="77" xfId="0" applyFont="1" applyFill="1" applyBorder="1" applyAlignment="1">
      <alignment horizontal="center" vertical="center" wrapText="1"/>
    </xf>
    <xf numFmtId="0" fontId="34" fillId="4" borderId="99" xfId="0" applyFont="1" applyFill="1" applyBorder="1" applyAlignment="1">
      <alignment horizontal="center" vertical="center" wrapText="1"/>
    </xf>
    <xf numFmtId="0" fontId="34" fillId="4" borderId="76" xfId="0" applyFont="1" applyFill="1" applyBorder="1" applyAlignment="1">
      <alignment horizontal="center" vertical="center" wrapText="1"/>
    </xf>
    <xf numFmtId="0" fontId="33" fillId="21" borderId="100" xfId="0" applyFont="1" applyFill="1" applyBorder="1" applyAlignment="1">
      <alignment horizontal="center" vertical="center" wrapText="1"/>
    </xf>
    <xf numFmtId="0" fontId="33" fillId="21" borderId="99" xfId="0" applyFont="1" applyFill="1" applyBorder="1" applyAlignment="1">
      <alignment horizontal="center" vertical="center" wrapText="1"/>
    </xf>
    <xf numFmtId="0" fontId="33" fillId="21" borderId="77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1" fillId="21" borderId="25" xfId="0" applyFont="1" applyFill="1" applyBorder="1" applyAlignment="1">
      <alignment horizontal="center" vertical="center"/>
    </xf>
    <xf numFmtId="0" fontId="1" fillId="21" borderId="56" xfId="0" applyFont="1" applyFill="1" applyBorder="1" applyAlignment="1">
      <alignment horizontal="center" vertical="center"/>
    </xf>
    <xf numFmtId="0" fontId="1" fillId="21" borderId="18" xfId="0" applyFont="1" applyFill="1" applyBorder="1" applyAlignment="1">
      <alignment horizontal="center" vertical="center"/>
    </xf>
    <xf numFmtId="0" fontId="1" fillId="21" borderId="17" xfId="0" applyFont="1" applyFill="1" applyBorder="1" applyAlignment="1">
      <alignment horizontal="center" vertical="center"/>
    </xf>
    <xf numFmtId="0" fontId="1" fillId="4" borderId="74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33" fillId="21" borderId="65" xfId="0" applyFont="1" applyFill="1" applyBorder="1" applyAlignment="1">
      <alignment horizontal="center" vertical="center" wrapText="1"/>
    </xf>
    <xf numFmtId="0" fontId="33" fillId="21" borderId="83" xfId="0" applyFont="1" applyFill="1" applyBorder="1" applyAlignment="1">
      <alignment horizontal="center" vertical="center" wrapText="1"/>
    </xf>
    <xf numFmtId="0" fontId="33" fillId="21" borderId="14" xfId="0" applyFont="1" applyFill="1" applyBorder="1" applyAlignment="1">
      <alignment horizontal="center" vertical="center" wrapText="1"/>
    </xf>
    <xf numFmtId="0" fontId="33" fillId="21" borderId="61" xfId="0" applyFont="1" applyFill="1" applyBorder="1" applyAlignment="1">
      <alignment horizontal="center" vertical="center" wrapText="1"/>
    </xf>
    <xf numFmtId="0" fontId="33" fillId="21" borderId="79" xfId="0" applyFont="1" applyFill="1" applyBorder="1" applyAlignment="1">
      <alignment horizontal="center" vertical="center" wrapText="1"/>
    </xf>
    <xf numFmtId="0" fontId="33" fillId="21" borderId="5" xfId="0" applyFont="1" applyFill="1" applyBorder="1" applyAlignment="1">
      <alignment horizontal="center" vertical="center" wrapText="1"/>
    </xf>
    <xf numFmtId="0" fontId="36" fillId="13" borderId="65" xfId="0" applyFont="1" applyFill="1" applyBorder="1" applyAlignment="1">
      <alignment horizontal="center" vertical="center"/>
    </xf>
    <xf numFmtId="0" fontId="36" fillId="13" borderId="87" xfId="0" applyFont="1" applyFill="1" applyBorder="1" applyAlignment="1">
      <alignment horizontal="center" vertical="center"/>
    </xf>
    <xf numFmtId="0" fontId="36" fillId="13" borderId="86" xfId="0" applyFont="1" applyFill="1" applyBorder="1" applyAlignment="1">
      <alignment horizontal="center" vertical="center"/>
    </xf>
    <xf numFmtId="0" fontId="40" fillId="31" borderId="25" xfId="0" applyFont="1" applyFill="1" applyBorder="1" applyAlignment="1">
      <alignment horizontal="center" vertical="center" wrapText="1"/>
    </xf>
    <xf numFmtId="0" fontId="40" fillId="31" borderId="91" xfId="0" applyFont="1" applyFill="1" applyBorder="1" applyAlignment="1">
      <alignment horizontal="center" vertical="center" wrapText="1"/>
    </xf>
    <xf numFmtId="0" fontId="40" fillId="31" borderId="56" xfId="0" applyFont="1" applyFill="1" applyBorder="1" applyAlignment="1">
      <alignment horizontal="center" vertical="center" wrapText="1"/>
    </xf>
    <xf numFmtId="0" fontId="32" fillId="25" borderId="1" xfId="0" applyFont="1" applyFill="1" applyBorder="1" applyAlignment="1">
      <alignment horizontal="center" vertical="center" wrapText="1"/>
    </xf>
    <xf numFmtId="0" fontId="32" fillId="25" borderId="9" xfId="0" applyFont="1" applyFill="1" applyBorder="1" applyAlignment="1">
      <alignment horizontal="center" vertical="center" wrapText="1"/>
    </xf>
    <xf numFmtId="0" fontId="32" fillId="25" borderId="2" xfId="0" applyFont="1" applyFill="1" applyBorder="1" applyAlignment="1">
      <alignment horizontal="center" vertical="center" wrapText="1"/>
    </xf>
    <xf numFmtId="0" fontId="32" fillId="25" borderId="10" xfId="0" applyFont="1" applyFill="1" applyBorder="1" applyAlignment="1">
      <alignment horizontal="center" vertical="center" wrapText="1"/>
    </xf>
    <xf numFmtId="0" fontId="32" fillId="25" borderId="6" xfId="0" applyFont="1" applyFill="1" applyBorder="1" applyAlignment="1">
      <alignment horizontal="center" vertical="center" wrapText="1"/>
    </xf>
    <xf numFmtId="0" fontId="32" fillId="25" borderId="82" xfId="0" applyFont="1" applyFill="1" applyBorder="1" applyAlignment="1">
      <alignment horizontal="center" vertical="center" wrapText="1"/>
    </xf>
    <xf numFmtId="0" fontId="36" fillId="14" borderId="65" xfId="0" applyFont="1" applyFill="1" applyBorder="1" applyAlignment="1">
      <alignment horizontal="center" vertical="center"/>
    </xf>
    <xf numFmtId="0" fontId="36" fillId="14" borderId="87" xfId="0" applyFont="1" applyFill="1" applyBorder="1" applyAlignment="1">
      <alignment horizontal="center" vertical="center"/>
    </xf>
    <xf numFmtId="0" fontId="36" fillId="14" borderId="83" xfId="0" applyFont="1" applyFill="1" applyBorder="1" applyAlignment="1">
      <alignment horizontal="center" vertical="center"/>
    </xf>
    <xf numFmtId="0" fontId="36" fillId="14" borderId="25" xfId="0" applyFont="1" applyFill="1" applyBorder="1" applyAlignment="1">
      <alignment horizontal="center" vertical="center"/>
    </xf>
    <xf numFmtId="0" fontId="36" fillId="14" borderId="91" xfId="0" applyFont="1" applyFill="1" applyBorder="1" applyAlignment="1">
      <alignment horizontal="center" vertical="center"/>
    </xf>
    <xf numFmtId="0" fontId="36" fillId="14" borderId="56" xfId="0" applyFont="1" applyFill="1" applyBorder="1" applyAlignment="1">
      <alignment horizontal="center" vertical="center"/>
    </xf>
    <xf numFmtId="0" fontId="32" fillId="25" borderId="74" xfId="0" applyFont="1" applyFill="1" applyBorder="1" applyAlignment="1">
      <alignment horizontal="center" vertical="center" wrapText="1"/>
    </xf>
    <xf numFmtId="0" fontId="32" fillId="25" borderId="79" xfId="0" applyFont="1" applyFill="1" applyBorder="1" applyAlignment="1">
      <alignment horizontal="center" vertical="center" wrapText="1"/>
    </xf>
    <xf numFmtId="0" fontId="32" fillId="25" borderId="95" xfId="0" applyFont="1" applyFill="1" applyBorder="1" applyAlignment="1">
      <alignment horizontal="center" vertical="center" wrapText="1"/>
    </xf>
    <xf numFmtId="0" fontId="32" fillId="25" borderId="3" xfId="0" applyFont="1" applyFill="1" applyBorder="1" applyAlignment="1">
      <alignment horizontal="center" vertical="center" wrapText="1"/>
    </xf>
    <xf numFmtId="0" fontId="32" fillId="25" borderId="81" xfId="0" applyFont="1" applyFill="1" applyBorder="1" applyAlignment="1">
      <alignment horizontal="center" vertical="center" wrapText="1"/>
    </xf>
    <xf numFmtId="0" fontId="32" fillId="25" borderId="85" xfId="0" applyFont="1" applyFill="1" applyBorder="1" applyAlignment="1">
      <alignment horizontal="center" vertical="center" wrapText="1"/>
    </xf>
    <xf numFmtId="0" fontId="40" fillId="27" borderId="25" xfId="0" applyFont="1" applyFill="1" applyBorder="1" applyAlignment="1">
      <alignment horizontal="center" vertical="center"/>
    </xf>
    <xf numFmtId="0" fontId="40" fillId="27" borderId="91" xfId="0" applyFont="1" applyFill="1" applyBorder="1" applyAlignment="1">
      <alignment horizontal="center" vertical="center"/>
    </xf>
    <xf numFmtId="0" fontId="40" fillId="27" borderId="56" xfId="0" applyFont="1" applyFill="1" applyBorder="1" applyAlignment="1">
      <alignment horizontal="center" vertical="center"/>
    </xf>
    <xf numFmtId="0" fontId="36" fillId="22" borderId="25" xfId="0" applyFont="1" applyFill="1" applyBorder="1" applyAlignment="1">
      <alignment horizontal="center" vertical="center"/>
    </xf>
    <xf numFmtId="0" fontId="36" fillId="22" borderId="91" xfId="0" applyFont="1" applyFill="1" applyBorder="1" applyAlignment="1">
      <alignment horizontal="center" vertical="center"/>
    </xf>
    <xf numFmtId="0" fontId="36" fillId="22" borderId="56" xfId="0" applyFont="1" applyFill="1" applyBorder="1" applyAlignment="1">
      <alignment horizontal="center" vertical="center"/>
    </xf>
    <xf numFmtId="0" fontId="32" fillId="32" borderId="74" xfId="0" applyFont="1" applyFill="1" applyBorder="1" applyAlignment="1">
      <alignment horizontal="center" vertical="center" wrapText="1"/>
    </xf>
    <xf numFmtId="0" fontId="32" fillId="32" borderId="79" xfId="0" applyFont="1" applyFill="1" applyBorder="1" applyAlignment="1">
      <alignment horizontal="center" vertical="center" wrapText="1"/>
    </xf>
    <xf numFmtId="0" fontId="32" fillId="32" borderId="95" xfId="0" applyFont="1" applyFill="1" applyBorder="1" applyAlignment="1">
      <alignment horizontal="center" vertical="center" wrapText="1"/>
    </xf>
    <xf numFmtId="0" fontId="32" fillId="32" borderId="3" xfId="0" applyFont="1" applyFill="1" applyBorder="1" applyAlignment="1">
      <alignment horizontal="center" vertical="center" wrapText="1"/>
    </xf>
    <xf numFmtId="0" fontId="32" fillId="32" borderId="81" xfId="0" applyFont="1" applyFill="1" applyBorder="1" applyAlignment="1">
      <alignment horizontal="center" vertical="center" wrapText="1"/>
    </xf>
    <xf numFmtId="0" fontId="32" fillId="32" borderId="85" xfId="0" applyFont="1" applyFill="1" applyBorder="1" applyAlignment="1">
      <alignment horizontal="center" vertical="center" wrapText="1"/>
    </xf>
    <xf numFmtId="0" fontId="39" fillId="28" borderId="25" xfId="0" applyFont="1" applyFill="1" applyBorder="1" applyAlignment="1">
      <alignment horizontal="center" vertical="center"/>
    </xf>
    <xf numFmtId="0" fontId="39" fillId="28" borderId="91" xfId="0" applyFont="1" applyFill="1" applyBorder="1" applyAlignment="1">
      <alignment horizontal="center" vertical="center"/>
    </xf>
    <xf numFmtId="0" fontId="39" fillId="28" borderId="56" xfId="0" applyFont="1" applyFill="1" applyBorder="1" applyAlignment="1">
      <alignment horizontal="center" vertical="center"/>
    </xf>
    <xf numFmtId="0" fontId="36" fillId="13" borderId="25" xfId="0" applyFont="1" applyFill="1" applyBorder="1" applyAlignment="1">
      <alignment horizontal="center" vertical="center"/>
    </xf>
    <xf numFmtId="0" fontId="36" fillId="13" borderId="91" xfId="0" applyFont="1" applyFill="1" applyBorder="1" applyAlignment="1">
      <alignment horizontal="center" vertical="center"/>
    </xf>
    <xf numFmtId="0" fontId="36" fillId="13" borderId="56" xfId="0" applyFont="1" applyFill="1" applyBorder="1" applyAlignment="1">
      <alignment horizontal="center" vertical="center"/>
    </xf>
    <xf numFmtId="0" fontId="32" fillId="29" borderId="74" xfId="0" applyFont="1" applyFill="1" applyBorder="1" applyAlignment="1">
      <alignment horizontal="center" vertical="center" wrapText="1"/>
    </xf>
    <xf numFmtId="0" fontId="32" fillId="29" borderId="79" xfId="0" applyFont="1" applyFill="1" applyBorder="1" applyAlignment="1">
      <alignment horizontal="center" vertical="center" wrapText="1"/>
    </xf>
    <xf numFmtId="0" fontId="32" fillId="29" borderId="95" xfId="0" applyFont="1" applyFill="1" applyBorder="1" applyAlignment="1">
      <alignment horizontal="center" vertical="center" wrapText="1"/>
    </xf>
    <xf numFmtId="0" fontId="32" fillId="29" borderId="3" xfId="0" applyFont="1" applyFill="1" applyBorder="1" applyAlignment="1">
      <alignment horizontal="center" vertical="center" wrapText="1"/>
    </xf>
    <xf numFmtId="0" fontId="32" fillId="29" borderId="81" xfId="0" applyFont="1" applyFill="1" applyBorder="1" applyAlignment="1">
      <alignment horizontal="center" vertical="center" wrapText="1"/>
    </xf>
    <xf numFmtId="0" fontId="32" fillId="29" borderId="85" xfId="0" applyFont="1" applyFill="1" applyBorder="1" applyAlignment="1">
      <alignment horizontal="center" vertical="center" wrapText="1"/>
    </xf>
    <xf numFmtId="0" fontId="36" fillId="34" borderId="18" xfId="0" applyFont="1" applyFill="1" applyBorder="1" applyAlignment="1">
      <alignment horizontal="center"/>
    </xf>
    <xf numFmtId="0" fontId="36" fillId="34" borderId="20" xfId="0" applyFont="1" applyFill="1" applyBorder="1" applyAlignment="1">
      <alignment horizontal="center"/>
    </xf>
    <xf numFmtId="0" fontId="36" fillId="34" borderId="17" xfId="0" applyFont="1" applyFill="1" applyBorder="1" applyAlignment="1">
      <alignment horizontal="center"/>
    </xf>
    <xf numFmtId="0" fontId="36" fillId="34" borderId="21" xfId="0" applyFont="1" applyFill="1" applyBorder="1" applyAlignment="1">
      <alignment horizontal="center"/>
    </xf>
    <xf numFmtId="0" fontId="36" fillId="34" borderId="22" xfId="0" applyFont="1" applyFill="1" applyBorder="1" applyAlignment="1">
      <alignment horizontal="center"/>
    </xf>
    <xf numFmtId="0" fontId="36" fillId="34" borderId="24" xfId="0" applyFont="1" applyFill="1" applyBorder="1" applyAlignment="1">
      <alignment horizontal="center"/>
    </xf>
    <xf numFmtId="0" fontId="32" fillId="8" borderId="74" xfId="0" applyFont="1" applyFill="1" applyBorder="1" applyAlignment="1">
      <alignment horizontal="center" vertical="center" wrapText="1"/>
    </xf>
    <xf numFmtId="0" fontId="32" fillId="8" borderId="79" xfId="0" applyFont="1" applyFill="1" applyBorder="1" applyAlignment="1">
      <alignment horizontal="center" vertical="center" wrapText="1"/>
    </xf>
    <xf numFmtId="0" fontId="32" fillId="8" borderId="95" xfId="0" applyFont="1" applyFill="1" applyBorder="1" applyAlignment="1">
      <alignment horizontal="center" vertical="center" wrapText="1"/>
    </xf>
    <xf numFmtId="0" fontId="32" fillId="8" borderId="3" xfId="0" applyFont="1" applyFill="1" applyBorder="1" applyAlignment="1">
      <alignment horizontal="center" vertical="center" wrapText="1"/>
    </xf>
    <xf numFmtId="0" fontId="32" fillId="8" borderId="81" xfId="0" applyFont="1" applyFill="1" applyBorder="1" applyAlignment="1">
      <alignment horizontal="center" vertical="center" wrapText="1"/>
    </xf>
    <xf numFmtId="0" fontId="32" fillId="8" borderId="85" xfId="0" applyFont="1" applyFill="1" applyBorder="1" applyAlignment="1">
      <alignment horizontal="center" vertical="center" wrapText="1"/>
    </xf>
    <xf numFmtId="0" fontId="38" fillId="13" borderId="25" xfId="0" applyFont="1" applyFill="1" applyBorder="1" applyAlignment="1">
      <alignment horizontal="center" vertical="center" wrapText="1"/>
    </xf>
    <xf numFmtId="0" fontId="38" fillId="13" borderId="91" xfId="0" applyFont="1" applyFill="1" applyBorder="1" applyAlignment="1">
      <alignment horizontal="center" vertical="center" wrapText="1"/>
    </xf>
    <xf numFmtId="0" fontId="38" fillId="13" borderId="56" xfId="0" applyFont="1" applyFill="1" applyBorder="1" applyAlignment="1">
      <alignment horizontal="center" vertical="center" wrapText="1"/>
    </xf>
    <xf numFmtId="0" fontId="35" fillId="37" borderId="106" xfId="0" applyFont="1" applyFill="1" applyBorder="1" applyAlignment="1">
      <alignment horizontal="center" vertical="center"/>
    </xf>
    <xf numFmtId="0" fontId="35" fillId="37" borderId="94" xfId="0" applyFont="1" applyFill="1" applyBorder="1" applyAlignment="1">
      <alignment horizontal="center" vertical="center"/>
    </xf>
    <xf numFmtId="0" fontId="34" fillId="35" borderId="18" xfId="0" applyFont="1" applyFill="1" applyBorder="1" applyAlignment="1">
      <alignment horizontal="center" vertical="center" wrapText="1"/>
    </xf>
    <xf numFmtId="0" fontId="34" fillId="35" borderId="20" xfId="0" applyFont="1" applyFill="1" applyBorder="1" applyAlignment="1">
      <alignment horizontal="center" vertical="center" wrapText="1"/>
    </xf>
    <xf numFmtId="0" fontId="34" fillId="35" borderId="22" xfId="0" applyFont="1" applyFill="1" applyBorder="1" applyAlignment="1">
      <alignment horizontal="center" vertical="center" wrapText="1"/>
    </xf>
    <xf numFmtId="0" fontId="34" fillId="35" borderId="21" xfId="0" applyFont="1" applyFill="1" applyBorder="1" applyAlignment="1">
      <alignment horizontal="center" vertical="center" wrapText="1"/>
    </xf>
    <xf numFmtId="0" fontId="37" fillId="40" borderId="74" xfId="0" applyFont="1" applyFill="1" applyBorder="1" applyAlignment="1">
      <alignment horizontal="center" vertical="center" wrapText="1"/>
    </xf>
    <xf numFmtId="0" fontId="37" fillId="40" borderId="79" xfId="0" applyFont="1" applyFill="1" applyBorder="1" applyAlignment="1">
      <alignment horizontal="center" vertical="center" wrapText="1"/>
    </xf>
    <xf numFmtId="0" fontId="37" fillId="40" borderId="95" xfId="0" applyFont="1" applyFill="1" applyBorder="1" applyAlignment="1">
      <alignment horizontal="center" vertical="center" wrapText="1"/>
    </xf>
    <xf numFmtId="0" fontId="37" fillId="40" borderId="3" xfId="0" applyFont="1" applyFill="1" applyBorder="1" applyAlignment="1">
      <alignment horizontal="center" vertical="center" wrapText="1"/>
    </xf>
    <xf numFmtId="0" fontId="37" fillId="40" borderId="81" xfId="0" applyFont="1" applyFill="1" applyBorder="1" applyAlignment="1">
      <alignment horizontal="center" vertical="center" wrapText="1"/>
    </xf>
    <xf numFmtId="0" fontId="37" fillId="40" borderId="85" xfId="0" applyFont="1" applyFill="1" applyBorder="1" applyAlignment="1">
      <alignment horizontal="center" vertical="center" wrapText="1"/>
    </xf>
    <xf numFmtId="0" fontId="37" fillId="44" borderId="74" xfId="0" applyFont="1" applyFill="1" applyBorder="1" applyAlignment="1">
      <alignment horizontal="center" vertical="center" wrapText="1"/>
    </xf>
    <xf numFmtId="0" fontId="37" fillId="44" borderId="79" xfId="0" applyFont="1" applyFill="1" applyBorder="1" applyAlignment="1">
      <alignment horizontal="center" vertical="center" wrapText="1"/>
    </xf>
    <xf numFmtId="0" fontId="37" fillId="44" borderId="95" xfId="0" applyFont="1" applyFill="1" applyBorder="1" applyAlignment="1">
      <alignment horizontal="center" vertical="center" wrapText="1"/>
    </xf>
    <xf numFmtId="0" fontId="37" fillId="44" borderId="3" xfId="0" applyFont="1" applyFill="1" applyBorder="1" applyAlignment="1">
      <alignment horizontal="center" vertical="center" wrapText="1"/>
    </xf>
    <xf numFmtId="0" fontId="37" fillId="44" borderId="81" xfId="0" applyFont="1" applyFill="1" applyBorder="1" applyAlignment="1">
      <alignment horizontal="center" vertical="center" wrapText="1"/>
    </xf>
    <xf numFmtId="0" fontId="37" fillId="44" borderId="85" xfId="0" applyFont="1" applyFill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63" fillId="27" borderId="1" xfId="0" applyFont="1" applyFill="1" applyBorder="1" applyAlignment="1">
      <alignment horizontal="center" vertical="center"/>
    </xf>
    <xf numFmtId="0" fontId="37" fillId="40" borderId="8" xfId="0" applyFont="1" applyFill="1" applyBorder="1" applyAlignment="1">
      <alignment horizontal="center" vertical="center" wrapText="1"/>
    </xf>
    <xf numFmtId="0" fontId="37" fillId="40" borderId="90" xfId="0" applyFont="1" applyFill="1" applyBorder="1" applyAlignment="1">
      <alignment horizontal="center" vertical="center" wrapText="1"/>
    </xf>
    <xf numFmtId="0" fontId="37" fillId="40" borderId="2" xfId="0" applyFont="1" applyFill="1" applyBorder="1" applyAlignment="1">
      <alignment horizontal="center" vertical="center" wrapText="1"/>
    </xf>
    <xf numFmtId="0" fontId="37" fillId="40" borderId="10" xfId="0" applyFont="1" applyFill="1" applyBorder="1" applyAlignment="1">
      <alignment horizontal="center" vertical="center" wrapText="1"/>
    </xf>
    <xf numFmtId="0" fontId="37" fillId="40" borderId="6" xfId="0" applyFont="1" applyFill="1" applyBorder="1" applyAlignment="1">
      <alignment horizontal="center" vertical="center" wrapText="1"/>
    </xf>
    <xf numFmtId="0" fontId="37" fillId="40" borderId="82" xfId="0" applyFont="1" applyFill="1" applyBorder="1" applyAlignment="1">
      <alignment horizontal="center" vertical="center" wrapText="1"/>
    </xf>
    <xf numFmtId="0" fontId="59" fillId="0" borderId="116" xfId="0" applyFont="1" applyBorder="1" applyAlignment="1">
      <alignment horizontal="center" vertical="center" wrapText="1"/>
    </xf>
    <xf numFmtId="0" fontId="59" fillId="0" borderId="117" xfId="0" applyFont="1" applyBorder="1" applyAlignment="1">
      <alignment horizontal="center" vertical="center" wrapText="1"/>
    </xf>
    <xf numFmtId="0" fontId="48" fillId="0" borderId="114" xfId="0" applyFont="1" applyBorder="1" applyAlignment="1">
      <alignment horizontal="center" vertical="top" wrapText="1"/>
    </xf>
    <xf numFmtId="0" fontId="48" fillId="0" borderId="115" xfId="0" applyFont="1" applyBorder="1" applyAlignment="1">
      <alignment horizontal="center" vertical="top" wrapText="1"/>
    </xf>
    <xf numFmtId="0" fontId="32" fillId="27" borderId="1" xfId="0" applyFont="1" applyFill="1" applyBorder="1" applyAlignment="1">
      <alignment horizontal="center" vertical="center"/>
    </xf>
    <xf numFmtId="0" fontId="32" fillId="36" borderId="1" xfId="0" applyFont="1" applyFill="1" applyBorder="1" applyAlignment="1">
      <alignment horizontal="center" vertical="center"/>
    </xf>
    <xf numFmtId="0" fontId="32" fillId="36" borderId="79" xfId="0" applyFont="1" applyFill="1" applyBorder="1" applyAlignment="1">
      <alignment horizontal="center" vertical="center"/>
    </xf>
    <xf numFmtId="0" fontId="63" fillId="36" borderId="9" xfId="0" applyFont="1" applyFill="1" applyBorder="1" applyAlignment="1">
      <alignment horizontal="center" vertical="center"/>
    </xf>
    <xf numFmtId="0" fontId="63" fillId="36" borderId="107" xfId="0" applyFont="1" applyFill="1" applyBorder="1" applyAlignment="1">
      <alignment horizontal="center" vertical="center"/>
    </xf>
    <xf numFmtId="0" fontId="63" fillId="36" borderId="80" xfId="0" applyFont="1" applyFill="1" applyBorder="1" applyAlignment="1">
      <alignment horizontal="center" vertical="center"/>
    </xf>
    <xf numFmtId="0" fontId="61" fillId="0" borderId="58" xfId="0" applyFont="1" applyBorder="1" applyAlignment="1">
      <alignment horizontal="center" vertical="center"/>
    </xf>
    <xf numFmtId="0" fontId="61" fillId="0" borderId="110" xfId="0" applyFont="1" applyBorder="1" applyAlignment="1">
      <alignment horizontal="center" vertical="center"/>
    </xf>
    <xf numFmtId="0" fontId="63" fillId="27" borderId="2" xfId="0" applyFont="1" applyFill="1" applyBorder="1" applyAlignment="1">
      <alignment horizontal="center" vertical="center"/>
    </xf>
    <xf numFmtId="0" fontId="37" fillId="44" borderId="2" xfId="0" applyFont="1" applyFill="1" applyBorder="1" applyAlignment="1">
      <alignment horizontal="center" vertical="center" wrapText="1"/>
    </xf>
    <xf numFmtId="0" fontId="70" fillId="4" borderId="76" xfId="0" applyFont="1" applyFill="1" applyBorder="1" applyAlignment="1">
      <alignment horizontal="center" vertical="center" wrapText="1"/>
    </xf>
    <xf numFmtId="0" fontId="70" fillId="4" borderId="77" xfId="0" applyFont="1" applyFill="1" applyBorder="1" applyAlignment="1">
      <alignment horizontal="center" vertical="center" wrapText="1"/>
    </xf>
    <xf numFmtId="0" fontId="70" fillId="4" borderId="78" xfId="0" applyFont="1" applyFill="1" applyBorder="1" applyAlignment="1">
      <alignment horizontal="center" vertical="center" wrapText="1"/>
    </xf>
    <xf numFmtId="0" fontId="45" fillId="0" borderId="25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5" fillId="0" borderId="56" xfId="0" applyFont="1" applyBorder="1" applyAlignment="1">
      <alignment horizontal="center" vertical="center" wrapText="1"/>
    </xf>
    <xf numFmtId="0" fontId="45" fillId="0" borderId="25" xfId="0" applyFont="1" applyBorder="1" applyAlignment="1">
      <alignment vertical="center" wrapText="1"/>
    </xf>
    <xf numFmtId="0" fontId="45" fillId="0" borderId="56" xfId="0" applyFont="1" applyBorder="1" applyAlignment="1">
      <alignment vertical="center" wrapText="1"/>
    </xf>
    <xf numFmtId="0" fontId="31" fillId="0" borderId="25" xfId="0" applyFont="1" applyBorder="1" applyAlignment="1">
      <alignment vertical="center" wrapText="1"/>
    </xf>
    <xf numFmtId="0" fontId="31" fillId="0" borderId="91" xfId="0" applyFont="1" applyBorder="1" applyAlignment="1">
      <alignment vertical="center" wrapText="1"/>
    </xf>
    <xf numFmtId="0" fontId="31" fillId="0" borderId="56" xfId="0" applyFont="1" applyBorder="1" applyAlignment="1">
      <alignment vertical="center" wrapText="1"/>
    </xf>
    <xf numFmtId="0" fontId="71" fillId="4" borderId="76" xfId="0" applyFont="1" applyFill="1" applyBorder="1" applyAlignment="1">
      <alignment horizontal="center" vertical="center" wrapText="1"/>
    </xf>
    <xf numFmtId="0" fontId="71" fillId="4" borderId="77" xfId="0" applyFont="1" applyFill="1" applyBorder="1" applyAlignment="1">
      <alignment horizontal="center" vertical="center" wrapText="1"/>
    </xf>
    <xf numFmtId="0" fontId="71" fillId="4" borderId="78" xfId="0" applyFont="1" applyFill="1" applyBorder="1" applyAlignment="1">
      <alignment horizontal="center" vertical="center" wrapText="1"/>
    </xf>
    <xf numFmtId="10" fontId="45" fillId="0" borderId="25" xfId="0" applyNumberFormat="1" applyFont="1" applyBorder="1" applyAlignment="1">
      <alignment vertical="center" wrapText="1"/>
    </xf>
    <xf numFmtId="10" fontId="45" fillId="0" borderId="56" xfId="0" applyNumberFormat="1" applyFont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1" fillId="3" borderId="17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9" fillId="4" borderId="76" xfId="0" applyFont="1" applyFill="1" applyBorder="1" applyAlignment="1">
      <alignment horizontal="center" vertical="center"/>
    </xf>
    <xf numFmtId="0" fontId="9" fillId="4" borderId="77" xfId="0" applyFont="1" applyFill="1" applyBorder="1" applyAlignment="1">
      <alignment horizontal="center" vertical="center"/>
    </xf>
    <xf numFmtId="0" fontId="9" fillId="4" borderId="78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76">
    <dxf>
      <numFmt numFmtId="0" formatCode="General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ill Sans MT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numFmt numFmtId="13" formatCode="0%"/>
    </dxf>
    <dxf>
      <numFmt numFmtId="14" formatCode="0.00%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SYNOPTIQUE CLASSE PASSERELLE_A1_A2.xlsm]Feuil2!Tableau croisé dynamique16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prst="angle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Feuil2!$K$10:$K$11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prst="angle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Feuil2!$J$12:$J$16</c:f>
              <c:strCache>
                <c:ptCount val="4"/>
                <c:pt idx="0">
                  <c:v>Absent</c:v>
                </c:pt>
                <c:pt idx="1">
                  <c:v>CE1</c:v>
                </c:pt>
                <c:pt idx="2">
                  <c:v>CE2</c:v>
                </c:pt>
                <c:pt idx="3">
                  <c:v>CP2</c:v>
                </c:pt>
              </c:strCache>
            </c:strRef>
          </c:cat>
          <c:val>
            <c:numRef>
              <c:f>Feuil2!$K$12:$K$16</c:f>
              <c:numCache>
                <c:formatCode>0.00%</c:formatCode>
                <c:ptCount val="4"/>
                <c:pt idx="0">
                  <c:v>0.5</c:v>
                </c:pt>
                <c:pt idx="1">
                  <c:v>0.44086021505376344</c:v>
                </c:pt>
                <c:pt idx="2">
                  <c:v>0.44230769230769229</c:v>
                </c:pt>
                <c:pt idx="3">
                  <c:v>0.35483870967741937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AD-40D2-BF41-6A742070124E}"/>
            </c:ext>
          </c:extLst>
        </c:ser>
        <c:ser>
          <c:idx val="1"/>
          <c:order val="1"/>
          <c:tx>
            <c:strRef>
              <c:f>Feuil2!$L$10:$L$11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Feuil2!$J$12:$J$16</c:f>
              <c:strCache>
                <c:ptCount val="4"/>
                <c:pt idx="0">
                  <c:v>Absent</c:v>
                </c:pt>
                <c:pt idx="1">
                  <c:v>CE1</c:v>
                </c:pt>
                <c:pt idx="2">
                  <c:v>CE2</c:v>
                </c:pt>
                <c:pt idx="3">
                  <c:v>CP2</c:v>
                </c:pt>
              </c:strCache>
            </c:strRef>
          </c:cat>
          <c:val>
            <c:numRef>
              <c:f>Feuil2!$L$12:$L$16</c:f>
              <c:numCache>
                <c:formatCode>0.00%</c:formatCode>
                <c:ptCount val="4"/>
                <c:pt idx="0">
                  <c:v>0.5</c:v>
                </c:pt>
                <c:pt idx="1">
                  <c:v>0.55913978494623651</c:v>
                </c:pt>
                <c:pt idx="2">
                  <c:v>0.55769230769230771</c:v>
                </c:pt>
                <c:pt idx="3">
                  <c:v>0.64516129032258063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AD-40D2-BF41-6A74207012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209679583"/>
        <c:axId val="209680415"/>
      </c:barChart>
      <c:catAx>
        <c:axId val="209679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9680415"/>
        <c:crosses val="autoZero"/>
        <c:auto val="1"/>
        <c:lblAlgn val="ctr"/>
        <c:lblOffset val="100"/>
        <c:noMultiLvlLbl val="0"/>
      </c:catAx>
      <c:valAx>
        <c:axId val="20968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9679583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Situation_globaleProjet_AN1_AN2!$J$3</c:f>
              <c:strCache>
                <c:ptCount val="1"/>
                <c:pt idx="0">
                  <c:v>Filles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Situation_globaleProjet_AN1_AN2!$K$1:$N$2</c:f>
              <c:multiLvlStrCache>
                <c:ptCount val="4"/>
                <c:lvl>
                  <c:pt idx="0">
                    <c:v>Effectif initial</c:v>
                  </c:pt>
                  <c:pt idx="1">
                    <c:v>Effectifs des apprenants tranférés</c:v>
                  </c:pt>
                  <c:pt idx="2">
                    <c:v>Effectif initial
CPU</c:v>
                  </c:pt>
                  <c:pt idx="3">
                    <c:v>Effectifs des apprenants à tranférer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</c:lvl>
              </c:multiLvlStrCache>
            </c:multiLvlStrRef>
          </c:cat>
          <c:val>
            <c:numRef>
              <c:f>Situation_globaleProjet_AN1_AN2!$K$3:$N$3</c:f>
              <c:numCache>
                <c:formatCode>General</c:formatCode>
                <c:ptCount val="4"/>
                <c:pt idx="0">
                  <c:v>156</c:v>
                </c:pt>
                <c:pt idx="1">
                  <c:v>126</c:v>
                </c:pt>
                <c:pt idx="2">
                  <c:v>361</c:v>
                </c:pt>
                <c:pt idx="3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D-4436-822F-58389EAE8934}"/>
            </c:ext>
          </c:extLst>
        </c:ser>
        <c:ser>
          <c:idx val="1"/>
          <c:order val="1"/>
          <c:tx>
            <c:strRef>
              <c:f>Situation_globaleProjet_AN1_AN2!$J$4</c:f>
              <c:strCache>
                <c:ptCount val="1"/>
                <c:pt idx="0">
                  <c:v>Garçons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Situation_globaleProjet_AN1_AN2!$K$1:$N$2</c:f>
              <c:multiLvlStrCache>
                <c:ptCount val="4"/>
                <c:lvl>
                  <c:pt idx="0">
                    <c:v>Effectif initial</c:v>
                  </c:pt>
                  <c:pt idx="1">
                    <c:v>Effectifs des apprenants tranférés</c:v>
                  </c:pt>
                  <c:pt idx="2">
                    <c:v>Effectif initial
CPU</c:v>
                  </c:pt>
                  <c:pt idx="3">
                    <c:v>Effectifs des apprenants à tranférer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</c:lvl>
              </c:multiLvlStrCache>
            </c:multiLvlStrRef>
          </c:cat>
          <c:val>
            <c:numRef>
              <c:f>Situation_globaleProjet_AN1_AN2!$K$4:$N$4</c:f>
              <c:numCache>
                <c:formatCode>General</c:formatCode>
                <c:ptCount val="4"/>
                <c:pt idx="0">
                  <c:v>124</c:v>
                </c:pt>
                <c:pt idx="1">
                  <c:v>102</c:v>
                </c:pt>
                <c:pt idx="2">
                  <c:v>431</c:v>
                </c:pt>
                <c:pt idx="3">
                  <c:v>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D-4436-822F-58389EAE8934}"/>
            </c:ext>
          </c:extLst>
        </c:ser>
        <c:ser>
          <c:idx val="2"/>
          <c:order val="2"/>
          <c:tx>
            <c:strRef>
              <c:f>Situation_globaleProjet_AN1_AN2!$J$5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 w="12700" cap="flat" cmpd="sng" algn="ctr">
              <a:solidFill>
                <a:srgbClr val="FF0000"/>
              </a:solidFill>
              <a:prstDash val="solid"/>
              <a:miter lim="800000"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1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Situation_globaleProjet_AN1_AN2!$K$1:$N$2</c:f>
              <c:multiLvlStrCache>
                <c:ptCount val="4"/>
                <c:lvl>
                  <c:pt idx="0">
                    <c:v>Effectif initial</c:v>
                  </c:pt>
                  <c:pt idx="1">
                    <c:v>Effectifs des apprenants tranférés</c:v>
                  </c:pt>
                  <c:pt idx="2">
                    <c:v>Effectif initial
CPU</c:v>
                  </c:pt>
                  <c:pt idx="3">
                    <c:v>Effectifs des apprenants à tranférer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</c:lvl>
              </c:multiLvlStrCache>
            </c:multiLvlStrRef>
          </c:cat>
          <c:val>
            <c:numRef>
              <c:f>Situation_globaleProjet_AN1_AN2!$K$5:$N$5</c:f>
              <c:numCache>
                <c:formatCode>General</c:formatCode>
                <c:ptCount val="4"/>
                <c:pt idx="0">
                  <c:v>280</c:v>
                </c:pt>
                <c:pt idx="1">
                  <c:v>228</c:v>
                </c:pt>
                <c:pt idx="2">
                  <c:v>792</c:v>
                </c:pt>
                <c:pt idx="3">
                  <c:v>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1D-4436-822F-58389EAE89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398718847"/>
        <c:axId val="398716767"/>
      </c:barChart>
      <c:catAx>
        <c:axId val="3987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716767"/>
        <c:crosses val="autoZero"/>
        <c:auto val="1"/>
        <c:lblAlgn val="ctr"/>
        <c:lblOffset val="100"/>
        <c:noMultiLvlLbl val="0"/>
      </c:catAx>
      <c:valAx>
        <c:axId val="39871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71884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Situation_globaleProjet_AN1_AN2!$R$3</c:f>
              <c:strCache>
                <c:ptCount val="1"/>
                <c:pt idx="0">
                  <c:v>Filles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Situation_globaleProjet_AN1_AN2!$S$1:$U$2</c:f>
              <c:multiLvlStrCache>
                <c:ptCount val="3"/>
                <c:lvl>
                  <c:pt idx="0">
                    <c:v>2021</c:v>
                  </c:pt>
                  <c:pt idx="1">
                    <c:v>2022</c:v>
                  </c:pt>
                  <c:pt idx="2">
                    <c:v>TOTAL</c:v>
                  </c:pt>
                </c:lvl>
                <c:lvl>
                  <c:pt idx="0">
                    <c:v>Nombre d'enfants fréquentant issus des classes passerelles intègrés dans le système formel</c:v>
                  </c:pt>
                </c:lvl>
              </c:multiLvlStrCache>
            </c:multiLvlStrRef>
          </c:cat>
          <c:val>
            <c:numRef>
              <c:f>Situation_globaleProjet_AN1_AN2!$S$3:$U$3</c:f>
              <c:numCache>
                <c:formatCode>General</c:formatCode>
                <c:ptCount val="3"/>
                <c:pt idx="0">
                  <c:v>126</c:v>
                </c:pt>
                <c:pt idx="1">
                  <c:v>305</c:v>
                </c:pt>
                <c:pt idx="2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2-4308-9F91-6D23A86E38BC}"/>
            </c:ext>
          </c:extLst>
        </c:ser>
        <c:ser>
          <c:idx val="1"/>
          <c:order val="1"/>
          <c:tx>
            <c:strRef>
              <c:f>Situation_globaleProjet_AN1_AN2!$R$4</c:f>
              <c:strCache>
                <c:ptCount val="1"/>
                <c:pt idx="0">
                  <c:v>Garçons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Situation_globaleProjet_AN1_AN2!$S$1:$U$2</c:f>
              <c:multiLvlStrCache>
                <c:ptCount val="3"/>
                <c:lvl>
                  <c:pt idx="0">
                    <c:v>2021</c:v>
                  </c:pt>
                  <c:pt idx="1">
                    <c:v>2022</c:v>
                  </c:pt>
                  <c:pt idx="2">
                    <c:v>TOTAL</c:v>
                  </c:pt>
                </c:lvl>
                <c:lvl>
                  <c:pt idx="0">
                    <c:v>Nombre d'enfants fréquentant issus des classes passerelles intègrés dans le système formel</c:v>
                  </c:pt>
                </c:lvl>
              </c:multiLvlStrCache>
            </c:multiLvlStrRef>
          </c:cat>
          <c:val>
            <c:numRef>
              <c:f>Situation_globaleProjet_AN1_AN2!$S$4:$U$4</c:f>
              <c:numCache>
                <c:formatCode>General</c:formatCode>
                <c:ptCount val="3"/>
                <c:pt idx="0">
                  <c:v>102</c:v>
                </c:pt>
                <c:pt idx="1">
                  <c:v>357</c:v>
                </c:pt>
                <c:pt idx="2">
                  <c:v>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B2-4308-9F91-6D23A86E38BC}"/>
            </c:ext>
          </c:extLst>
        </c:ser>
        <c:ser>
          <c:idx val="2"/>
          <c:order val="2"/>
          <c:tx>
            <c:strRef>
              <c:f>Situation_globaleProjet_AN1_AN2!$R$5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rgbClr val="FF0000"/>
              </a:solidFill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FF000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7AB2-4308-9F91-6D23A86E38BC}"/>
              </c:ext>
            </c:extLst>
          </c:dPt>
          <c:dLbls>
            <c:dLbl>
              <c:idx val="0"/>
              <c:spPr>
                <a:noFill/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7AB2-4308-9F91-6D23A86E38BC}"/>
                </c:ext>
              </c:extLst>
            </c:dLbl>
            <c:dLbl>
              <c:idx val="1"/>
              <c:spPr>
                <a:noFill/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7AB2-4308-9F91-6D23A86E38BC}"/>
                </c:ext>
              </c:extLst>
            </c:dLbl>
            <c:dLbl>
              <c:idx val="2"/>
              <c:spPr>
                <a:noFill/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7AB2-4308-9F91-6D23A86E38BC}"/>
                </c:ext>
              </c:extLst>
            </c:dLbl>
            <c:spPr>
              <a:noFill/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Situation_globaleProjet_AN1_AN2!$S$1:$U$2</c:f>
              <c:multiLvlStrCache>
                <c:ptCount val="3"/>
                <c:lvl>
                  <c:pt idx="0">
                    <c:v>2021</c:v>
                  </c:pt>
                  <c:pt idx="1">
                    <c:v>2022</c:v>
                  </c:pt>
                  <c:pt idx="2">
                    <c:v>TOTAL</c:v>
                  </c:pt>
                </c:lvl>
                <c:lvl>
                  <c:pt idx="0">
                    <c:v>Nombre d'enfants fréquentant issus des classes passerelles intègrés dans le système formel</c:v>
                  </c:pt>
                </c:lvl>
              </c:multiLvlStrCache>
            </c:multiLvlStrRef>
          </c:cat>
          <c:val>
            <c:numRef>
              <c:f>Situation_globaleProjet_AN1_AN2!$S$5:$U$5</c:f>
              <c:numCache>
                <c:formatCode>General</c:formatCode>
                <c:ptCount val="3"/>
                <c:pt idx="0">
                  <c:v>228</c:v>
                </c:pt>
                <c:pt idx="1">
                  <c:v>662</c:v>
                </c:pt>
                <c:pt idx="2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B2-4308-9F91-6D23A86E38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610911280"/>
        <c:axId val="610906288"/>
      </c:barChart>
      <c:catAx>
        <c:axId val="61091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906288"/>
        <c:crosses val="autoZero"/>
        <c:auto val="1"/>
        <c:lblAlgn val="ctr"/>
        <c:lblOffset val="100"/>
        <c:noMultiLvlLbl val="0"/>
      </c:catAx>
      <c:valAx>
        <c:axId val="6109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91128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894922617431437E-2"/>
          <c:y val="5.5519873741272534E-2"/>
          <c:w val="0.9094302005352779"/>
          <c:h val="0.52207675021014532"/>
        </c:manualLayout>
      </c:layout>
      <c:barChart>
        <c:barDir val="col"/>
        <c:grouping val="clustered"/>
        <c:varyColors val="0"/>
        <c:ser>
          <c:idx val="1"/>
          <c:order val="0"/>
          <c:tx>
            <c:v>H</c:v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ANALYSE!$A$40:$A$59</c:f>
              <c:strCache>
                <c:ptCount val="20"/>
                <c:pt idx="0">
                  <c:v>OUYINE</c:v>
                </c:pt>
                <c:pt idx="1">
                  <c:v>SOLIDARITE</c:v>
                </c:pt>
                <c:pt idx="2">
                  <c:v>SUCCES</c:v>
                </c:pt>
                <c:pt idx="3">
                  <c:v>UNION</c:v>
                </c:pt>
                <c:pt idx="4">
                  <c:v>MAIN DANS LA MAIN</c:v>
                </c:pt>
                <c:pt idx="5">
                  <c:v>ZOMADRE</c:v>
                </c:pt>
                <c:pt idx="6">
                  <c:v>RELEWENDE</c:v>
                </c:pt>
                <c:pt idx="7">
                  <c:v> LAGOZI</c:v>
                </c:pt>
                <c:pt idx="8">
                  <c:v>BENI</c:v>
                </c:pt>
                <c:pt idx="9">
                  <c:v>TENNDE</c:v>
                </c:pt>
                <c:pt idx="10">
                  <c:v>ISRAEL</c:v>
                </c:pt>
                <c:pt idx="11">
                  <c:v>ZOMANDRE</c:v>
                </c:pt>
                <c:pt idx="12">
                  <c:v> WANEZI</c:v>
                </c:pt>
                <c:pt idx="13">
                  <c:v>BENKADI</c:v>
                </c:pt>
                <c:pt idx="14">
                  <c:v>DJORO</c:v>
                </c:pt>
                <c:pt idx="15">
                  <c:v>LEHIRI</c:v>
                </c:pt>
                <c:pt idx="16">
                  <c:v>MERVEILLE</c:v>
                </c:pt>
                <c:pt idx="17">
                  <c:v> DIEU BENI</c:v>
                </c:pt>
                <c:pt idx="18">
                  <c:v>L'UNION FAIT LA FORCE</c:v>
                </c:pt>
                <c:pt idx="19">
                  <c:v>Total général</c:v>
                </c:pt>
              </c:strCache>
            </c:strRef>
          </c:cat>
          <c:val>
            <c:numRef>
              <c:f>ANALYSE!$C$40:$C$59</c:f>
              <c:numCache>
                <c:formatCode>0.00%</c:formatCode>
                <c:ptCount val="20"/>
                <c:pt idx="0">
                  <c:v>0.22222222222222221</c:v>
                </c:pt>
                <c:pt idx="1">
                  <c:v>0.35714285714285715</c:v>
                </c:pt>
                <c:pt idx="2">
                  <c:v>0.53846153846153844</c:v>
                </c:pt>
                <c:pt idx="3">
                  <c:v>0.2</c:v>
                </c:pt>
                <c:pt idx="4">
                  <c:v>0.51851851851851849</c:v>
                </c:pt>
                <c:pt idx="5">
                  <c:v>0.32</c:v>
                </c:pt>
                <c:pt idx="6">
                  <c:v>0.05</c:v>
                </c:pt>
                <c:pt idx="7">
                  <c:v>0.44827586206896552</c:v>
                </c:pt>
                <c:pt idx="8">
                  <c:v>0</c:v>
                </c:pt>
                <c:pt idx="9">
                  <c:v>0.89655172413793105</c:v>
                </c:pt>
                <c:pt idx="10">
                  <c:v>0.2</c:v>
                </c:pt>
                <c:pt idx="11">
                  <c:v>0.13333333333333333</c:v>
                </c:pt>
                <c:pt idx="12">
                  <c:v>0.2</c:v>
                </c:pt>
                <c:pt idx="13">
                  <c:v>6.6666666666666666E-2</c:v>
                </c:pt>
                <c:pt idx="14">
                  <c:v>0.26666666666666666</c:v>
                </c:pt>
                <c:pt idx="15">
                  <c:v>0.1</c:v>
                </c:pt>
                <c:pt idx="16">
                  <c:v>0.28000000000000003</c:v>
                </c:pt>
                <c:pt idx="17">
                  <c:v>0.39285714285714285</c:v>
                </c:pt>
                <c:pt idx="18">
                  <c:v>0.22222222222222221</c:v>
                </c:pt>
                <c:pt idx="19">
                  <c:v>0.27058823529411763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9-43C6-8368-227625C515D8}"/>
            </c:ext>
          </c:extLst>
        </c:ser>
        <c:ser>
          <c:idx val="2"/>
          <c:order val="1"/>
          <c:tx>
            <c:v>F</c:v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1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E509-43C6-8368-227625C515D8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1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E509-43C6-8368-227625C515D8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1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E509-43C6-8368-227625C515D8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1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E509-43C6-8368-227625C515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ANALYSE!$A$40:$A$59</c:f>
              <c:strCache>
                <c:ptCount val="20"/>
                <c:pt idx="0">
                  <c:v>OUYINE</c:v>
                </c:pt>
                <c:pt idx="1">
                  <c:v>SOLIDARITE</c:v>
                </c:pt>
                <c:pt idx="2">
                  <c:v>SUCCES</c:v>
                </c:pt>
                <c:pt idx="3">
                  <c:v>UNION</c:v>
                </c:pt>
                <c:pt idx="4">
                  <c:v>MAIN DANS LA MAIN</c:v>
                </c:pt>
                <c:pt idx="5">
                  <c:v>ZOMADRE</c:v>
                </c:pt>
                <c:pt idx="6">
                  <c:v>RELEWENDE</c:v>
                </c:pt>
                <c:pt idx="7">
                  <c:v> LAGOZI</c:v>
                </c:pt>
                <c:pt idx="8">
                  <c:v>BENI</c:v>
                </c:pt>
                <c:pt idx="9">
                  <c:v>TENNDE</c:v>
                </c:pt>
                <c:pt idx="10">
                  <c:v>ISRAEL</c:v>
                </c:pt>
                <c:pt idx="11">
                  <c:v>ZOMANDRE</c:v>
                </c:pt>
                <c:pt idx="12">
                  <c:v> WANEZI</c:v>
                </c:pt>
                <c:pt idx="13">
                  <c:v>BENKADI</c:v>
                </c:pt>
                <c:pt idx="14">
                  <c:v>DJORO</c:v>
                </c:pt>
                <c:pt idx="15">
                  <c:v>LEHIRI</c:v>
                </c:pt>
                <c:pt idx="16">
                  <c:v>MERVEILLE</c:v>
                </c:pt>
                <c:pt idx="17">
                  <c:v> DIEU BENI</c:v>
                </c:pt>
                <c:pt idx="18">
                  <c:v>L'UNION FAIT LA FORCE</c:v>
                </c:pt>
                <c:pt idx="19">
                  <c:v>Total général</c:v>
                </c:pt>
              </c:strCache>
            </c:strRef>
          </c:cat>
          <c:val>
            <c:numRef>
              <c:f>ANALYSE!$B$40:$B$59</c:f>
              <c:numCache>
                <c:formatCode>0.00%</c:formatCode>
                <c:ptCount val="20"/>
                <c:pt idx="0">
                  <c:v>0.77777777777777779</c:v>
                </c:pt>
                <c:pt idx="1">
                  <c:v>0.6428571428571429</c:v>
                </c:pt>
                <c:pt idx="2">
                  <c:v>0.46153846153846156</c:v>
                </c:pt>
                <c:pt idx="3">
                  <c:v>0.8</c:v>
                </c:pt>
                <c:pt idx="4">
                  <c:v>0.48148148148148145</c:v>
                </c:pt>
                <c:pt idx="5">
                  <c:v>0.68</c:v>
                </c:pt>
                <c:pt idx="6">
                  <c:v>0.95</c:v>
                </c:pt>
                <c:pt idx="7">
                  <c:v>0.55172413793103448</c:v>
                </c:pt>
                <c:pt idx="8">
                  <c:v>1</c:v>
                </c:pt>
                <c:pt idx="9">
                  <c:v>0.10344827586206896</c:v>
                </c:pt>
                <c:pt idx="10">
                  <c:v>0.8</c:v>
                </c:pt>
                <c:pt idx="11">
                  <c:v>0.8666666666666667</c:v>
                </c:pt>
                <c:pt idx="12">
                  <c:v>0.8</c:v>
                </c:pt>
                <c:pt idx="13">
                  <c:v>0.93333333333333335</c:v>
                </c:pt>
                <c:pt idx="14">
                  <c:v>0.73333333333333328</c:v>
                </c:pt>
                <c:pt idx="15">
                  <c:v>0.9</c:v>
                </c:pt>
                <c:pt idx="16">
                  <c:v>0.72</c:v>
                </c:pt>
                <c:pt idx="17">
                  <c:v>0.6071428571428571</c:v>
                </c:pt>
                <c:pt idx="18">
                  <c:v>0.77777777777777779</c:v>
                </c:pt>
                <c:pt idx="19">
                  <c:v>0.72941176470588232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9-43C6-8368-227625C515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axId val="105409904"/>
        <c:axId val="105412400"/>
      </c:barChart>
      <c:catAx>
        <c:axId val="10540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cap="none" spc="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412400"/>
        <c:crosses val="autoZero"/>
        <c:auto val="1"/>
        <c:lblAlgn val="ctr"/>
        <c:lblOffset val="100"/>
        <c:noMultiLvlLbl val="0"/>
      </c:catAx>
      <c:valAx>
        <c:axId val="10541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40990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894922617431437E-2"/>
          <c:y val="5.5519873741272534E-2"/>
          <c:w val="0.9094302005352779"/>
          <c:h val="0.52207675021014532"/>
        </c:manualLayout>
      </c:layout>
      <c:barChart>
        <c:barDir val="col"/>
        <c:grouping val="clustered"/>
        <c:varyColors val="0"/>
        <c:ser>
          <c:idx val="1"/>
          <c:order val="0"/>
          <c:tx>
            <c:v>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ANALYSE!$A$17:$A$34</c:f>
              <c:strCache>
                <c:ptCount val="18"/>
                <c:pt idx="0">
                  <c:v> AWLIN TRALE</c:v>
                </c:pt>
                <c:pt idx="1">
                  <c:v>ATIWAKRO         </c:v>
                </c:pt>
                <c:pt idx="2">
                  <c:v>BENKADI </c:v>
                </c:pt>
                <c:pt idx="3">
                  <c:v>BOKON YOLE </c:v>
                </c:pt>
                <c:pt idx="4">
                  <c:v>EBO YO KUN       </c:v>
                </c:pt>
                <c:pt idx="5">
                  <c:v>EYO ENIAN</c:v>
                </c:pt>
                <c:pt idx="6">
                  <c:v>NANKOKO </c:v>
                </c:pt>
                <c:pt idx="7">
                  <c:v>N'TOBE </c:v>
                </c:pt>
                <c:pt idx="8">
                  <c:v>REED WENDE      </c:v>
                </c:pt>
                <c:pt idx="9">
                  <c:v>SABARIKAN </c:v>
                </c:pt>
                <c:pt idx="10">
                  <c:v>SIGUITEMOGOSSON    </c:v>
                </c:pt>
                <c:pt idx="11">
                  <c:v>SIKITEMONGOSSON  </c:v>
                </c:pt>
                <c:pt idx="12">
                  <c:v>YEKLOYEWU </c:v>
                </c:pt>
                <c:pt idx="13">
                  <c:v>YEYO </c:v>
                </c:pt>
                <c:pt idx="14">
                  <c:v>AWLIN TRALE</c:v>
                </c:pt>
                <c:pt idx="15">
                  <c:v>ESSOUYAKIEYOLAI</c:v>
                </c:pt>
                <c:pt idx="16">
                  <c:v>UNION_BUYO</c:v>
                </c:pt>
                <c:pt idx="17">
                  <c:v>Total général</c:v>
                </c:pt>
              </c:strCache>
            </c:strRef>
          </c:cat>
          <c:val>
            <c:numRef>
              <c:f>ANALYSE!$C$17:$C$34</c:f>
              <c:numCache>
                <c:formatCode>0%</c:formatCode>
                <c:ptCount val="18"/>
                <c:pt idx="0">
                  <c:v>0.23076923076923078</c:v>
                </c:pt>
                <c:pt idx="1">
                  <c:v>0.2</c:v>
                </c:pt>
                <c:pt idx="2">
                  <c:v>1.6666666666666666E-2</c:v>
                </c:pt>
                <c:pt idx="3">
                  <c:v>0.1875</c:v>
                </c:pt>
                <c:pt idx="4">
                  <c:v>0.2</c:v>
                </c:pt>
                <c:pt idx="5">
                  <c:v>0.26666666666666666</c:v>
                </c:pt>
                <c:pt idx="6">
                  <c:v>0.4</c:v>
                </c:pt>
                <c:pt idx="7">
                  <c:v>0.14285714285714285</c:v>
                </c:pt>
                <c:pt idx="8">
                  <c:v>0.43333333333333335</c:v>
                </c:pt>
                <c:pt idx="9">
                  <c:v>0</c:v>
                </c:pt>
                <c:pt idx="10">
                  <c:v>0.2</c:v>
                </c:pt>
                <c:pt idx="11">
                  <c:v>4.1666666666666664E-2</c:v>
                </c:pt>
                <c:pt idx="12">
                  <c:v>0.4</c:v>
                </c:pt>
                <c:pt idx="13">
                  <c:v>6.6666666666666666E-2</c:v>
                </c:pt>
                <c:pt idx="14">
                  <c:v>0.10526315789473684</c:v>
                </c:pt>
                <c:pt idx="15">
                  <c:v>0.19047619047619047</c:v>
                </c:pt>
                <c:pt idx="16">
                  <c:v>0.13333333333333333</c:v>
                </c:pt>
                <c:pt idx="17">
                  <c:v>0.1752988047808765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7-4B9F-918F-DDD57EB70D75}"/>
            </c:ext>
          </c:extLst>
        </c:ser>
        <c:ser>
          <c:idx val="2"/>
          <c:order val="1"/>
          <c:tx>
            <c:v>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ANALYSE!$A$17:$A$34</c:f>
              <c:strCache>
                <c:ptCount val="18"/>
                <c:pt idx="0">
                  <c:v> AWLIN TRALE</c:v>
                </c:pt>
                <c:pt idx="1">
                  <c:v>ATIWAKRO         </c:v>
                </c:pt>
                <c:pt idx="2">
                  <c:v>BENKADI </c:v>
                </c:pt>
                <c:pt idx="3">
                  <c:v>BOKON YOLE </c:v>
                </c:pt>
                <c:pt idx="4">
                  <c:v>EBO YO KUN       </c:v>
                </c:pt>
                <c:pt idx="5">
                  <c:v>EYO ENIAN</c:v>
                </c:pt>
                <c:pt idx="6">
                  <c:v>NANKOKO </c:v>
                </c:pt>
                <c:pt idx="7">
                  <c:v>N'TOBE </c:v>
                </c:pt>
                <c:pt idx="8">
                  <c:v>REED WENDE      </c:v>
                </c:pt>
                <c:pt idx="9">
                  <c:v>SABARIKAN </c:v>
                </c:pt>
                <c:pt idx="10">
                  <c:v>SIGUITEMOGOSSON    </c:v>
                </c:pt>
                <c:pt idx="11">
                  <c:v>SIKITEMONGOSSON  </c:v>
                </c:pt>
                <c:pt idx="12">
                  <c:v>YEKLOYEWU </c:v>
                </c:pt>
                <c:pt idx="13">
                  <c:v>YEYO </c:v>
                </c:pt>
                <c:pt idx="14">
                  <c:v>AWLIN TRALE</c:v>
                </c:pt>
                <c:pt idx="15">
                  <c:v>ESSOUYAKIEYOLAI</c:v>
                </c:pt>
                <c:pt idx="16">
                  <c:v>UNION_BUYO</c:v>
                </c:pt>
                <c:pt idx="17">
                  <c:v>Total général</c:v>
                </c:pt>
              </c:strCache>
            </c:strRef>
          </c:cat>
          <c:val>
            <c:numRef>
              <c:f>ANALYSE!$B$17:$B$34</c:f>
              <c:numCache>
                <c:formatCode>0%</c:formatCode>
                <c:ptCount val="18"/>
                <c:pt idx="0">
                  <c:v>0.76923076923076927</c:v>
                </c:pt>
                <c:pt idx="1">
                  <c:v>0.8</c:v>
                </c:pt>
                <c:pt idx="2">
                  <c:v>0.98333333333333328</c:v>
                </c:pt>
                <c:pt idx="3">
                  <c:v>0.8125</c:v>
                </c:pt>
                <c:pt idx="4">
                  <c:v>0.8</c:v>
                </c:pt>
                <c:pt idx="5">
                  <c:v>0.73333333333333328</c:v>
                </c:pt>
                <c:pt idx="6">
                  <c:v>0.6</c:v>
                </c:pt>
                <c:pt idx="7">
                  <c:v>0.8571428571428571</c:v>
                </c:pt>
                <c:pt idx="8">
                  <c:v>0.56666666666666665</c:v>
                </c:pt>
                <c:pt idx="9">
                  <c:v>1</c:v>
                </c:pt>
                <c:pt idx="10">
                  <c:v>0.8</c:v>
                </c:pt>
                <c:pt idx="11">
                  <c:v>0.95833333333333337</c:v>
                </c:pt>
                <c:pt idx="12">
                  <c:v>0.6</c:v>
                </c:pt>
                <c:pt idx="13">
                  <c:v>0.93333333333333335</c:v>
                </c:pt>
                <c:pt idx="14">
                  <c:v>0.89473684210526316</c:v>
                </c:pt>
                <c:pt idx="15">
                  <c:v>0.80952380952380953</c:v>
                </c:pt>
                <c:pt idx="16">
                  <c:v>0.8666666666666667</c:v>
                </c:pt>
                <c:pt idx="17">
                  <c:v>0.82470119521912355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D7-4B9F-918F-DDD57EB70D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axId val="105409904"/>
        <c:axId val="105412400"/>
      </c:barChart>
      <c:catAx>
        <c:axId val="10540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cap="none" spc="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412400"/>
        <c:crosses val="autoZero"/>
        <c:auto val="1"/>
        <c:lblAlgn val="ctr"/>
        <c:lblOffset val="100"/>
        <c:noMultiLvlLbl val="0"/>
      </c:catAx>
      <c:valAx>
        <c:axId val="10541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40990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ANALYSE!$B$1</c:f>
              <c:strCache>
                <c:ptCount val="1"/>
                <c:pt idx="0">
                  <c:v>Garçons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prst="relaxedInse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ANALYSE!$A$2:$A$4</c:f>
              <c:strCache>
                <c:ptCount val="3"/>
                <c:pt idx="0">
                  <c:v>BUYO   </c:v>
                </c:pt>
                <c:pt idx="1">
                  <c:v>GRAND-ZATTRY</c:v>
                </c:pt>
                <c:pt idx="2">
                  <c:v>Total général</c:v>
                </c:pt>
              </c:strCache>
            </c:strRef>
          </c:cat>
          <c:val>
            <c:numRef>
              <c:f>ANALYSE!$B$2:$B$4</c:f>
              <c:numCache>
                <c:formatCode>0.0%</c:formatCode>
                <c:ptCount val="3"/>
                <c:pt idx="0">
                  <c:v>0.49889380530973454</c:v>
                </c:pt>
                <c:pt idx="1">
                  <c:v>0.49936895246108542</c:v>
                </c:pt>
                <c:pt idx="2">
                  <c:v>0.49916367980884108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E-4D72-B03B-0D6F0D0208C1}"/>
            </c:ext>
          </c:extLst>
        </c:ser>
        <c:ser>
          <c:idx val="1"/>
          <c:order val="1"/>
          <c:tx>
            <c:strRef>
              <c:f>ANALYSE!$C$1</c:f>
              <c:strCache>
                <c:ptCount val="1"/>
                <c:pt idx="0">
                  <c:v>Filles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ANALYSE!$A$2:$A$4</c:f>
              <c:strCache>
                <c:ptCount val="3"/>
                <c:pt idx="0">
                  <c:v>BUYO   </c:v>
                </c:pt>
                <c:pt idx="1">
                  <c:v>GRAND-ZATTRY</c:v>
                </c:pt>
                <c:pt idx="2">
                  <c:v>Total général</c:v>
                </c:pt>
              </c:strCache>
            </c:strRef>
          </c:cat>
          <c:val>
            <c:numRef>
              <c:f>ANALYSE!$C$2:$C$4</c:f>
              <c:numCache>
                <c:formatCode>0.0%</c:formatCode>
                <c:ptCount val="3"/>
                <c:pt idx="0">
                  <c:v>0.50165929203539827</c:v>
                </c:pt>
                <c:pt idx="1">
                  <c:v>0.50105174589819101</c:v>
                </c:pt>
                <c:pt idx="2">
                  <c:v>0.50131421744324967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E-4D72-B03B-0D6F0D02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4"/>
        <c:overlap val="-93"/>
        <c:axId val="1873688096"/>
        <c:axId val="1873689344"/>
      </c:barChart>
      <c:catAx>
        <c:axId val="187368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3689344"/>
        <c:crosses val="autoZero"/>
        <c:auto val="1"/>
        <c:lblAlgn val="ctr"/>
        <c:lblOffset val="100"/>
        <c:noMultiLvlLbl val="0"/>
      </c:catAx>
      <c:valAx>
        <c:axId val="187368934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8736880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>
            <a:solidFill>
              <a:srgbClr val="FF0000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solidFill>
          <a:schemeClr val="accent5">
            <a:lumMod val="20000"/>
            <a:lumOff val="80000"/>
          </a:schemeClr>
        </a:solidFill>
        <a:ln>
          <a:solidFill>
            <a:srgbClr val="92D050"/>
          </a:solidFill>
        </a:ln>
        <a:effectLst/>
        <a:scene3d>
          <a:camera prst="orthographicFront"/>
          <a:lightRig rig="threePt" dir="t"/>
        </a:scene3d>
        <a:sp3d>
          <a:bevelT/>
        </a:sp3d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316605</xdr:colOff>
      <xdr:row>4</xdr:row>
      <xdr:rowOff>59385</xdr:rowOff>
    </xdr:from>
    <xdr:to>
      <xdr:col>14</xdr:col>
      <xdr:colOff>1171619</xdr:colOff>
      <xdr:row>24</xdr:row>
      <xdr:rowOff>62606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C632515-0362-E271-E6D6-8C292EC42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17433</xdr:colOff>
      <xdr:row>6</xdr:row>
      <xdr:rowOff>169240</xdr:rowOff>
    </xdr:from>
    <xdr:to>
      <xdr:col>16</xdr:col>
      <xdr:colOff>1100762</xdr:colOff>
      <xdr:row>24</xdr:row>
      <xdr:rowOff>3802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1DA2393-AEFC-6115-8148-F73BB3DBD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48788</xdr:colOff>
      <xdr:row>7</xdr:row>
      <xdr:rowOff>18430</xdr:rowOff>
    </xdr:from>
    <xdr:to>
      <xdr:col>21</xdr:col>
      <xdr:colOff>1037683</xdr:colOff>
      <xdr:row>23</xdr:row>
      <xdr:rowOff>23233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DC62D27-54A6-CFA3-4F54-80ECD919F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7</xdr:col>
      <xdr:colOff>704850</xdr:colOff>
      <xdr:row>3</xdr:row>
      <xdr:rowOff>190500</xdr:rowOff>
    </xdr:to>
    <xdr:sp macro="[0]!ouvre4" textlink="">
      <xdr:nvSpPr>
        <xdr:cNvPr id="2" name="Rectangle : en biseau 1">
          <a:extLst>
            <a:ext uri="{FF2B5EF4-FFF2-40B4-BE49-F238E27FC236}">
              <a16:creationId xmlns:a16="http://schemas.microsoft.com/office/drawing/2014/main" id="{C037C326-5495-451A-ABDC-03D43C17A608}"/>
            </a:ext>
          </a:extLst>
        </xdr:cNvPr>
        <xdr:cNvSpPr/>
      </xdr:nvSpPr>
      <xdr:spPr>
        <a:xfrm>
          <a:off x="0" y="425450"/>
          <a:ext cx="6305550" cy="361950"/>
        </a:xfrm>
        <a:prstGeom prst="bevel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CARTOGRAPHIE DE MISE EN ŒUVRE DE 38 CLASSES PASSERELLES SUR LE PROJET WNCB DANS LA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NAWA</a:t>
          </a:r>
          <a:endParaRPr lang="fr-CI">
            <a:effectLst/>
          </a:endParaRPr>
        </a:p>
        <a:p>
          <a:pPr algn="ctr"/>
          <a:endParaRPr lang="fr-CI" sz="11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114300</xdr:rowOff>
    </xdr:from>
    <xdr:to>
      <xdr:col>6</xdr:col>
      <xdr:colOff>450850</xdr:colOff>
      <xdr:row>3</xdr:row>
      <xdr:rowOff>82550</xdr:rowOff>
    </xdr:to>
    <xdr:sp macro="[0]!ouvre3" textlink="">
      <xdr:nvSpPr>
        <xdr:cNvPr id="2" name="Flèche : double flèche horizontale 1">
          <a:extLst>
            <a:ext uri="{FF2B5EF4-FFF2-40B4-BE49-F238E27FC236}">
              <a16:creationId xmlns:a16="http://schemas.microsoft.com/office/drawing/2014/main" id="{101B909B-DE62-2384-B139-E8B775C678F0}"/>
            </a:ext>
          </a:extLst>
        </xdr:cNvPr>
        <xdr:cNvSpPr/>
      </xdr:nvSpPr>
      <xdr:spPr>
        <a:xfrm>
          <a:off x="311150" y="342900"/>
          <a:ext cx="4438650" cy="336550"/>
        </a:xfrm>
        <a:prstGeom prst="leftRightArrow">
          <a:avLst/>
        </a:prstGeom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BASE DE DONNEES AVEC </a:t>
          </a:r>
        </a:p>
        <a:p>
          <a:pPr algn="ctr"/>
          <a:endParaRPr lang="fr-CI" sz="1100" b="1"/>
        </a:p>
        <a:p>
          <a:pPr algn="ctr"/>
          <a:endParaRPr lang="fr-CI" sz="1100" b="1"/>
        </a:p>
      </xdr:txBody>
    </xdr:sp>
    <xdr:clientData/>
  </xdr:twoCellAnchor>
  <xdr:twoCellAnchor>
    <xdr:from>
      <xdr:col>1</xdr:col>
      <xdr:colOff>19050</xdr:colOff>
      <xdr:row>5</xdr:row>
      <xdr:rowOff>184150</xdr:rowOff>
    </xdr:from>
    <xdr:to>
      <xdr:col>6</xdr:col>
      <xdr:colOff>457200</xdr:colOff>
      <xdr:row>7</xdr:row>
      <xdr:rowOff>76200</xdr:rowOff>
    </xdr:to>
    <xdr:sp macro="[0]!ouvre2" textlink="">
      <xdr:nvSpPr>
        <xdr:cNvPr id="3" name="Flèche : double flèche horizontale 2">
          <a:extLst>
            <a:ext uri="{FF2B5EF4-FFF2-40B4-BE49-F238E27FC236}">
              <a16:creationId xmlns:a16="http://schemas.microsoft.com/office/drawing/2014/main" id="{34A6BBC0-37CB-4150-A007-1B8C7CB0A407}"/>
            </a:ext>
          </a:extLst>
        </xdr:cNvPr>
        <xdr:cNvSpPr/>
      </xdr:nvSpPr>
      <xdr:spPr>
        <a:xfrm>
          <a:off x="317500" y="1377950"/>
          <a:ext cx="4438650" cy="412750"/>
        </a:xfrm>
        <a:prstGeom prst="leftRightArrow">
          <a:avLst/>
        </a:prstGeom>
        <a:solidFill>
          <a:schemeClr val="accent2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% des membres d'AVEC par sexe BUYO.</a:t>
          </a:r>
        </a:p>
        <a:p>
          <a:pPr algn="ctr"/>
          <a:endParaRPr lang="fr-CI" sz="1100" b="1"/>
        </a:p>
        <a:p>
          <a:pPr algn="ctr"/>
          <a:endParaRPr lang="fr-CI" sz="1100" b="1"/>
        </a:p>
      </xdr:txBody>
    </xdr:sp>
    <xdr:clientData/>
  </xdr:twoCellAnchor>
  <xdr:twoCellAnchor>
    <xdr:from>
      <xdr:col>1</xdr:col>
      <xdr:colOff>19050</xdr:colOff>
      <xdr:row>7</xdr:row>
      <xdr:rowOff>177800</xdr:rowOff>
    </xdr:from>
    <xdr:to>
      <xdr:col>6</xdr:col>
      <xdr:colOff>457200</xdr:colOff>
      <xdr:row>9</xdr:row>
      <xdr:rowOff>44450</xdr:rowOff>
    </xdr:to>
    <xdr:sp macro="[0]!ouvre5" textlink="">
      <xdr:nvSpPr>
        <xdr:cNvPr id="5" name="Flèche : double flèche horizontale 4">
          <a:extLst>
            <a:ext uri="{FF2B5EF4-FFF2-40B4-BE49-F238E27FC236}">
              <a16:creationId xmlns:a16="http://schemas.microsoft.com/office/drawing/2014/main" id="{0EB87A9C-1D75-43DF-A048-1DA2AF201BD0}"/>
            </a:ext>
          </a:extLst>
        </xdr:cNvPr>
        <xdr:cNvSpPr/>
      </xdr:nvSpPr>
      <xdr:spPr>
        <a:xfrm>
          <a:off x="317500" y="1892300"/>
          <a:ext cx="4438650" cy="412750"/>
        </a:xfrm>
        <a:prstGeom prst="leftRightArrow">
          <a:avLst/>
        </a:prstGeom>
        <a:solidFill>
          <a:srgbClr val="002060"/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% des membres d'AVEC par sexe</a:t>
          </a:r>
          <a:r>
            <a:rPr lang="fr-CI" sz="1100" b="1" baseline="0"/>
            <a:t> GZ</a:t>
          </a:r>
        </a:p>
        <a:p>
          <a:pPr algn="ctr"/>
          <a:r>
            <a:rPr lang="fr-CI" sz="1100" b="1"/>
            <a:t> </a:t>
          </a:r>
        </a:p>
        <a:p>
          <a:pPr algn="ctr"/>
          <a:endParaRPr lang="fr-CI" sz="1100" b="1"/>
        </a:p>
        <a:p>
          <a:pPr algn="ctr"/>
          <a:endParaRPr lang="fr-CI" sz="1100" b="1"/>
        </a:p>
      </xdr:txBody>
    </xdr:sp>
    <xdr:clientData/>
  </xdr:twoCellAnchor>
  <xdr:twoCellAnchor>
    <xdr:from>
      <xdr:col>1</xdr:col>
      <xdr:colOff>38100</xdr:colOff>
      <xdr:row>3</xdr:row>
      <xdr:rowOff>203200</xdr:rowOff>
    </xdr:from>
    <xdr:to>
      <xdr:col>6</xdr:col>
      <xdr:colOff>476250</xdr:colOff>
      <xdr:row>5</xdr:row>
      <xdr:rowOff>95250</xdr:rowOff>
    </xdr:to>
    <xdr:sp macro="[0]!ouvre1" textlink="">
      <xdr:nvSpPr>
        <xdr:cNvPr id="6" name="Flèche : double flèche horizontale 5">
          <a:extLst>
            <a:ext uri="{FF2B5EF4-FFF2-40B4-BE49-F238E27FC236}">
              <a16:creationId xmlns:a16="http://schemas.microsoft.com/office/drawing/2014/main" id="{159F9164-C10A-46A6-863A-D3C4C346BA63}"/>
            </a:ext>
          </a:extLst>
        </xdr:cNvPr>
        <xdr:cNvSpPr/>
      </xdr:nvSpPr>
      <xdr:spPr>
        <a:xfrm>
          <a:off x="336550" y="876300"/>
          <a:ext cx="4438650" cy="412750"/>
        </a:xfrm>
        <a:prstGeom prst="leftRightArrow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% des enfants des membres d'AVEC par sexe et par Département</a:t>
          </a:r>
        </a:p>
        <a:p>
          <a:pPr algn="ctr"/>
          <a:endParaRPr lang="fr-CI" sz="1100" b="1"/>
        </a:p>
      </xdr:txBody>
    </xdr:sp>
    <xdr:clientData/>
  </xdr:twoCellAnchor>
  <xdr:twoCellAnchor>
    <xdr:from>
      <xdr:col>8</xdr:col>
      <xdr:colOff>6350</xdr:colOff>
      <xdr:row>1</xdr:row>
      <xdr:rowOff>120650</xdr:rowOff>
    </xdr:from>
    <xdr:to>
      <xdr:col>13</xdr:col>
      <xdr:colOff>444500</xdr:colOff>
      <xdr:row>3</xdr:row>
      <xdr:rowOff>88900</xdr:rowOff>
    </xdr:to>
    <xdr:sp macro="[0]!ouvre2" textlink="">
      <xdr:nvSpPr>
        <xdr:cNvPr id="7" name="Flèche : double flèche horizontale 6">
          <a:extLst>
            <a:ext uri="{FF2B5EF4-FFF2-40B4-BE49-F238E27FC236}">
              <a16:creationId xmlns:a16="http://schemas.microsoft.com/office/drawing/2014/main" id="{62F2B5FF-7FE4-495F-98DD-44F0BA12547D}"/>
            </a:ext>
          </a:extLst>
        </xdr:cNvPr>
        <xdr:cNvSpPr/>
      </xdr:nvSpPr>
      <xdr:spPr>
        <a:xfrm>
          <a:off x="5441950" y="349250"/>
          <a:ext cx="4438650" cy="412750"/>
        </a:xfrm>
        <a:prstGeom prst="leftRightArrow">
          <a:avLst/>
        </a:prstGeom>
        <a:solidFill>
          <a:srgbClr val="FFC00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% des membres d'AVEC par sexe SOUBRE</a:t>
          </a:r>
        </a:p>
        <a:p>
          <a:pPr algn="ctr"/>
          <a:endParaRPr lang="fr-CI" sz="1100" b="1"/>
        </a:p>
        <a:p>
          <a:pPr algn="ctr"/>
          <a:endParaRPr lang="fr-CI" sz="1100" b="1"/>
        </a:p>
        <a:p>
          <a:pPr algn="ctr"/>
          <a:endParaRPr lang="fr-CI" sz="1100" b="1"/>
        </a:p>
      </xdr:txBody>
    </xdr:sp>
    <xdr:clientData/>
  </xdr:twoCellAnchor>
  <xdr:twoCellAnchor>
    <xdr:from>
      <xdr:col>8</xdr:col>
      <xdr:colOff>25400</xdr:colOff>
      <xdr:row>3</xdr:row>
      <xdr:rowOff>190500</xdr:rowOff>
    </xdr:from>
    <xdr:to>
      <xdr:col>13</xdr:col>
      <xdr:colOff>463550</xdr:colOff>
      <xdr:row>5</xdr:row>
      <xdr:rowOff>82550</xdr:rowOff>
    </xdr:to>
    <xdr:sp macro="[0]!ouvre2" textlink="">
      <xdr:nvSpPr>
        <xdr:cNvPr id="8" name="Flèche : double flèche horizontale 7">
          <a:extLst>
            <a:ext uri="{FF2B5EF4-FFF2-40B4-BE49-F238E27FC236}">
              <a16:creationId xmlns:a16="http://schemas.microsoft.com/office/drawing/2014/main" id="{51042075-C03F-4DA8-AEEF-0610964202C7}"/>
            </a:ext>
          </a:extLst>
        </xdr:cNvPr>
        <xdr:cNvSpPr/>
      </xdr:nvSpPr>
      <xdr:spPr>
        <a:xfrm>
          <a:off x="5461000" y="863600"/>
          <a:ext cx="4438650" cy="412750"/>
        </a:xfrm>
        <a:prstGeom prst="leftRightArrow">
          <a:avLst/>
        </a:prstGeom>
        <a:solidFill>
          <a:srgbClr val="7030A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% des membres d'AVEC par sexe GUEYO.</a:t>
          </a:r>
        </a:p>
        <a:p>
          <a:pPr algn="ctr"/>
          <a:endParaRPr lang="fr-CI" sz="1100" b="1"/>
        </a:p>
        <a:p>
          <a:pPr algn="ctr"/>
          <a:endParaRPr lang="fr-CI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13</xdr:col>
      <xdr:colOff>469900</xdr:colOff>
      <xdr:row>15</xdr:row>
      <xdr:rowOff>63500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2F19A4B-8E45-4393-9553-3D0F243B2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16</xdr:row>
      <xdr:rowOff>88900</xdr:rowOff>
    </xdr:from>
    <xdr:to>
      <xdr:col>13</xdr:col>
      <xdr:colOff>533400</xdr:colOff>
      <xdr:row>31</xdr:row>
      <xdr:rowOff>152400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D66A706-753F-461A-AD2C-91EC82CA1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50800</xdr:colOff>
      <xdr:row>33</xdr:row>
      <xdr:rowOff>50800</xdr:rowOff>
    </xdr:from>
    <xdr:to>
      <xdr:col>14</xdr:col>
      <xdr:colOff>6350</xdr:colOff>
      <xdr:row>43</xdr:row>
      <xdr:rowOff>146050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88F0C8B6-FBE6-49EE-9CCE-5F3A4AB4D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ite, Anliou" refreshedDate="44744.782404282407" createdVersion="7" refreshedVersion="8" minRefreshableVersion="3" recordCount="1097" xr:uid="{7B544DB1-4735-4C19-A1AF-860647F93C97}">
  <cacheSource type="worksheet">
    <worksheetSource ref="A1:Q1098" sheet="BASEAVEC01"/>
  </cacheSource>
  <cacheFields count="17">
    <cacheField name="N°" numFmtId="0">
      <sharedItems containsSemiMixedTypes="0" containsString="0" containsNumber="1" containsInteger="1" minValue="1" maxValue="1097"/>
    </cacheField>
    <cacheField name="NOM &amp; PRENOMS DES MEMBRES D'AVEC " numFmtId="0">
      <sharedItems count="1053">
        <s v="ALLOU AMOIN BEATRICE"/>
        <s v="KOUAKOU N'DA AHOU BRIGITTE"/>
        <s v="KOUAME KONAN DESIRE"/>
        <s v="KONE SITA"/>
        <s v="N'GUESSAN AKISSI MELENE"/>
        <s v="KOUAME ADJOUA MADELENE"/>
        <s v="YAO ADJOUA EUGENIE"/>
        <s v="N'ZUE AFFOUE CHANTAL"/>
        <s v="KOUAME ADJOUA HONORINE"/>
        <s v="KONAN AFFOUE BAH"/>
        <s v="KOUAME ADJOUA BRAKISSA"/>
        <s v="N'GUESSAN AKISSI ANGE"/>
        <s v="KONAN AMENAN SALOME"/>
        <s v="KOUADIO AHOU REINE"/>
        <s v="BROU KOFFI NOEL"/>
        <s v="BROU KOUASSI HERMANM"/>
        <s v="KOUADIO AFFOUE KEVINE"/>
        <s v="KOUAME N'GUESSAN FIDEL"/>
        <s v="KONAN ADJOUA CLAUDIA"/>
        <s v="KOUAME N'GUESSAN HELENE"/>
        <s v="KOFFI AHOU NADEGE"/>
        <s v="KRAMO N'GUESSAN "/>
        <s v="KOUADIO BROU JEAN"/>
        <s v="KOUASSI KOFFI HYPPOLITHE"/>
        <s v="N'GUESSAN AHOU CHARLOTTE"/>
        <s v="KOUAME LOUKOU MARCEL"/>
        <s v="KOUAME AMENAN ELISE"/>
        <s v="AMANI AMENAN ROSALIE"/>
        <s v="OUATTARA MARIAM"/>
        <s v="AMOIN GISELLE KOUADIO"/>
        <s v="KOUAME AMOIN MADELEINE"/>
        <s v="KOUADIO KOUAKOU J"/>
        <s v="N'GUESSAN AFFOUE CELESTINE"/>
        <s v="BROU ADJOUA AGNES"/>
        <s v="KRA AMENAN ALBERTINE"/>
        <s v="KOFFI AYA APPOLINE"/>
        <s v="KOUAME AFFOUE JEANNETTE"/>
        <s v="KOUADIO AMOIN LOUISE"/>
        <s v="M'BRA ADJOUA SIMONE "/>
        <s v="KOUAME ADJOUA BRIGITTE "/>
        <s v="KOUAME AGOU JEANNETTE"/>
        <s v="KOUAKOU DELPHINE AMENAN"/>
        <s v="KOUAME AKISSI NADEGE"/>
        <s v="EKRA ADJOUA BINTOU"/>
        <s v="KOBENAN AHOU"/>
        <s v="KOUADIO AKISSI BINTOU"/>
        <s v="KOUADIO AHOU GISELE"/>
        <s v="KOUADIO AMANI DESIRE"/>
        <s v="KOUAKOU ADJOU"/>
        <s v="YAO KONAN HENRY"/>
        <s v="KOUASSI KOUASSI ELIE"/>
        <s v="BRA AMOIN ODETTE"/>
        <s v="KOBENAN ADJA ROSE"/>
        <s v="KOMOE AMOIN"/>
        <s v="N'GUESSAN KOUAME NICOLAS"/>
        <s v="YAO AKISSI AMELIE"/>
        <s v="N'GORAN N'GUESSAN VIRGINIE"/>
        <s v="PANATOUGOURI ALIMATA"/>
        <s v="KONANTE ALIMANTOU"/>
        <s v="KONE DJENEBA"/>
        <s v="KONATE ADJARATOU"/>
        <s v="KONE NAMINATA"/>
        <s v="OUEDRAOGO FATTY"/>
        <s v="COULIBALY SALIMATA"/>
        <s v="BOUAHINI TENIN"/>
        <s v="KARIDJA KONATE"/>
        <s v="KONATE ASSETOU"/>
        <s v="KONATE KARIDJATOU"/>
        <s v="KONE MAIMOUNA"/>
        <s v="BANGALI SIATA"/>
        <s v="OUATTARA SIATA"/>
        <s v="KOUASSI AMENAN"/>
        <s v="KOUAME AYA"/>
        <s v="DEMBELE DJENEBA"/>
        <s v="MARIATOU FINON"/>
        <s v="DIARRA MAMAN"/>
        <s v="OUATTARA MARIATOU"/>
        <s v="KONATE ARIMATOU"/>
        <s v="BELLO ADELE"/>
        <s v="BERRE PHILIPPE"/>
        <s v="ATTA KOUADIO ALFRED"/>
        <s v="ADJOUA ANASTASIE"/>
        <s v="AMENAN BLANDINE"/>
        <s v="AYA SARA"/>
        <s v="KOFFI GOTIE"/>
        <s v="AYA PAULINE"/>
        <s v="AMOIN MIREILLE"/>
        <s v="DIBI AKISSI"/>
        <s v="AYA EVELYNE"/>
        <s v="AMENAN SUZANNE"/>
        <s v="DANI KARI"/>
        <s v="KOUADIO EVARISTE"/>
        <s v="KOUASSI ERNEST"/>
        <s v="N'DA AHOU EDWIGE"/>
        <s v="LOUKOU JULIETTE"/>
        <s v="KONAN DENIS"/>
        <s v="AHOU BERNADETTE"/>
        <s v="TCHANDA AYA NOELLE"/>
        <s v="AYA ELIANE"/>
        <s v="ADJO PHILOMENE"/>
        <s v="TAPE LINA"/>
        <s v="KOUASSI KOUASSI HONORE"/>
        <s v="KOUASSI AMOIN ANGELE"/>
        <s v="KIPRE NICOLE"/>
        <s v="KOUASSI AHOU THERESE"/>
        <s v="KOUASSI AYA ROSALIE "/>
        <s v="KOUAME AYA LOUISE"/>
        <s v="DIBI KOUASSI SAMUEL"/>
        <s v="KOUASSI AYA VERONIQUE"/>
        <s v="KOUADIO LOUKOU AGNES"/>
        <s v="DIBI KOUAME FRANCOIS"/>
        <s v="KONAN ADJOUA MADELEINE"/>
        <s v="N'DA KONAN DENIS"/>
        <s v="KONAN KOUAKOU ROMEO"/>
        <s v="KOUASSI AYA VALERIE"/>
        <s v="KOUASSI KOUADIO JEAN MODESTE"/>
        <s v="KOUASSI KOUADIO JONAS"/>
        <s v="N'DA N'DRI JULIETTE"/>
        <s v="YAO AFFOUE YVETTE"/>
        <s v="ZOUGRANA OUSMANE"/>
        <s v="KOFFI KOUASSI GILDAS"/>
        <s v="KRA AYA ROSE"/>
        <s v="ATTA KOFFI DAVID "/>
        <s v="YAO AMOIN JACQUELINE "/>
        <s v="OUEDRAOGO INOUSSA "/>
        <s v="LARISSA JEANNE"/>
        <s v="DAMBELE BELCO"/>
        <s v="SAMPANA GNAMOUE"/>
        <s v="AMINATA ARMAN"/>
        <s v="MAIGA FATOUMATA"/>
        <s v="DJEBEKA ELIANE"/>
        <s v="DICO FATOUMATA"/>
        <s v="TCHINTAO KONANAN"/>
        <s v="SONDE FATOUMATA"/>
        <s v="DIKOUROU DEMBELE"/>
        <s v="TRAORE AWA"/>
        <s v="FATOUMATA TOMOTA"/>
        <s v="TAMBOURA FATOUMATA"/>
        <s v="BORE AICHA"/>
        <s v="DRAME KALIDJA"/>
        <s v="SALIMATA DJINDO"/>
        <s v="CAMARA AICHA"/>
        <s v="OUATTARA DJINIMBA"/>
        <s v="CENSER DJOULDE"/>
        <s v="MAIGA ADI 1"/>
        <s v="MAIGA ADI 2"/>
        <s v="DEMBELE KOUMBA"/>
        <s v="FATOUMATA TAMBOURA"/>
        <s v="ZONGO FATI"/>
        <s v="MARIAM SIDIBE"/>
        <s v="AHIDARA RAHIMOUNAN"/>
        <s v="MAIGA AWA 1"/>
        <s v="MAIGA AWA 2"/>
        <s v="MAIGA AHOULATA"/>
        <s v="COULIBALY FATOUMATA"/>
        <s v="KRAMO N'DRI"/>
        <s v="KOUAME KOUAKOU DIDIER"/>
        <s v="KOUADIO AHOU"/>
        <s v="N'GATTA AHOU MARCELINE"/>
        <s v="N'GUESSAN KOUASSI DESIRE"/>
        <s v="YAO KOUASSI DESIRE"/>
        <s v="TORO ISSIAKA"/>
        <s v="KONSA KOFFI N'DAYE"/>
        <s v="KOUAME AHOU VIVIANE"/>
        <s v="KOUADIO N'GUESSAN"/>
        <s v="KRAMO AFFOUE"/>
        <s v="KOUAKOU N'DRI ALPHONSE"/>
        <s v="KOUAKOUSEYDOU DENIS"/>
        <s v="N'GUESSAN SIALOU CHANTAL"/>
        <s v="KOFFI AFFOUE"/>
        <s v="TIEMOKO ADAMA"/>
        <s v="YAO AKISSI BERNADETTE"/>
        <s v="KOUAKOU N'GUESSAN GEORGETTE"/>
        <s v="KOUASSI LOME IRENE"/>
        <s v="N'GUESSAN AMAN"/>
        <s v="KOUADIO YAO DENIS"/>
        <s v="KOFFI AHOU JUSTINE"/>
        <s v="KOUAKOU YAO"/>
        <s v="KANGA ADJOUA SUZANNE"/>
        <s v="YAO AFFOUE SUZANNE"/>
        <s v="KOUAME AHOU VICTORINE"/>
        <s v="KOUAME AHOU NADEGE"/>
        <s v="KOUASSI N'GUESSAN MAXIMIN"/>
        <s v="KOUADIO AFFOUE EUGENIE"/>
        <s v="KOUAME KRA SIDONIE"/>
        <s v="TIENDREBEOGO ELISABETH"/>
        <s v="KABORE ALASSANE"/>
        <s v="ZONGO MAMOUNATA"/>
        <s v="NIKIEMA SAFIATOU"/>
        <s v="KOUALA ADAMA"/>
        <s v="KABORE AMINATA"/>
        <s v="OUEDRAOGO KARIDJATOU"/>
        <s v="KABORE LISATA"/>
        <s v="NIKIEMA AMI"/>
        <s v="KABORE SOULEMANE"/>
        <s v="KABORE ISSIAKA"/>
        <s v="KABORE MADI"/>
        <s v="KOANDA ABDOULAYE"/>
        <s v="NAHANA ZEYNAB"/>
        <s v="KABORE KOROTOUM"/>
        <s v="WILLI HABIBATO"/>
        <s v="KABORE MAMOUNATA"/>
        <s v="KOANDA IBRAHIM"/>
        <s v="KABORE IBRAHIM"/>
        <s v="KABORE AWA"/>
        <s v="TIENDREBEOGO RAMATA"/>
        <s v="KOANDA KARIDJATOU"/>
        <s v="ZOUNGRANA AMIDOU"/>
        <s v="ZOUNGRANA SOULEYMANE"/>
        <s v="ZOUNGRANA OUSMANE"/>
        <s v="BOUGOUM MOUSSA"/>
        <s v="KOANDA SALIMANTA"/>
        <s v="KABORE FATOUMATA"/>
        <s v="OUEDRAOGO AMINATA"/>
        <s v="KOLOGO RAMATA "/>
        <s v="KOFFI AMOIN HELENE"/>
        <s v="KOUASSI AMOIN ISABELLE"/>
        <s v="DJE AFFOUE MARIE"/>
        <s v="KOUADIO AMENAN CATHERINE"/>
        <s v="N'ZI AFFOUE JULIETTE "/>
        <s v="KOUASSI AYA ROSALIE"/>
        <s v="KOUADIO AKISSI GENEVIEVE"/>
        <s v="KRA AFFOUE EDITH"/>
        <s v="YAO N'DRI"/>
        <s v="KOFFI N'GORAN JEANNE"/>
        <s v="KOUASSI LOUKOU"/>
        <s v="KONAN AHOU JEANNE"/>
        <s v="KOFFI AFFOUE ESTELLE"/>
        <s v="YAO AKISSI CHANTAL"/>
        <s v="BROU AFFOUE ELISABETH"/>
        <s v="KOUASSI KOFFI CHRISTOPHE"/>
        <s v="LOUKOU KOFFI JOEL"/>
        <s v="KOUASSI KAN"/>
        <s v="KOUASSI KOFFI ABDOULAYE"/>
        <s v="KOUADIO N'GORAN RACHELLE"/>
        <s v="LOUKOU ALLA"/>
        <s v="AYA DORCAS"/>
        <s v="AMEMOU AMOIN CAROLINE"/>
        <s v="KOUAME JUDICAEL"/>
        <s v="KOFFI AHOU GENEVIEVE"/>
        <s v="KOUAKOU AMOIN ESTER"/>
        <s v="ASSUI LOUKOU"/>
        <s v="ASSOU KOUADIO ALEXIS"/>
        <s v="KINDREBEOGO NATALIE"/>
        <s v="N'DRI JEAN ROMARIC"/>
        <s v="KONAN N'DRI JACQUELINE"/>
        <s v="KONAN KOUAKOU JOSE"/>
        <s v="KOUAME AMENAN"/>
        <s v="KOFFI AMOIN ODILE"/>
        <s v="DELETO MOLAO "/>
        <s v="AHOSSI AMENAN AGNES"/>
        <s v="KOUAKOU N'GORAN MADELENE"/>
        <s v="KOUADIO AKISSI ODILE"/>
        <s v="KOUASSI AMENAN FELICITE"/>
        <s v="DOGA ELA "/>
        <s v="SATIA AMENAN EUGENIE"/>
        <s v="TODJOU DEROTO EUGENE"/>
        <s v="YAO N'DRI CLEMENT"/>
        <s v="TANO KOUADIO"/>
        <s v="ALLA GBA YAO EDOUARD"/>
        <s v="KOUASSI LOPES"/>
        <s v="KOFFI KONAN"/>
        <s v="KOUAKOU AMENAN CLEMENTINE"/>
        <s v="N'GUESSAN AHOU PRISCA"/>
        <s v="KOUADIO KAN MOISE"/>
        <s v="LAMINE KOFFI CELESTIN"/>
        <s v="KOUASSI ADJOUA"/>
        <s v="KOUAME AFFOUE ASSE MONIQUE"/>
        <s v="KOUADIO AFFOUE SANDRINE"/>
        <s v="KONAN CLARISSE AMOIN"/>
        <s v="KOFFI AKISSI MARIE"/>
        <s v="KOUAME AKISSI CHANTAL"/>
        <s v="KOUAKOU AMENAN CHARLOTTE "/>
        <s v="KOUAME AYA CELINE"/>
        <s v="KONAN ADJOUA SUZANNE"/>
        <s v="ALLA AFFOUE"/>
        <s v="M'BRA N'GUESSAN CLEMENT "/>
        <s v="KOUAKOU AHOU AGNES"/>
        <s v="KOUAKOU AFFOUE JOSEPHINE "/>
        <s v="N'DRI AHOU ODETTE"/>
        <s v="BROU KOUAKOU AKISSI EUGENIE"/>
        <s v="YAO AFFOUE "/>
        <s v="YAO AMENAN JEANNETTE"/>
        <s v="DOGBO AYA ROSALIE"/>
        <s v="N'GUESSAN AFFOUE"/>
        <s v="KOFFI AKISSI "/>
        <s v="KANGA AMENAN NATALIE"/>
        <s v="KOUAKOU AMOIN BENEDICTE"/>
        <s v="KONAN AHOU VALERIE CHARLOTTE"/>
        <s v="KOFFI N'GUESSAN AGNES"/>
        <s v="KOFFI AMOIN EMILIENNE"/>
        <s v="TEMOU AYA MONIQUE"/>
        <s v="OUATTARA MANSOUGHARI"/>
        <s v="GRAMOUTE ROKIA"/>
        <s v="BENIN SALI"/>
        <s v="KOUAME ADJOUA MIREILLE"/>
        <s v="KIN MTORE ZARA"/>
        <s v="NEBIE ABI "/>
        <s v="YAO AMENAN NADEGE"/>
        <s v="KOFFI ADJOUA CLARISSE"/>
        <s v="SAWADOGO NAFIATOU"/>
        <s v="GOLI AFFOUE"/>
        <s v="KOUAME ADJOUA MARIE LAURE"/>
        <s v="OUEDRAOGO MAIMOUNA"/>
        <s v="GANAME RAMATA"/>
        <s v="N'GORAN AMOIN ELISEE"/>
        <s v="RABOU MINATA"/>
        <s v="NEBIE ADJARA"/>
        <s v="GANAME SAFIATOU"/>
        <s v="BOKA SIMONE DAVILA"/>
        <s v="SAWADOGO ALIMATA"/>
        <s v="SAWADOGO LIMATA"/>
        <s v="SINON MONNIN "/>
        <s v="SAWADOGO SALIMATA"/>
        <s v="SAWADOGO SANATA "/>
        <s v="KABORE FATIMATA"/>
        <s v="KOUDJOLON RACHELLE"/>
        <s v="SINPORE DJENEBOU"/>
        <s v="ZONGO MARIE"/>
        <s v="SARAKA N'GUESSAN JEANNOT"/>
        <s v="TRAORE ABI "/>
        <s v="RABE LAWINDE "/>
        <s v="KAGAMBEGA OUANGO"/>
        <s v="KOUADIO AFFOUE RACHELLE"/>
        <s v="KOUADIO AHOU CHRISTINE"/>
        <s v="KOUASSI AHOU SONIA"/>
        <s v="KOUADIO AYA"/>
        <s v="TUINA TIWAWE ELENE"/>
        <s v="OUFFOUE CLOYA ODETTE "/>
        <s v="BROU N'DRI RODRIGUE"/>
        <s v="KONAN KOFFI JEAN CLAUDE"/>
        <s v="N'GORAN KOUASSI AUBIN "/>
        <s v="KOUAKOU N'DRI THERESE"/>
        <s v="TONDE WINDINDA"/>
        <s v="KOUADIO N'GORAN SUZANNE"/>
        <s v="KONAN AFFOUE CHANTAL"/>
        <s v="KOUAKOU AMOIN ROSE"/>
        <s v="YAO AYA DEBORAH"/>
        <s v="BOUGMA RELWENDE"/>
        <s v="KOUAKOU AYA ANNE MARIE"/>
        <s v="KOUAME AYA BERNADETTE"/>
        <s v=" BAZIE CLEMENTINE"/>
        <s v="ALI AKISSI PELAGIE"/>
        <s v="BAKOUAN ASSETOU"/>
        <s v="KOFFI AKISSI HENRIETTE"/>
        <s v="KANDO ALICE"/>
        <s v="ZONGO FATOUMATA "/>
        <s v="KANDO JUSTINE"/>
        <s v="KOFFI ADJOUA MARIE LAURE"/>
        <s v="AMANI KOUAKOU JOSEPH"/>
        <s v="YAO KOUADIO HYACINTHE "/>
        <s v="ALI N'GUESSAN DIDIER"/>
        <s v="KOUAKOU AHOU SUZANNE"/>
        <s v="BADO EWABOUE PAULINE"/>
        <s v="KANDO CLARISSE"/>
        <s v="LOU DJENAN BERNADETTE"/>
        <s v="KENZIGA MONIQUE"/>
        <s v="BOUDOU EMILIENNE"/>
        <s v="KANDO EYAMAN"/>
        <s v="KANDO DELPHINE"/>
        <s v="BAKOUAN MAIMOUNAN"/>
        <s v="BAKOUAN THERESE"/>
        <s v="TOLOU MARIE FRANCOISE"/>
        <s v="PALE CECILE"/>
        <s v="BADO BAKA"/>
        <s v="KOUAME KOFFI EUGENE"/>
        <s v="OUATTARA KADIDJA"/>
        <s v="BAKO KOURBE"/>
        <s v="N'GUESSAN KOUADIO KEVIN"/>
        <s v="MILOGO MARIE"/>
        <s v="YAO AMOIN ROSALIE"/>
        <s v="KANDO MINATA "/>
        <s v="ZOLOU HORTENSE"/>
        <s v="TIENTEGA HABIBATOU"/>
        <s v="KANYALA JACQUELINE"/>
        <s v="KONE MARIAM"/>
        <s v="KANDO ELIBIE SOLANGE"/>
        <s v="MILOGO ROSALIE"/>
        <s v="YACOUBA ADIZA"/>
        <s v="KANKO CATHERINE"/>
        <s v="OUEDRAOGO DJENIMBOU"/>
        <s v="GANSAORE FADILATOU"/>
        <s v="YAMEOGO ODETTE"/>
        <s v="KOUASSI AMANI CATHERINE"/>
        <s v="COMPAORE AGNES"/>
        <s v="DIANDA BIBATOU"/>
        <s v="KANDO EDOUA"/>
        <s v="SON FATIMANTA"/>
        <s v="KANKOUAN AWA"/>
        <s v="KANDO ADISSA"/>
        <s v="KAKO CHANTAL"/>
        <s v="KANTIONO MARIAM"/>
        <s v="ZONGO ROSALIE"/>
        <s v="BAZONGO NATALIE"/>
        <s v="BADOLO MARIE LOUISE"/>
        <s v="KANKOUAN DJENAB"/>
        <s v="KANDOLO BEATRICE"/>
        <s v="KANKOUE MARIE JEANNE"/>
        <s v="KANKOUAN ASSITA"/>
        <s v="OUATTARA DJATA"/>
        <s v="OUATTARA AWA 1"/>
        <s v="KONAN AMOIN BEATRICE"/>
        <s v="OUATTARA MACROI"/>
        <s v="GUE AMOIN SYNTHIA"/>
        <s v="OUATTARA SALIMATA"/>
        <s v="KOUAME AKISSI LEONTINE"/>
        <s v="OUATTARA ABI 1"/>
        <s v="COULIBALY ALIMENTOU"/>
        <s v="OUATTARA ALIMATA"/>
        <s v="OUATTARA ADJARA 1"/>
        <s v="OUATTARA SETOU"/>
        <s v="COULIBALY ADJARATOU"/>
        <s v="KOUAKOU KONAN ERNEST"/>
        <s v="OUATTARA AWA 2"/>
        <s v="OUATTARA MAN"/>
        <s v="OUATTARA MADINA"/>
        <s v="OUATTARA BARAKISSA"/>
        <s v="FARMA AWA"/>
        <s v="OUATTARA ADJARA 2"/>
        <s v="OUATTARA ALIMANTOU"/>
        <s v="OUATTARA AWA 4"/>
        <s v="OUATTARA  ABI 3"/>
        <s v="OUATTARA FATOUMAN"/>
        <s v="OUATTARA SALI"/>
        <s v="OUATTARA SINATA"/>
        <s v="COULIBALY SITA"/>
        <s v="OUATTARA MANA"/>
        <s v=" ASSA AKISSI SIMONNE"/>
        <s v="KOUAME AMOIN EMMA"/>
        <s v="KOUASSI N'GUESSAN IVONNE"/>
        <s v="KOUAME AYA BLANDINE"/>
        <s v="ZIAO MONIQUE "/>
        <s v="KOFFI AHOU CLARISSE"/>
        <s v="YAO AKISSI MARIE CLAIRE"/>
        <s v="N'DA AFFOUE HELENE"/>
        <s v="BROU AYA THERESSE"/>
        <s v="KONAN ADJOUA JACQUELINE"/>
        <s v="KOUASSI AFFOUE VIVIANE "/>
        <s v="N'GUESSAN AKISSI MONIQUE"/>
        <s v="KOUAME AMOIN MONIQUE"/>
        <s v="WAOGO MALAO LUCIE"/>
        <s v="KOUASSI KOUAKOU MATURIN"/>
        <s v="ESSE ADJOUA JUDITH"/>
        <s v="KIEMOU IRRITE CELESTINE"/>
        <s v="N'GORAN AMENAN RODA"/>
        <s v="KOUAME KOUADIO GERAD"/>
        <s v="N'GUESSAN AYA PELAGIE"/>
        <s v="DJAHA JEAN JACQUE"/>
        <s v="YAO AYA LUISE"/>
        <s v="KOUAME AFFOUE RACHELLE"/>
        <s v="KOUAKOU AMOIN MARINA"/>
        <s v="KOFFI ADJOUA CHRISTINE"/>
        <s v="KOFFI AMENAN LYDIE"/>
        <s v="KOUAME AYA AIMEE"/>
        <s v="KOUAME AMOIN NINA"/>
        <s v="KOUASSI AFFOUE IVONNE"/>
        <s v="ASSIE N'DRI ODILE"/>
        <s v="KONAN KOUAME CONSTANT"/>
        <s v="KOUADIO KONAN RICHARD"/>
        <s v="AKANZA AMENAN PHILOMENE"/>
        <s v="KONAN AHOU BRGITTE "/>
        <s v="AONDJO ALIKA ANTOINETTE"/>
        <s v="BROU AFFOUE VANESSA"/>
        <s v="YAO AKISSI"/>
        <s v="KONAN NAOMI"/>
        <s v="N'GUESSAN KOUASSI"/>
        <s v="Mme DJATI"/>
        <s v="AUGUSTINE SEREBO"/>
        <s v="LOGBO JOSEPHINE"/>
        <s v="KOFFI ADJOUA GEOGETTE"/>
        <s v="PASSA IRENE "/>
        <s v="KOUADIO ISABELLE"/>
        <s v="ADOU BOUSSOU ODETTE "/>
        <s v="SIE LAURENT "/>
        <s v="ASSAOULE GEORGETTE"/>
        <s v="KOUADIO ADELAIDE"/>
        <s v="KOUAME AFFOUE PHILOMENE"/>
        <s v="N'GUESSAN AFFOU"/>
        <s v="KOUAKOU ADJOUA"/>
        <s v="KOFFI AMOIN GISSELLE"/>
        <s v="ABY SUZANNE"/>
        <s v="BIAOU PELAGIE "/>
        <s v="KOUADIO LYDIA"/>
        <s v="NANE AMA "/>
        <s v="N'GUESSAN LAIGA JOCELYNE"/>
        <s v="DJENZOU AMOIN ALPHONSINE"/>
        <s v="N'GOMISA ABISSA ARNAUD"/>
        <s v="KOUAME AYA FIDELE"/>
        <s v="KOUASSI AKISSI FRANCELINE"/>
        <s v="OUATTARA KADY"/>
        <s v="BIAKPA AYADJE"/>
        <s v="DIGBEU NADEGE"/>
        <s v="KOUADIO PHILOMENE "/>
        <s v="BAKAYOKO FATOU"/>
        <s v="DJAHA APPOLINAIRE"/>
        <s v="GBELI ORLI SOSTHENE"/>
        <s v="DJOBO NENE DOUGLAS"/>
        <s v="OTTE JOSEPH"/>
        <s v="IDRE ANITA"/>
        <s v="BOLOU NADEGE"/>
        <s v="KABRE ZENAB"/>
        <s v="ZOUZOUAJUSTINE"/>
        <s v="OTTE MAXIME"/>
        <s v="WEZE ANNE MARIE"/>
        <s v="KINDO GEORGETTE"/>
        <s v="PEHI LOGBO EMANUEL"/>
        <s v="KAZA CHRISTINE"/>
        <s v="KABI CELINE"/>
        <s v="LAKPA CHANTAL"/>
        <s v="ORI GBAHIKE MARTINE"/>
        <s v="GBONENE LEOCADIE"/>
        <s v="BADA GERMAINE"/>
        <s v="KOUASSI AMENAN VALERIE"/>
        <s v="IDRE MADELEINE"/>
        <s v="KOUKO VICTORINE"/>
        <s v="TAKORE ADOUA FERDINAND"/>
        <s v="DIGBEU SAGOUHI AUGUSTINE"/>
        <s v="GOGOUA CATHERINE"/>
        <s v="GNOKA ELOIDE"/>
        <s v="GAOTE SAMSUNG"/>
        <s v="TIEROU ESTELLE"/>
        <s v="GNALY MEZO JOCELYNE"/>
        <s v="WLE CLARISSE"/>
        <s v="KOUAKOU JEAN DE DIEU"/>
        <s v="YAO AFFOUE PAULINE"/>
        <s v="KOUADIO AYA ADELINE"/>
        <s v="KOUASSI AMENAN LARISSA"/>
        <s v="KOUASSI BRICE ANNICET"/>
        <s v="KOFFI N'GUESSAN HENRIETTE"/>
        <s v="KONAN KOUAKOU EDMOND"/>
        <s v="KOUASSI N'GUESSAN JEAN"/>
        <s v="KOUAME ADJOUA NAOMIE"/>
        <s v="KOUADIO ADJOUA VIRGINIE"/>
        <s v="KOUADIO AYA GENEVIEVE"/>
        <s v="YAO ADJOUA JULIE"/>
        <s v="KOUASSI AYA VICTORINE"/>
        <s v="KOUAKOU CYRILLE"/>
        <s v="KONAN YAO GERMAIN"/>
        <s v="N'DRI KONAN NOEL"/>
        <s v="N'GORAN AHOU "/>
        <s v="KOUAKOU KOUASSI ERIC"/>
        <s v="KOUASSI KONAN MARUIS"/>
        <s v="KOFFI KOUADIO EMANUEL"/>
        <s v="N'DRI AHOUTOU VINCENT"/>
        <s v="KOUAME AKISSI YVONNE"/>
        <s v="KOFFI N'GORAN MARTHE"/>
        <s v="KOFFI ADJOUA AMELIE"/>
        <s v="KOUADIO AMOIN ADELINE"/>
        <s v="KOUASSI AFFOUE MARIE CHANTAL"/>
        <s v="YAO AFFOUE ANGELE"/>
        <s v="YAO FABRICE"/>
        <s v="KOUADIO MARIE PAULE"/>
        <s v="KOUASSI N'GUESSAN PAULINE"/>
        <s v="KOFFI YAO JEAN "/>
        <s v="KOFFI ADJO PRESCALINE"/>
        <s v="KOFFI LOUKOU MARIE-LAURE"/>
        <s v="YAO STEPHANE"/>
        <s v="KOUASSI YAO JOSUE"/>
        <s v="KOUAKOU AKISSI NAOMIE"/>
        <s v="BROU AKISSI THERESE"/>
        <s v="LANGAH THERESE"/>
        <s v="KOUAME AKISSI AMANDINE"/>
        <s v="KOFFI AMOIN TINA"/>
        <s v="KOUASSI KONAN ALFRED"/>
        <s v="KOUAKOU EDMOND"/>
        <s v="KOUASSI KOFFI RICHARD"/>
        <s v="KOUASSI AHOU JOCELYNE"/>
        <s v="KOUASSI AMENAN JACQUELINE"/>
        <s v="KOUADIO KONAN FREJUS"/>
        <s v="KANGA KOUADIO LAURENT"/>
        <s v="YAO KOUASSI ST CLAIRE"/>
        <s v="KOUASSI KONAN ALBERT"/>
        <s v="KOUAME KOUASSI GERALD"/>
        <s v="N'DRI ERIC"/>
        <s v="OBROU CHRISTINE"/>
        <s v="GAPOH GOZE MAXIME"/>
        <s v="LIGNON ZOUA"/>
        <s v="YOHONA CHANTALE"/>
        <s v="BOZOA MARTHE"/>
        <s v="KABORE CECILE"/>
        <s v="KOUADIO AYA ROSALIE"/>
        <s v="GAMSORE VINCENT"/>
        <s v="ABAIHI ZADI ANDERSON"/>
        <s v="ZADI SMITH"/>
        <s v="DAOBIA Y NATACHA"/>
        <s v="SERI MONIQUE"/>
        <s v="KOUAME  AMOIN"/>
        <s v="KORE CHRISTINE"/>
        <s v="ZARE MARINA"/>
        <s v="ADELI LEOCADIE"/>
        <s v="KOUAKOU A. SUZANNE"/>
        <s v="MADOU SANDRINE"/>
        <s v="ZOUZOUA LIGNON GERARD"/>
        <s v="ZAKO GOHINA ALEXISE"/>
        <s v="BIAGNE CHRISTINE"/>
        <s v="KOUASSI MELAINE"/>
        <s v="DALI DORCAS"/>
        <s v="KORE ZEGBEU PELAGIE"/>
        <s v="GRE WA YOLANDE"/>
        <s v="GBOKOU CLEMENTINE"/>
        <s v="OSSIRI MARTHE"/>
        <s v="BAHI ODILE"/>
        <s v="YAO ADJOUA"/>
        <s v="KOALA ISSOUF"/>
        <s v="ZALO SOKOURI JEAN CLAUDE"/>
        <s v="ZAKO AHIPO MARTIAL"/>
        <s v="ZOKOU PIERRE"/>
        <s v="MABO ONE LAZARE"/>
        <s v="NABO DJEDJE CHARLES"/>
        <s v="NABO ZOUZOUA EMMANUEL"/>
        <s v="KPLEGNON GAGO FRANCOIS"/>
        <s v="LEKPA ZEGBEU HORTENSE"/>
        <s v="BAHI DIGBEU MAMBERT"/>
        <s v="MABO DODO FULGENCE"/>
        <s v="ZAKO LEON"/>
        <s v="KOKO ZADIHONON THERESE"/>
        <s v="KOUAKOU AHOU FRANCINE"/>
        <s v="KOUDOUGNON FLORE"/>
        <s v="GOGOUA MARIE"/>
        <s v="KIPRE GENEVIEVE"/>
        <s v="KIPRE GREWA ROSE"/>
        <s v="DEGRI DOGROU"/>
        <s v="ZAKO JEAN "/>
        <s v="ZOKOU LAHORE ISABELLE"/>
        <s v="GUEHI CECILE"/>
        <s v="BAHI GENEVIEVE"/>
        <s v="ZAKO PREGNON ESSY CONSTY"/>
        <s v="KOUASSI YAHA CATHERINE"/>
        <s v="ABEAHI DONWAHI JOACHIM"/>
        <s v="MATCHARO GUEHI BARTHELEMI"/>
        <s v="GOGOUA GBAZOKOU ARMELLE"/>
        <s v="BLE ROBERT"/>
        <s v="DEH GNEBELO CARLOS"/>
        <s v="OSSOUA ORTHENSE"/>
        <s v="LIDA GABRIERT"/>
        <s v="DOUDOU KORE VINCENT"/>
        <s v="DODO WAZI MICHAELLE"/>
        <s v="DESSOU DANIELLE"/>
        <s v="KORE BOUDOU CLARICE"/>
        <s v="DOUDOU YOKORE ANATHOLE"/>
        <s v="PLEGNON KORE GILLE"/>
        <s v="ZOUZOU DEBORA"/>
        <s v="NROMA VIVIANE"/>
        <s v="TAPE ROKICE"/>
        <s v="KORE ANGE MARIE"/>
        <s v="SERY GNACO ANDERSON"/>
        <s v="SOCO APPOLINE"/>
        <s v="BAHI NOURA"/>
        <s v="WO GUI FRANCK"/>
        <s v="KOUAME KOUADIO EVARISTE"/>
        <s v="SAWADOGO ZOUMA"/>
        <s v="BIMBA SAFIATOU"/>
        <s v="GAMSORE SAFIATOU"/>
        <s v="NIKIEMA KOTIM"/>
        <s v="SAWADOGO FATIMATA "/>
        <s v="KONFE SALIMATA"/>
        <s v="OUEDRAOGO SALI"/>
        <s v="YAMEOGO ROSALIE"/>
        <s v="SAWADOGO AIBATA"/>
        <s v="KIENDREBEOGO MARCELINE"/>
        <s v="SAWADOGO AMI"/>
        <s v="OUEDRAOGO MARIAM 2"/>
        <s v="SARBA AMIDOU"/>
        <s v="OUEDRAOGO MARIAM1"/>
        <s v="SAWADOGO AZETA"/>
        <s v="SAWADOGO KOTIM"/>
        <s v="SAWADOGO BIBATA"/>
        <s v="NAKANABO ZALISSA"/>
        <s v="GONDE SARATA"/>
        <s v="OREMI SAFIATA"/>
        <s v="OUEDRAOGO MARIAM 3"/>
        <s v="MAIGA RAMATA"/>
        <s v="BAGUAN AZATA"/>
        <s v="MADE AROUNA"/>
        <s v="TRAORE RASMANI"/>
        <s v="KIRAKOYA AMSETOU"/>
        <s v="KAFANDO SALIMATA"/>
        <s v="OUEDRAOGO MAMOUNATA"/>
        <s v="SARBA ZOURATA"/>
        <s v="YOKORE LIDY "/>
        <s v="DAH NAGO JEAN"/>
        <s v="TETIALY SAHERE ALIDA"/>
        <s v="MORY DJAGBA ELISABETH"/>
        <s v="OYOUROU SEGUI"/>
        <s v="DAH DJAGBA HORTENSE"/>
        <s v="GRABY BERNADETTE"/>
        <s v="LOGUHE LOUMA BRIGITTE"/>
        <s v="GAGA IRENE"/>
        <s v="NAMANE SAHERE EUGENIE"/>
        <s v="ZIRIGNON SERI MATHIAS"/>
        <s v="DEGRE MAZO RACHELLE"/>
        <s v="LOGBO KOUDOUGNON NATHALIE"/>
        <s v="OUGUEHI ANICK"/>
        <s v="KOUKO GNIZAKO"/>
        <s v="BLE GOKUI LUC"/>
        <s v="ZADI CHANTAL"/>
        <s v="KOUASSI AKISSI ROSINE"/>
        <s v="DIGBEU CHRISTELLE"/>
        <s v="ZEGBEU BOKOU MEHI CHARLOTTE"/>
        <s v="GBAKA BALE IRENE"/>
        <s v="GBALOU ESTELLE"/>
        <s v="OUPOH PEGY LAURE"/>
        <s v="DAH TAPE NICAISE"/>
        <s v="BOBEA MELAINE"/>
        <s v="GOGOUA NADEGE"/>
        <s v="GUEDE DEYE THERESE"/>
        <s v="LEKPA SAHOUA REBECCA"/>
        <s v="KOUDOUGNON RAPHAEL"/>
        <s v="YEPE CLAUDE"/>
        <s v="GUEDE VAGBEU YVONE"/>
        <s v="SERI KREOUA ELISABETH"/>
        <s v="KOUASSI ADJO ROSELINE"/>
        <s v="BOBIA PELAGIE"/>
        <s v="ZEZE CARINE"/>
        <s v="GROGA BLANCHE CHRISTINE"/>
        <s v="DABLE JUSTINE"/>
        <s v="GNAZEBO IBO JOSEPHINE"/>
        <s v="MAGUI HORTENSE"/>
        <s v="BLE MARIE LOUISE"/>
        <s v="KOBEI SABINE"/>
        <s v="LOGNON JEANNETTE"/>
        <s v="GNAZEBO CHRISTINE"/>
        <s v="YAO AFFOUE SYLVIE"/>
        <s v="KOUADIO BROU CATHERINE"/>
        <s v="KONAN ADJOUA ROSINE"/>
        <s v="DJA YOLANDE"/>
        <s v="LOKPO CLEMENTINE"/>
        <s v="KOUASSI AMOIN ELISABETH"/>
        <s v="GUEDE ARMANDE"/>
        <s v="YAO ADJO IDA"/>
        <s v="ZABOUO GEORGETTE"/>
        <s v="ZADY CHANTALE"/>
        <s v="KOFFI AYA NOEL"/>
        <s v="KONAN ANGE"/>
        <s v="GOGOUA CHANTALE"/>
        <s v="YOBOUE AFFOUE CHANTALE"/>
        <s v="KOUAME AHOU ADELINE"/>
        <s v="N'DOUA ABEL"/>
        <s v="SERI DJORLAUD SEVERIN"/>
        <s v="ZAKO KESSIE PAULIN"/>
        <s v="ZADY FABRICE"/>
        <s v="BLE GNAORE RICHARD"/>
        <s v="GBETE LOOURI DELPHIN "/>
        <s v="TAKORE P. NARCISSE"/>
        <s v="BELEMOU ROBERT"/>
        <s v="KEUBLI LALOU CHAMBERT"/>
        <s v="DEGBA YOKORE MAURICE"/>
        <s v="GBRETE G PAULIN"/>
        <s v="KOFFI KOUADIO SYLVERE"/>
        <s v="BLE LAGO ELY"/>
        <s v="DABO ZOMADRE HERVE"/>
        <s v="KOUAKOU K.FULBERT"/>
        <s v="KACOU K.CHRISTIAN"/>
        <s v="BLE JULIEN"/>
        <s v="BLE G.HERVE STEPHANE"/>
        <s v="GOGOUA GUY DEMEL"/>
        <s v="BLE TOH"/>
        <s v="DOUDOU BOLOU AUGUSTIN"/>
        <s v="TABIA ZADI NICAISE"/>
        <s v="DIFFI KOUADIO JEAN-LOUIS"/>
        <s v="DOUFFI KOUADDIO PIERRE"/>
        <s v="BOZA TABLI THIERRY"/>
        <s v="BLAY MADOU OLIVIER"/>
        <s v="TRAORE MEITA NADINE"/>
        <s v="BIAGNE CHRISTELLE"/>
        <s v="DEDOU DIANE"/>
        <s v="N'DRI AFFOUE JEANNETTE"/>
        <s v="KOFFI KOUAME LAZARE"/>
        <s v="M'BRA AMENAN RACHELLE"/>
        <s v="YAO KOUAKOU JEAN BERTRAND"/>
        <s v="N'DRI AFFOUE AMELIE"/>
        <s v="TANO AFFOUET SOLANGE"/>
        <s v="N'GORAN AHOU NATACHA"/>
        <s v="KONAN N'DRI MARIETTE"/>
        <s v="YAO AHOU AGNES"/>
        <s v="KOUADIO N'DRI BERNADETTE"/>
        <s v="KOUAKOU AMANI ROSE"/>
        <s v="KOUAME AMOIN SUZANNE"/>
        <s v="N'GUESSAN AKISSI SYLVIE"/>
        <s v="YAO ADJOUA JEANNE"/>
        <s v="KOUAKOU AFFOUET LEONNIE"/>
        <s v="KONAN AYA CLARISSE"/>
        <s v="KOFFI YAO THIERRY"/>
        <s v="YAO AMOIN BRIGITTE"/>
        <s v="KOUAKOU YAO SIMON"/>
        <s v="N'GUESSAN AHOU SOLANGE"/>
        <s v="BROU AYA SIDONIE"/>
        <s v="YAO AFFOUE EMMA "/>
        <s v="N'GUESSAN AHOU GHISLAINE"/>
        <s v="OMOFOU AMENAN SOLANGE"/>
        <s v="YAO ADJOUA ADELE"/>
        <s v="KONAN LOUKOU  JEAN JACQUES"/>
        <s v="N'GUESSAN KOUADIO BEENOIT"/>
        <s v="N'GUESSAN AKISSI HELENE"/>
        <s v="YAO ADJOUA LOUISE"/>
        <s v="YAO AFFOUE LEONTINE"/>
        <s v="LOUBOGNON BEATRICE"/>
        <s v="SAHUE MARIE"/>
        <s v="LOGNON BOUKA MARIE"/>
        <s v="LOGBO JACQUELINE"/>
        <s v="PREGNON LOUISE"/>
        <s v="BIAGNE VIVIANE"/>
        <s v="KORE BERTINE"/>
        <s v="LEKPA ODILE"/>
        <s v="KIMOU BLANDINE"/>
        <s v="DOBO EMMA"/>
        <s v="YEPE JEANINE"/>
        <s v="TAPE KRIZA THEODORE"/>
        <s v="GOGUI DIANA CLARISSE"/>
        <s v="DOUKORE GNIPLE RODRIGUE"/>
        <s v="DOUKORE BOLOU SAMUEL"/>
        <s v="GBOUGNON BITTY YVES"/>
        <s v="GUEHI SUZANNE"/>
        <s v="AGUI HELENE"/>
        <s v="DORAN BERTINE"/>
        <s v="BAHI MARINA"/>
        <s v="TAPE MAZO SYLVIE"/>
        <s v="KRIFO JEANNETTE"/>
        <s v="DOUOBA REINE"/>
        <s v="YOKOZOUA BAYERE PASCALINE"/>
        <s v="ZADI SOLE SIMONE"/>
        <s v="KOUAME KOSSIA DENISE"/>
        <s v="GNIZAKA MAZO CHRISTINE"/>
        <s v="BOLOU MABO ALEXANDRE"/>
        <s v="YEPE LEOPOLINE"/>
        <s v="SERI ANDRIENNE"/>
        <s v="ZAKO ZOUA MARIE"/>
        <s v="GOGO GOYENA CAROLINE"/>
        <s v="DOUANE JEANNE"/>
        <s v="DALLY AKUEHIGBA ANASTHASIE"/>
        <s v="LEGBROLO JULIETTE"/>
        <s v="SERI DJAGBA ADRIENNE"/>
        <s v="KAPOHO DJAGBA NADEGE"/>
        <s v="YOUKOURIKE DONE CLARICE"/>
        <s v="GBEUGRE DJAGBA AGNES"/>
        <s v="PREGNON GOURAYO RAPHAEL"/>
        <s v="GNAZEGBO LIKAGNELE JOSEPH"/>
        <s v="DAGROU AKRO"/>
        <s v="GBOAGBRE BROH EMILE"/>
        <s v="DEGBRE YOHOU ANGE CLAUDIA"/>
        <s v="SIBAHI ANGE DANIELLE"/>
        <s v="GBOKO MEUGUI HERVE"/>
        <s v="ZEGBEU KROYE JEANNE"/>
        <s v="GUIGUI BOUKA GERMAINE"/>
        <s v="OUPO SYLVIE "/>
        <s v="GOBO AGBANEGO ALINE"/>
        <s v="TAPE COLOZALO NATACHA"/>
        <s v="LOGBO SERI LEON"/>
        <s v="MADJARA AICHA"/>
        <s v="LOGBO ZEKESSA VICTORINE"/>
        <s v="WANDA NADEGE"/>
        <s v="BADA BERNARD"/>
        <s v="LOGBO BOUKA ODETTE"/>
        <s v="OUPOH GOBOKI JOSEPHINE"/>
        <s v="MATIO GABA INNOCENT"/>
        <s v="DOBO SOLANGE"/>
        <s v="BOSSA CATHERIENNE"/>
        <s v="OUEDRAOGO ASSETA"/>
        <s v="DOUMBIA BALAKISSA"/>
        <s v="KIEBRE ASSETOU"/>
        <s v="OUEDRAOGO AWA"/>
        <s v="FATOU BELEM"/>
        <s v="BAKA ISAAC"/>
        <s v="KAMGOE SALIMATA"/>
        <s v="ASSETOU KABORE"/>
        <s v="NEBIE BALAKISSA"/>
        <s v="GALEMAIN SALIMATA"/>
        <s v="BELEM MARIAM"/>
        <s v="OUEDRAOGO DJENABA"/>
        <s v="DICKO ADJARATOU"/>
        <s v="BELEM FATOU"/>
        <s v="BADINI RAMATA"/>
        <s v="ADJARATA OUEDRAOGO"/>
        <s v="KADY SAWADOGO"/>
        <s v="GROGUE CHANTAL"/>
        <s v="BOSSO LEOCADIE"/>
        <s v="JUSTINE AKPADONOU"/>
        <s v="GBISSI CYPRIEN"/>
        <s v="MARTINE"/>
        <s v="JEANNE"/>
        <s v="SAKINATA"/>
        <s v="KINDA BALAKISSA"/>
        <s v="DOUMBIA ASSETA"/>
        <s v="DOUMBIA AWA"/>
        <s v="OUEDRAOGO BALAKISSA"/>
        <s v="BADINI BINTOU"/>
        <s v="DABRE MARIAM"/>
        <s v="KONE FATI"/>
        <s v="MANDE MAIMOUNA"/>
        <s v="TRAORE LIBATA"/>
        <s v="TIMTO AMINATA"/>
        <s v="OUEDRAOGO  ALZATA"/>
        <s v="OUEDRAOGO FATIMATA"/>
        <s v="SANKARA RASSIRATOU"/>
        <s v="SAWADOGO FATIMATA"/>
        <s v="SAWADOGO AWA"/>
        <s v="NAGABILA ALIMA"/>
        <s v="SANKARA ALIMA"/>
        <s v="NAKANABO ADJARATOU"/>
        <s v="SAWADOGO RISNATA"/>
        <s v="GONDE ADJARA"/>
        <s v="SAWADOGO MARIAM"/>
        <s v="OUEDRAOGO SALIMATA"/>
        <s v="KARAMBIRI THERESE"/>
        <s v="SAWADOGO MAMOUNATA"/>
        <s v="GONDE ALZATA"/>
        <s v="GUIRA RAMATA"/>
        <s v="OUEDRAOGO MARIAM"/>
        <s v="DERA ALZATA"/>
        <s v="DIALLO KADIDIATOU"/>
        <s v="OUEDRAOGO RAMATOU"/>
        <s v="OUEDRAOGO ALIMATA"/>
        <s v="KONE ADJARATOU"/>
        <s v="GNOMOU HELENE"/>
        <s v="ZADY NIAZEGBO BENJAMIN"/>
        <s v="DALEBA MARIE PAULE"/>
        <s v="GOSSE GNALY YVONNE"/>
        <s v="YLAZALE VERONIQUE"/>
        <s v="SERI NADINE CHRISTIANE"/>
        <s v="BLE BEDEL"/>
        <s v="BLE SAMUEL"/>
        <s v="BISSOUMA SERI DAVID"/>
        <s v="KOUEBO ZOKOU CLEMENT"/>
        <s v="GNAPOH HONORINE"/>
        <s v="ZADY CYNTHIA"/>
        <s v="TAKORE SYLVIE"/>
        <s v="GBOTTO GOGOUA FERNAND"/>
        <s v="SERI GOGOUADE NATHALIE"/>
        <s v="GNIZAKO PELAGIE"/>
        <s v="KIPRE JEAN CLAUDE"/>
        <s v="GNAKO AYEKPEU CHANTAL"/>
        <s v="DOUANE ZAKEHI BERTINE"/>
        <s v="TAPE YOLANDE"/>
        <s v="KENO AGNES"/>
        <s v="ZOBO PATRICIA"/>
        <s v="ZABOUO ISIDORE"/>
        <s v="BAWA ASSA CHRISTELLE"/>
        <s v="LOUE AYEKPEU THERESE"/>
        <s v="LOGBO ZAKEHI AIMEE"/>
        <s v="MAMBO SOUA CLARISSE"/>
        <s v="ZADI JOEL"/>
        <s v="BOUAZO EBA ROSE"/>
        <s v="GLA CHANTALE"/>
        <s v="GBAHI MARCELINE"/>
        <s v="KONAN ADJOUA MARIE SOLANGE"/>
        <s v="BIDI LIKAGNENE EOLITTE"/>
        <s v="DOUKOURE OURAPA"/>
        <s v="BAHI ZOHONAN CECILE"/>
        <s v="SERI TINA"/>
        <s v="Mme NIOBLE Née BLE WASSIA"/>
        <s v="ZIADOU GERMAINE"/>
        <s v="KOUASSA DJAHUE MARTINE"/>
        <s v="GOGOUA AKELE JULIE"/>
        <s v="LIGNON CATHERINE"/>
        <s v="DIGBEU DJEME SYLVIE"/>
        <s v="DIGBEU WASSI THERESE"/>
        <s v="KAZA ZOHONON HORTENSE"/>
        <s v="TETIALY NICOLE"/>
        <s v="DJOLOHONON JEANNETTE"/>
        <s v="GOGOUA JULIENNE"/>
        <s v="BLA BOUKA LYDIE"/>
        <s v="GNOLOU GALO RACHELLE"/>
        <s v="NIOBLE TIBURCE"/>
        <s v="NIOBLE MAURICE"/>
        <s v="ZOUZOUA SAHOUA PATRICIA"/>
        <s v="TAPE RITA"/>
        <s v="TIA SANDRINE"/>
        <s v="GBOGOU ZADIHONON BRIGITTE"/>
        <s v="NIABLE HENRY"/>
        <s v="GOLEBA EDWIGE"/>
        <s v="GOGOHI CAROLINE"/>
        <s v="DOUDOU CHANTAL"/>
        <s v="OUGUEHI DJEGBA ELISE"/>
        <s v="DJODJORO SANDRINE"/>
        <s v="KOFFI KOUADIO MARUIS"/>
        <s v="DAHO YAO NATHANAEL"/>
        <s v="KOFFI AYA BRIGITTE"/>
        <s v="BOHOUSSOU KOFFI ANDERSON"/>
        <s v="KONAN YAO PARFAIT "/>
        <s v="KOUADIO KOUASSI"/>
        <s v="KOUADIO AHOU ELISABETH"/>
        <s v="KOUADIO AHOU ANNE MARIE"/>
        <s v="KOUAKOU ADJOUA CHANTAL N°1"/>
        <s v="KOUASSI ADJOUA ESTELLE"/>
        <s v="KONAN AMENAN REBECCA"/>
        <s v="KOUADIO ADJO MARINA"/>
        <s v="KOUAME CAROLINE"/>
        <s v="N'DRI AYA EUGENIE"/>
        <s v="KOUASSI K. EVARISTE"/>
        <s v="KOUAKOU AMOIN REBECCA"/>
        <s v="AGO N'DA AHOU"/>
        <s v="KOFFI AKISSI JULIETTE"/>
        <s v="KOUADIO KOUASSI JEAN-MARC"/>
        <s v="YAO AYA MARIE-CLAIRE"/>
        <s v="KOUAKOU ADJOUA CHANTAL N°2"/>
        <s v="YAO AKISSI FIDELE"/>
        <s v="KOUASSI AKISSI JULIETTE"/>
        <s v="YAO AMELAN JACQUELINE"/>
        <s v="N'DRI KOFFI KOFFI JUNIOR"/>
        <s v="AMANI AKISSI MADELENE"/>
        <s v="KONAN AKISSI SALOME"/>
        <s v="KOUASSI KAN FIRMIN"/>
        <s v="KOFFI N'GORAN PAULIN"/>
        <s v="YAO AKISSI FRANCOISE"/>
        <s v="KOUADIO ADJOUA"/>
        <s v="GNAMIEN KOUASSI KAN"/>
        <s v="DJAHA AMENAN JACQUELINE"/>
        <s v="KOUADIO KOUADIO"/>
        <s v="KONAN KOUADIO ARMAND"/>
        <s v="KOUADIO AYA BLANDINE"/>
        <s v="KONAN N'GORAN FELIX"/>
        <s v="YAO AKISSI LEONNIE"/>
        <s v="KOUASSI KAN SYLVAIN"/>
        <s v="KOFFI AHOU ELINE"/>
        <s v="KOUAME  AHOU PAULINE"/>
        <s v="N'GUESSAN KONAN SIMON"/>
        <s v="KOUASSI AYA"/>
        <s v="KOUADIO N'DRI JULIEN"/>
        <s v="KOUADIO AMOIN PAULINE"/>
        <s v="N'DRI AFFOUE HONORINE"/>
        <s v="N'GORAN AYA NADEGE"/>
        <s v="KOFFI N'GUESSAN EUGENE"/>
        <s v="YAO ADJOUA HELENE"/>
        <s v="KANGA AHOU CLAUDINE"/>
        <s v="N'GUESSAN AMEANAN"/>
        <s v="KOUAKOU N'GUESSAN VIGINIE"/>
        <s v="KOFFI ADJO ELISABETH"/>
        <s v="BATO KAN AMOS"/>
        <s v="Mme BATO EDWIGE"/>
        <s v="N'DRI AYA CELINE"/>
        <s v="AMANI AMOIN ROSALIE"/>
        <s v="DJAHA AFFOUE MONIQUE"/>
        <s v="KOUADIO AMOIN ODETTE"/>
        <s v="KOUAKOU AMENAN CLARISSE"/>
        <s v="N'GUESSAN AKISSI NICOLE"/>
        <s v="N'GUESSAN AKISSI SOLANGE"/>
        <s v="KOUASSI AKISSI YVONNE"/>
        <s v="KOFFI AKISSI CHRIST"/>
        <s v="KOUASSI AKISSI THERESE"/>
        <s v="KOUASSI KONAN HENRY"/>
        <s v="KOUAME AFFOUE ODETTE"/>
        <s v="KOUAKOU AFFOUE VERONIQUE"/>
        <s v="KOUASSI AFFOUE SEPHORA"/>
        <s v="N'GUESSAN KOFFI FERNAND"/>
        <s v="N'GUESSAN BOHOUSSOU"/>
        <s v="AMANI YAO FELIX"/>
        <s v="KOUADIO N'ZI LEONTINE"/>
        <s v="N'GUESSAN KOUAKOU BIENVENU"/>
        <s v="N'GUESSAN ADJOUA CECILE"/>
        <s v="KOUASSI KOUADIO LUCIEN"/>
        <s v="KOUASSI AMENAN CATHERINE"/>
        <s v="KONAN AHOU ANICETTE"/>
        <s v="N'GUESSAN AMOIN COLETTE"/>
      </sharedItems>
    </cacheField>
    <cacheField name=" DEPARTEMANT" numFmtId="0">
      <sharedItems count="2">
        <s v="BUYO   "/>
        <s v="GRAND-ZATTRY"/>
      </sharedItems>
    </cacheField>
    <cacheField name="NOM DE  l’AVEC " numFmtId="0">
      <sharedItems count="38">
        <s v=" AWLIN TRALE"/>
        <s v="EBO YO KUN       "/>
        <s v="SIKITEMONGOSSON  "/>
        <s v="ATIWAKRO         "/>
        <s v="N'TOBE "/>
        <s v="BENKADI "/>
        <s v="NANKOKO "/>
        <s v="REED WENDE      "/>
        <s v="EYO ENIAN"/>
        <s v="YEKLOYEWU "/>
        <s v="YEYO "/>
        <s v="BOKON YOLE "/>
        <s v="SIGUITEMOGOSSON    "/>
        <s v="SABARIKAN "/>
        <s v="AWLIN TRALE"/>
        <s v="ESSOUYAKIEYOLAI"/>
        <s v="UNION_BUYO"/>
        <s v="OUYINE"/>
        <s v="SOLIDARITE"/>
        <s v="SUCCES"/>
        <s v="UNION"/>
        <s v="MAIN DANS LA MAIN"/>
        <s v="ZOMADRE"/>
        <s v="RELEWENDE"/>
        <s v=" LAGOZI"/>
        <s v="BENI"/>
        <s v="TENNDE"/>
        <s v="ISRAEL"/>
        <s v="ZOMANDRE"/>
        <s v=" WANEZI"/>
        <s v="BENKADI"/>
        <s v="DJORO"/>
        <s v="LEHIRI"/>
        <s v="MERVEILLE"/>
        <s v=" DIEU BENI"/>
        <s v="L'UNION FAIT LA FORCE"/>
        <s v="N'TOBE       " u="1"/>
        <s v="BENKADI    " u="1"/>
      </sharedItems>
    </cacheField>
    <cacheField name="VILLAGE/QUARTIER " numFmtId="0">
      <sharedItems count="24">
        <s v=" YAOKRO"/>
        <s v="NICOLSKRO"/>
        <s v="TCHETALY"/>
        <s v="AKIWAKRO"/>
        <s v="WONSEALY"/>
        <s v="TOLBA"/>
        <s v="YAOBLEKRO"/>
        <s v="MOSSIKRO NAN BODOGO"/>
        <s v="OKABO"/>
        <s v="TANO KOUADIOKRO"/>
        <s v="KOFFI KONANKRO"/>
        <s v="SRABANAN"/>
        <s v="KOUAMEKRO"/>
        <s v="BELLEVILLE"/>
        <s v="CITE"/>
        <s v="LAZOA"/>
        <s v="BLESSEOUA"/>
        <s v="KIPIRI"/>
        <s v="MAIHEOUA"/>
        <s v="KONANKRO"/>
        <s v="GBALEVILLE"/>
        <s v="ROA"/>
        <s v="PARC-SOU"/>
        <s v="FATAMAN"/>
      </sharedItems>
    </cacheField>
    <cacheField name="Numéro AVEC" numFmtId="0">
      <sharedItems containsNonDate="0" containsString="0" containsBlank="1" count="1">
        <m/>
      </sharedItems>
    </cacheField>
    <cacheField name="NOM &amp; PRENOMS DU FACILITATEUR" numFmtId="0">
      <sharedItems containsNonDate="0" containsString="0" containsBlank="1"/>
    </cacheField>
    <cacheField name="CONTACT DU FACILITATEUR AVEC" numFmtId="0">
      <sharedItems containsBlank="1"/>
    </cacheField>
    <cacheField name="NOM SUPERVISEUR " numFmtId="0">
      <sharedItems/>
    </cacheField>
    <cacheField name="CONTACT MEMBRE AVEC" numFmtId="0">
      <sharedItems containsBlank="1"/>
    </cacheField>
    <cacheField name="AGE MEMBRE AVEC" numFmtId="0">
      <sharedItems containsString="0" containsBlank="1" containsNumber="1" containsInteger="1" minValue="19" maxValue="88"/>
    </cacheField>
    <cacheField name="SEXE MEMBRE AVEC" numFmtId="0">
      <sharedItems containsBlank="1" count="5">
        <s v="F"/>
        <s v="M"/>
        <m u="1"/>
        <s v="G" u="1"/>
        <s v="H" u="1"/>
      </sharedItems>
    </cacheField>
    <cacheField name="SITUATION MATRIMONIALE MEMBRE AVEC" numFmtId="0">
      <sharedItems containsBlank="1"/>
    </cacheField>
    <cacheField name="ACTIVITE  MENEE MEMBRE AVEC" numFmtId="0">
      <sharedItems containsBlank="1"/>
    </cacheField>
    <cacheField name="G" numFmtId="0">
      <sharedItems containsString="0" containsBlank="1" containsNumber="1" containsInteger="1" minValue="0" maxValue="8"/>
    </cacheField>
    <cacheField name="F" numFmtId="0">
      <sharedItems containsString="0" containsBlank="1" containsNumber="1" containsInteger="1" minValue="0" maxValue="10"/>
    </cacheField>
    <cacheField name="T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ite, Anliou" refreshedDate="44790.591902199078" createdVersion="8" refreshedVersion="8" minRefreshableVersion="3" recordCount="828" xr:uid="{3AEE9469-FDE7-48F9-BBC2-C3984F75FBB8}">
  <cacheSource type="worksheet">
    <worksheetSource name="Tableau2"/>
  </cacheSource>
  <cacheFields count="16">
    <cacheField name="N°" numFmtId="0">
      <sharedItems containsSemiMixedTypes="0" containsString="0" containsNumber="1" containsInteger="1" minValue="1" maxValue="828"/>
    </cacheField>
    <cacheField name="Nom &amp;Prénoms" numFmtId="0">
      <sharedItems/>
    </cacheField>
    <cacheField name="Sexes" numFmtId="0">
      <sharedItems containsBlank="1" count="7">
        <s v="F"/>
        <s v="G"/>
        <m u="1"/>
        <s v="          G" u="1"/>
        <s v="M" u="1"/>
        <s v="M " u="1"/>
        <s v="NC" u="1"/>
      </sharedItems>
    </cacheField>
    <cacheField name="Ages" numFmtId="0">
      <sharedItems containsSemiMixedTypes="0" containsString="0" containsNumber="1" containsInteger="1" minValue="9" maxValue="14"/>
    </cacheField>
    <cacheField name="Moyennes" numFmtId="0">
      <sharedItems containsMixedTypes="1" containsNumber="1" minValue="0.33" maxValue="10"/>
    </cacheField>
    <cacheField name="CLASSE" numFmtId="0">
      <sharedItems/>
    </cacheField>
    <cacheField name="RANG" numFmtId="0">
      <sharedItems containsBlank="1" containsMixedTypes="1" containsNumber="1" containsInteger="1" minValue="8" maxValue="15"/>
    </cacheField>
    <cacheField name="STATUT " numFmtId="0">
      <sharedItems/>
    </cacheField>
    <cacheField name="Colonne2" numFmtId="0">
      <sharedItems containsNonDate="0" containsString="0" containsBlank="1"/>
    </cacheField>
    <cacheField name="DEPARTEMENT" numFmtId="0">
      <sharedItems containsBlank="1" count="5">
        <s v="GUEYO"/>
        <s v="BUYO"/>
        <s v="SOUBRE"/>
        <s v="GRAND-ZATTRY"/>
        <m u="1"/>
      </sharedItems>
    </cacheField>
    <cacheField name="VILLAGE" numFmtId="0">
      <sharedItems/>
    </cacheField>
    <cacheField name="CE1-CE2" numFmtId="0">
      <sharedItems containsSemiMixedTypes="0" containsString="0" containsNumber="1" containsInteger="1" minValue="0" maxValue="1"/>
    </cacheField>
    <cacheField name="CM1-CM2" numFmtId="0">
      <sharedItems containsSemiMixedTypes="0" containsString="0" containsNumber="1" containsInteger="1" minValue="0" maxValue="1"/>
    </cacheField>
    <cacheField name="Observations" numFmtId="0">
      <sharedItems containsNonDate="0" containsString="0" containsBlank="1"/>
    </cacheField>
    <cacheField name="Recommandations" numFmtId="0">
      <sharedItems containsNonDate="0" containsString="0" containsBlank="1"/>
    </cacheField>
    <cacheField name="Colonne1" numFmtId="0">
      <sharedItems count="5">
        <s v="CE2"/>
        <s v="CE1"/>
        <s v="CP2"/>
        <s v="Absent"/>
        <s v="PAS CONCERN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7">
  <r>
    <n v="1"/>
    <x v="0"/>
    <x v="0"/>
    <x v="0"/>
    <x v="0"/>
    <x v="0"/>
    <m/>
    <m/>
    <s v="KOUADIO KOFFI TEYA              "/>
    <m/>
    <m/>
    <x v="0"/>
    <m/>
    <m/>
    <n v="0"/>
    <n v="3"/>
    <n v="3"/>
  </r>
  <r>
    <n v="2"/>
    <x v="1"/>
    <x v="0"/>
    <x v="0"/>
    <x v="0"/>
    <x v="0"/>
    <m/>
    <m/>
    <s v="KOUADIO KOFFI TEYA              "/>
    <s v="0757126877"/>
    <m/>
    <x v="0"/>
    <m/>
    <m/>
    <n v="1"/>
    <n v="4"/>
    <n v="5"/>
  </r>
  <r>
    <n v="3"/>
    <x v="2"/>
    <x v="0"/>
    <x v="0"/>
    <x v="0"/>
    <x v="0"/>
    <m/>
    <m/>
    <s v="KOUADIO KOFFI TEYA              "/>
    <s v="0709985247"/>
    <m/>
    <x v="1"/>
    <m/>
    <m/>
    <n v="1"/>
    <n v="3"/>
    <n v="4"/>
  </r>
  <r>
    <n v="4"/>
    <x v="3"/>
    <x v="0"/>
    <x v="0"/>
    <x v="0"/>
    <x v="0"/>
    <m/>
    <m/>
    <s v="KOUADIO KOFFI TEYA              "/>
    <m/>
    <m/>
    <x v="0"/>
    <m/>
    <m/>
    <n v="1"/>
    <n v="2"/>
    <n v="3"/>
  </r>
  <r>
    <n v="5"/>
    <x v="4"/>
    <x v="0"/>
    <x v="0"/>
    <x v="0"/>
    <x v="0"/>
    <m/>
    <m/>
    <s v="KOUADIO KOFFI TEYA              "/>
    <s v="0757250010"/>
    <m/>
    <x v="0"/>
    <m/>
    <m/>
    <n v="2"/>
    <n v="2"/>
    <n v="4"/>
  </r>
  <r>
    <n v="6"/>
    <x v="5"/>
    <x v="0"/>
    <x v="0"/>
    <x v="0"/>
    <x v="0"/>
    <m/>
    <m/>
    <s v="KOUADIO KOFFI TEYA              "/>
    <s v="0787368068"/>
    <m/>
    <x v="0"/>
    <m/>
    <m/>
    <n v="1"/>
    <n v="2"/>
    <n v="3"/>
  </r>
  <r>
    <n v="7"/>
    <x v="6"/>
    <x v="0"/>
    <x v="0"/>
    <x v="0"/>
    <x v="0"/>
    <m/>
    <m/>
    <s v="KOUADIO KOFFI TEYA              "/>
    <m/>
    <m/>
    <x v="0"/>
    <m/>
    <m/>
    <n v="4"/>
    <n v="2"/>
    <n v="6"/>
  </r>
  <r>
    <n v="8"/>
    <x v="7"/>
    <x v="0"/>
    <x v="0"/>
    <x v="0"/>
    <x v="0"/>
    <m/>
    <m/>
    <s v="KOUADIO KOFFI TEYA              "/>
    <m/>
    <m/>
    <x v="0"/>
    <m/>
    <m/>
    <n v="0"/>
    <n v="2"/>
    <n v="2"/>
  </r>
  <r>
    <n v="9"/>
    <x v="8"/>
    <x v="0"/>
    <x v="0"/>
    <x v="0"/>
    <x v="0"/>
    <m/>
    <m/>
    <s v="KOUADIO KOFFI TEYA              "/>
    <m/>
    <m/>
    <x v="0"/>
    <m/>
    <m/>
    <n v="2"/>
    <n v="2"/>
    <n v="4"/>
  </r>
  <r>
    <n v="10"/>
    <x v="9"/>
    <x v="0"/>
    <x v="0"/>
    <x v="0"/>
    <x v="0"/>
    <m/>
    <m/>
    <s v="KOUADIO KOFFI TEYA              "/>
    <m/>
    <m/>
    <x v="0"/>
    <m/>
    <m/>
    <n v="1"/>
    <n v="2"/>
    <n v="3"/>
  </r>
  <r>
    <n v="11"/>
    <x v="10"/>
    <x v="0"/>
    <x v="0"/>
    <x v="0"/>
    <x v="0"/>
    <m/>
    <m/>
    <s v="KOUADIO KOFFI TEYA              "/>
    <m/>
    <m/>
    <x v="0"/>
    <m/>
    <m/>
    <n v="2"/>
    <n v="3"/>
    <n v="5"/>
  </r>
  <r>
    <n v="12"/>
    <x v="11"/>
    <x v="0"/>
    <x v="0"/>
    <x v="0"/>
    <x v="0"/>
    <m/>
    <m/>
    <s v="KOUADIO KOFFI TEYA              "/>
    <m/>
    <m/>
    <x v="0"/>
    <m/>
    <m/>
    <n v="1"/>
    <n v="2"/>
    <n v="3"/>
  </r>
  <r>
    <n v="13"/>
    <x v="12"/>
    <x v="0"/>
    <x v="0"/>
    <x v="0"/>
    <x v="0"/>
    <m/>
    <m/>
    <s v="KOUADIO KOFFI TEYA              "/>
    <m/>
    <m/>
    <x v="0"/>
    <m/>
    <m/>
    <n v="1"/>
    <n v="1"/>
    <n v="2"/>
  </r>
  <r>
    <n v="14"/>
    <x v="13"/>
    <x v="0"/>
    <x v="0"/>
    <x v="0"/>
    <x v="0"/>
    <m/>
    <m/>
    <s v="KOUADIO KOFFI TEYA              "/>
    <m/>
    <m/>
    <x v="0"/>
    <m/>
    <m/>
    <n v="3"/>
    <n v="1"/>
    <n v="4"/>
  </r>
  <r>
    <n v="15"/>
    <x v="14"/>
    <x v="0"/>
    <x v="0"/>
    <x v="0"/>
    <x v="0"/>
    <m/>
    <m/>
    <s v="KOUADIO KOFFI TEYA              "/>
    <m/>
    <m/>
    <x v="0"/>
    <m/>
    <m/>
    <n v="1"/>
    <n v="2"/>
    <n v="3"/>
  </r>
  <r>
    <n v="16"/>
    <x v="15"/>
    <x v="0"/>
    <x v="0"/>
    <x v="0"/>
    <x v="0"/>
    <m/>
    <m/>
    <s v="KOUADIO KOFFI TEYA              "/>
    <s v="0768621397"/>
    <m/>
    <x v="1"/>
    <m/>
    <m/>
    <n v="1"/>
    <n v="2"/>
    <n v="3"/>
  </r>
  <r>
    <n v="17"/>
    <x v="16"/>
    <x v="0"/>
    <x v="0"/>
    <x v="0"/>
    <x v="0"/>
    <m/>
    <m/>
    <s v="KOUADIO KOFFI TEYA              "/>
    <s v="0708861474"/>
    <m/>
    <x v="0"/>
    <m/>
    <m/>
    <n v="2"/>
    <n v="1"/>
    <n v="3"/>
  </r>
  <r>
    <n v="18"/>
    <x v="17"/>
    <x v="0"/>
    <x v="0"/>
    <x v="0"/>
    <x v="0"/>
    <m/>
    <m/>
    <s v="KOUADIO KOFFI TEYA              "/>
    <s v="0748244901"/>
    <m/>
    <x v="1"/>
    <m/>
    <m/>
    <n v="0"/>
    <n v="2"/>
    <n v="2"/>
  </r>
  <r>
    <n v="19"/>
    <x v="18"/>
    <x v="0"/>
    <x v="0"/>
    <x v="0"/>
    <x v="0"/>
    <m/>
    <m/>
    <s v="KOUADIO KOFFI TEYA              "/>
    <m/>
    <m/>
    <x v="0"/>
    <m/>
    <m/>
    <n v="1"/>
    <n v="2"/>
    <n v="3"/>
  </r>
  <r>
    <n v="20"/>
    <x v="19"/>
    <x v="0"/>
    <x v="0"/>
    <x v="0"/>
    <x v="0"/>
    <m/>
    <m/>
    <s v="KOUADIO KOFFI TEYA              "/>
    <m/>
    <m/>
    <x v="0"/>
    <m/>
    <m/>
    <n v="2"/>
    <n v="3"/>
    <n v="5"/>
  </r>
  <r>
    <n v="21"/>
    <x v="20"/>
    <x v="0"/>
    <x v="0"/>
    <x v="0"/>
    <x v="0"/>
    <m/>
    <m/>
    <s v="KOUADIO KOFFI TEYA              "/>
    <m/>
    <m/>
    <x v="0"/>
    <m/>
    <m/>
    <n v="1"/>
    <n v="1"/>
    <n v="2"/>
  </r>
  <r>
    <n v="22"/>
    <x v="21"/>
    <x v="0"/>
    <x v="0"/>
    <x v="0"/>
    <x v="0"/>
    <m/>
    <m/>
    <s v="KOUADIO KOFFI TEYA              "/>
    <m/>
    <m/>
    <x v="1"/>
    <m/>
    <m/>
    <n v="1"/>
    <n v="1"/>
    <n v="2"/>
  </r>
  <r>
    <n v="23"/>
    <x v="22"/>
    <x v="0"/>
    <x v="0"/>
    <x v="0"/>
    <x v="0"/>
    <m/>
    <m/>
    <s v="KOUADIO KOFFI TEYA              "/>
    <m/>
    <m/>
    <x v="1"/>
    <m/>
    <m/>
    <n v="2"/>
    <n v="0"/>
    <n v="2"/>
  </r>
  <r>
    <n v="24"/>
    <x v="23"/>
    <x v="0"/>
    <x v="0"/>
    <x v="0"/>
    <x v="0"/>
    <m/>
    <m/>
    <s v="KOUADIO KOFFI TEYA              "/>
    <m/>
    <m/>
    <x v="0"/>
    <m/>
    <m/>
    <n v="1"/>
    <n v="1"/>
    <n v="2"/>
  </r>
  <r>
    <n v="25"/>
    <x v="24"/>
    <x v="0"/>
    <x v="0"/>
    <x v="0"/>
    <x v="0"/>
    <m/>
    <m/>
    <s v="KOUADIO KOFFI TEYA              "/>
    <m/>
    <m/>
    <x v="0"/>
    <m/>
    <m/>
    <n v="1"/>
    <n v="2"/>
    <n v="3"/>
  </r>
  <r>
    <n v="26"/>
    <x v="25"/>
    <x v="0"/>
    <x v="0"/>
    <x v="0"/>
    <x v="0"/>
    <m/>
    <m/>
    <s v="KOUADIO KOFFI TEYA              "/>
    <m/>
    <m/>
    <x v="1"/>
    <m/>
    <m/>
    <n v="1"/>
    <n v="2"/>
    <n v="3"/>
  </r>
  <r>
    <n v="27"/>
    <x v="26"/>
    <x v="0"/>
    <x v="1"/>
    <x v="1"/>
    <x v="0"/>
    <m/>
    <m/>
    <s v="KOUADIO KOFFI TEYA              "/>
    <s v="0748201409"/>
    <m/>
    <x v="0"/>
    <m/>
    <m/>
    <n v="2"/>
    <n v="1"/>
    <n v="3"/>
  </r>
  <r>
    <n v="28"/>
    <x v="27"/>
    <x v="0"/>
    <x v="1"/>
    <x v="1"/>
    <x v="0"/>
    <m/>
    <m/>
    <s v="KOUADIO KOFFI TEYA              "/>
    <s v="0709552808"/>
    <m/>
    <x v="0"/>
    <m/>
    <m/>
    <n v="0"/>
    <n v="0"/>
    <n v="0"/>
  </r>
  <r>
    <n v="29"/>
    <x v="28"/>
    <x v="0"/>
    <x v="1"/>
    <x v="1"/>
    <x v="0"/>
    <m/>
    <m/>
    <s v="KOUADIO KOFFI TEYA              "/>
    <s v="0709801804"/>
    <m/>
    <x v="0"/>
    <m/>
    <m/>
    <n v="2"/>
    <n v="2"/>
    <n v="4"/>
  </r>
  <r>
    <n v="30"/>
    <x v="29"/>
    <x v="0"/>
    <x v="1"/>
    <x v="1"/>
    <x v="0"/>
    <m/>
    <m/>
    <s v="KOUADIO KOFFI TEYA              "/>
    <s v="0768392600"/>
    <m/>
    <x v="0"/>
    <m/>
    <m/>
    <n v="3"/>
    <n v="2"/>
    <n v="5"/>
  </r>
  <r>
    <n v="31"/>
    <x v="30"/>
    <x v="0"/>
    <x v="1"/>
    <x v="1"/>
    <x v="0"/>
    <m/>
    <m/>
    <s v="KOUADIO KOFFI TEYA              "/>
    <s v="0758931248"/>
    <m/>
    <x v="0"/>
    <m/>
    <m/>
    <n v="1"/>
    <n v="4"/>
    <n v="5"/>
  </r>
  <r>
    <n v="32"/>
    <x v="31"/>
    <x v="0"/>
    <x v="1"/>
    <x v="1"/>
    <x v="0"/>
    <m/>
    <m/>
    <s v="KOUADIO KOFFI TEYA              "/>
    <m/>
    <m/>
    <x v="1"/>
    <m/>
    <m/>
    <n v="1"/>
    <n v="2"/>
    <n v="3"/>
  </r>
  <r>
    <n v="33"/>
    <x v="32"/>
    <x v="0"/>
    <x v="1"/>
    <x v="1"/>
    <x v="0"/>
    <m/>
    <m/>
    <s v="KOUADIO KOFFI TEYA              "/>
    <m/>
    <m/>
    <x v="0"/>
    <m/>
    <m/>
    <n v="3"/>
    <n v="1"/>
    <n v="4"/>
  </r>
  <r>
    <n v="34"/>
    <x v="33"/>
    <x v="0"/>
    <x v="1"/>
    <x v="1"/>
    <x v="0"/>
    <m/>
    <m/>
    <s v="KOUADIO KOFFI TEYA              "/>
    <s v="0749330943"/>
    <m/>
    <x v="0"/>
    <m/>
    <m/>
    <n v="1"/>
    <n v="2"/>
    <n v="3"/>
  </r>
  <r>
    <n v="35"/>
    <x v="34"/>
    <x v="0"/>
    <x v="1"/>
    <x v="1"/>
    <x v="0"/>
    <m/>
    <m/>
    <s v="KOUADIO KOFFI TEYA              "/>
    <m/>
    <m/>
    <x v="0"/>
    <m/>
    <m/>
    <n v="1"/>
    <n v="4"/>
    <n v="5"/>
  </r>
  <r>
    <n v="36"/>
    <x v="35"/>
    <x v="0"/>
    <x v="1"/>
    <x v="1"/>
    <x v="0"/>
    <m/>
    <m/>
    <s v="KOUADIO KOFFI TEYA              "/>
    <s v="0708851326"/>
    <m/>
    <x v="0"/>
    <m/>
    <m/>
    <n v="2"/>
    <n v="0"/>
    <n v="2"/>
  </r>
  <r>
    <n v="37"/>
    <x v="36"/>
    <x v="0"/>
    <x v="1"/>
    <x v="1"/>
    <x v="0"/>
    <m/>
    <m/>
    <s v="KOUADIO KOFFI TEYA              "/>
    <s v="0787334834"/>
    <m/>
    <x v="0"/>
    <m/>
    <m/>
    <n v="4"/>
    <n v="2"/>
    <n v="6"/>
  </r>
  <r>
    <n v="38"/>
    <x v="37"/>
    <x v="0"/>
    <x v="1"/>
    <x v="1"/>
    <x v="0"/>
    <m/>
    <m/>
    <s v="KOUADIO KOFFI TEYA              "/>
    <s v="0787334884"/>
    <m/>
    <x v="0"/>
    <m/>
    <m/>
    <n v="1"/>
    <n v="2"/>
    <n v="3"/>
  </r>
  <r>
    <n v="39"/>
    <x v="38"/>
    <x v="0"/>
    <x v="1"/>
    <x v="1"/>
    <x v="0"/>
    <m/>
    <m/>
    <s v="KOUADIO KOFFI TEYA              "/>
    <s v="0758626215"/>
    <m/>
    <x v="0"/>
    <m/>
    <m/>
    <n v="1"/>
    <n v="1"/>
    <n v="2"/>
  </r>
  <r>
    <n v="40"/>
    <x v="39"/>
    <x v="0"/>
    <x v="1"/>
    <x v="1"/>
    <x v="0"/>
    <m/>
    <m/>
    <s v="KOUADIO KOFFI TEYA              "/>
    <s v="0709389036"/>
    <m/>
    <x v="0"/>
    <m/>
    <m/>
    <n v="1"/>
    <n v="1"/>
    <n v="2"/>
  </r>
  <r>
    <n v="41"/>
    <x v="40"/>
    <x v="0"/>
    <x v="1"/>
    <x v="1"/>
    <x v="0"/>
    <m/>
    <m/>
    <s v="KOUADIO KOFFI TEYA              "/>
    <s v="0747411107"/>
    <m/>
    <x v="0"/>
    <m/>
    <m/>
    <n v="0"/>
    <n v="0"/>
    <n v="0"/>
  </r>
  <r>
    <n v="42"/>
    <x v="41"/>
    <x v="0"/>
    <x v="1"/>
    <x v="1"/>
    <x v="0"/>
    <m/>
    <m/>
    <s v="KOUADIO KOFFI TEYA              "/>
    <s v="0769601370"/>
    <m/>
    <x v="0"/>
    <m/>
    <m/>
    <n v="1"/>
    <n v="2"/>
    <n v="3"/>
  </r>
  <r>
    <n v="43"/>
    <x v="42"/>
    <x v="0"/>
    <x v="1"/>
    <x v="1"/>
    <x v="0"/>
    <m/>
    <m/>
    <s v="KOUADIO KOFFI TEYA              "/>
    <m/>
    <m/>
    <x v="0"/>
    <m/>
    <m/>
    <n v="2"/>
    <n v="1"/>
    <n v="3"/>
  </r>
  <r>
    <n v="44"/>
    <x v="43"/>
    <x v="0"/>
    <x v="1"/>
    <x v="1"/>
    <x v="0"/>
    <m/>
    <m/>
    <s v="KOUADIO KOFFI TEYA              "/>
    <s v="0769618005"/>
    <m/>
    <x v="0"/>
    <m/>
    <m/>
    <n v="0"/>
    <n v="2"/>
    <n v="2"/>
  </r>
  <r>
    <n v="45"/>
    <x v="44"/>
    <x v="0"/>
    <x v="1"/>
    <x v="1"/>
    <x v="0"/>
    <m/>
    <m/>
    <s v="KOUADIO KOFFI TEYA              "/>
    <s v="0749684128"/>
    <m/>
    <x v="0"/>
    <m/>
    <m/>
    <n v="1"/>
    <n v="2"/>
    <n v="3"/>
  </r>
  <r>
    <n v="46"/>
    <x v="45"/>
    <x v="0"/>
    <x v="1"/>
    <x v="1"/>
    <x v="0"/>
    <m/>
    <m/>
    <s v="KOUADIO KOFFI TEYA              "/>
    <s v="0707616914"/>
    <m/>
    <x v="0"/>
    <m/>
    <m/>
    <n v="2"/>
    <n v="3"/>
    <n v="5"/>
  </r>
  <r>
    <n v="47"/>
    <x v="46"/>
    <x v="0"/>
    <x v="1"/>
    <x v="1"/>
    <x v="0"/>
    <m/>
    <m/>
    <s v="KOUADIO KOFFI TEYA              "/>
    <s v="0708557609"/>
    <m/>
    <x v="0"/>
    <m/>
    <m/>
    <n v="1"/>
    <n v="1"/>
    <n v="2"/>
  </r>
  <r>
    <n v="48"/>
    <x v="47"/>
    <x v="0"/>
    <x v="1"/>
    <x v="1"/>
    <x v="0"/>
    <m/>
    <m/>
    <s v="KOUADIO KOFFI TEYA              "/>
    <s v="0749262679"/>
    <m/>
    <x v="1"/>
    <m/>
    <m/>
    <n v="1"/>
    <n v="1"/>
    <n v="2"/>
  </r>
  <r>
    <n v="49"/>
    <x v="48"/>
    <x v="0"/>
    <x v="1"/>
    <x v="1"/>
    <x v="0"/>
    <m/>
    <m/>
    <s v="KOUADIO KOFFI TEYA              "/>
    <m/>
    <m/>
    <x v="1"/>
    <m/>
    <m/>
    <n v="2"/>
    <n v="0"/>
    <n v="2"/>
  </r>
  <r>
    <n v="50"/>
    <x v="49"/>
    <x v="0"/>
    <x v="1"/>
    <x v="1"/>
    <x v="0"/>
    <m/>
    <m/>
    <s v="KOUADIO KOFFI TEYA              "/>
    <s v="0707576158"/>
    <m/>
    <x v="1"/>
    <m/>
    <m/>
    <n v="1"/>
    <n v="1"/>
    <n v="2"/>
  </r>
  <r>
    <n v="51"/>
    <x v="50"/>
    <x v="0"/>
    <x v="1"/>
    <x v="1"/>
    <x v="0"/>
    <m/>
    <m/>
    <s v="KOUADIO KOFFI TEYA              "/>
    <m/>
    <m/>
    <x v="1"/>
    <m/>
    <m/>
    <n v="1"/>
    <n v="2"/>
    <n v="3"/>
  </r>
  <r>
    <n v="52"/>
    <x v="51"/>
    <x v="0"/>
    <x v="1"/>
    <x v="1"/>
    <x v="0"/>
    <m/>
    <m/>
    <s v="KOUADIO KOFFI TEYA              "/>
    <m/>
    <m/>
    <x v="0"/>
    <m/>
    <m/>
    <n v="1"/>
    <n v="2"/>
    <n v="3"/>
  </r>
  <r>
    <n v="53"/>
    <x v="52"/>
    <x v="0"/>
    <x v="1"/>
    <x v="1"/>
    <x v="0"/>
    <m/>
    <m/>
    <s v="KOUADIO KOFFI TEYA              "/>
    <m/>
    <m/>
    <x v="0"/>
    <m/>
    <m/>
    <n v="2"/>
    <n v="1"/>
    <n v="3"/>
  </r>
  <r>
    <n v="54"/>
    <x v="53"/>
    <x v="0"/>
    <x v="1"/>
    <x v="1"/>
    <x v="0"/>
    <m/>
    <m/>
    <s v="KOUADIO KOFFI TEYA              "/>
    <m/>
    <m/>
    <x v="0"/>
    <m/>
    <m/>
    <n v="3"/>
    <n v="2"/>
    <n v="5"/>
  </r>
  <r>
    <n v="55"/>
    <x v="54"/>
    <x v="0"/>
    <x v="1"/>
    <x v="1"/>
    <x v="0"/>
    <m/>
    <m/>
    <s v="KOUADIO KOFFI TEYA              "/>
    <m/>
    <m/>
    <x v="1"/>
    <m/>
    <m/>
    <n v="1"/>
    <n v="2"/>
    <n v="3"/>
  </r>
  <r>
    <n v="56"/>
    <x v="55"/>
    <x v="0"/>
    <x v="1"/>
    <x v="1"/>
    <x v="0"/>
    <m/>
    <m/>
    <s v="KOUADIO KOFFI TEYA              "/>
    <m/>
    <m/>
    <x v="0"/>
    <m/>
    <m/>
    <n v="0"/>
    <n v="0"/>
    <n v="0"/>
  </r>
  <r>
    <n v="57"/>
    <x v="56"/>
    <x v="0"/>
    <x v="2"/>
    <x v="2"/>
    <x v="0"/>
    <m/>
    <m/>
    <s v="KOUADIO KOFFI TEYA              "/>
    <s v="0707945781"/>
    <m/>
    <x v="0"/>
    <m/>
    <m/>
    <n v="1"/>
    <n v="0"/>
    <n v="1"/>
  </r>
  <r>
    <n v="58"/>
    <x v="57"/>
    <x v="0"/>
    <x v="2"/>
    <x v="2"/>
    <x v="0"/>
    <m/>
    <m/>
    <s v="KOUADIO KOFFI TEYA              "/>
    <s v="0778105109"/>
    <m/>
    <x v="0"/>
    <m/>
    <m/>
    <n v="1"/>
    <n v="1"/>
    <n v="2"/>
  </r>
  <r>
    <n v="59"/>
    <x v="58"/>
    <x v="0"/>
    <x v="2"/>
    <x v="2"/>
    <x v="0"/>
    <m/>
    <m/>
    <s v="KOUADIO KOFFI TEYA              "/>
    <m/>
    <m/>
    <x v="0"/>
    <m/>
    <m/>
    <n v="2"/>
    <n v="4"/>
    <n v="6"/>
  </r>
  <r>
    <n v="60"/>
    <x v="59"/>
    <x v="0"/>
    <x v="2"/>
    <x v="2"/>
    <x v="0"/>
    <m/>
    <m/>
    <s v="KOUADIO KOFFI TEYA              "/>
    <m/>
    <m/>
    <x v="0"/>
    <m/>
    <m/>
    <n v="2"/>
    <n v="1"/>
    <n v="3"/>
  </r>
  <r>
    <n v="61"/>
    <x v="60"/>
    <x v="0"/>
    <x v="2"/>
    <x v="2"/>
    <x v="0"/>
    <m/>
    <m/>
    <s v="KOUADIO KOFFI TEYA              "/>
    <m/>
    <m/>
    <x v="0"/>
    <m/>
    <m/>
    <n v="1"/>
    <n v="2"/>
    <n v="3"/>
  </r>
  <r>
    <n v="62"/>
    <x v="61"/>
    <x v="0"/>
    <x v="2"/>
    <x v="2"/>
    <x v="0"/>
    <m/>
    <m/>
    <s v="KOUADIO KOFFI TEYA              "/>
    <s v="0749331951"/>
    <m/>
    <x v="0"/>
    <m/>
    <m/>
    <n v="0"/>
    <n v="1"/>
    <n v="1"/>
  </r>
  <r>
    <n v="63"/>
    <x v="62"/>
    <x v="0"/>
    <x v="2"/>
    <x v="2"/>
    <x v="0"/>
    <m/>
    <m/>
    <s v="KOUADIO KOFFI TEYA              "/>
    <s v="0709865907"/>
    <m/>
    <x v="0"/>
    <m/>
    <m/>
    <n v="3"/>
    <n v="1"/>
    <n v="4"/>
  </r>
  <r>
    <n v="64"/>
    <x v="63"/>
    <x v="0"/>
    <x v="2"/>
    <x v="2"/>
    <x v="0"/>
    <m/>
    <m/>
    <s v="KOUADIO KOFFI TEYA              "/>
    <s v="0909865907"/>
    <m/>
    <x v="0"/>
    <m/>
    <m/>
    <n v="0"/>
    <n v="2"/>
    <n v="2"/>
  </r>
  <r>
    <n v="65"/>
    <x v="64"/>
    <x v="0"/>
    <x v="2"/>
    <x v="2"/>
    <x v="0"/>
    <m/>
    <m/>
    <s v="KOUADIO KOFFI TEYA              "/>
    <s v="0767135471"/>
    <m/>
    <x v="0"/>
    <m/>
    <m/>
    <n v="1"/>
    <n v="3"/>
    <n v="4"/>
  </r>
  <r>
    <n v="66"/>
    <x v="65"/>
    <x v="0"/>
    <x v="2"/>
    <x v="2"/>
    <x v="0"/>
    <m/>
    <m/>
    <s v="KOUADIO KOFFI TEYA              "/>
    <m/>
    <m/>
    <x v="0"/>
    <m/>
    <m/>
    <n v="2"/>
    <n v="0"/>
    <n v="2"/>
  </r>
  <r>
    <n v="67"/>
    <x v="66"/>
    <x v="0"/>
    <x v="2"/>
    <x v="2"/>
    <x v="0"/>
    <m/>
    <m/>
    <s v="KOUADIO KOFFI TEYA              "/>
    <m/>
    <m/>
    <x v="0"/>
    <m/>
    <m/>
    <n v="4"/>
    <n v="2"/>
    <n v="6"/>
  </r>
  <r>
    <n v="68"/>
    <x v="67"/>
    <x v="0"/>
    <x v="2"/>
    <x v="2"/>
    <x v="0"/>
    <m/>
    <m/>
    <s v="KOUADIO KOFFI TEYA              "/>
    <s v="0545101811"/>
    <m/>
    <x v="0"/>
    <m/>
    <m/>
    <n v="1"/>
    <n v="2"/>
    <n v="3"/>
  </r>
  <r>
    <n v="69"/>
    <x v="68"/>
    <x v="0"/>
    <x v="2"/>
    <x v="2"/>
    <x v="0"/>
    <m/>
    <m/>
    <s v="KOUADIO KOFFI TEYA              "/>
    <s v="0707511710"/>
    <m/>
    <x v="0"/>
    <m/>
    <m/>
    <n v="1"/>
    <n v="1"/>
    <n v="2"/>
  </r>
  <r>
    <n v="70"/>
    <x v="69"/>
    <x v="0"/>
    <x v="2"/>
    <x v="2"/>
    <x v="0"/>
    <m/>
    <m/>
    <s v="KOUADIO KOFFI TEYA              "/>
    <s v="0769171214"/>
    <m/>
    <x v="0"/>
    <m/>
    <m/>
    <n v="1"/>
    <n v="1"/>
    <n v="2"/>
  </r>
  <r>
    <n v="71"/>
    <x v="70"/>
    <x v="0"/>
    <x v="2"/>
    <x v="2"/>
    <x v="0"/>
    <m/>
    <m/>
    <s v="KOUADIO KOFFI TEYA              "/>
    <m/>
    <m/>
    <x v="0"/>
    <m/>
    <m/>
    <n v="0"/>
    <n v="0"/>
    <n v="0"/>
  </r>
  <r>
    <n v="72"/>
    <x v="71"/>
    <x v="0"/>
    <x v="2"/>
    <x v="2"/>
    <x v="0"/>
    <m/>
    <m/>
    <s v="KOUADIO KOFFI TEYA              "/>
    <m/>
    <m/>
    <x v="0"/>
    <m/>
    <m/>
    <n v="1"/>
    <n v="2"/>
    <n v="3"/>
  </r>
  <r>
    <n v="73"/>
    <x v="72"/>
    <x v="0"/>
    <x v="2"/>
    <x v="2"/>
    <x v="0"/>
    <m/>
    <m/>
    <s v="KOUADIO KOFFI TEYA              "/>
    <m/>
    <m/>
    <x v="0"/>
    <m/>
    <m/>
    <n v="2"/>
    <n v="1"/>
    <n v="3"/>
  </r>
  <r>
    <n v="74"/>
    <x v="73"/>
    <x v="0"/>
    <x v="2"/>
    <x v="2"/>
    <x v="0"/>
    <m/>
    <m/>
    <s v="KOUADIO KOFFI TEYA              "/>
    <m/>
    <m/>
    <x v="0"/>
    <m/>
    <m/>
    <n v="0"/>
    <n v="2"/>
    <n v="2"/>
  </r>
  <r>
    <n v="75"/>
    <x v="74"/>
    <x v="0"/>
    <x v="2"/>
    <x v="2"/>
    <x v="0"/>
    <m/>
    <m/>
    <s v="KOUADIO KOFFI TEYA              "/>
    <m/>
    <m/>
    <x v="0"/>
    <m/>
    <m/>
    <n v="1"/>
    <n v="2"/>
    <n v="3"/>
  </r>
  <r>
    <n v="76"/>
    <x v="75"/>
    <x v="0"/>
    <x v="2"/>
    <x v="2"/>
    <x v="0"/>
    <m/>
    <m/>
    <s v="KOUADIO KOFFI TEYA              "/>
    <m/>
    <m/>
    <x v="0"/>
    <m/>
    <m/>
    <n v="2"/>
    <n v="1"/>
    <n v="3"/>
  </r>
  <r>
    <n v="77"/>
    <x v="76"/>
    <x v="0"/>
    <x v="2"/>
    <x v="2"/>
    <x v="0"/>
    <m/>
    <m/>
    <s v="KOUADIO KOFFI TEYA              "/>
    <m/>
    <m/>
    <x v="0"/>
    <m/>
    <m/>
    <n v="1"/>
    <n v="1"/>
    <n v="2"/>
  </r>
  <r>
    <n v="78"/>
    <x v="77"/>
    <x v="0"/>
    <x v="2"/>
    <x v="2"/>
    <x v="0"/>
    <m/>
    <m/>
    <s v="KOUADIO KOFFI TEYA              "/>
    <m/>
    <m/>
    <x v="0"/>
    <m/>
    <m/>
    <n v="1"/>
    <n v="1"/>
    <n v="2"/>
  </r>
  <r>
    <n v="79"/>
    <x v="78"/>
    <x v="0"/>
    <x v="2"/>
    <x v="2"/>
    <x v="0"/>
    <m/>
    <m/>
    <s v="KOUADIO KOFFI TEYA              "/>
    <m/>
    <m/>
    <x v="0"/>
    <m/>
    <m/>
    <n v="2"/>
    <n v="0"/>
    <n v="2"/>
  </r>
  <r>
    <n v="80"/>
    <x v="79"/>
    <x v="0"/>
    <x v="2"/>
    <x v="2"/>
    <x v="0"/>
    <m/>
    <m/>
    <s v="KOUADIO KOFFI TEYA              "/>
    <m/>
    <m/>
    <x v="1"/>
    <m/>
    <m/>
    <n v="1"/>
    <n v="1"/>
    <n v="2"/>
  </r>
  <r>
    <n v="81"/>
    <x v="80"/>
    <x v="0"/>
    <x v="3"/>
    <x v="3"/>
    <x v="0"/>
    <m/>
    <m/>
    <s v="KOUADIO KOFFI TEYA              "/>
    <m/>
    <m/>
    <x v="1"/>
    <m/>
    <m/>
    <n v="0"/>
    <n v="2"/>
    <n v="2"/>
  </r>
  <r>
    <n v="82"/>
    <x v="81"/>
    <x v="0"/>
    <x v="3"/>
    <x v="3"/>
    <x v="0"/>
    <m/>
    <m/>
    <s v="KOUADIO KOFFI TEYA              "/>
    <m/>
    <m/>
    <x v="0"/>
    <m/>
    <m/>
    <n v="2"/>
    <n v="3"/>
    <n v="5"/>
  </r>
  <r>
    <n v="83"/>
    <x v="82"/>
    <x v="0"/>
    <x v="3"/>
    <x v="3"/>
    <x v="0"/>
    <m/>
    <m/>
    <s v="KOUADIO KOFFI TEYA              "/>
    <m/>
    <m/>
    <x v="0"/>
    <m/>
    <m/>
    <n v="2"/>
    <n v="1"/>
    <n v="3"/>
  </r>
  <r>
    <n v="84"/>
    <x v="83"/>
    <x v="0"/>
    <x v="3"/>
    <x v="3"/>
    <x v="0"/>
    <m/>
    <m/>
    <s v="KOUADIO KOFFI TEYA              "/>
    <m/>
    <m/>
    <x v="0"/>
    <m/>
    <m/>
    <n v="3"/>
    <n v="1"/>
    <n v="4"/>
  </r>
  <r>
    <n v="85"/>
    <x v="84"/>
    <x v="0"/>
    <x v="3"/>
    <x v="3"/>
    <x v="0"/>
    <m/>
    <m/>
    <s v="KOUADIO KOFFI TEYA              "/>
    <m/>
    <m/>
    <x v="1"/>
    <m/>
    <m/>
    <n v="1"/>
    <n v="4"/>
    <n v="5"/>
  </r>
  <r>
    <n v="86"/>
    <x v="85"/>
    <x v="0"/>
    <x v="3"/>
    <x v="3"/>
    <x v="0"/>
    <m/>
    <m/>
    <s v="KOUADIO KOFFI TEYA              "/>
    <m/>
    <m/>
    <x v="0"/>
    <m/>
    <m/>
    <n v="1"/>
    <n v="1"/>
    <n v="2"/>
  </r>
  <r>
    <n v="87"/>
    <x v="86"/>
    <x v="0"/>
    <x v="3"/>
    <x v="3"/>
    <x v="0"/>
    <m/>
    <m/>
    <s v="KOUADIO KOFFI TEYA              "/>
    <m/>
    <m/>
    <x v="0"/>
    <m/>
    <m/>
    <n v="2"/>
    <n v="1"/>
    <n v="3"/>
  </r>
  <r>
    <n v="88"/>
    <x v="87"/>
    <x v="0"/>
    <x v="3"/>
    <x v="3"/>
    <x v="0"/>
    <m/>
    <m/>
    <s v="KOUADIO KOFFI TEYA              "/>
    <m/>
    <m/>
    <x v="0"/>
    <m/>
    <m/>
    <n v="1"/>
    <n v="1"/>
    <n v="2"/>
  </r>
  <r>
    <n v="89"/>
    <x v="88"/>
    <x v="0"/>
    <x v="3"/>
    <x v="3"/>
    <x v="0"/>
    <m/>
    <m/>
    <s v="KOUADIO KOFFI TEYA              "/>
    <m/>
    <m/>
    <x v="0"/>
    <m/>
    <m/>
    <n v="1"/>
    <n v="0"/>
    <n v="1"/>
  </r>
  <r>
    <n v="90"/>
    <x v="89"/>
    <x v="0"/>
    <x v="3"/>
    <x v="3"/>
    <x v="0"/>
    <m/>
    <m/>
    <s v="KOUADIO KOFFI TEYA              "/>
    <m/>
    <m/>
    <x v="0"/>
    <m/>
    <m/>
    <n v="1"/>
    <n v="0"/>
    <n v="1"/>
  </r>
  <r>
    <n v="91"/>
    <x v="90"/>
    <x v="0"/>
    <x v="3"/>
    <x v="3"/>
    <x v="0"/>
    <m/>
    <m/>
    <s v="KOUADIO KOFFI TEYA              "/>
    <m/>
    <m/>
    <x v="1"/>
    <m/>
    <m/>
    <n v="1"/>
    <n v="1"/>
    <n v="2"/>
  </r>
  <r>
    <n v="92"/>
    <x v="91"/>
    <x v="0"/>
    <x v="3"/>
    <x v="3"/>
    <x v="0"/>
    <m/>
    <m/>
    <s v="KOUADIO KOFFI TEYA              "/>
    <m/>
    <m/>
    <x v="0"/>
    <m/>
    <m/>
    <n v="1"/>
    <n v="1"/>
    <n v="2"/>
  </r>
  <r>
    <n v="93"/>
    <x v="92"/>
    <x v="0"/>
    <x v="3"/>
    <x v="3"/>
    <x v="0"/>
    <m/>
    <m/>
    <s v="KOUADIO KOFFI TEYA              "/>
    <m/>
    <m/>
    <x v="0"/>
    <m/>
    <m/>
    <n v="1"/>
    <n v="1"/>
    <n v="2"/>
  </r>
  <r>
    <n v="94"/>
    <x v="93"/>
    <x v="0"/>
    <x v="3"/>
    <x v="3"/>
    <x v="0"/>
    <m/>
    <m/>
    <s v="KOUADIO KOFFI TEYA              "/>
    <m/>
    <m/>
    <x v="0"/>
    <m/>
    <m/>
    <n v="1"/>
    <n v="2"/>
    <n v="3"/>
  </r>
  <r>
    <n v="95"/>
    <x v="94"/>
    <x v="0"/>
    <x v="3"/>
    <x v="3"/>
    <x v="0"/>
    <m/>
    <m/>
    <s v="KOUADIO KOFFI TEYA              "/>
    <m/>
    <m/>
    <x v="0"/>
    <m/>
    <m/>
    <n v="1"/>
    <n v="3"/>
    <n v="4"/>
  </r>
  <r>
    <n v="96"/>
    <x v="95"/>
    <x v="0"/>
    <x v="3"/>
    <x v="3"/>
    <x v="0"/>
    <m/>
    <m/>
    <s v="KOUADIO KOFFI TEYA              "/>
    <m/>
    <m/>
    <x v="1"/>
    <m/>
    <m/>
    <n v="3"/>
    <n v="0"/>
    <n v="3"/>
  </r>
  <r>
    <n v="97"/>
    <x v="96"/>
    <x v="0"/>
    <x v="3"/>
    <x v="3"/>
    <x v="0"/>
    <m/>
    <m/>
    <s v="KOUADIO KOFFI TEYA              "/>
    <m/>
    <m/>
    <x v="0"/>
    <m/>
    <m/>
    <n v="3"/>
    <n v="0"/>
    <n v="3"/>
  </r>
  <r>
    <n v="98"/>
    <x v="97"/>
    <x v="0"/>
    <x v="3"/>
    <x v="3"/>
    <x v="0"/>
    <m/>
    <m/>
    <s v="KOUADIO KOFFI TEYA              "/>
    <m/>
    <m/>
    <x v="0"/>
    <m/>
    <m/>
    <n v="4"/>
    <n v="1"/>
    <n v="5"/>
  </r>
  <r>
    <n v="99"/>
    <x v="98"/>
    <x v="0"/>
    <x v="3"/>
    <x v="3"/>
    <x v="0"/>
    <m/>
    <m/>
    <s v="KOUADIO KOFFI TEYA              "/>
    <m/>
    <m/>
    <x v="0"/>
    <m/>
    <m/>
    <n v="2"/>
    <n v="2"/>
    <n v="4"/>
  </r>
  <r>
    <n v="100"/>
    <x v="99"/>
    <x v="0"/>
    <x v="3"/>
    <x v="3"/>
    <x v="0"/>
    <m/>
    <m/>
    <s v="KOUADIO KOFFI TEYA              "/>
    <m/>
    <m/>
    <x v="0"/>
    <m/>
    <m/>
    <n v="4"/>
    <n v="1"/>
    <n v="5"/>
  </r>
  <r>
    <n v="101"/>
    <x v="100"/>
    <x v="0"/>
    <x v="4"/>
    <x v="4"/>
    <x v="0"/>
    <m/>
    <m/>
    <s v="KOUADIO KOFFI TEYA              "/>
    <m/>
    <m/>
    <x v="0"/>
    <m/>
    <m/>
    <n v="2"/>
    <n v="1"/>
    <n v="3"/>
  </r>
  <r>
    <n v="102"/>
    <x v="101"/>
    <x v="0"/>
    <x v="4"/>
    <x v="4"/>
    <x v="0"/>
    <m/>
    <m/>
    <s v="KOUADIO KOFFI TEYA              "/>
    <m/>
    <m/>
    <x v="1"/>
    <m/>
    <m/>
    <n v="0"/>
    <n v="2"/>
    <n v="2"/>
  </r>
  <r>
    <n v="103"/>
    <x v="102"/>
    <x v="0"/>
    <x v="4"/>
    <x v="4"/>
    <x v="0"/>
    <m/>
    <m/>
    <s v="KOUADIO KOFFI TEYA              "/>
    <m/>
    <m/>
    <x v="0"/>
    <m/>
    <m/>
    <n v="1"/>
    <n v="3"/>
    <n v="4"/>
  </r>
  <r>
    <n v="104"/>
    <x v="103"/>
    <x v="0"/>
    <x v="4"/>
    <x v="4"/>
    <x v="0"/>
    <m/>
    <m/>
    <s v="KOUADIO KOFFI TEYA              "/>
    <m/>
    <m/>
    <x v="0"/>
    <m/>
    <m/>
    <n v="2"/>
    <n v="1"/>
    <n v="3"/>
  </r>
  <r>
    <n v="105"/>
    <x v="104"/>
    <x v="0"/>
    <x v="4"/>
    <x v="4"/>
    <x v="0"/>
    <m/>
    <m/>
    <s v="KOUADIO KOFFI TEYA              "/>
    <m/>
    <m/>
    <x v="0"/>
    <m/>
    <m/>
    <n v="1"/>
    <n v="3"/>
    <n v="4"/>
  </r>
  <r>
    <n v="106"/>
    <x v="105"/>
    <x v="0"/>
    <x v="4"/>
    <x v="4"/>
    <x v="0"/>
    <m/>
    <m/>
    <s v="KOUADIO KOFFI TEYA              "/>
    <m/>
    <m/>
    <x v="0"/>
    <m/>
    <m/>
    <n v="1"/>
    <n v="2"/>
    <n v="3"/>
  </r>
  <r>
    <n v="107"/>
    <x v="106"/>
    <x v="0"/>
    <x v="4"/>
    <x v="4"/>
    <x v="0"/>
    <m/>
    <m/>
    <s v="KOUADIO KOFFI TEYA              "/>
    <m/>
    <m/>
    <x v="0"/>
    <m/>
    <m/>
    <n v="2"/>
    <n v="2"/>
    <n v="4"/>
  </r>
  <r>
    <n v="108"/>
    <x v="107"/>
    <x v="0"/>
    <x v="4"/>
    <x v="4"/>
    <x v="0"/>
    <m/>
    <s v="0757416265"/>
    <s v="KOUADIO KOFFI TEYA              "/>
    <m/>
    <m/>
    <x v="1"/>
    <m/>
    <m/>
    <n v="1"/>
    <n v="1"/>
    <n v="2"/>
  </r>
  <r>
    <n v="109"/>
    <x v="108"/>
    <x v="0"/>
    <x v="4"/>
    <x v="4"/>
    <x v="0"/>
    <m/>
    <m/>
    <s v="KOUADIO KOFFI TEYA              "/>
    <m/>
    <m/>
    <x v="0"/>
    <m/>
    <m/>
    <n v="1"/>
    <n v="1"/>
    <n v="2"/>
  </r>
  <r>
    <n v="110"/>
    <x v="109"/>
    <x v="0"/>
    <x v="4"/>
    <x v="4"/>
    <x v="0"/>
    <m/>
    <m/>
    <s v="KOUADIO KOFFI TEYA              "/>
    <m/>
    <m/>
    <x v="0"/>
    <m/>
    <m/>
    <n v="1"/>
    <n v="1"/>
    <n v="2"/>
  </r>
  <r>
    <n v="111"/>
    <x v="110"/>
    <x v="0"/>
    <x v="4"/>
    <x v="4"/>
    <x v="0"/>
    <m/>
    <m/>
    <s v="KOUADIO KOFFI TEYA              "/>
    <m/>
    <m/>
    <x v="1"/>
    <m/>
    <m/>
    <n v="1"/>
    <n v="2"/>
    <n v="3"/>
  </r>
  <r>
    <n v="112"/>
    <x v="111"/>
    <x v="0"/>
    <x v="4"/>
    <x v="4"/>
    <x v="0"/>
    <m/>
    <m/>
    <s v="KOUADIO KOFFI TEYA              "/>
    <m/>
    <m/>
    <x v="0"/>
    <m/>
    <m/>
    <n v="1"/>
    <n v="2"/>
    <n v="3"/>
  </r>
  <r>
    <n v="113"/>
    <x v="112"/>
    <x v="0"/>
    <x v="4"/>
    <x v="4"/>
    <x v="0"/>
    <m/>
    <m/>
    <s v="KOUADIO KOFFI TEYA              "/>
    <m/>
    <m/>
    <x v="0"/>
    <m/>
    <m/>
    <n v="1"/>
    <n v="0"/>
    <n v="1"/>
  </r>
  <r>
    <n v="114"/>
    <x v="113"/>
    <x v="0"/>
    <x v="4"/>
    <x v="4"/>
    <x v="0"/>
    <m/>
    <m/>
    <s v="KOUADIO KOFFI TEYA              "/>
    <m/>
    <m/>
    <x v="0"/>
    <m/>
    <m/>
    <n v="2"/>
    <n v="1"/>
    <n v="3"/>
  </r>
  <r>
    <n v="115"/>
    <x v="114"/>
    <x v="0"/>
    <x v="4"/>
    <x v="4"/>
    <x v="0"/>
    <m/>
    <m/>
    <s v="KOUADIO KOFFI TEYA              "/>
    <m/>
    <m/>
    <x v="0"/>
    <m/>
    <m/>
    <n v="0"/>
    <n v="0"/>
    <n v="0"/>
  </r>
  <r>
    <n v="116"/>
    <x v="115"/>
    <x v="0"/>
    <x v="4"/>
    <x v="4"/>
    <x v="0"/>
    <m/>
    <m/>
    <s v="KOUADIO KOFFI TEYA              "/>
    <m/>
    <m/>
    <x v="0"/>
    <m/>
    <m/>
    <n v="1"/>
    <n v="2"/>
    <n v="3"/>
  </r>
  <r>
    <n v="117"/>
    <x v="116"/>
    <x v="0"/>
    <x v="4"/>
    <x v="4"/>
    <x v="0"/>
    <m/>
    <m/>
    <s v="KOUADIO KOFFI TEYA              "/>
    <m/>
    <m/>
    <x v="0"/>
    <m/>
    <m/>
    <n v="2"/>
    <n v="1"/>
    <n v="3"/>
  </r>
  <r>
    <n v="118"/>
    <x v="117"/>
    <x v="0"/>
    <x v="4"/>
    <x v="4"/>
    <x v="0"/>
    <m/>
    <m/>
    <s v="KOUADIO KOFFI TEYA              "/>
    <m/>
    <m/>
    <x v="0"/>
    <m/>
    <m/>
    <n v="4"/>
    <n v="1"/>
    <n v="5"/>
  </r>
  <r>
    <n v="119"/>
    <x v="118"/>
    <x v="0"/>
    <x v="4"/>
    <x v="4"/>
    <x v="0"/>
    <m/>
    <m/>
    <s v="KOUADIO KOFFI TEYA              "/>
    <m/>
    <m/>
    <x v="0"/>
    <m/>
    <m/>
    <n v="2"/>
    <n v="1"/>
    <n v="3"/>
  </r>
  <r>
    <n v="120"/>
    <x v="119"/>
    <x v="0"/>
    <x v="4"/>
    <x v="4"/>
    <x v="0"/>
    <m/>
    <m/>
    <s v="KOUADIO KOFFI TEYA              "/>
    <m/>
    <m/>
    <x v="1"/>
    <m/>
    <m/>
    <n v="2"/>
    <n v="1"/>
    <n v="3"/>
  </r>
  <r>
    <n v="121"/>
    <x v="120"/>
    <x v="0"/>
    <x v="4"/>
    <x v="4"/>
    <x v="0"/>
    <m/>
    <m/>
    <s v="KOUADIO KOFFI TEYA              "/>
    <m/>
    <m/>
    <x v="1"/>
    <m/>
    <m/>
    <n v="1"/>
    <n v="1"/>
    <n v="2"/>
  </r>
  <r>
    <n v="122"/>
    <x v="121"/>
    <x v="0"/>
    <x v="4"/>
    <x v="4"/>
    <x v="0"/>
    <m/>
    <m/>
    <s v="KOUADIO KOFFI TEYA              "/>
    <m/>
    <m/>
    <x v="0"/>
    <m/>
    <m/>
    <n v="1"/>
    <n v="1"/>
    <n v="2"/>
  </r>
  <r>
    <n v="123"/>
    <x v="122"/>
    <x v="0"/>
    <x v="4"/>
    <x v="4"/>
    <x v="0"/>
    <m/>
    <m/>
    <s v="KOUADIO KOFFI TEYA              "/>
    <m/>
    <m/>
    <x v="1"/>
    <m/>
    <m/>
    <n v="2"/>
    <n v="0"/>
    <n v="2"/>
  </r>
  <r>
    <n v="124"/>
    <x v="123"/>
    <x v="0"/>
    <x v="4"/>
    <x v="4"/>
    <x v="0"/>
    <m/>
    <m/>
    <s v="KOUADIO KOFFI TEYA              "/>
    <m/>
    <m/>
    <x v="0"/>
    <m/>
    <m/>
    <n v="1"/>
    <n v="1"/>
    <n v="2"/>
  </r>
  <r>
    <n v="125"/>
    <x v="124"/>
    <x v="0"/>
    <x v="4"/>
    <x v="4"/>
    <x v="0"/>
    <m/>
    <m/>
    <s v="KOUADIO KOFFI TEYA              "/>
    <m/>
    <m/>
    <x v="1"/>
    <m/>
    <m/>
    <n v="2"/>
    <n v="0"/>
    <n v="2"/>
  </r>
  <r>
    <n v="126"/>
    <x v="125"/>
    <x v="0"/>
    <x v="4"/>
    <x v="4"/>
    <x v="0"/>
    <m/>
    <m/>
    <s v="KOUADIO KOFFI TEYA              "/>
    <m/>
    <m/>
    <x v="0"/>
    <m/>
    <m/>
    <n v="5"/>
    <n v="0"/>
    <n v="5"/>
  </r>
  <r>
    <n v="127"/>
    <x v="126"/>
    <x v="0"/>
    <x v="5"/>
    <x v="5"/>
    <x v="0"/>
    <m/>
    <m/>
    <s v="KOUADIO KOFFI TEYA              "/>
    <m/>
    <m/>
    <x v="0"/>
    <m/>
    <m/>
    <n v="2"/>
    <n v="1"/>
    <n v="3"/>
  </r>
  <r>
    <n v="128"/>
    <x v="127"/>
    <x v="0"/>
    <x v="5"/>
    <x v="5"/>
    <x v="0"/>
    <m/>
    <m/>
    <s v="KOUADIO KOFFI TEYA              "/>
    <m/>
    <m/>
    <x v="0"/>
    <m/>
    <m/>
    <n v="2"/>
    <n v="3"/>
    <n v="5"/>
  </r>
  <r>
    <n v="129"/>
    <x v="128"/>
    <x v="0"/>
    <x v="5"/>
    <x v="5"/>
    <x v="0"/>
    <m/>
    <m/>
    <s v="KOUADIO KOFFI TEYA              "/>
    <m/>
    <m/>
    <x v="0"/>
    <m/>
    <m/>
    <n v="2"/>
    <n v="1"/>
    <n v="3"/>
  </r>
  <r>
    <n v="130"/>
    <x v="129"/>
    <x v="0"/>
    <x v="5"/>
    <x v="5"/>
    <x v="0"/>
    <m/>
    <m/>
    <s v="KOUADIO KOFFI TEYA              "/>
    <m/>
    <m/>
    <x v="0"/>
    <m/>
    <m/>
    <n v="3"/>
    <n v="1"/>
    <n v="4"/>
  </r>
  <r>
    <n v="131"/>
    <x v="130"/>
    <x v="0"/>
    <x v="5"/>
    <x v="5"/>
    <x v="0"/>
    <m/>
    <m/>
    <s v="KOUADIO KOFFI TEYA              "/>
    <m/>
    <m/>
    <x v="0"/>
    <m/>
    <m/>
    <n v="1"/>
    <n v="4"/>
    <n v="5"/>
  </r>
  <r>
    <n v="132"/>
    <x v="131"/>
    <x v="0"/>
    <x v="5"/>
    <x v="5"/>
    <x v="0"/>
    <m/>
    <m/>
    <s v="KOUADIO KOFFI TEYA              "/>
    <m/>
    <m/>
    <x v="0"/>
    <m/>
    <m/>
    <n v="1"/>
    <n v="1"/>
    <n v="2"/>
  </r>
  <r>
    <n v="133"/>
    <x v="132"/>
    <x v="0"/>
    <x v="5"/>
    <x v="5"/>
    <x v="0"/>
    <m/>
    <m/>
    <s v="KOUADIO KOFFI TEYA              "/>
    <m/>
    <m/>
    <x v="0"/>
    <m/>
    <m/>
    <n v="2"/>
    <n v="1"/>
    <n v="3"/>
  </r>
  <r>
    <n v="134"/>
    <x v="133"/>
    <x v="0"/>
    <x v="5"/>
    <x v="5"/>
    <x v="0"/>
    <m/>
    <m/>
    <s v="KOUADIO KOFFI TEYA              "/>
    <m/>
    <m/>
    <x v="0"/>
    <m/>
    <m/>
    <n v="1"/>
    <n v="1"/>
    <n v="2"/>
  </r>
  <r>
    <n v="135"/>
    <x v="134"/>
    <x v="0"/>
    <x v="5"/>
    <x v="5"/>
    <x v="0"/>
    <m/>
    <m/>
    <s v="KOUADIO KOFFI TEYA              "/>
    <m/>
    <m/>
    <x v="0"/>
    <m/>
    <m/>
    <n v="1"/>
    <n v="0"/>
    <n v="1"/>
  </r>
  <r>
    <n v="136"/>
    <x v="135"/>
    <x v="0"/>
    <x v="5"/>
    <x v="5"/>
    <x v="0"/>
    <m/>
    <m/>
    <s v="KOUADIO KOFFI TEYA              "/>
    <m/>
    <m/>
    <x v="0"/>
    <m/>
    <m/>
    <n v="1"/>
    <n v="0"/>
    <n v="1"/>
  </r>
  <r>
    <n v="137"/>
    <x v="136"/>
    <x v="0"/>
    <x v="5"/>
    <x v="5"/>
    <x v="0"/>
    <m/>
    <m/>
    <s v="KOUADIO KOFFI TEYA              "/>
    <m/>
    <m/>
    <x v="0"/>
    <m/>
    <m/>
    <n v="1"/>
    <n v="1"/>
    <n v="2"/>
  </r>
  <r>
    <n v="138"/>
    <x v="137"/>
    <x v="0"/>
    <x v="5"/>
    <x v="5"/>
    <x v="0"/>
    <m/>
    <m/>
    <s v="KOUADIO KOFFI TEYA              "/>
    <m/>
    <m/>
    <x v="0"/>
    <m/>
    <m/>
    <n v="1"/>
    <n v="1"/>
    <n v="2"/>
  </r>
  <r>
    <n v="139"/>
    <x v="138"/>
    <x v="0"/>
    <x v="5"/>
    <x v="5"/>
    <x v="0"/>
    <m/>
    <m/>
    <s v="KOUADIO KOFFI TEYA              "/>
    <m/>
    <m/>
    <x v="0"/>
    <m/>
    <m/>
    <n v="1"/>
    <n v="1"/>
    <n v="2"/>
  </r>
  <r>
    <n v="140"/>
    <x v="139"/>
    <x v="0"/>
    <x v="5"/>
    <x v="5"/>
    <x v="0"/>
    <m/>
    <m/>
    <s v="KOUADIO KOFFI TEYA              "/>
    <m/>
    <m/>
    <x v="0"/>
    <m/>
    <m/>
    <n v="1"/>
    <n v="2"/>
    <n v="3"/>
  </r>
  <r>
    <n v="141"/>
    <x v="140"/>
    <x v="0"/>
    <x v="5"/>
    <x v="5"/>
    <x v="0"/>
    <m/>
    <m/>
    <s v="KOUADIO KOFFI TEYA              "/>
    <m/>
    <m/>
    <x v="0"/>
    <m/>
    <m/>
    <n v="1"/>
    <n v="3"/>
    <n v="4"/>
  </r>
  <r>
    <n v="142"/>
    <x v="141"/>
    <x v="0"/>
    <x v="5"/>
    <x v="5"/>
    <x v="0"/>
    <m/>
    <m/>
    <s v="KOUADIO KOFFI TEYA              "/>
    <m/>
    <m/>
    <x v="0"/>
    <m/>
    <m/>
    <n v="3"/>
    <n v="0"/>
    <n v="3"/>
  </r>
  <r>
    <n v="143"/>
    <x v="131"/>
    <x v="0"/>
    <x v="5"/>
    <x v="5"/>
    <x v="0"/>
    <m/>
    <m/>
    <s v="KOUADIO KOFFI TEYA              "/>
    <m/>
    <m/>
    <x v="0"/>
    <m/>
    <m/>
    <n v="3"/>
    <n v="0"/>
    <n v="3"/>
  </r>
  <r>
    <n v="144"/>
    <x v="142"/>
    <x v="0"/>
    <x v="5"/>
    <x v="5"/>
    <x v="0"/>
    <m/>
    <m/>
    <s v="KOUADIO KOFFI TEYA              "/>
    <m/>
    <m/>
    <x v="0"/>
    <m/>
    <m/>
    <n v="4"/>
    <n v="1"/>
    <n v="5"/>
  </r>
  <r>
    <n v="145"/>
    <x v="143"/>
    <x v="0"/>
    <x v="5"/>
    <x v="5"/>
    <x v="0"/>
    <m/>
    <m/>
    <s v="KOUADIO KOFFI TEYA              "/>
    <m/>
    <m/>
    <x v="0"/>
    <m/>
    <m/>
    <n v="2"/>
    <n v="2"/>
    <n v="4"/>
  </r>
  <r>
    <n v="146"/>
    <x v="144"/>
    <x v="0"/>
    <x v="5"/>
    <x v="5"/>
    <x v="0"/>
    <m/>
    <m/>
    <s v="KOUADIO KOFFI TEYA              "/>
    <m/>
    <m/>
    <x v="0"/>
    <m/>
    <m/>
    <n v="4"/>
    <n v="1"/>
    <n v="5"/>
  </r>
  <r>
    <n v="147"/>
    <x v="145"/>
    <x v="0"/>
    <x v="5"/>
    <x v="5"/>
    <x v="0"/>
    <m/>
    <m/>
    <s v="KOUADIO KOFFI TEYA              "/>
    <m/>
    <m/>
    <x v="0"/>
    <m/>
    <m/>
    <n v="1"/>
    <n v="1"/>
    <n v="2"/>
  </r>
  <r>
    <n v="148"/>
    <x v="146"/>
    <x v="0"/>
    <x v="5"/>
    <x v="5"/>
    <x v="0"/>
    <m/>
    <m/>
    <s v="KOUADIO KOFFI TEYA              "/>
    <m/>
    <m/>
    <x v="0"/>
    <m/>
    <m/>
    <n v="1"/>
    <n v="1"/>
    <n v="2"/>
  </r>
  <r>
    <n v="149"/>
    <x v="147"/>
    <x v="0"/>
    <x v="5"/>
    <x v="5"/>
    <x v="0"/>
    <m/>
    <m/>
    <s v="KOUADIO KOFFI TEYA              "/>
    <m/>
    <m/>
    <x v="0"/>
    <m/>
    <m/>
    <n v="2"/>
    <n v="0"/>
    <n v="2"/>
  </r>
  <r>
    <n v="150"/>
    <x v="148"/>
    <x v="0"/>
    <x v="5"/>
    <x v="5"/>
    <x v="0"/>
    <m/>
    <m/>
    <s v="KOUADIO KOFFI TEYA              "/>
    <m/>
    <m/>
    <x v="0"/>
    <m/>
    <m/>
    <n v="1"/>
    <n v="1"/>
    <n v="2"/>
  </r>
  <r>
    <n v="151"/>
    <x v="149"/>
    <x v="0"/>
    <x v="5"/>
    <x v="5"/>
    <x v="0"/>
    <m/>
    <m/>
    <s v="KOUADIO KOFFI TEYA              "/>
    <m/>
    <m/>
    <x v="0"/>
    <m/>
    <m/>
    <n v="2"/>
    <n v="0"/>
    <n v="2"/>
  </r>
  <r>
    <n v="152"/>
    <x v="150"/>
    <x v="0"/>
    <x v="5"/>
    <x v="5"/>
    <x v="0"/>
    <m/>
    <m/>
    <s v="KOUADIO KOFFI TEYA              "/>
    <m/>
    <m/>
    <x v="0"/>
    <m/>
    <m/>
    <n v="5"/>
    <n v="0"/>
    <n v="5"/>
  </r>
  <r>
    <n v="153"/>
    <x v="151"/>
    <x v="0"/>
    <x v="5"/>
    <x v="5"/>
    <x v="0"/>
    <m/>
    <m/>
    <s v="KOUADIO KOFFI TEYA              "/>
    <m/>
    <m/>
    <x v="0"/>
    <m/>
    <m/>
    <n v="2"/>
    <n v="0"/>
    <n v="2"/>
  </r>
  <r>
    <n v="154"/>
    <x v="152"/>
    <x v="0"/>
    <x v="5"/>
    <x v="5"/>
    <x v="0"/>
    <m/>
    <m/>
    <s v="KOUADIO KOFFI TEYA              "/>
    <m/>
    <m/>
    <x v="0"/>
    <m/>
    <m/>
    <n v="5"/>
    <n v="0"/>
    <n v="5"/>
  </r>
  <r>
    <n v="155"/>
    <x v="153"/>
    <x v="0"/>
    <x v="5"/>
    <x v="5"/>
    <x v="0"/>
    <m/>
    <m/>
    <s v="KOUADIO KOFFI TEYA              "/>
    <m/>
    <m/>
    <x v="0"/>
    <m/>
    <m/>
    <n v="4"/>
    <n v="2"/>
    <n v="6"/>
  </r>
  <r>
    <n v="156"/>
    <x v="154"/>
    <x v="0"/>
    <x v="5"/>
    <x v="5"/>
    <x v="0"/>
    <m/>
    <m/>
    <s v="KOUADIO KOFFI TEYA              "/>
    <m/>
    <m/>
    <x v="0"/>
    <m/>
    <m/>
    <n v="2"/>
    <n v="2"/>
    <n v="4"/>
  </r>
  <r>
    <n v="157"/>
    <x v="155"/>
    <x v="0"/>
    <x v="6"/>
    <x v="6"/>
    <x v="0"/>
    <m/>
    <s v="0566619111"/>
    <s v="KOUADIO KOFFI TEYA              "/>
    <m/>
    <m/>
    <x v="0"/>
    <m/>
    <m/>
    <n v="3"/>
    <n v="1"/>
    <n v="4"/>
  </r>
  <r>
    <n v="158"/>
    <x v="156"/>
    <x v="0"/>
    <x v="6"/>
    <x v="6"/>
    <x v="0"/>
    <m/>
    <s v="0787632020"/>
    <s v="KOUADIO KOFFI TEYA              "/>
    <m/>
    <m/>
    <x v="1"/>
    <m/>
    <m/>
    <n v="3"/>
    <n v="3"/>
    <n v="6"/>
  </r>
  <r>
    <n v="159"/>
    <x v="157"/>
    <x v="0"/>
    <x v="6"/>
    <x v="6"/>
    <x v="0"/>
    <m/>
    <s v="0789572158"/>
    <s v="KOUADIO KOFFI TEYA              "/>
    <m/>
    <m/>
    <x v="0"/>
    <m/>
    <m/>
    <n v="4"/>
    <n v="2"/>
    <n v="6"/>
  </r>
  <r>
    <n v="160"/>
    <x v="158"/>
    <x v="0"/>
    <x v="6"/>
    <x v="6"/>
    <x v="0"/>
    <m/>
    <s v="015231510"/>
    <s v="KOUADIO KOFFI TEYA              "/>
    <m/>
    <m/>
    <x v="0"/>
    <m/>
    <m/>
    <n v="2"/>
    <n v="4"/>
    <n v="6"/>
  </r>
  <r>
    <n v="161"/>
    <x v="159"/>
    <x v="0"/>
    <x v="6"/>
    <x v="6"/>
    <x v="0"/>
    <m/>
    <s v="07768106255"/>
    <s v="KOUADIO KOFFI TEYA              "/>
    <m/>
    <m/>
    <x v="1"/>
    <m/>
    <m/>
    <n v="4"/>
    <n v="3"/>
    <n v="7"/>
  </r>
  <r>
    <n v="162"/>
    <x v="160"/>
    <x v="0"/>
    <x v="6"/>
    <x v="6"/>
    <x v="0"/>
    <m/>
    <s v="0546520208"/>
    <s v="KOUADIO KOFFI TEYA              "/>
    <m/>
    <m/>
    <x v="1"/>
    <m/>
    <m/>
    <n v="2"/>
    <n v="1"/>
    <n v="3"/>
  </r>
  <r>
    <n v="163"/>
    <x v="161"/>
    <x v="0"/>
    <x v="6"/>
    <x v="6"/>
    <x v="0"/>
    <m/>
    <m/>
    <s v="KOUADIO KOFFI TEYA              "/>
    <m/>
    <m/>
    <x v="1"/>
    <m/>
    <m/>
    <n v="1"/>
    <n v="3"/>
    <n v="4"/>
  </r>
  <r>
    <n v="164"/>
    <x v="162"/>
    <x v="0"/>
    <x v="6"/>
    <x v="6"/>
    <x v="0"/>
    <m/>
    <s v="0798441003"/>
    <s v="KOUADIO KOFFI TEYA              "/>
    <m/>
    <m/>
    <x v="1"/>
    <m/>
    <m/>
    <n v="2"/>
    <n v="2"/>
    <n v="4"/>
  </r>
  <r>
    <n v="165"/>
    <x v="163"/>
    <x v="0"/>
    <x v="6"/>
    <x v="6"/>
    <x v="0"/>
    <m/>
    <m/>
    <s v="KOUADIO KOFFI TEYA              "/>
    <m/>
    <m/>
    <x v="0"/>
    <m/>
    <m/>
    <n v="1"/>
    <n v="0"/>
    <n v="1"/>
  </r>
  <r>
    <n v="166"/>
    <x v="164"/>
    <x v="0"/>
    <x v="6"/>
    <x v="6"/>
    <x v="0"/>
    <m/>
    <m/>
    <s v="KOUADIO KOFFI TEYA              "/>
    <m/>
    <m/>
    <x v="0"/>
    <m/>
    <m/>
    <n v="1"/>
    <n v="1"/>
    <n v="2"/>
  </r>
  <r>
    <n v="167"/>
    <x v="165"/>
    <x v="0"/>
    <x v="6"/>
    <x v="6"/>
    <x v="0"/>
    <m/>
    <m/>
    <s v="KOUADIO KOFFI TEYA              "/>
    <m/>
    <m/>
    <x v="0"/>
    <m/>
    <m/>
    <n v="0"/>
    <n v="2"/>
    <n v="2"/>
  </r>
  <r>
    <n v="168"/>
    <x v="166"/>
    <x v="0"/>
    <x v="6"/>
    <x v="6"/>
    <x v="0"/>
    <m/>
    <s v="0708657302"/>
    <s v="KOUADIO KOFFI TEYA              "/>
    <m/>
    <m/>
    <x v="1"/>
    <m/>
    <m/>
    <n v="3"/>
    <n v="1"/>
    <n v="4"/>
  </r>
  <r>
    <n v="169"/>
    <x v="167"/>
    <x v="0"/>
    <x v="6"/>
    <x v="6"/>
    <x v="0"/>
    <m/>
    <s v="0778105884"/>
    <s v="KOUADIO KOFFI TEYA              "/>
    <m/>
    <m/>
    <x v="1"/>
    <m/>
    <m/>
    <n v="1"/>
    <n v="1"/>
    <n v="2"/>
  </r>
  <r>
    <n v="170"/>
    <x v="168"/>
    <x v="0"/>
    <x v="6"/>
    <x v="6"/>
    <x v="0"/>
    <m/>
    <m/>
    <s v="KOUADIO KOFFI TEYA              "/>
    <m/>
    <m/>
    <x v="0"/>
    <m/>
    <m/>
    <n v="1"/>
    <n v="2"/>
    <n v="3"/>
  </r>
  <r>
    <n v="171"/>
    <x v="169"/>
    <x v="0"/>
    <x v="6"/>
    <x v="6"/>
    <x v="0"/>
    <m/>
    <m/>
    <s v="KOUADIO KOFFI TEYA              "/>
    <m/>
    <m/>
    <x v="0"/>
    <m/>
    <m/>
    <n v="3"/>
    <n v="2"/>
    <n v="5"/>
  </r>
  <r>
    <n v="172"/>
    <x v="170"/>
    <x v="0"/>
    <x v="6"/>
    <x v="6"/>
    <x v="0"/>
    <m/>
    <s v="0748702967"/>
    <s v="KOUADIO KOFFI TEYA              "/>
    <m/>
    <m/>
    <x v="1"/>
    <m/>
    <m/>
    <n v="2"/>
    <n v="3"/>
    <n v="5"/>
  </r>
  <r>
    <n v="173"/>
    <x v="171"/>
    <x v="0"/>
    <x v="6"/>
    <x v="6"/>
    <x v="0"/>
    <m/>
    <m/>
    <s v="KOUADIO KOFFI TEYA              "/>
    <m/>
    <m/>
    <x v="0"/>
    <m/>
    <m/>
    <n v="1"/>
    <n v="3"/>
    <n v="4"/>
  </r>
  <r>
    <n v="174"/>
    <x v="172"/>
    <x v="0"/>
    <x v="6"/>
    <x v="6"/>
    <x v="0"/>
    <m/>
    <m/>
    <s v="KOUADIO KOFFI TEYA              "/>
    <m/>
    <m/>
    <x v="0"/>
    <m/>
    <m/>
    <n v="2"/>
    <n v="1"/>
    <n v="3"/>
  </r>
  <r>
    <n v="175"/>
    <x v="173"/>
    <x v="0"/>
    <x v="6"/>
    <x v="6"/>
    <x v="0"/>
    <m/>
    <m/>
    <s v="KOUADIO KOFFI TEYA              "/>
    <m/>
    <m/>
    <x v="0"/>
    <m/>
    <m/>
    <n v="1"/>
    <n v="2"/>
    <n v="3"/>
  </r>
  <r>
    <n v="176"/>
    <x v="174"/>
    <x v="0"/>
    <x v="6"/>
    <x v="6"/>
    <x v="0"/>
    <m/>
    <m/>
    <s v="KOUADIO KOFFI TEYA              "/>
    <m/>
    <m/>
    <x v="0"/>
    <m/>
    <m/>
    <n v="1"/>
    <n v="4"/>
    <n v="5"/>
  </r>
  <r>
    <n v="177"/>
    <x v="175"/>
    <x v="0"/>
    <x v="6"/>
    <x v="6"/>
    <x v="0"/>
    <m/>
    <s v="0151394507"/>
    <s v="KOUADIO KOFFI TEYA              "/>
    <m/>
    <m/>
    <x v="1"/>
    <m/>
    <m/>
    <n v="2"/>
    <n v="2"/>
    <n v="4"/>
  </r>
  <r>
    <n v="178"/>
    <x v="176"/>
    <x v="0"/>
    <x v="6"/>
    <x v="6"/>
    <x v="0"/>
    <m/>
    <m/>
    <s v="KOUADIO KOFFI TEYA              "/>
    <m/>
    <m/>
    <x v="0"/>
    <m/>
    <m/>
    <n v="1"/>
    <n v="2"/>
    <n v="3"/>
  </r>
  <r>
    <n v="179"/>
    <x v="177"/>
    <x v="0"/>
    <x v="6"/>
    <x v="6"/>
    <x v="0"/>
    <m/>
    <m/>
    <s v="KOUADIO KOFFI TEYA              "/>
    <m/>
    <m/>
    <x v="1"/>
    <m/>
    <m/>
    <n v="1"/>
    <n v="1"/>
    <n v="2"/>
  </r>
  <r>
    <n v="180"/>
    <x v="178"/>
    <x v="0"/>
    <x v="6"/>
    <x v="6"/>
    <x v="0"/>
    <m/>
    <m/>
    <s v="KOUADIO KOFFI TEYA              "/>
    <m/>
    <m/>
    <x v="0"/>
    <m/>
    <m/>
    <n v="1"/>
    <n v="1"/>
    <n v="2"/>
  </r>
  <r>
    <n v="181"/>
    <x v="179"/>
    <x v="0"/>
    <x v="6"/>
    <x v="6"/>
    <x v="0"/>
    <m/>
    <m/>
    <s v="KOUADIO KOFFI TEYA              "/>
    <m/>
    <m/>
    <x v="0"/>
    <m/>
    <m/>
    <n v="2"/>
    <n v="3"/>
    <n v="5"/>
  </r>
  <r>
    <n v="182"/>
    <x v="180"/>
    <x v="0"/>
    <x v="6"/>
    <x v="6"/>
    <x v="0"/>
    <m/>
    <m/>
    <s v="KOUADIO KOFFI TEYA              "/>
    <m/>
    <m/>
    <x v="1"/>
    <m/>
    <m/>
    <n v="0"/>
    <n v="1"/>
    <n v="1"/>
  </r>
  <r>
    <n v="183"/>
    <x v="181"/>
    <x v="0"/>
    <x v="6"/>
    <x v="6"/>
    <x v="0"/>
    <m/>
    <m/>
    <s v="KOUADIO KOFFI TEYA              "/>
    <m/>
    <m/>
    <x v="0"/>
    <m/>
    <m/>
    <n v="0"/>
    <n v="2"/>
    <n v="2"/>
  </r>
  <r>
    <n v="184"/>
    <x v="182"/>
    <x v="0"/>
    <x v="6"/>
    <x v="6"/>
    <x v="0"/>
    <m/>
    <s v="0777132580"/>
    <s v="KOUADIO KOFFI TEYA              "/>
    <m/>
    <m/>
    <x v="1"/>
    <m/>
    <m/>
    <n v="1"/>
    <n v="2"/>
    <n v="3"/>
  </r>
  <r>
    <n v="185"/>
    <x v="183"/>
    <x v="0"/>
    <x v="6"/>
    <x v="6"/>
    <x v="0"/>
    <m/>
    <m/>
    <s v="KOUADIO KOFFI TEYA              "/>
    <m/>
    <m/>
    <x v="0"/>
    <m/>
    <m/>
    <n v="1"/>
    <n v="0"/>
    <n v="1"/>
  </r>
  <r>
    <n v="186"/>
    <x v="184"/>
    <x v="0"/>
    <x v="6"/>
    <x v="6"/>
    <x v="0"/>
    <m/>
    <s v="0757068149"/>
    <s v="KOUADIO KOFFI TEYA              "/>
    <m/>
    <m/>
    <x v="0"/>
    <m/>
    <m/>
    <n v="2"/>
    <n v="1"/>
    <n v="3"/>
  </r>
  <r>
    <n v="187"/>
    <x v="185"/>
    <x v="0"/>
    <x v="7"/>
    <x v="7"/>
    <x v="0"/>
    <m/>
    <s v="0747910820"/>
    <s v="KOUADIO KOFFI TEYA              "/>
    <m/>
    <m/>
    <x v="0"/>
    <m/>
    <m/>
    <n v="1"/>
    <n v="1"/>
    <n v="2"/>
  </r>
  <r>
    <n v="188"/>
    <x v="186"/>
    <x v="0"/>
    <x v="7"/>
    <x v="7"/>
    <x v="0"/>
    <m/>
    <s v="0778103746"/>
    <s v="KOUADIO KOFFI TEYA              "/>
    <m/>
    <m/>
    <x v="1"/>
    <m/>
    <m/>
    <n v="3"/>
    <n v="4"/>
    <n v="7"/>
  </r>
  <r>
    <n v="189"/>
    <x v="187"/>
    <x v="0"/>
    <x v="7"/>
    <x v="7"/>
    <x v="0"/>
    <m/>
    <s v="0798113505"/>
    <s v="KOUADIO KOFFI TEYA              "/>
    <m/>
    <m/>
    <x v="0"/>
    <m/>
    <m/>
    <n v="4"/>
    <n v="2"/>
    <n v="6"/>
  </r>
  <r>
    <n v="190"/>
    <x v="188"/>
    <x v="0"/>
    <x v="7"/>
    <x v="7"/>
    <x v="0"/>
    <m/>
    <m/>
    <s v="KOUADIO KOFFI TEYA              "/>
    <m/>
    <m/>
    <x v="0"/>
    <m/>
    <m/>
    <n v="4"/>
    <n v="3"/>
    <n v="7"/>
  </r>
  <r>
    <n v="191"/>
    <x v="189"/>
    <x v="0"/>
    <x v="7"/>
    <x v="7"/>
    <x v="0"/>
    <m/>
    <s v="0747785419"/>
    <s v="KOUADIO KOFFI TEYA              "/>
    <m/>
    <m/>
    <x v="1"/>
    <m/>
    <m/>
    <n v="4"/>
    <n v="3"/>
    <n v="7"/>
  </r>
  <r>
    <n v="192"/>
    <x v="190"/>
    <x v="0"/>
    <x v="7"/>
    <x v="7"/>
    <x v="0"/>
    <m/>
    <m/>
    <s v="KOUADIO KOFFI TEYA              "/>
    <m/>
    <m/>
    <x v="0"/>
    <m/>
    <m/>
    <n v="2"/>
    <n v="1"/>
    <n v="3"/>
  </r>
  <r>
    <n v="193"/>
    <x v="191"/>
    <x v="0"/>
    <x v="7"/>
    <x v="7"/>
    <x v="0"/>
    <m/>
    <m/>
    <s v="KOUADIO KOFFI TEYA              "/>
    <m/>
    <m/>
    <x v="0"/>
    <m/>
    <m/>
    <n v="1"/>
    <n v="3"/>
    <n v="4"/>
  </r>
  <r>
    <n v="194"/>
    <x v="192"/>
    <x v="0"/>
    <x v="7"/>
    <x v="7"/>
    <x v="0"/>
    <m/>
    <s v="0758510795"/>
    <s v="KOUADIO KOFFI TEYA              "/>
    <m/>
    <m/>
    <x v="0"/>
    <m/>
    <m/>
    <n v="2"/>
    <n v="2"/>
    <n v="4"/>
  </r>
  <r>
    <n v="195"/>
    <x v="193"/>
    <x v="0"/>
    <x v="7"/>
    <x v="7"/>
    <x v="0"/>
    <m/>
    <m/>
    <s v="KOUADIO KOFFI TEYA              "/>
    <m/>
    <m/>
    <x v="0"/>
    <m/>
    <m/>
    <n v="1"/>
    <n v="0"/>
    <n v="1"/>
  </r>
  <r>
    <n v="196"/>
    <x v="194"/>
    <x v="0"/>
    <x v="7"/>
    <x v="7"/>
    <x v="0"/>
    <m/>
    <m/>
    <s v="KOUADIO KOFFI TEYA              "/>
    <m/>
    <m/>
    <x v="1"/>
    <m/>
    <m/>
    <n v="0"/>
    <n v="0"/>
    <n v="0"/>
  </r>
  <r>
    <n v="197"/>
    <x v="195"/>
    <x v="0"/>
    <x v="7"/>
    <x v="7"/>
    <x v="0"/>
    <m/>
    <s v="0778103467"/>
    <s v="KOUADIO KOFFI TEYA              "/>
    <m/>
    <m/>
    <x v="1"/>
    <m/>
    <m/>
    <n v="0"/>
    <n v="0"/>
    <n v="0"/>
  </r>
  <r>
    <n v="198"/>
    <x v="196"/>
    <x v="0"/>
    <x v="7"/>
    <x v="7"/>
    <x v="0"/>
    <m/>
    <m/>
    <s v="KOUADIO KOFFI TEYA              "/>
    <m/>
    <m/>
    <x v="1"/>
    <m/>
    <m/>
    <n v="3"/>
    <n v="1"/>
    <n v="4"/>
  </r>
  <r>
    <n v="199"/>
    <x v="197"/>
    <x v="0"/>
    <x v="7"/>
    <x v="7"/>
    <x v="0"/>
    <m/>
    <s v="0566195231"/>
    <s v="KOUADIO KOFFI TEYA              "/>
    <m/>
    <m/>
    <x v="1"/>
    <m/>
    <m/>
    <n v="1"/>
    <n v="1"/>
    <n v="2"/>
  </r>
  <r>
    <n v="200"/>
    <x v="198"/>
    <x v="0"/>
    <x v="7"/>
    <x v="7"/>
    <x v="0"/>
    <m/>
    <m/>
    <s v="KOUADIO KOFFI TEYA              "/>
    <m/>
    <m/>
    <x v="0"/>
    <m/>
    <m/>
    <n v="1"/>
    <n v="1"/>
    <n v="2"/>
  </r>
  <r>
    <n v="201"/>
    <x v="199"/>
    <x v="0"/>
    <x v="7"/>
    <x v="7"/>
    <x v="0"/>
    <m/>
    <m/>
    <s v="KOUADIO KOFFI TEYA              "/>
    <m/>
    <m/>
    <x v="0"/>
    <m/>
    <m/>
    <n v="3"/>
    <n v="3"/>
    <n v="6"/>
  </r>
  <r>
    <n v="202"/>
    <x v="200"/>
    <x v="0"/>
    <x v="7"/>
    <x v="7"/>
    <x v="0"/>
    <m/>
    <m/>
    <s v="KOUADIO KOFFI TEYA              "/>
    <m/>
    <m/>
    <x v="0"/>
    <m/>
    <m/>
    <n v="2"/>
    <n v="2"/>
    <n v="4"/>
  </r>
  <r>
    <n v="203"/>
    <x v="201"/>
    <x v="0"/>
    <x v="7"/>
    <x v="7"/>
    <x v="0"/>
    <m/>
    <s v="0758876879"/>
    <s v="KOUADIO KOFFI TEYA              "/>
    <m/>
    <m/>
    <x v="0"/>
    <m/>
    <m/>
    <n v="1"/>
    <n v="3"/>
    <n v="4"/>
  </r>
  <r>
    <n v="204"/>
    <x v="202"/>
    <x v="0"/>
    <x v="7"/>
    <x v="7"/>
    <x v="0"/>
    <m/>
    <s v="0742026800"/>
    <s v="KOUADIO KOFFI TEYA              "/>
    <m/>
    <m/>
    <x v="1"/>
    <m/>
    <m/>
    <n v="2"/>
    <n v="2"/>
    <n v="4"/>
  </r>
  <r>
    <n v="205"/>
    <x v="203"/>
    <x v="0"/>
    <x v="7"/>
    <x v="7"/>
    <x v="0"/>
    <m/>
    <s v="0759014585"/>
    <s v="KOUADIO KOFFI TEYA              "/>
    <m/>
    <m/>
    <x v="1"/>
    <m/>
    <m/>
    <n v="1"/>
    <n v="2"/>
    <n v="3"/>
  </r>
  <r>
    <n v="206"/>
    <x v="204"/>
    <x v="0"/>
    <x v="7"/>
    <x v="7"/>
    <x v="0"/>
    <m/>
    <m/>
    <s v="KOUADIO KOFFI TEYA              "/>
    <m/>
    <m/>
    <x v="0"/>
    <m/>
    <m/>
    <n v="1"/>
    <n v="1"/>
    <n v="2"/>
  </r>
  <r>
    <n v="207"/>
    <x v="205"/>
    <x v="0"/>
    <x v="7"/>
    <x v="7"/>
    <x v="0"/>
    <m/>
    <m/>
    <s v="KOUADIO KOFFI TEYA              "/>
    <m/>
    <m/>
    <x v="0"/>
    <m/>
    <m/>
    <n v="2"/>
    <n v="2"/>
    <n v="4"/>
  </r>
  <r>
    <n v="208"/>
    <x v="206"/>
    <x v="0"/>
    <x v="7"/>
    <x v="7"/>
    <x v="0"/>
    <m/>
    <m/>
    <s v="KOUADIO KOFFI TEYA              "/>
    <m/>
    <m/>
    <x v="0"/>
    <m/>
    <m/>
    <n v="1"/>
    <n v="2"/>
    <n v="3"/>
  </r>
  <r>
    <n v="209"/>
    <x v="207"/>
    <x v="0"/>
    <x v="7"/>
    <x v="7"/>
    <x v="0"/>
    <m/>
    <s v="0747912400"/>
    <s v="KOUADIO KOFFI TEYA              "/>
    <m/>
    <m/>
    <x v="1"/>
    <m/>
    <m/>
    <n v="1"/>
    <n v="1"/>
    <n v="2"/>
  </r>
  <r>
    <n v="210"/>
    <x v="208"/>
    <x v="0"/>
    <x v="7"/>
    <x v="7"/>
    <x v="0"/>
    <m/>
    <s v="0768396232"/>
    <s v="KOUADIO KOFFI TEYA              "/>
    <m/>
    <m/>
    <x v="1"/>
    <m/>
    <m/>
    <n v="1"/>
    <n v="1"/>
    <n v="2"/>
  </r>
  <r>
    <n v="211"/>
    <x v="209"/>
    <x v="0"/>
    <x v="7"/>
    <x v="7"/>
    <x v="0"/>
    <m/>
    <s v="0777204741"/>
    <s v="KOUADIO KOFFI TEYA              "/>
    <m/>
    <m/>
    <x v="1"/>
    <m/>
    <m/>
    <n v="2"/>
    <n v="0"/>
    <n v="2"/>
  </r>
  <r>
    <n v="212"/>
    <x v="210"/>
    <x v="0"/>
    <x v="7"/>
    <x v="7"/>
    <x v="0"/>
    <m/>
    <s v="0748780881"/>
    <s v="KOUADIO KOFFI TEYA              "/>
    <m/>
    <m/>
    <x v="1"/>
    <m/>
    <m/>
    <n v="0"/>
    <n v="0"/>
    <n v="0"/>
  </r>
  <r>
    <n v="213"/>
    <x v="211"/>
    <x v="0"/>
    <x v="7"/>
    <x v="7"/>
    <x v="0"/>
    <m/>
    <m/>
    <s v="KOUADIO KOFFI TEYA              "/>
    <m/>
    <m/>
    <x v="1"/>
    <m/>
    <m/>
    <n v="0"/>
    <n v="0"/>
    <n v="0"/>
  </r>
  <r>
    <n v="214"/>
    <x v="212"/>
    <x v="0"/>
    <x v="7"/>
    <x v="7"/>
    <x v="0"/>
    <m/>
    <m/>
    <s v="KOUADIO KOFFI TEYA              "/>
    <m/>
    <m/>
    <x v="0"/>
    <m/>
    <m/>
    <n v="1"/>
    <n v="2"/>
    <n v="3"/>
  </r>
  <r>
    <n v="215"/>
    <x v="213"/>
    <x v="0"/>
    <x v="7"/>
    <x v="7"/>
    <x v="0"/>
    <m/>
    <m/>
    <s v="KOUADIO KOFFI TEYA              "/>
    <m/>
    <m/>
    <x v="0"/>
    <m/>
    <m/>
    <n v="0"/>
    <n v="0"/>
    <n v="0"/>
  </r>
  <r>
    <n v="216"/>
    <x v="214"/>
    <x v="0"/>
    <x v="7"/>
    <x v="7"/>
    <x v="0"/>
    <m/>
    <m/>
    <s v="KOUADIO KOFFI TEYA              "/>
    <m/>
    <m/>
    <x v="0"/>
    <m/>
    <m/>
    <n v="1"/>
    <n v="1"/>
    <n v="2"/>
  </r>
  <r>
    <n v="217"/>
    <x v="215"/>
    <x v="0"/>
    <x v="8"/>
    <x v="8"/>
    <x v="0"/>
    <m/>
    <s v="0708555498"/>
    <s v="KOUADIO KOFFI TEYA              "/>
    <m/>
    <m/>
    <x v="0"/>
    <m/>
    <m/>
    <n v="0"/>
    <n v="0"/>
    <n v="0"/>
  </r>
  <r>
    <n v="218"/>
    <x v="216"/>
    <x v="0"/>
    <x v="8"/>
    <x v="8"/>
    <x v="0"/>
    <m/>
    <m/>
    <s v="KOUADIO KOFFI TEYA              "/>
    <m/>
    <m/>
    <x v="0"/>
    <m/>
    <m/>
    <n v="2"/>
    <n v="2"/>
    <n v="4"/>
  </r>
  <r>
    <n v="219"/>
    <x v="217"/>
    <x v="0"/>
    <x v="8"/>
    <x v="8"/>
    <x v="0"/>
    <m/>
    <s v="0769779400"/>
    <s v="KOUADIO KOFFI TEYA              "/>
    <m/>
    <m/>
    <x v="0"/>
    <m/>
    <m/>
    <n v="2"/>
    <n v="2"/>
    <n v="4"/>
  </r>
  <r>
    <n v="220"/>
    <x v="218"/>
    <x v="0"/>
    <x v="8"/>
    <x v="8"/>
    <x v="0"/>
    <m/>
    <m/>
    <s v="KOUADIO KOFFI TEYA              "/>
    <m/>
    <m/>
    <x v="0"/>
    <m/>
    <m/>
    <n v="3"/>
    <n v="1"/>
    <n v="4"/>
  </r>
  <r>
    <n v="221"/>
    <x v="219"/>
    <x v="0"/>
    <x v="8"/>
    <x v="8"/>
    <x v="0"/>
    <m/>
    <m/>
    <s v="KOUADIO KOFFI TEYA              "/>
    <m/>
    <m/>
    <x v="0"/>
    <m/>
    <m/>
    <n v="2"/>
    <n v="1"/>
    <n v="3"/>
  </r>
  <r>
    <n v="222"/>
    <x v="220"/>
    <x v="0"/>
    <x v="8"/>
    <x v="8"/>
    <x v="0"/>
    <m/>
    <m/>
    <s v="KOUADIO KOFFI TEYA              "/>
    <m/>
    <m/>
    <x v="0"/>
    <m/>
    <m/>
    <n v="2"/>
    <n v="1"/>
    <n v="3"/>
  </r>
  <r>
    <n v="223"/>
    <x v="221"/>
    <x v="0"/>
    <x v="8"/>
    <x v="8"/>
    <x v="0"/>
    <m/>
    <m/>
    <s v="KOUADIO KOFFI TEYA              "/>
    <m/>
    <m/>
    <x v="0"/>
    <m/>
    <m/>
    <n v="1"/>
    <n v="3"/>
    <n v="4"/>
  </r>
  <r>
    <n v="224"/>
    <x v="222"/>
    <x v="0"/>
    <x v="8"/>
    <x v="8"/>
    <x v="0"/>
    <m/>
    <m/>
    <s v="KOUADIO KOFFI TEYA              "/>
    <m/>
    <m/>
    <x v="0"/>
    <m/>
    <m/>
    <n v="2"/>
    <n v="2"/>
    <n v="4"/>
  </r>
  <r>
    <n v="225"/>
    <x v="223"/>
    <x v="0"/>
    <x v="8"/>
    <x v="8"/>
    <x v="0"/>
    <m/>
    <m/>
    <s v="KOUADIO KOFFI TEYA              "/>
    <m/>
    <m/>
    <x v="0"/>
    <m/>
    <m/>
    <n v="1"/>
    <n v="0"/>
    <n v="1"/>
  </r>
  <r>
    <n v="226"/>
    <x v="224"/>
    <x v="0"/>
    <x v="8"/>
    <x v="8"/>
    <x v="0"/>
    <m/>
    <m/>
    <s v="KOUADIO KOFFI TEYA              "/>
    <m/>
    <m/>
    <x v="0"/>
    <m/>
    <m/>
    <n v="0"/>
    <n v="0"/>
    <n v="0"/>
  </r>
  <r>
    <n v="227"/>
    <x v="225"/>
    <x v="0"/>
    <x v="8"/>
    <x v="8"/>
    <x v="0"/>
    <m/>
    <m/>
    <s v="KOUADIO KOFFI TEYA              "/>
    <m/>
    <m/>
    <x v="0"/>
    <m/>
    <m/>
    <n v="0"/>
    <n v="0"/>
    <n v="0"/>
  </r>
  <r>
    <n v="228"/>
    <x v="226"/>
    <x v="0"/>
    <x v="8"/>
    <x v="8"/>
    <x v="0"/>
    <m/>
    <m/>
    <s v="KOUADIO KOFFI TEYA              "/>
    <m/>
    <m/>
    <x v="0"/>
    <m/>
    <m/>
    <n v="3"/>
    <n v="1"/>
    <n v="4"/>
  </r>
  <r>
    <n v="229"/>
    <x v="227"/>
    <x v="0"/>
    <x v="8"/>
    <x v="8"/>
    <x v="0"/>
    <m/>
    <m/>
    <s v="KOUADIO KOFFI TEYA              "/>
    <m/>
    <m/>
    <x v="0"/>
    <m/>
    <m/>
    <n v="1"/>
    <n v="1"/>
    <n v="2"/>
  </r>
  <r>
    <n v="230"/>
    <x v="228"/>
    <x v="0"/>
    <x v="8"/>
    <x v="8"/>
    <x v="0"/>
    <m/>
    <m/>
    <s v="KOUADIO KOFFI TEYA              "/>
    <m/>
    <m/>
    <x v="0"/>
    <m/>
    <m/>
    <n v="1"/>
    <n v="1"/>
    <n v="2"/>
  </r>
  <r>
    <n v="231"/>
    <x v="229"/>
    <x v="0"/>
    <x v="8"/>
    <x v="8"/>
    <x v="0"/>
    <m/>
    <m/>
    <s v="KOUADIO KOFFI TEYA              "/>
    <m/>
    <m/>
    <x v="0"/>
    <m/>
    <m/>
    <n v="3"/>
    <n v="3"/>
    <n v="6"/>
  </r>
  <r>
    <n v="232"/>
    <x v="230"/>
    <x v="0"/>
    <x v="8"/>
    <x v="8"/>
    <x v="0"/>
    <m/>
    <s v="0778270468"/>
    <s v="KOUADIO KOFFI TEYA              "/>
    <m/>
    <m/>
    <x v="1"/>
    <m/>
    <m/>
    <n v="2"/>
    <n v="2"/>
    <n v="4"/>
  </r>
  <r>
    <n v="233"/>
    <x v="231"/>
    <x v="0"/>
    <x v="8"/>
    <x v="8"/>
    <x v="0"/>
    <m/>
    <s v="0788934156"/>
    <s v="KOUADIO KOFFI TEYA              "/>
    <m/>
    <m/>
    <x v="1"/>
    <m/>
    <m/>
    <n v="1"/>
    <n v="3"/>
    <n v="4"/>
  </r>
  <r>
    <n v="234"/>
    <x v="232"/>
    <x v="0"/>
    <x v="8"/>
    <x v="8"/>
    <x v="0"/>
    <m/>
    <s v="0748154989"/>
    <s v="KOUADIO KOFFI TEYA              "/>
    <m/>
    <m/>
    <x v="1"/>
    <m/>
    <m/>
    <n v="2"/>
    <n v="2"/>
    <n v="4"/>
  </r>
  <r>
    <n v="235"/>
    <x v="233"/>
    <x v="0"/>
    <x v="8"/>
    <x v="8"/>
    <x v="0"/>
    <m/>
    <s v="0758738736"/>
    <s v="KOUADIO KOFFI TEYA              "/>
    <m/>
    <m/>
    <x v="1"/>
    <m/>
    <m/>
    <n v="1"/>
    <n v="2"/>
    <n v="3"/>
  </r>
  <r>
    <n v="236"/>
    <x v="234"/>
    <x v="0"/>
    <x v="8"/>
    <x v="8"/>
    <x v="0"/>
    <m/>
    <m/>
    <s v="KOUADIO KOFFI TEYA              "/>
    <m/>
    <m/>
    <x v="0"/>
    <m/>
    <m/>
    <n v="1"/>
    <n v="1"/>
    <n v="2"/>
  </r>
  <r>
    <n v="237"/>
    <x v="235"/>
    <x v="0"/>
    <x v="8"/>
    <x v="8"/>
    <x v="0"/>
    <m/>
    <m/>
    <s v="KOUADIO KOFFI TEYA              "/>
    <m/>
    <m/>
    <x v="0"/>
    <m/>
    <m/>
    <n v="1"/>
    <n v="1"/>
    <n v="2"/>
  </r>
  <r>
    <n v="238"/>
    <x v="236"/>
    <x v="0"/>
    <x v="8"/>
    <x v="8"/>
    <x v="0"/>
    <m/>
    <m/>
    <s v="KOUADIO KOFFI TEYA              "/>
    <m/>
    <m/>
    <x v="0"/>
    <m/>
    <m/>
    <n v="2"/>
    <n v="2"/>
    <n v="4"/>
  </r>
  <r>
    <n v="239"/>
    <x v="237"/>
    <x v="0"/>
    <x v="8"/>
    <x v="8"/>
    <x v="0"/>
    <m/>
    <s v="0749633092"/>
    <s v="KOUADIO KOFFI TEYA              "/>
    <m/>
    <m/>
    <x v="0"/>
    <m/>
    <m/>
    <n v="0"/>
    <n v="4"/>
    <n v="4"/>
  </r>
  <r>
    <n v="240"/>
    <x v="238"/>
    <x v="0"/>
    <x v="8"/>
    <x v="8"/>
    <x v="0"/>
    <m/>
    <s v="0778105883"/>
    <s v="KOUADIO KOFFI TEYA              "/>
    <m/>
    <m/>
    <x v="1"/>
    <m/>
    <m/>
    <n v="1"/>
    <n v="1"/>
    <n v="2"/>
  </r>
  <r>
    <n v="241"/>
    <x v="239"/>
    <x v="0"/>
    <x v="8"/>
    <x v="8"/>
    <x v="0"/>
    <m/>
    <m/>
    <s v="KOUADIO KOFFI TEYA              "/>
    <m/>
    <m/>
    <x v="0"/>
    <m/>
    <m/>
    <n v="1"/>
    <n v="3"/>
    <n v="4"/>
  </r>
  <r>
    <n v="242"/>
    <x v="240"/>
    <x v="0"/>
    <x v="8"/>
    <x v="8"/>
    <x v="0"/>
    <m/>
    <m/>
    <s v="KOUADIO KOFFI TEYA              "/>
    <m/>
    <m/>
    <x v="0"/>
    <m/>
    <m/>
    <n v="0"/>
    <n v="0"/>
    <n v="0"/>
  </r>
  <r>
    <n v="243"/>
    <x v="241"/>
    <x v="0"/>
    <x v="8"/>
    <x v="8"/>
    <x v="0"/>
    <m/>
    <s v="0788934163"/>
    <s v="KOUADIO KOFFI TEYA              "/>
    <m/>
    <m/>
    <x v="1"/>
    <m/>
    <m/>
    <n v="1"/>
    <n v="3"/>
    <n v="4"/>
  </r>
  <r>
    <n v="244"/>
    <x v="242"/>
    <x v="0"/>
    <x v="8"/>
    <x v="8"/>
    <x v="0"/>
    <m/>
    <s v="0545037688"/>
    <s v="KOUADIO KOFFI TEYA              "/>
    <m/>
    <m/>
    <x v="1"/>
    <m/>
    <m/>
    <n v="2"/>
    <n v="3"/>
    <n v="5"/>
  </r>
  <r>
    <n v="245"/>
    <x v="243"/>
    <x v="0"/>
    <x v="8"/>
    <x v="8"/>
    <x v="0"/>
    <m/>
    <m/>
    <s v="KOUADIO KOFFI TEYA              "/>
    <m/>
    <m/>
    <x v="0"/>
    <m/>
    <m/>
    <n v="0"/>
    <n v="0"/>
    <n v="0"/>
  </r>
  <r>
    <n v="246"/>
    <x v="244"/>
    <x v="0"/>
    <x v="8"/>
    <x v="8"/>
    <x v="0"/>
    <m/>
    <m/>
    <s v="KOUADIO KOFFI TEYA              "/>
    <m/>
    <m/>
    <x v="1"/>
    <m/>
    <m/>
    <n v="0"/>
    <n v="0"/>
    <n v="0"/>
  </r>
  <r>
    <n v="247"/>
    <x v="245"/>
    <x v="0"/>
    <x v="9"/>
    <x v="9"/>
    <x v="0"/>
    <m/>
    <s v="0757974948"/>
    <s v="KOUADIO KOFFI TEYA              "/>
    <m/>
    <m/>
    <x v="0"/>
    <s v="Couple"/>
    <m/>
    <n v="2"/>
    <n v="3"/>
    <n v="5"/>
  </r>
  <r>
    <n v="248"/>
    <x v="246"/>
    <x v="0"/>
    <x v="9"/>
    <x v="9"/>
    <x v="0"/>
    <m/>
    <s v="0758152391"/>
    <s v="KOUADIO KOFFI TEYA              "/>
    <m/>
    <m/>
    <x v="1"/>
    <s v="Couple"/>
    <m/>
    <n v="1"/>
    <n v="1"/>
    <n v="2"/>
  </r>
  <r>
    <n v="249"/>
    <x v="247"/>
    <x v="0"/>
    <x v="9"/>
    <x v="9"/>
    <x v="0"/>
    <m/>
    <s v="0709935743"/>
    <s v="KOUADIO KOFFI TEYA              "/>
    <m/>
    <m/>
    <x v="0"/>
    <s v="Couple"/>
    <m/>
    <n v="1"/>
    <n v="1"/>
    <n v="2"/>
  </r>
  <r>
    <n v="250"/>
    <x v="248"/>
    <x v="0"/>
    <x v="9"/>
    <x v="9"/>
    <x v="0"/>
    <m/>
    <s v="0778109012"/>
    <s v="KOUADIO KOFFI TEYA              "/>
    <m/>
    <m/>
    <x v="0"/>
    <s v="Couple"/>
    <m/>
    <n v="2"/>
    <n v="3"/>
    <n v="5"/>
  </r>
  <r>
    <n v="251"/>
    <x v="249"/>
    <x v="0"/>
    <x v="9"/>
    <x v="9"/>
    <x v="0"/>
    <m/>
    <s v="0759022162"/>
    <s v="KOUADIO KOFFI TEYA              "/>
    <m/>
    <m/>
    <x v="0"/>
    <s v="Couple"/>
    <m/>
    <n v="1"/>
    <n v="4"/>
    <n v="5"/>
  </r>
  <r>
    <n v="252"/>
    <x v="250"/>
    <x v="0"/>
    <x v="9"/>
    <x v="9"/>
    <x v="0"/>
    <m/>
    <s v="0747079237"/>
    <s v="KOUADIO KOFFI TEYA              "/>
    <m/>
    <m/>
    <x v="0"/>
    <s v="Couple"/>
    <m/>
    <n v="2"/>
    <n v="1"/>
    <n v="3"/>
  </r>
  <r>
    <n v="253"/>
    <x v="251"/>
    <x v="0"/>
    <x v="9"/>
    <x v="9"/>
    <x v="0"/>
    <m/>
    <m/>
    <s v="KOUADIO KOFFI TEYA              "/>
    <m/>
    <m/>
    <x v="0"/>
    <s v="Couple"/>
    <m/>
    <n v="1"/>
    <n v="2"/>
    <n v="3"/>
  </r>
  <r>
    <n v="254"/>
    <x v="252"/>
    <x v="0"/>
    <x v="9"/>
    <x v="9"/>
    <x v="0"/>
    <m/>
    <m/>
    <s v="KOUADIO KOFFI TEYA              "/>
    <m/>
    <m/>
    <x v="0"/>
    <s v="Couple"/>
    <m/>
    <n v="2"/>
    <n v="2"/>
    <n v="4"/>
  </r>
  <r>
    <n v="255"/>
    <x v="253"/>
    <x v="0"/>
    <x v="9"/>
    <x v="9"/>
    <x v="0"/>
    <m/>
    <m/>
    <s v="KOUADIO KOFFI TEYA              "/>
    <m/>
    <m/>
    <x v="0"/>
    <s v="Couple"/>
    <m/>
    <n v="3"/>
    <n v="2"/>
    <n v="5"/>
  </r>
  <r>
    <n v="256"/>
    <x v="254"/>
    <x v="0"/>
    <x v="9"/>
    <x v="9"/>
    <x v="0"/>
    <m/>
    <s v="0759041121"/>
    <s v="KOUADIO KOFFI TEYA              "/>
    <m/>
    <m/>
    <x v="0"/>
    <s v="Couple"/>
    <m/>
    <n v="2"/>
    <n v="3"/>
    <n v="5"/>
  </r>
  <r>
    <n v="257"/>
    <x v="255"/>
    <x v="0"/>
    <x v="9"/>
    <x v="9"/>
    <x v="0"/>
    <m/>
    <m/>
    <s v="KOUADIO KOFFI TEYA              "/>
    <m/>
    <m/>
    <x v="0"/>
    <s v="Couple"/>
    <m/>
    <n v="6"/>
    <n v="3"/>
    <n v="9"/>
  </r>
  <r>
    <n v="258"/>
    <x v="256"/>
    <x v="0"/>
    <x v="9"/>
    <x v="9"/>
    <x v="0"/>
    <m/>
    <s v="0747169851"/>
    <s v="KOUADIO KOFFI TEYA              "/>
    <m/>
    <m/>
    <x v="1"/>
    <s v="Couple"/>
    <m/>
    <n v="5"/>
    <n v="4"/>
    <n v="9"/>
  </r>
  <r>
    <n v="259"/>
    <x v="257"/>
    <x v="0"/>
    <x v="9"/>
    <x v="9"/>
    <x v="0"/>
    <m/>
    <s v="0708936026"/>
    <s v="KOUADIO KOFFI TEYA              "/>
    <m/>
    <m/>
    <x v="1"/>
    <s v="Couple"/>
    <m/>
    <n v="3"/>
    <n v="2"/>
    <n v="5"/>
  </r>
  <r>
    <n v="260"/>
    <x v="258"/>
    <x v="0"/>
    <x v="9"/>
    <x v="9"/>
    <x v="0"/>
    <m/>
    <s v="0707831671"/>
    <s v="KOUADIO KOFFI TEYA              "/>
    <m/>
    <m/>
    <x v="1"/>
    <s v="Couple"/>
    <m/>
    <n v="2"/>
    <n v="1"/>
    <n v="3"/>
  </r>
  <r>
    <n v="261"/>
    <x v="259"/>
    <x v="0"/>
    <x v="9"/>
    <x v="9"/>
    <x v="0"/>
    <m/>
    <s v="0707900401"/>
    <s v="KOUADIO KOFFI TEYA              "/>
    <m/>
    <m/>
    <x v="1"/>
    <s v="Couple"/>
    <m/>
    <n v="2"/>
    <n v="1"/>
    <n v="3"/>
  </r>
  <r>
    <n v="262"/>
    <x v="260"/>
    <x v="0"/>
    <x v="9"/>
    <x v="9"/>
    <x v="0"/>
    <m/>
    <m/>
    <s v="KOUADIO KOFFI TEYA              "/>
    <m/>
    <m/>
    <x v="1"/>
    <s v="Couple"/>
    <m/>
    <n v="2"/>
    <n v="4"/>
    <n v="6"/>
  </r>
  <r>
    <n v="263"/>
    <x v="261"/>
    <x v="0"/>
    <x v="9"/>
    <x v="9"/>
    <x v="0"/>
    <m/>
    <s v="0747553808"/>
    <s v="KOUADIO KOFFI TEYA              "/>
    <m/>
    <m/>
    <x v="1"/>
    <s v="Couple"/>
    <m/>
    <n v="2"/>
    <n v="4"/>
    <n v="6"/>
  </r>
  <r>
    <n v="264"/>
    <x v="262"/>
    <x v="0"/>
    <x v="9"/>
    <x v="9"/>
    <x v="0"/>
    <m/>
    <m/>
    <s v="KOUADIO KOFFI TEYA              "/>
    <m/>
    <m/>
    <x v="0"/>
    <s v="Couple"/>
    <m/>
    <n v="2"/>
    <n v="1"/>
    <n v="3"/>
  </r>
  <r>
    <n v="265"/>
    <x v="263"/>
    <x v="0"/>
    <x v="9"/>
    <x v="9"/>
    <x v="0"/>
    <m/>
    <m/>
    <s v="KOUADIO KOFFI TEYA              "/>
    <m/>
    <m/>
    <x v="0"/>
    <s v="Couple"/>
    <m/>
    <n v="2"/>
    <n v="1"/>
    <n v="3"/>
  </r>
  <r>
    <n v="266"/>
    <x v="264"/>
    <x v="0"/>
    <x v="9"/>
    <x v="9"/>
    <x v="0"/>
    <m/>
    <m/>
    <s v="KOUADIO KOFFI TEYA              "/>
    <m/>
    <m/>
    <x v="1"/>
    <s v="Couple"/>
    <m/>
    <n v="0"/>
    <n v="0"/>
    <n v="0"/>
  </r>
  <r>
    <n v="267"/>
    <x v="265"/>
    <x v="0"/>
    <x v="10"/>
    <x v="10"/>
    <x v="0"/>
    <m/>
    <s v="0749239434"/>
    <s v="KOUADIO KOFFI TEYA              "/>
    <m/>
    <m/>
    <x v="1"/>
    <s v="couple "/>
    <m/>
    <n v="2"/>
    <n v="2"/>
    <n v="4"/>
  </r>
  <r>
    <n v="268"/>
    <x v="266"/>
    <x v="0"/>
    <x v="10"/>
    <x v="10"/>
    <x v="0"/>
    <m/>
    <s v="0748803225"/>
    <s v="KOUADIO KOFFI TEYA              "/>
    <m/>
    <m/>
    <x v="0"/>
    <s v="couple "/>
    <m/>
    <n v="2"/>
    <n v="1"/>
    <n v="3"/>
  </r>
  <r>
    <n v="269"/>
    <x v="267"/>
    <x v="0"/>
    <x v="10"/>
    <x v="10"/>
    <x v="0"/>
    <m/>
    <s v="0709200770"/>
    <s v="KOUADIO KOFFI TEYA              "/>
    <m/>
    <m/>
    <x v="0"/>
    <s v="couple "/>
    <m/>
    <n v="2"/>
    <n v="0"/>
    <n v="2"/>
  </r>
  <r>
    <n v="270"/>
    <x v="268"/>
    <x v="0"/>
    <x v="10"/>
    <x v="10"/>
    <x v="0"/>
    <m/>
    <m/>
    <s v="KOUADIO KOFFI TEYA              "/>
    <m/>
    <m/>
    <x v="0"/>
    <s v="couple "/>
    <m/>
    <n v="0"/>
    <n v="0"/>
    <n v="0"/>
  </r>
  <r>
    <n v="271"/>
    <x v="269"/>
    <x v="0"/>
    <x v="10"/>
    <x v="10"/>
    <x v="0"/>
    <m/>
    <m/>
    <s v="KOUADIO KOFFI TEYA              "/>
    <m/>
    <m/>
    <x v="0"/>
    <s v="couple "/>
    <m/>
    <n v="0"/>
    <n v="2"/>
    <n v="2"/>
  </r>
  <r>
    <n v="272"/>
    <x v="270"/>
    <x v="0"/>
    <x v="10"/>
    <x v="10"/>
    <x v="0"/>
    <m/>
    <s v="0778573754"/>
    <s v="KOUADIO KOFFI TEYA              "/>
    <m/>
    <m/>
    <x v="0"/>
    <s v="couple "/>
    <m/>
    <n v="0"/>
    <n v="0"/>
    <n v="0"/>
  </r>
  <r>
    <n v="273"/>
    <x v="271"/>
    <x v="0"/>
    <x v="10"/>
    <x v="10"/>
    <x v="0"/>
    <m/>
    <s v="0709118719"/>
    <s v="KOUADIO KOFFI TEYA              "/>
    <m/>
    <m/>
    <x v="0"/>
    <s v="couple "/>
    <m/>
    <n v="0"/>
    <n v="0"/>
    <n v="0"/>
  </r>
  <r>
    <n v="274"/>
    <x v="272"/>
    <x v="0"/>
    <x v="10"/>
    <x v="10"/>
    <x v="0"/>
    <m/>
    <s v="0708990224"/>
    <s v="KOUADIO KOFFI TEYA              "/>
    <m/>
    <m/>
    <x v="0"/>
    <s v="couple "/>
    <m/>
    <n v="0"/>
    <n v="0"/>
    <n v="0"/>
  </r>
  <r>
    <n v="275"/>
    <x v="273"/>
    <x v="0"/>
    <x v="10"/>
    <x v="10"/>
    <x v="0"/>
    <m/>
    <s v="0747848067"/>
    <s v="KOUADIO KOFFI TEYA              "/>
    <m/>
    <m/>
    <x v="0"/>
    <s v="couple "/>
    <m/>
    <n v="2"/>
    <n v="0"/>
    <n v="2"/>
  </r>
  <r>
    <n v="276"/>
    <x v="274"/>
    <x v="0"/>
    <x v="10"/>
    <x v="10"/>
    <x v="0"/>
    <m/>
    <m/>
    <s v="KOUADIO KOFFI TEYA              "/>
    <m/>
    <m/>
    <x v="0"/>
    <s v="couple "/>
    <m/>
    <n v="2"/>
    <n v="1"/>
    <n v="3"/>
  </r>
  <r>
    <n v="277"/>
    <x v="275"/>
    <x v="0"/>
    <x v="10"/>
    <x v="10"/>
    <x v="0"/>
    <m/>
    <m/>
    <s v="KOUADIO KOFFI TEYA              "/>
    <m/>
    <m/>
    <x v="0"/>
    <s v="couple "/>
    <m/>
    <n v="2"/>
    <n v="2"/>
    <n v="4"/>
  </r>
  <r>
    <n v="278"/>
    <x v="276"/>
    <x v="0"/>
    <x v="10"/>
    <x v="10"/>
    <x v="0"/>
    <m/>
    <s v="0758967370"/>
    <s v="KOUADIO KOFFI TEYA              "/>
    <m/>
    <m/>
    <x v="1"/>
    <s v="couple "/>
    <m/>
    <n v="1"/>
    <n v="0"/>
    <n v="1"/>
  </r>
  <r>
    <n v="279"/>
    <x v="277"/>
    <x v="0"/>
    <x v="10"/>
    <x v="10"/>
    <x v="0"/>
    <m/>
    <s v="0747482128"/>
    <s v="KOUADIO KOFFI TEYA              "/>
    <m/>
    <m/>
    <x v="0"/>
    <s v="couple "/>
    <m/>
    <n v="0"/>
    <n v="0"/>
    <n v="0"/>
  </r>
  <r>
    <n v="280"/>
    <x v="278"/>
    <x v="0"/>
    <x v="10"/>
    <x v="10"/>
    <x v="0"/>
    <m/>
    <s v="0787238317"/>
    <s v="KOUADIO KOFFI TEYA              "/>
    <m/>
    <m/>
    <x v="0"/>
    <s v="couple "/>
    <m/>
    <n v="1"/>
    <n v="2"/>
    <n v="3"/>
  </r>
  <r>
    <n v="281"/>
    <x v="279"/>
    <x v="0"/>
    <x v="10"/>
    <x v="10"/>
    <x v="0"/>
    <m/>
    <m/>
    <s v="KOUADIO KOFFI TEYA              "/>
    <m/>
    <m/>
    <x v="0"/>
    <s v="couple "/>
    <m/>
    <n v="2"/>
    <n v="0"/>
    <n v="2"/>
  </r>
  <r>
    <n v="282"/>
    <x v="280"/>
    <x v="0"/>
    <x v="10"/>
    <x v="10"/>
    <x v="0"/>
    <m/>
    <s v="0768462369"/>
    <s v="KOUADIO KOFFI TEYA              "/>
    <m/>
    <m/>
    <x v="0"/>
    <s v="couple "/>
    <m/>
    <n v="1"/>
    <n v="1"/>
    <n v="2"/>
  </r>
  <r>
    <n v="283"/>
    <x v="281"/>
    <x v="0"/>
    <x v="10"/>
    <x v="10"/>
    <x v="0"/>
    <m/>
    <s v="0747520753"/>
    <s v="KOUADIO KOFFI TEYA              "/>
    <m/>
    <m/>
    <x v="0"/>
    <s v="couple "/>
    <m/>
    <n v="1"/>
    <n v="2"/>
    <n v="3"/>
  </r>
  <r>
    <n v="284"/>
    <x v="282"/>
    <x v="0"/>
    <x v="10"/>
    <x v="10"/>
    <x v="0"/>
    <m/>
    <s v="0758199468"/>
    <s v="KOUADIO KOFFI TEYA              "/>
    <m/>
    <m/>
    <x v="0"/>
    <s v="couple "/>
    <m/>
    <n v="0"/>
    <n v="0"/>
    <n v="0"/>
  </r>
  <r>
    <n v="285"/>
    <x v="283"/>
    <x v="0"/>
    <x v="10"/>
    <x v="10"/>
    <x v="0"/>
    <m/>
    <s v="0789950884"/>
    <s v="KOUADIO KOFFI TEYA              "/>
    <m/>
    <m/>
    <x v="0"/>
    <s v="couple "/>
    <m/>
    <n v="1"/>
    <n v="1"/>
    <n v="2"/>
  </r>
  <r>
    <n v="286"/>
    <x v="284"/>
    <x v="0"/>
    <x v="10"/>
    <x v="10"/>
    <x v="0"/>
    <m/>
    <m/>
    <s v="KOUADIO KOFFI TEYA              "/>
    <m/>
    <m/>
    <x v="0"/>
    <s v="couple "/>
    <m/>
    <n v="1"/>
    <n v="2"/>
    <n v="3"/>
  </r>
  <r>
    <n v="287"/>
    <x v="285"/>
    <x v="0"/>
    <x v="10"/>
    <x v="10"/>
    <x v="0"/>
    <m/>
    <s v="0758174336"/>
    <s v="KOUADIO KOFFI TEYA              "/>
    <m/>
    <m/>
    <x v="0"/>
    <s v="couple "/>
    <m/>
    <n v="2"/>
    <n v="2"/>
    <n v="4"/>
  </r>
  <r>
    <n v="288"/>
    <x v="286"/>
    <x v="0"/>
    <x v="10"/>
    <x v="10"/>
    <x v="0"/>
    <m/>
    <s v="0789005725"/>
    <s v="KOUADIO KOFFI TEYA              "/>
    <m/>
    <m/>
    <x v="0"/>
    <s v="couple "/>
    <m/>
    <n v="1"/>
    <n v="1"/>
    <n v="2"/>
  </r>
  <r>
    <n v="289"/>
    <x v="287"/>
    <x v="0"/>
    <x v="10"/>
    <x v="10"/>
    <x v="0"/>
    <m/>
    <m/>
    <s v="KOUADIO KOFFI TEYA              "/>
    <m/>
    <m/>
    <x v="0"/>
    <s v="couple "/>
    <m/>
    <n v="2"/>
    <n v="2"/>
    <n v="4"/>
  </r>
  <r>
    <n v="290"/>
    <x v="288"/>
    <x v="0"/>
    <x v="10"/>
    <x v="10"/>
    <x v="0"/>
    <m/>
    <s v="0749680005"/>
    <s v="KOUADIO KOFFI TEYA              "/>
    <m/>
    <m/>
    <x v="0"/>
    <s v="couple "/>
    <m/>
    <n v="0"/>
    <n v="0"/>
    <n v="0"/>
  </r>
  <r>
    <n v="291"/>
    <x v="289"/>
    <x v="0"/>
    <x v="10"/>
    <x v="10"/>
    <x v="0"/>
    <m/>
    <s v="0778698015"/>
    <s v="KOUADIO KOFFI TEYA              "/>
    <m/>
    <m/>
    <x v="0"/>
    <s v="couple "/>
    <m/>
    <n v="1"/>
    <n v="2"/>
    <n v="3"/>
  </r>
  <r>
    <n v="292"/>
    <x v="290"/>
    <x v="0"/>
    <x v="10"/>
    <x v="10"/>
    <x v="0"/>
    <m/>
    <s v="0749283383"/>
    <s v="KOUADIO KOFFI TEYA              "/>
    <m/>
    <m/>
    <x v="0"/>
    <s v="couple "/>
    <m/>
    <n v="0"/>
    <n v="1"/>
    <n v="1"/>
  </r>
  <r>
    <n v="293"/>
    <x v="291"/>
    <x v="0"/>
    <x v="10"/>
    <x v="10"/>
    <x v="0"/>
    <m/>
    <s v="0758828830"/>
    <s v="KOUADIO KOFFI TEYA              "/>
    <m/>
    <m/>
    <x v="0"/>
    <s v="couple "/>
    <m/>
    <n v="0"/>
    <n v="1"/>
    <n v="1"/>
  </r>
  <r>
    <n v="294"/>
    <x v="292"/>
    <x v="0"/>
    <x v="10"/>
    <x v="10"/>
    <x v="0"/>
    <m/>
    <s v="0556808726"/>
    <s v="KOUADIO KOFFI TEYA              "/>
    <m/>
    <m/>
    <x v="0"/>
    <s v="couple "/>
    <m/>
    <n v="0"/>
    <n v="1"/>
    <n v="1"/>
  </r>
  <r>
    <n v="295"/>
    <x v="293"/>
    <x v="0"/>
    <x v="10"/>
    <x v="10"/>
    <x v="0"/>
    <m/>
    <s v="0574851861"/>
    <s v="KOUADIO KOFFI TEYA              "/>
    <m/>
    <m/>
    <x v="0"/>
    <s v="couple "/>
    <m/>
    <n v="0"/>
    <n v="1"/>
    <n v="1"/>
  </r>
  <r>
    <n v="296"/>
    <x v="281"/>
    <x v="0"/>
    <x v="10"/>
    <x v="10"/>
    <x v="0"/>
    <m/>
    <s v="0747520753"/>
    <s v="KOUADIO KOFFI TEYA              "/>
    <m/>
    <m/>
    <x v="0"/>
    <s v="couple "/>
    <m/>
    <n v="2"/>
    <n v="0"/>
    <n v="2"/>
  </r>
  <r>
    <n v="297"/>
    <x v="294"/>
    <x v="0"/>
    <x v="4"/>
    <x v="4"/>
    <x v="0"/>
    <m/>
    <s v="0769052287"/>
    <s v="KOUADIO KOFFI TEYA              "/>
    <m/>
    <m/>
    <x v="0"/>
    <s v="En couple "/>
    <m/>
    <n v="5"/>
    <n v="2"/>
    <n v="7"/>
  </r>
  <r>
    <n v="298"/>
    <x v="295"/>
    <x v="0"/>
    <x v="4"/>
    <x v="4"/>
    <x v="0"/>
    <m/>
    <s v="0789384925"/>
    <s v="KOUADIO KOFFI TEYA              "/>
    <m/>
    <m/>
    <x v="0"/>
    <s v="En couple "/>
    <m/>
    <n v="1"/>
    <n v="1"/>
    <n v="2"/>
  </r>
  <r>
    <n v="299"/>
    <x v="296"/>
    <x v="0"/>
    <x v="4"/>
    <x v="4"/>
    <x v="0"/>
    <m/>
    <s v="0747219701"/>
    <s v="KOUADIO KOFFI TEYA              "/>
    <m/>
    <m/>
    <x v="0"/>
    <s v="En couple "/>
    <m/>
    <n v="1"/>
    <n v="5"/>
    <n v="6"/>
  </r>
  <r>
    <n v="300"/>
    <x v="297"/>
    <x v="0"/>
    <x v="4"/>
    <x v="4"/>
    <x v="0"/>
    <m/>
    <s v="0708084515"/>
    <s v="KOUADIO KOFFI TEYA              "/>
    <m/>
    <m/>
    <x v="0"/>
    <s v="En couple "/>
    <m/>
    <n v="5"/>
    <n v="2"/>
    <n v="7"/>
  </r>
  <r>
    <n v="301"/>
    <x v="298"/>
    <x v="0"/>
    <x v="4"/>
    <x v="4"/>
    <x v="0"/>
    <m/>
    <s v="0757494591"/>
    <s v="KOUADIO KOFFI TEYA              "/>
    <m/>
    <m/>
    <x v="0"/>
    <s v="En couple "/>
    <m/>
    <n v="2"/>
    <n v="2"/>
    <n v="4"/>
  </r>
  <r>
    <n v="302"/>
    <x v="299"/>
    <x v="0"/>
    <x v="4"/>
    <x v="4"/>
    <x v="0"/>
    <m/>
    <s v="0707478025"/>
    <s v="KOUADIO KOFFI TEYA              "/>
    <m/>
    <m/>
    <x v="0"/>
    <s v="En couple "/>
    <m/>
    <n v="3"/>
    <n v="2"/>
    <n v="5"/>
  </r>
  <r>
    <n v="303"/>
    <x v="300"/>
    <x v="0"/>
    <x v="4"/>
    <x v="4"/>
    <x v="0"/>
    <m/>
    <s v="0141318138"/>
    <s v="KOUADIO KOFFI TEYA              "/>
    <m/>
    <m/>
    <x v="0"/>
    <s v="En couple "/>
    <m/>
    <n v="3"/>
    <n v="1"/>
    <n v="4"/>
  </r>
  <r>
    <n v="304"/>
    <x v="301"/>
    <x v="0"/>
    <x v="4"/>
    <x v="4"/>
    <x v="0"/>
    <m/>
    <s v="0768316591"/>
    <s v="KOUADIO KOFFI TEYA              "/>
    <m/>
    <m/>
    <x v="0"/>
    <s v="En couple "/>
    <m/>
    <n v="0"/>
    <n v="1"/>
    <n v="1"/>
  </r>
  <r>
    <n v="305"/>
    <x v="302"/>
    <x v="0"/>
    <x v="4"/>
    <x v="4"/>
    <x v="0"/>
    <m/>
    <s v="0749233589"/>
    <s v="KOUADIO KOFFI TEYA              "/>
    <m/>
    <m/>
    <x v="0"/>
    <s v="En couple "/>
    <m/>
    <n v="0"/>
    <n v="3"/>
    <n v="3"/>
  </r>
  <r>
    <n v="306"/>
    <x v="303"/>
    <x v="0"/>
    <x v="4"/>
    <x v="4"/>
    <x v="0"/>
    <m/>
    <s v="0708809629"/>
    <s v="KOUADIO KOFFI TEYA              "/>
    <m/>
    <m/>
    <x v="0"/>
    <s v="En couple "/>
    <m/>
    <n v="2"/>
    <n v="1"/>
    <n v="3"/>
  </r>
  <r>
    <n v="307"/>
    <x v="304"/>
    <x v="0"/>
    <x v="4"/>
    <x v="4"/>
    <x v="0"/>
    <m/>
    <s v="0777717097"/>
    <s v="KOUADIO KOFFI TEYA              "/>
    <m/>
    <m/>
    <x v="0"/>
    <s v="En couple "/>
    <m/>
    <n v="1"/>
    <n v="3"/>
    <n v="4"/>
  </r>
  <r>
    <n v="308"/>
    <x v="305"/>
    <x v="0"/>
    <x v="4"/>
    <x v="4"/>
    <x v="0"/>
    <m/>
    <s v="0748407370"/>
    <s v="KOUADIO KOFFI TEYA              "/>
    <m/>
    <m/>
    <x v="0"/>
    <s v="En couple "/>
    <m/>
    <n v="3"/>
    <n v="4"/>
    <n v="7"/>
  </r>
  <r>
    <n v="309"/>
    <x v="306"/>
    <x v="0"/>
    <x v="4"/>
    <x v="4"/>
    <x v="0"/>
    <m/>
    <s v="0768316542"/>
    <s v="KOUADIO KOFFI TEYA              "/>
    <m/>
    <m/>
    <x v="0"/>
    <s v="En couple "/>
    <m/>
    <n v="2"/>
    <n v="4"/>
    <n v="6"/>
  </r>
  <r>
    <n v="310"/>
    <x v="307"/>
    <x v="0"/>
    <x v="4"/>
    <x v="4"/>
    <x v="0"/>
    <m/>
    <s v="0709034711"/>
    <s v="KOUADIO KOFFI TEYA              "/>
    <m/>
    <m/>
    <x v="0"/>
    <s v="En couple "/>
    <m/>
    <n v="1"/>
    <n v="2"/>
    <n v="3"/>
  </r>
  <r>
    <n v="311"/>
    <x v="308"/>
    <x v="0"/>
    <x v="4"/>
    <x v="4"/>
    <x v="0"/>
    <m/>
    <m/>
    <s v="KOUADIO KOFFI TEYA              "/>
    <m/>
    <m/>
    <x v="0"/>
    <s v="En couple "/>
    <m/>
    <n v="3"/>
    <n v="4"/>
    <n v="7"/>
  </r>
  <r>
    <n v="312"/>
    <x v="309"/>
    <x v="0"/>
    <x v="4"/>
    <x v="4"/>
    <x v="0"/>
    <m/>
    <s v="0767159576"/>
    <s v="KOUADIO KOFFI TEYA              "/>
    <m/>
    <m/>
    <x v="0"/>
    <s v="En couple "/>
    <m/>
    <n v="1"/>
    <n v="1"/>
    <n v="2"/>
  </r>
  <r>
    <n v="313"/>
    <x v="310"/>
    <x v="0"/>
    <x v="4"/>
    <x v="4"/>
    <x v="0"/>
    <m/>
    <m/>
    <s v="KOUADIO KOFFI TEYA              "/>
    <m/>
    <m/>
    <x v="0"/>
    <s v="En couple "/>
    <m/>
    <n v="3"/>
    <n v="2"/>
    <n v="5"/>
  </r>
  <r>
    <n v="314"/>
    <x v="311"/>
    <x v="0"/>
    <x v="4"/>
    <x v="4"/>
    <x v="0"/>
    <m/>
    <m/>
    <s v="KOUADIO KOFFI TEYA              "/>
    <m/>
    <m/>
    <x v="0"/>
    <s v="En couple "/>
    <m/>
    <n v="3"/>
    <n v="4"/>
    <n v="7"/>
  </r>
  <r>
    <n v="315"/>
    <x v="312"/>
    <x v="0"/>
    <x v="4"/>
    <x v="4"/>
    <x v="0"/>
    <m/>
    <s v="0777786916"/>
    <s v="KOUADIO KOFFI TEYA              "/>
    <m/>
    <m/>
    <x v="0"/>
    <s v="En couple "/>
    <m/>
    <n v="2"/>
    <n v="2"/>
    <n v="4"/>
  </r>
  <r>
    <n v="316"/>
    <x v="313"/>
    <x v="0"/>
    <x v="4"/>
    <x v="4"/>
    <x v="0"/>
    <m/>
    <s v="0747227960"/>
    <s v="KOUADIO KOFFI TEYA              "/>
    <m/>
    <m/>
    <x v="0"/>
    <s v="En couple "/>
    <m/>
    <n v="2"/>
    <n v="2"/>
    <n v="4"/>
  </r>
  <r>
    <n v="317"/>
    <x v="314"/>
    <x v="0"/>
    <x v="4"/>
    <x v="4"/>
    <x v="0"/>
    <m/>
    <s v="0768394490"/>
    <s v="KOUADIO KOFFI TEYA              "/>
    <m/>
    <m/>
    <x v="0"/>
    <s v="En couple "/>
    <m/>
    <n v="3"/>
    <n v="2"/>
    <n v="5"/>
  </r>
  <r>
    <n v="318"/>
    <x v="315"/>
    <x v="0"/>
    <x v="4"/>
    <x v="4"/>
    <x v="0"/>
    <m/>
    <m/>
    <s v="KOUADIO KOFFI TEYA              "/>
    <m/>
    <m/>
    <x v="0"/>
    <s v="En couple "/>
    <m/>
    <n v="3"/>
    <n v="1"/>
    <n v="4"/>
  </r>
  <r>
    <n v="319"/>
    <x v="316"/>
    <x v="0"/>
    <x v="4"/>
    <x v="4"/>
    <x v="0"/>
    <m/>
    <m/>
    <s v="KOUADIO KOFFI TEYA              "/>
    <m/>
    <m/>
    <x v="0"/>
    <s v="En couple "/>
    <m/>
    <n v="1"/>
    <n v="1"/>
    <n v="2"/>
  </r>
  <r>
    <n v="320"/>
    <x v="317"/>
    <x v="0"/>
    <x v="4"/>
    <x v="4"/>
    <x v="0"/>
    <m/>
    <s v="0768392932"/>
    <s v="KOUADIO KOFFI TEYA              "/>
    <m/>
    <m/>
    <x v="0"/>
    <s v="En couple "/>
    <m/>
    <n v="2"/>
    <n v="2"/>
    <n v="4"/>
  </r>
  <r>
    <n v="321"/>
    <x v="318"/>
    <x v="0"/>
    <x v="4"/>
    <x v="4"/>
    <x v="0"/>
    <m/>
    <m/>
    <s v="KOUADIO KOFFI TEYA              "/>
    <m/>
    <m/>
    <x v="0"/>
    <s v="En couple "/>
    <m/>
    <n v="2"/>
    <n v="2"/>
    <n v="4"/>
  </r>
  <r>
    <n v="322"/>
    <x v="319"/>
    <x v="0"/>
    <x v="4"/>
    <x v="4"/>
    <x v="0"/>
    <m/>
    <s v="0707341177"/>
    <s v="KOUADIO KOFFI TEYA              "/>
    <m/>
    <m/>
    <x v="1"/>
    <s v="En couple "/>
    <m/>
    <n v="3"/>
    <n v="3"/>
    <n v="6"/>
  </r>
  <r>
    <n v="323"/>
    <x v="320"/>
    <x v="0"/>
    <x v="4"/>
    <x v="4"/>
    <x v="0"/>
    <m/>
    <s v="0759044988"/>
    <s v="KOUADIO KOFFI TEYA              "/>
    <m/>
    <m/>
    <x v="0"/>
    <s v="En couple "/>
    <m/>
    <n v="1"/>
    <n v="1"/>
    <n v="2"/>
  </r>
  <r>
    <n v="324"/>
    <x v="321"/>
    <x v="0"/>
    <x v="4"/>
    <x v="4"/>
    <x v="0"/>
    <m/>
    <s v="0708102647"/>
    <s v="KOUADIO KOFFI TEYA              "/>
    <m/>
    <m/>
    <x v="0"/>
    <s v="En couple "/>
    <m/>
    <n v="1"/>
    <n v="3"/>
    <n v="4"/>
  </r>
  <r>
    <n v="325"/>
    <x v="322"/>
    <x v="0"/>
    <x v="4"/>
    <x v="4"/>
    <x v="0"/>
    <m/>
    <s v="0709420642"/>
    <s v="KOUADIO KOFFI TEYA              "/>
    <m/>
    <m/>
    <x v="0"/>
    <s v="En couple "/>
    <m/>
    <n v="2"/>
    <n v="0"/>
    <n v="2"/>
  </r>
  <r>
    <n v="326"/>
    <x v="323"/>
    <x v="0"/>
    <x v="4"/>
    <x v="4"/>
    <x v="0"/>
    <m/>
    <s v="0757494590"/>
    <s v="KOUADIO KOFFI TEYA              "/>
    <m/>
    <m/>
    <x v="0"/>
    <s v="En couple "/>
    <m/>
    <n v="1"/>
    <n v="1"/>
    <n v="2"/>
  </r>
  <r>
    <n v="327"/>
    <x v="324"/>
    <x v="0"/>
    <x v="11"/>
    <x v="11"/>
    <x v="0"/>
    <m/>
    <m/>
    <s v="KOUADIO KOFFI TEYA              "/>
    <m/>
    <m/>
    <x v="0"/>
    <s v="En couple"/>
    <m/>
    <n v="2"/>
    <n v="3"/>
    <n v="5"/>
  </r>
  <r>
    <n v="328"/>
    <x v="325"/>
    <x v="0"/>
    <x v="11"/>
    <x v="11"/>
    <x v="0"/>
    <m/>
    <s v="0749491409"/>
    <s v="KOUADIO KOFFI TEYA              "/>
    <m/>
    <m/>
    <x v="0"/>
    <s v="En couple"/>
    <m/>
    <n v="4"/>
    <n v="1"/>
    <n v="5"/>
  </r>
  <r>
    <n v="329"/>
    <x v="326"/>
    <x v="0"/>
    <x v="11"/>
    <x v="11"/>
    <x v="0"/>
    <m/>
    <m/>
    <s v="KOUADIO KOFFI TEYA              "/>
    <m/>
    <m/>
    <x v="0"/>
    <s v="En couple"/>
    <m/>
    <n v="2"/>
    <n v="2"/>
    <n v="4"/>
  </r>
  <r>
    <n v="330"/>
    <x v="327"/>
    <x v="0"/>
    <x v="11"/>
    <x v="11"/>
    <x v="0"/>
    <m/>
    <s v="0758090220"/>
    <s v="KOUADIO KOFFI TEYA              "/>
    <m/>
    <m/>
    <x v="0"/>
    <s v="En couple"/>
    <m/>
    <n v="1"/>
    <n v="3"/>
    <n v="4"/>
  </r>
  <r>
    <n v="331"/>
    <x v="328"/>
    <x v="0"/>
    <x v="11"/>
    <x v="11"/>
    <x v="0"/>
    <m/>
    <s v="0768396237"/>
    <s v="KOUADIO KOFFI TEYA              "/>
    <m/>
    <m/>
    <x v="0"/>
    <s v="En couple"/>
    <m/>
    <n v="1"/>
    <n v="1"/>
    <n v="2"/>
  </r>
  <r>
    <n v="332"/>
    <x v="329"/>
    <x v="0"/>
    <x v="11"/>
    <x v="11"/>
    <x v="0"/>
    <m/>
    <s v="0778266112"/>
    <s v="KOUADIO KOFFI TEYA              "/>
    <m/>
    <m/>
    <x v="1"/>
    <s v="En couple"/>
    <m/>
    <n v="0"/>
    <n v="2"/>
    <n v="2"/>
  </r>
  <r>
    <n v="333"/>
    <x v="330"/>
    <x v="0"/>
    <x v="11"/>
    <x v="11"/>
    <x v="0"/>
    <m/>
    <m/>
    <s v="KOUADIO KOFFI TEYA              "/>
    <m/>
    <m/>
    <x v="1"/>
    <s v="En couple"/>
    <m/>
    <n v="2"/>
    <n v="1"/>
    <n v="3"/>
  </r>
  <r>
    <n v="334"/>
    <x v="331"/>
    <x v="0"/>
    <x v="11"/>
    <x v="11"/>
    <x v="0"/>
    <m/>
    <s v="0749 233589"/>
    <s v="KOUADIO KOFFI TEYA              "/>
    <m/>
    <m/>
    <x v="1"/>
    <s v="En couple"/>
    <m/>
    <n v="3"/>
    <n v="0"/>
    <n v="3"/>
  </r>
  <r>
    <n v="335"/>
    <x v="332"/>
    <x v="0"/>
    <x v="11"/>
    <x v="11"/>
    <x v="0"/>
    <m/>
    <m/>
    <s v="KOUADIO KOFFI TEYA              "/>
    <m/>
    <m/>
    <x v="0"/>
    <s v="En couple"/>
    <m/>
    <n v="2"/>
    <n v="1"/>
    <n v="3"/>
  </r>
  <r>
    <n v="336"/>
    <x v="333"/>
    <x v="0"/>
    <x v="11"/>
    <x v="11"/>
    <x v="0"/>
    <m/>
    <s v="0748695507"/>
    <s v="KOUADIO KOFFI TEYA              "/>
    <m/>
    <m/>
    <x v="0"/>
    <s v="En couple"/>
    <m/>
    <n v="3"/>
    <n v="1"/>
    <n v="4"/>
  </r>
  <r>
    <n v="337"/>
    <x v="334"/>
    <x v="0"/>
    <x v="11"/>
    <x v="11"/>
    <x v="0"/>
    <m/>
    <m/>
    <s v="KOUADIO KOFFI TEYA              "/>
    <m/>
    <m/>
    <x v="0"/>
    <s v="En couple"/>
    <m/>
    <n v="3"/>
    <n v="2"/>
    <n v="5"/>
  </r>
  <r>
    <n v="338"/>
    <x v="335"/>
    <x v="0"/>
    <x v="11"/>
    <x v="11"/>
    <x v="0"/>
    <m/>
    <m/>
    <s v="KOUADIO KOFFI TEYA              "/>
    <m/>
    <m/>
    <x v="0"/>
    <s v="En couple"/>
    <m/>
    <n v="2"/>
    <n v="2"/>
    <n v="4"/>
  </r>
  <r>
    <n v="339"/>
    <x v="336"/>
    <x v="0"/>
    <x v="11"/>
    <x v="11"/>
    <x v="0"/>
    <m/>
    <m/>
    <s v="KOUADIO KOFFI TEYA              "/>
    <m/>
    <m/>
    <x v="0"/>
    <s v="En couple"/>
    <m/>
    <n v="2"/>
    <n v="1"/>
    <n v="3"/>
  </r>
  <r>
    <n v="340"/>
    <x v="337"/>
    <x v="0"/>
    <x v="11"/>
    <x v="11"/>
    <x v="0"/>
    <m/>
    <m/>
    <s v="KOUADIO KOFFI TEYA              "/>
    <m/>
    <m/>
    <x v="0"/>
    <s v="En couple"/>
    <m/>
    <n v="1"/>
    <n v="1"/>
    <n v="2"/>
  </r>
  <r>
    <n v="341"/>
    <x v="338"/>
    <x v="0"/>
    <x v="11"/>
    <x v="11"/>
    <x v="0"/>
    <m/>
    <m/>
    <s v="KOUADIO KOFFI TEYA              "/>
    <m/>
    <m/>
    <x v="0"/>
    <s v="En couple"/>
    <m/>
    <n v="2"/>
    <n v="1"/>
    <n v="3"/>
  </r>
  <r>
    <n v="342"/>
    <x v="339"/>
    <x v="0"/>
    <x v="11"/>
    <x v="11"/>
    <x v="0"/>
    <m/>
    <m/>
    <s v="KOUADIO KOFFI TEYA              "/>
    <m/>
    <m/>
    <x v="0"/>
    <s v="En couple"/>
    <m/>
    <n v="2"/>
    <n v="1"/>
    <n v="3"/>
  </r>
  <r>
    <n v="343"/>
    <x v="340"/>
    <x v="0"/>
    <x v="12"/>
    <x v="12"/>
    <x v="0"/>
    <m/>
    <m/>
    <s v="KOUADIO KOFFI TEYA              "/>
    <m/>
    <m/>
    <x v="0"/>
    <s v="En couple"/>
    <m/>
    <n v="3"/>
    <n v="6"/>
    <n v="9"/>
  </r>
  <r>
    <n v="344"/>
    <x v="341"/>
    <x v="0"/>
    <x v="12"/>
    <x v="12"/>
    <x v="0"/>
    <m/>
    <m/>
    <s v="KOUADIO KOFFI TEYA              "/>
    <m/>
    <m/>
    <x v="0"/>
    <s v="En couple"/>
    <m/>
    <n v="1"/>
    <n v="4"/>
    <n v="5"/>
  </r>
  <r>
    <n v="345"/>
    <x v="342"/>
    <x v="0"/>
    <x v="12"/>
    <x v="12"/>
    <x v="0"/>
    <m/>
    <m/>
    <s v="KOUADIO KOFFI TEYA              "/>
    <m/>
    <m/>
    <x v="0"/>
    <s v="En couple"/>
    <m/>
    <n v="3"/>
    <n v="3"/>
    <n v="6"/>
  </r>
  <r>
    <n v="346"/>
    <x v="343"/>
    <x v="0"/>
    <x v="12"/>
    <x v="12"/>
    <x v="0"/>
    <m/>
    <m/>
    <s v="KOUADIO KOFFI TEYA              "/>
    <m/>
    <m/>
    <x v="0"/>
    <s v="En couple"/>
    <m/>
    <n v="3"/>
    <n v="3"/>
    <n v="6"/>
  </r>
  <r>
    <n v="347"/>
    <x v="344"/>
    <x v="0"/>
    <x v="12"/>
    <x v="12"/>
    <x v="0"/>
    <m/>
    <m/>
    <s v="KOUADIO KOFFI TEYA              "/>
    <m/>
    <m/>
    <x v="0"/>
    <s v="En couple"/>
    <m/>
    <n v="0"/>
    <n v="0"/>
    <n v="0"/>
  </r>
  <r>
    <n v="348"/>
    <x v="345"/>
    <x v="0"/>
    <x v="12"/>
    <x v="12"/>
    <x v="0"/>
    <m/>
    <m/>
    <s v="KOUADIO KOFFI TEYA              "/>
    <m/>
    <m/>
    <x v="0"/>
    <s v="En couple"/>
    <m/>
    <n v="3"/>
    <n v="2"/>
    <n v="5"/>
  </r>
  <r>
    <n v="349"/>
    <x v="346"/>
    <x v="0"/>
    <x v="12"/>
    <x v="12"/>
    <x v="0"/>
    <m/>
    <m/>
    <s v="KOUADIO KOFFI TEYA              "/>
    <m/>
    <m/>
    <x v="0"/>
    <s v="En couple"/>
    <m/>
    <n v="3"/>
    <n v="3"/>
    <n v="6"/>
  </r>
  <r>
    <n v="350"/>
    <x v="347"/>
    <x v="0"/>
    <x v="12"/>
    <x v="12"/>
    <x v="0"/>
    <m/>
    <m/>
    <s v="KOUADIO KOFFI TEYA              "/>
    <m/>
    <m/>
    <x v="0"/>
    <s v="En couple"/>
    <m/>
    <n v="4"/>
    <n v="1"/>
    <n v="5"/>
  </r>
  <r>
    <n v="351"/>
    <x v="348"/>
    <x v="0"/>
    <x v="12"/>
    <x v="12"/>
    <x v="0"/>
    <m/>
    <m/>
    <s v="KOUADIO KOFFI TEYA              "/>
    <m/>
    <m/>
    <x v="0"/>
    <s v="En couple"/>
    <m/>
    <n v="4"/>
    <n v="2"/>
    <n v="6"/>
  </r>
  <r>
    <n v="352"/>
    <x v="349"/>
    <x v="0"/>
    <x v="12"/>
    <x v="12"/>
    <x v="0"/>
    <m/>
    <s v="0747078900"/>
    <s v="KOUADIO KOFFI TEYA              "/>
    <m/>
    <m/>
    <x v="1"/>
    <s v="En couple"/>
    <m/>
    <n v="0"/>
    <n v="0"/>
    <n v="0"/>
  </r>
  <r>
    <n v="353"/>
    <x v="350"/>
    <x v="0"/>
    <x v="12"/>
    <x v="12"/>
    <x v="0"/>
    <m/>
    <m/>
    <s v="KOUADIO KOFFI TEYA              "/>
    <m/>
    <m/>
    <x v="1"/>
    <s v="En couple"/>
    <m/>
    <n v="3"/>
    <n v="3"/>
    <n v="6"/>
  </r>
  <r>
    <n v="354"/>
    <x v="351"/>
    <x v="0"/>
    <x v="12"/>
    <x v="12"/>
    <x v="0"/>
    <m/>
    <s v="0748172534"/>
    <s v="KOUADIO KOFFI TEYA              "/>
    <m/>
    <m/>
    <x v="1"/>
    <s v="En couple"/>
    <m/>
    <n v="0"/>
    <n v="0"/>
    <n v="0"/>
  </r>
  <r>
    <n v="355"/>
    <x v="352"/>
    <x v="0"/>
    <x v="12"/>
    <x v="12"/>
    <x v="0"/>
    <m/>
    <s v="0747105336"/>
    <s v="KOUADIO KOFFI TEYA              "/>
    <m/>
    <m/>
    <x v="0"/>
    <s v="En couple"/>
    <m/>
    <n v="4"/>
    <n v="4"/>
    <n v="8"/>
  </r>
  <r>
    <n v="356"/>
    <x v="353"/>
    <x v="0"/>
    <x v="12"/>
    <x v="12"/>
    <x v="0"/>
    <m/>
    <m/>
    <s v="KOUADIO KOFFI TEYA              "/>
    <m/>
    <m/>
    <x v="0"/>
    <s v="En couple"/>
    <m/>
    <n v="1"/>
    <n v="4"/>
    <n v="5"/>
  </r>
  <r>
    <n v="357"/>
    <x v="354"/>
    <x v="0"/>
    <x v="12"/>
    <x v="12"/>
    <x v="0"/>
    <m/>
    <m/>
    <s v="KOUADIO KOFFI TEYA              "/>
    <m/>
    <m/>
    <x v="0"/>
    <s v="En couple"/>
    <m/>
    <n v="2"/>
    <n v="7"/>
    <n v="9"/>
  </r>
  <r>
    <n v="358"/>
    <x v="355"/>
    <x v="0"/>
    <x v="12"/>
    <x v="12"/>
    <x v="0"/>
    <m/>
    <s v="0748884824"/>
    <s v="KOUADIO KOFFI TEYA              "/>
    <m/>
    <m/>
    <x v="0"/>
    <s v="En couple"/>
    <m/>
    <n v="6"/>
    <n v="5"/>
    <n v="11"/>
  </r>
  <r>
    <n v="359"/>
    <x v="356"/>
    <x v="0"/>
    <x v="12"/>
    <x v="12"/>
    <x v="0"/>
    <m/>
    <m/>
    <s v="KOUADIO KOFFI TEYA              "/>
    <m/>
    <m/>
    <x v="0"/>
    <s v="En couple"/>
    <m/>
    <n v="4"/>
    <n v="2"/>
    <n v="6"/>
  </r>
  <r>
    <n v="360"/>
    <x v="357"/>
    <x v="0"/>
    <x v="12"/>
    <x v="12"/>
    <x v="0"/>
    <m/>
    <m/>
    <s v="KOUADIO KOFFI TEYA              "/>
    <m/>
    <m/>
    <x v="0"/>
    <s v="En couple"/>
    <m/>
    <n v="4"/>
    <n v="2"/>
    <n v="6"/>
  </r>
  <r>
    <n v="361"/>
    <x v="358"/>
    <x v="0"/>
    <x v="12"/>
    <x v="12"/>
    <x v="0"/>
    <m/>
    <s v="0787989169"/>
    <s v="KOUADIO KOFFI TEYA              "/>
    <m/>
    <m/>
    <x v="0"/>
    <s v="En couple"/>
    <m/>
    <n v="2"/>
    <n v="6"/>
    <n v="8"/>
  </r>
  <r>
    <n v="362"/>
    <x v="359"/>
    <x v="0"/>
    <x v="12"/>
    <x v="12"/>
    <x v="0"/>
    <m/>
    <m/>
    <s v="KOUADIO KOFFI TEYA              "/>
    <m/>
    <m/>
    <x v="0"/>
    <s v="En couple"/>
    <m/>
    <n v="4"/>
    <n v="6"/>
    <n v="10"/>
  </r>
  <r>
    <n v="363"/>
    <x v="360"/>
    <x v="0"/>
    <x v="12"/>
    <x v="12"/>
    <x v="0"/>
    <m/>
    <s v="0709170960"/>
    <s v="KOUADIO KOFFI TEYA              "/>
    <m/>
    <m/>
    <x v="0"/>
    <s v="En couple"/>
    <m/>
    <n v="2"/>
    <n v="5"/>
    <n v="7"/>
  </r>
  <r>
    <n v="364"/>
    <x v="343"/>
    <x v="0"/>
    <x v="12"/>
    <x v="12"/>
    <x v="0"/>
    <m/>
    <m/>
    <s v="KOUADIO KOFFI TEYA              "/>
    <m/>
    <m/>
    <x v="0"/>
    <s v="En couple"/>
    <m/>
    <n v="3"/>
    <n v="3"/>
    <n v="6"/>
  </r>
  <r>
    <n v="365"/>
    <x v="361"/>
    <x v="0"/>
    <x v="12"/>
    <x v="12"/>
    <x v="0"/>
    <m/>
    <m/>
    <s v="KOUADIO KOFFI TEYA              "/>
    <m/>
    <m/>
    <x v="0"/>
    <s v="En couple"/>
    <m/>
    <n v="2"/>
    <n v="2"/>
    <n v="4"/>
  </r>
  <r>
    <n v="366"/>
    <x v="362"/>
    <x v="0"/>
    <x v="12"/>
    <x v="12"/>
    <x v="0"/>
    <m/>
    <s v="0747664583"/>
    <s v="KOUADIO KOFFI TEYA              "/>
    <m/>
    <m/>
    <x v="0"/>
    <s v="En couple"/>
    <m/>
    <n v="6"/>
    <n v="6"/>
    <n v="12"/>
  </r>
  <r>
    <n v="367"/>
    <x v="363"/>
    <x v="0"/>
    <x v="12"/>
    <x v="12"/>
    <x v="0"/>
    <m/>
    <m/>
    <s v="KOUADIO KOFFI TEYA              "/>
    <m/>
    <m/>
    <x v="0"/>
    <s v="En couple"/>
    <m/>
    <n v="3"/>
    <n v="3"/>
    <n v="6"/>
  </r>
  <r>
    <n v="368"/>
    <x v="364"/>
    <x v="0"/>
    <x v="12"/>
    <x v="12"/>
    <x v="0"/>
    <m/>
    <s v="0707449762"/>
    <s v="KOUADIO KOFFI TEYA              "/>
    <m/>
    <m/>
    <x v="0"/>
    <s v="En couple"/>
    <m/>
    <n v="2"/>
    <n v="2"/>
    <n v="4"/>
  </r>
  <r>
    <n v="369"/>
    <x v="365"/>
    <x v="0"/>
    <x v="12"/>
    <x v="12"/>
    <x v="0"/>
    <m/>
    <s v="0708557881"/>
    <s v="KOUADIO KOFFI TEYA              "/>
    <m/>
    <m/>
    <x v="1"/>
    <s v="En couple"/>
    <m/>
    <n v="3"/>
    <n v="2"/>
    <n v="5"/>
  </r>
  <r>
    <n v="370"/>
    <x v="366"/>
    <x v="0"/>
    <x v="12"/>
    <x v="12"/>
    <x v="0"/>
    <m/>
    <s v="0708173019"/>
    <s v="KOUADIO KOFFI TEYA              "/>
    <m/>
    <m/>
    <x v="0"/>
    <s v="En couple"/>
    <m/>
    <n v="1"/>
    <n v="1"/>
    <n v="2"/>
  </r>
  <r>
    <n v="371"/>
    <x v="367"/>
    <x v="0"/>
    <x v="12"/>
    <x v="12"/>
    <x v="0"/>
    <m/>
    <m/>
    <s v="KOUADIO KOFFI TEYA              "/>
    <m/>
    <m/>
    <x v="1"/>
    <s v="En couple"/>
    <m/>
    <n v="4"/>
    <n v="5"/>
    <n v="9"/>
  </r>
  <r>
    <n v="372"/>
    <x v="368"/>
    <x v="0"/>
    <x v="12"/>
    <x v="12"/>
    <x v="0"/>
    <m/>
    <m/>
    <s v="KOUADIO KOFFI TEYA              "/>
    <m/>
    <m/>
    <x v="1"/>
    <s v="En couple"/>
    <m/>
    <n v="2"/>
    <n v="5"/>
    <n v="7"/>
  </r>
  <r>
    <n v="373"/>
    <x v="369"/>
    <x v="0"/>
    <x v="13"/>
    <x v="12"/>
    <x v="0"/>
    <m/>
    <m/>
    <s v="KOUADIO KOFFI TEYA              "/>
    <m/>
    <m/>
    <x v="0"/>
    <s v="En couple"/>
    <m/>
    <n v="4"/>
    <n v="3"/>
    <n v="7"/>
  </r>
  <r>
    <n v="374"/>
    <x v="370"/>
    <x v="0"/>
    <x v="13"/>
    <x v="12"/>
    <x v="0"/>
    <m/>
    <m/>
    <s v="KOUADIO KOFFI TEYA              "/>
    <m/>
    <m/>
    <x v="0"/>
    <s v="En couple"/>
    <m/>
    <n v="3"/>
    <n v="2"/>
    <n v="5"/>
  </r>
  <r>
    <n v="375"/>
    <x v="371"/>
    <x v="0"/>
    <x v="13"/>
    <x v="12"/>
    <x v="0"/>
    <m/>
    <m/>
    <s v="KOUADIO KOFFI TEYA              "/>
    <m/>
    <m/>
    <x v="0"/>
    <s v="En couple"/>
    <m/>
    <n v="4"/>
    <n v="2"/>
    <n v="6"/>
  </r>
  <r>
    <n v="376"/>
    <x v="372"/>
    <x v="0"/>
    <x v="13"/>
    <x v="12"/>
    <x v="0"/>
    <m/>
    <s v="0747049830"/>
    <s v="KOUADIO KOFFI TEYA              "/>
    <m/>
    <m/>
    <x v="0"/>
    <s v="En couple"/>
    <m/>
    <n v="7"/>
    <n v="0"/>
    <n v="7"/>
  </r>
  <r>
    <n v="377"/>
    <x v="373"/>
    <x v="0"/>
    <x v="13"/>
    <x v="12"/>
    <x v="0"/>
    <m/>
    <m/>
    <s v="KOUADIO KOFFI TEYA              "/>
    <m/>
    <m/>
    <x v="0"/>
    <s v="En couple"/>
    <m/>
    <n v="3"/>
    <n v="6"/>
    <n v="9"/>
  </r>
  <r>
    <n v="378"/>
    <x v="374"/>
    <x v="0"/>
    <x v="13"/>
    <x v="12"/>
    <x v="0"/>
    <m/>
    <m/>
    <s v="KOUADIO KOFFI TEYA              "/>
    <m/>
    <m/>
    <x v="0"/>
    <s v="En couple"/>
    <m/>
    <n v="3"/>
    <n v="4"/>
    <n v="7"/>
  </r>
  <r>
    <n v="379"/>
    <x v="375"/>
    <x v="0"/>
    <x v="13"/>
    <x v="12"/>
    <x v="0"/>
    <m/>
    <s v="0152023177"/>
    <s v="KOUADIO KOFFI TEYA              "/>
    <m/>
    <m/>
    <x v="0"/>
    <s v="En couple"/>
    <m/>
    <n v="1"/>
    <n v="2"/>
    <n v="3"/>
  </r>
  <r>
    <n v="380"/>
    <x v="376"/>
    <x v="0"/>
    <x v="13"/>
    <x v="12"/>
    <x v="0"/>
    <m/>
    <m/>
    <s v="KOUADIO KOFFI TEYA              "/>
    <m/>
    <m/>
    <x v="0"/>
    <s v="En couple"/>
    <m/>
    <n v="2"/>
    <n v="10"/>
    <n v="12"/>
  </r>
  <r>
    <n v="381"/>
    <x v="377"/>
    <x v="0"/>
    <x v="13"/>
    <x v="12"/>
    <x v="0"/>
    <m/>
    <m/>
    <s v="KOUADIO KOFFI TEYA              "/>
    <m/>
    <m/>
    <x v="0"/>
    <s v="En couple"/>
    <m/>
    <n v="2"/>
    <n v="3"/>
    <n v="5"/>
  </r>
  <r>
    <n v="382"/>
    <x v="378"/>
    <x v="0"/>
    <x v="13"/>
    <x v="12"/>
    <x v="0"/>
    <m/>
    <m/>
    <s v="KOUADIO KOFFI TEYA              "/>
    <m/>
    <m/>
    <x v="0"/>
    <s v="En couple"/>
    <m/>
    <n v="3"/>
    <n v="2"/>
    <n v="5"/>
  </r>
  <r>
    <n v="383"/>
    <x v="379"/>
    <x v="0"/>
    <x v="13"/>
    <x v="12"/>
    <x v="0"/>
    <m/>
    <m/>
    <s v="KOUADIO KOFFI TEYA              "/>
    <m/>
    <m/>
    <x v="0"/>
    <s v="En couple"/>
    <m/>
    <n v="4"/>
    <n v="5"/>
    <n v="9"/>
  </r>
  <r>
    <n v="384"/>
    <x v="380"/>
    <x v="0"/>
    <x v="13"/>
    <x v="12"/>
    <x v="0"/>
    <m/>
    <m/>
    <s v="KOUADIO KOFFI TEYA              "/>
    <m/>
    <m/>
    <x v="0"/>
    <s v="En couple"/>
    <m/>
    <n v="2"/>
    <n v="2"/>
    <n v="4"/>
  </r>
  <r>
    <n v="385"/>
    <x v="381"/>
    <x v="0"/>
    <x v="13"/>
    <x v="12"/>
    <x v="0"/>
    <m/>
    <m/>
    <s v="KOUADIO KOFFI TEYA              "/>
    <m/>
    <m/>
    <x v="0"/>
    <s v="En couple"/>
    <m/>
    <n v="2"/>
    <n v="2"/>
    <n v="4"/>
  </r>
  <r>
    <n v="386"/>
    <x v="382"/>
    <x v="0"/>
    <x v="13"/>
    <x v="12"/>
    <x v="0"/>
    <m/>
    <s v="0768020249"/>
    <s v="KOUADIO KOFFI TEYA              "/>
    <m/>
    <m/>
    <x v="0"/>
    <s v="En couple"/>
    <m/>
    <n v="2"/>
    <n v="1"/>
    <n v="3"/>
  </r>
  <r>
    <n v="387"/>
    <x v="383"/>
    <x v="0"/>
    <x v="13"/>
    <x v="12"/>
    <x v="0"/>
    <m/>
    <m/>
    <s v="KOUADIO KOFFI TEYA              "/>
    <m/>
    <m/>
    <x v="0"/>
    <s v="En couple"/>
    <m/>
    <n v="6"/>
    <n v="4"/>
    <n v="10"/>
  </r>
  <r>
    <n v="388"/>
    <x v="384"/>
    <x v="0"/>
    <x v="13"/>
    <x v="12"/>
    <x v="0"/>
    <m/>
    <s v="0778403663"/>
    <s v="KOUADIO KOFFI TEYA              "/>
    <m/>
    <m/>
    <x v="0"/>
    <s v="En couple"/>
    <m/>
    <n v="4"/>
    <n v="0"/>
    <n v="4"/>
  </r>
  <r>
    <n v="389"/>
    <x v="385"/>
    <x v="0"/>
    <x v="13"/>
    <x v="12"/>
    <x v="0"/>
    <m/>
    <m/>
    <s v="KOUADIO KOFFI TEYA              "/>
    <m/>
    <m/>
    <x v="0"/>
    <s v="En couple"/>
    <m/>
    <n v="1"/>
    <n v="1"/>
    <n v="2"/>
  </r>
  <r>
    <n v="390"/>
    <x v="386"/>
    <x v="0"/>
    <x v="13"/>
    <x v="12"/>
    <x v="0"/>
    <m/>
    <m/>
    <s v="KOUADIO KOFFI TEYA              "/>
    <m/>
    <m/>
    <x v="0"/>
    <s v="En couple"/>
    <m/>
    <n v="0"/>
    <n v="3"/>
    <n v="3"/>
  </r>
  <r>
    <n v="391"/>
    <x v="387"/>
    <x v="0"/>
    <x v="13"/>
    <x v="12"/>
    <x v="0"/>
    <m/>
    <m/>
    <s v="KOUADIO KOFFI TEYA              "/>
    <m/>
    <m/>
    <x v="0"/>
    <s v="En couple"/>
    <m/>
    <n v="2"/>
    <n v="5"/>
    <n v="7"/>
  </r>
  <r>
    <n v="392"/>
    <x v="388"/>
    <x v="0"/>
    <x v="13"/>
    <x v="12"/>
    <x v="0"/>
    <m/>
    <m/>
    <s v="KOUADIO KOFFI TEYA              "/>
    <m/>
    <m/>
    <x v="0"/>
    <s v="En couple"/>
    <m/>
    <n v="3"/>
    <n v="3"/>
    <n v="6"/>
  </r>
  <r>
    <n v="393"/>
    <x v="389"/>
    <x v="0"/>
    <x v="13"/>
    <x v="12"/>
    <x v="0"/>
    <m/>
    <m/>
    <s v="KOUADIO KOFFI TEYA              "/>
    <m/>
    <m/>
    <x v="0"/>
    <s v="En couple"/>
    <m/>
    <n v="2"/>
    <n v="4"/>
    <n v="6"/>
  </r>
  <r>
    <n v="394"/>
    <x v="390"/>
    <x v="0"/>
    <x v="13"/>
    <x v="12"/>
    <x v="0"/>
    <m/>
    <s v="0707535688"/>
    <s v="KOUADIO KOFFI TEYA              "/>
    <m/>
    <m/>
    <x v="0"/>
    <s v="En couple"/>
    <m/>
    <n v="1"/>
    <n v="1"/>
    <n v="2"/>
  </r>
  <r>
    <n v="395"/>
    <x v="391"/>
    <x v="0"/>
    <x v="13"/>
    <x v="12"/>
    <x v="0"/>
    <m/>
    <s v="0747051152"/>
    <s v="KOUADIO KOFFI TEYA              "/>
    <m/>
    <m/>
    <x v="0"/>
    <s v="En couple"/>
    <m/>
    <n v="5"/>
    <n v="2"/>
    <n v="7"/>
  </r>
  <r>
    <n v="396"/>
    <x v="392"/>
    <x v="0"/>
    <x v="13"/>
    <x v="12"/>
    <x v="0"/>
    <m/>
    <m/>
    <s v="KOUADIO KOFFI TEYA              "/>
    <m/>
    <m/>
    <x v="0"/>
    <s v="En couple"/>
    <m/>
    <n v="5"/>
    <n v="1"/>
    <n v="6"/>
  </r>
  <r>
    <n v="397"/>
    <x v="393"/>
    <x v="0"/>
    <x v="13"/>
    <x v="12"/>
    <x v="0"/>
    <m/>
    <m/>
    <s v="KOUADIO KOFFI TEYA              "/>
    <m/>
    <m/>
    <x v="0"/>
    <s v="En couple"/>
    <m/>
    <n v="1"/>
    <n v="2"/>
    <n v="3"/>
  </r>
  <r>
    <n v="398"/>
    <x v="394"/>
    <x v="0"/>
    <x v="13"/>
    <x v="12"/>
    <x v="0"/>
    <m/>
    <m/>
    <s v="KOUADIO KOFFI TEYA              "/>
    <m/>
    <m/>
    <x v="0"/>
    <s v="En couple"/>
    <m/>
    <n v="6"/>
    <n v="4"/>
    <n v="10"/>
  </r>
  <r>
    <n v="399"/>
    <x v="395"/>
    <x v="0"/>
    <x v="13"/>
    <x v="12"/>
    <x v="0"/>
    <m/>
    <m/>
    <s v="KOUADIO KOFFI TEYA              "/>
    <m/>
    <m/>
    <x v="0"/>
    <s v="En couple"/>
    <m/>
    <n v="3"/>
    <n v="3"/>
    <n v="6"/>
  </r>
  <r>
    <n v="400"/>
    <x v="396"/>
    <x v="0"/>
    <x v="13"/>
    <x v="12"/>
    <x v="0"/>
    <m/>
    <m/>
    <s v="KOUADIO KOFFI TEYA              "/>
    <m/>
    <m/>
    <x v="0"/>
    <s v="En couple"/>
    <m/>
    <n v="3"/>
    <n v="7"/>
    <n v="10"/>
  </r>
  <r>
    <n v="401"/>
    <x v="397"/>
    <x v="0"/>
    <x v="13"/>
    <x v="12"/>
    <x v="0"/>
    <m/>
    <s v="0778508735"/>
    <s v="KOUADIO KOFFI TEYA              "/>
    <m/>
    <m/>
    <x v="0"/>
    <s v="En couple"/>
    <m/>
    <n v="3"/>
    <n v="3"/>
    <n v="6"/>
  </r>
  <r>
    <n v="402"/>
    <x v="398"/>
    <x v="0"/>
    <x v="13"/>
    <x v="12"/>
    <x v="0"/>
    <m/>
    <s v="0769208347"/>
    <s v="KOUADIO KOFFI TEYA              "/>
    <m/>
    <m/>
    <x v="0"/>
    <s v="En couple"/>
    <m/>
    <n v="1"/>
    <n v="1"/>
    <n v="2"/>
  </r>
  <r>
    <n v="403"/>
    <x v="399"/>
    <x v="0"/>
    <x v="5"/>
    <x v="12"/>
    <x v="0"/>
    <m/>
    <s v="0759059319"/>
    <s v="KOUADIO KOFFI TEYA              "/>
    <s v="0759059319"/>
    <m/>
    <x v="0"/>
    <s v="En couple"/>
    <m/>
    <n v="2"/>
    <n v="3"/>
    <n v="5"/>
  </r>
  <r>
    <n v="404"/>
    <x v="400"/>
    <x v="0"/>
    <x v="5"/>
    <x v="12"/>
    <x v="0"/>
    <m/>
    <s v="0759059320"/>
    <s v="KOUADIO KOFFI TEYA              "/>
    <s v="0759059320"/>
    <m/>
    <x v="0"/>
    <s v="En couple"/>
    <m/>
    <n v="3"/>
    <n v="3"/>
    <n v="6"/>
  </r>
  <r>
    <n v="405"/>
    <x v="401"/>
    <x v="0"/>
    <x v="5"/>
    <x v="12"/>
    <x v="0"/>
    <m/>
    <m/>
    <s v="KOUADIO KOFFI TEYA              "/>
    <m/>
    <m/>
    <x v="0"/>
    <s v="En couple"/>
    <m/>
    <n v="5"/>
    <n v="4"/>
    <n v="9"/>
  </r>
  <r>
    <n v="406"/>
    <x v="402"/>
    <x v="0"/>
    <x v="5"/>
    <x v="12"/>
    <x v="0"/>
    <m/>
    <s v="0749230357"/>
    <s v="KOUADIO KOFFI TEYA              "/>
    <s v="0749230357"/>
    <m/>
    <x v="0"/>
    <s v="En couple"/>
    <m/>
    <n v="5"/>
    <n v="2"/>
    <n v="7"/>
  </r>
  <r>
    <n v="407"/>
    <x v="403"/>
    <x v="0"/>
    <x v="5"/>
    <x v="12"/>
    <x v="0"/>
    <m/>
    <s v="0768717037"/>
    <s v="KOUADIO KOFFI TEYA              "/>
    <s v="0768717037"/>
    <m/>
    <x v="0"/>
    <s v="En couple"/>
    <m/>
    <n v="4"/>
    <n v="3"/>
    <n v="7"/>
  </r>
  <r>
    <n v="408"/>
    <x v="404"/>
    <x v="0"/>
    <x v="5"/>
    <x v="12"/>
    <x v="0"/>
    <m/>
    <s v="0748281767"/>
    <s v="KOUADIO KOFFI TEYA              "/>
    <s v="0748281767"/>
    <m/>
    <x v="0"/>
    <s v="En couple"/>
    <m/>
    <n v="2"/>
    <n v="3"/>
    <n v="5"/>
  </r>
  <r>
    <n v="409"/>
    <x v="28"/>
    <x v="0"/>
    <x v="5"/>
    <x v="12"/>
    <x v="0"/>
    <m/>
    <s v="0748861943"/>
    <s v="KOUADIO KOFFI TEYA              "/>
    <s v="0748861943"/>
    <m/>
    <x v="0"/>
    <s v="En couple"/>
    <m/>
    <n v="2"/>
    <n v="2"/>
    <n v="4"/>
  </r>
  <r>
    <n v="410"/>
    <x v="405"/>
    <x v="0"/>
    <x v="5"/>
    <x v="12"/>
    <x v="0"/>
    <m/>
    <s v="0748861944"/>
    <s v="KOUADIO KOFFI TEYA              "/>
    <s v="0748861944"/>
    <m/>
    <x v="0"/>
    <s v="En couple"/>
    <m/>
    <n v="2"/>
    <n v="0"/>
    <n v="2"/>
  </r>
  <r>
    <n v="411"/>
    <x v="406"/>
    <x v="0"/>
    <x v="5"/>
    <x v="12"/>
    <x v="0"/>
    <m/>
    <s v="0759048626"/>
    <s v="KOUADIO KOFFI TEYA              "/>
    <s v="0759048626"/>
    <m/>
    <x v="0"/>
    <s v="En couple"/>
    <m/>
    <n v="4"/>
    <n v="0"/>
    <n v="4"/>
  </r>
  <r>
    <n v="412"/>
    <x v="407"/>
    <x v="0"/>
    <x v="5"/>
    <x v="12"/>
    <x v="0"/>
    <m/>
    <m/>
    <s v="KOUADIO KOFFI TEYA              "/>
    <m/>
    <m/>
    <x v="0"/>
    <s v="En couple"/>
    <m/>
    <n v="3"/>
    <n v="0"/>
    <n v="3"/>
  </r>
  <r>
    <n v="413"/>
    <x v="408"/>
    <x v="0"/>
    <x v="5"/>
    <x v="12"/>
    <x v="0"/>
    <m/>
    <m/>
    <s v="KOUADIO KOFFI TEYA              "/>
    <m/>
    <m/>
    <x v="0"/>
    <s v="En couple"/>
    <m/>
    <n v="1"/>
    <n v="3"/>
    <n v="4"/>
  </r>
  <r>
    <n v="414"/>
    <x v="409"/>
    <x v="0"/>
    <x v="5"/>
    <x v="12"/>
    <x v="0"/>
    <m/>
    <s v="0758179438"/>
    <s v="KOUADIO KOFFI TEYA              "/>
    <s v="0758179438"/>
    <m/>
    <x v="0"/>
    <s v="En couple"/>
    <m/>
    <n v="3"/>
    <n v="0"/>
    <n v="3"/>
  </r>
  <r>
    <n v="415"/>
    <x v="410"/>
    <x v="0"/>
    <x v="5"/>
    <x v="12"/>
    <x v="0"/>
    <m/>
    <s v="0747943419"/>
    <s v="KOUADIO KOFFI TEYA              "/>
    <s v="0747943419"/>
    <m/>
    <x v="0"/>
    <s v="En couple"/>
    <m/>
    <n v="2"/>
    <n v="2"/>
    <n v="4"/>
  </r>
  <r>
    <n v="416"/>
    <x v="411"/>
    <x v="0"/>
    <x v="5"/>
    <x v="12"/>
    <x v="0"/>
    <m/>
    <s v="0707532772"/>
    <s v="KOUADIO KOFFI TEYA              "/>
    <s v="0707532772"/>
    <m/>
    <x v="0"/>
    <s v="En couple"/>
    <m/>
    <n v="1"/>
    <n v="1"/>
    <n v="2"/>
  </r>
  <r>
    <n v="417"/>
    <x v="412"/>
    <x v="0"/>
    <x v="5"/>
    <x v="12"/>
    <x v="0"/>
    <m/>
    <m/>
    <s v="KOUADIO KOFFI TEYA              "/>
    <m/>
    <m/>
    <x v="1"/>
    <s v="En couple"/>
    <m/>
    <n v="5"/>
    <n v="3"/>
    <n v="8"/>
  </r>
  <r>
    <n v="418"/>
    <x v="413"/>
    <x v="0"/>
    <x v="5"/>
    <x v="12"/>
    <x v="0"/>
    <m/>
    <s v="0787335336"/>
    <s v="KOUADIO KOFFI TEYA              "/>
    <s v="0787335336"/>
    <m/>
    <x v="0"/>
    <s v="En couple"/>
    <m/>
    <n v="2"/>
    <n v="2"/>
    <n v="4"/>
  </r>
  <r>
    <n v="419"/>
    <x v="414"/>
    <x v="0"/>
    <x v="5"/>
    <x v="12"/>
    <x v="0"/>
    <m/>
    <m/>
    <s v="KOUADIO KOFFI TEYA              "/>
    <m/>
    <m/>
    <x v="0"/>
    <s v="En couple"/>
    <m/>
    <n v="4"/>
    <n v="2"/>
    <n v="6"/>
  </r>
  <r>
    <n v="420"/>
    <x v="415"/>
    <x v="0"/>
    <x v="5"/>
    <x v="12"/>
    <x v="0"/>
    <m/>
    <s v="0759061291"/>
    <s v="KOUADIO KOFFI TEYA              "/>
    <s v="0759061291"/>
    <m/>
    <x v="0"/>
    <s v="En couple"/>
    <m/>
    <n v="1"/>
    <n v="1"/>
    <n v="2"/>
  </r>
  <r>
    <n v="421"/>
    <x v="416"/>
    <x v="0"/>
    <x v="5"/>
    <x v="12"/>
    <x v="0"/>
    <m/>
    <s v="0709117707"/>
    <s v="KOUADIO KOFFI TEYA              "/>
    <s v="0709117707"/>
    <m/>
    <x v="0"/>
    <s v="En couple"/>
    <m/>
    <n v="1"/>
    <n v="0"/>
    <n v="1"/>
  </r>
  <r>
    <n v="422"/>
    <x v="417"/>
    <x v="0"/>
    <x v="5"/>
    <x v="12"/>
    <x v="0"/>
    <m/>
    <m/>
    <s v="KOUADIO KOFFI TEYA              "/>
    <m/>
    <m/>
    <x v="0"/>
    <s v="En couple"/>
    <m/>
    <n v="1"/>
    <n v="0"/>
    <n v="1"/>
  </r>
  <r>
    <n v="423"/>
    <x v="418"/>
    <x v="0"/>
    <x v="5"/>
    <x v="12"/>
    <x v="0"/>
    <m/>
    <s v="0787556172"/>
    <s v="KOUADIO KOFFI TEYA              "/>
    <s v="0787556172"/>
    <m/>
    <x v="0"/>
    <s v="En couple"/>
    <m/>
    <n v="1"/>
    <n v="0"/>
    <n v="1"/>
  </r>
  <r>
    <n v="424"/>
    <x v="419"/>
    <x v="0"/>
    <x v="5"/>
    <x v="12"/>
    <x v="0"/>
    <m/>
    <s v="0757720313"/>
    <s v="KOUADIO KOFFI TEYA              "/>
    <s v="0757720313"/>
    <m/>
    <x v="0"/>
    <s v="En couple"/>
    <m/>
    <n v="4"/>
    <n v="1"/>
    <n v="5"/>
  </r>
  <r>
    <n v="425"/>
    <x v="420"/>
    <x v="0"/>
    <x v="5"/>
    <x v="12"/>
    <x v="0"/>
    <m/>
    <s v="0788032500"/>
    <s v="KOUADIO KOFFI TEYA              "/>
    <s v="0788032500"/>
    <m/>
    <x v="0"/>
    <s v="En couple"/>
    <m/>
    <n v="2"/>
    <n v="6"/>
    <n v="8"/>
  </r>
  <r>
    <n v="426"/>
    <x v="421"/>
    <x v="0"/>
    <x v="5"/>
    <x v="12"/>
    <x v="0"/>
    <m/>
    <s v="0747728741"/>
    <s v="KOUADIO KOFFI TEYA              "/>
    <s v="0747728741"/>
    <m/>
    <x v="0"/>
    <s v="En couple"/>
    <m/>
    <n v="1"/>
    <n v="5"/>
    <n v="6"/>
  </r>
  <r>
    <n v="427"/>
    <x v="422"/>
    <x v="0"/>
    <x v="5"/>
    <x v="12"/>
    <x v="0"/>
    <m/>
    <m/>
    <s v="KOUADIO KOFFI TEYA              "/>
    <m/>
    <m/>
    <x v="0"/>
    <s v="En couple"/>
    <m/>
    <n v="1"/>
    <n v="0"/>
    <n v="1"/>
  </r>
  <r>
    <n v="428"/>
    <x v="423"/>
    <x v="0"/>
    <x v="5"/>
    <x v="12"/>
    <x v="0"/>
    <m/>
    <s v="0759049527"/>
    <s v="KOUADIO KOFFI TEYA              "/>
    <s v="0759049527"/>
    <m/>
    <x v="0"/>
    <s v="En couple"/>
    <m/>
    <n v="5"/>
    <n v="3"/>
    <n v="8"/>
  </r>
  <r>
    <n v="429"/>
    <x v="424"/>
    <x v="0"/>
    <x v="5"/>
    <x v="12"/>
    <x v="0"/>
    <m/>
    <s v="0758947159"/>
    <s v="KOUADIO KOFFI TEYA              "/>
    <s v="0758947159"/>
    <m/>
    <x v="0"/>
    <s v="En couple"/>
    <m/>
    <n v="0"/>
    <n v="3"/>
    <n v="3"/>
  </r>
  <r>
    <n v="430"/>
    <x v="425"/>
    <x v="0"/>
    <x v="5"/>
    <x v="12"/>
    <x v="0"/>
    <m/>
    <s v="0759068549"/>
    <s v="KOUADIO KOFFI TEYA              "/>
    <s v="0759068549"/>
    <m/>
    <x v="0"/>
    <s v="En couple"/>
    <m/>
    <n v="0"/>
    <n v="2"/>
    <n v="2"/>
  </r>
  <r>
    <n v="431"/>
    <x v="425"/>
    <x v="0"/>
    <x v="5"/>
    <x v="12"/>
    <x v="0"/>
    <m/>
    <s v="0747786331"/>
    <s v="KOUADIO KOFFI TEYA              "/>
    <s v="0747786331"/>
    <m/>
    <x v="0"/>
    <s v="En couple"/>
    <m/>
    <n v="4"/>
    <n v="2"/>
    <n v="6"/>
  </r>
  <r>
    <n v="432"/>
    <x v="426"/>
    <x v="0"/>
    <x v="5"/>
    <x v="12"/>
    <x v="0"/>
    <m/>
    <m/>
    <s v="KOUADIO KOFFI TEYA              "/>
    <s v="0747541533"/>
    <m/>
    <x v="0"/>
    <s v="En couple"/>
    <m/>
    <n v="4"/>
    <n v="5"/>
    <n v="9"/>
  </r>
  <r>
    <n v="433"/>
    <x v="427"/>
    <x v="0"/>
    <x v="14"/>
    <x v="13"/>
    <x v="0"/>
    <m/>
    <m/>
    <s v="KOUADIO KOFFI TEYA              "/>
    <s v="0768393330"/>
    <m/>
    <x v="0"/>
    <s v="En couple"/>
    <s v="RESTAURATRICE"/>
    <n v="2"/>
    <n v="4"/>
    <n v="6"/>
  </r>
  <r>
    <n v="434"/>
    <x v="428"/>
    <x v="0"/>
    <x v="14"/>
    <x v="13"/>
    <x v="0"/>
    <m/>
    <m/>
    <s v="KOUADIO KOFFI TEYA              "/>
    <s v="0748768861"/>
    <m/>
    <x v="0"/>
    <s v="En couple"/>
    <s v="COMMERCENTE"/>
    <n v="2"/>
    <m/>
    <n v="2"/>
  </r>
  <r>
    <n v="435"/>
    <x v="429"/>
    <x v="0"/>
    <x v="14"/>
    <x v="13"/>
    <x v="0"/>
    <m/>
    <m/>
    <s v="KOUADIO KOFFI TEYA              "/>
    <s v="0759061349"/>
    <m/>
    <x v="0"/>
    <s v="En couple"/>
    <s v="COMMERCENTE"/>
    <n v="4"/>
    <n v="5"/>
    <n v="9"/>
  </r>
  <r>
    <n v="436"/>
    <x v="430"/>
    <x v="0"/>
    <x v="14"/>
    <x v="13"/>
    <x v="0"/>
    <m/>
    <m/>
    <s v="KOUADIO KOFFI TEYA              "/>
    <s v="0747012014"/>
    <m/>
    <x v="0"/>
    <s v="En couple"/>
    <s v="COMMERCENTE"/>
    <n v="5"/>
    <n v="5"/>
    <n v="10"/>
  </r>
  <r>
    <n v="437"/>
    <x v="431"/>
    <x v="0"/>
    <x v="14"/>
    <x v="13"/>
    <x v="0"/>
    <m/>
    <m/>
    <s v="KOUADIO KOFFI TEYA              "/>
    <s v="0769096196"/>
    <m/>
    <x v="0"/>
    <s v="En couple"/>
    <s v="COMMERCENTE"/>
    <m/>
    <n v="6"/>
    <n v="6"/>
  </r>
  <r>
    <n v="438"/>
    <x v="432"/>
    <x v="0"/>
    <x v="14"/>
    <x v="13"/>
    <x v="0"/>
    <m/>
    <m/>
    <s v="KOUADIO KOFFI TEYA              "/>
    <s v="0769859184"/>
    <m/>
    <x v="0"/>
    <s v="En couple"/>
    <s v="VENDEUSE D'HABIT"/>
    <n v="3"/>
    <n v="3"/>
    <n v="6"/>
  </r>
  <r>
    <n v="439"/>
    <x v="433"/>
    <x v="0"/>
    <x v="14"/>
    <x v="13"/>
    <x v="0"/>
    <m/>
    <m/>
    <s v="KOUADIO KOFFI TEYA              "/>
    <s v="0546818908"/>
    <m/>
    <x v="0"/>
    <s v="celibataire"/>
    <s v="COMMERCENTE"/>
    <n v="1"/>
    <n v="3"/>
    <n v="4"/>
  </r>
  <r>
    <n v="440"/>
    <x v="434"/>
    <x v="0"/>
    <x v="14"/>
    <x v="13"/>
    <x v="0"/>
    <m/>
    <m/>
    <s v="KOUADIO KOFFI TEYA              "/>
    <s v="0758178839"/>
    <m/>
    <x v="0"/>
    <s v="En couple"/>
    <s v="COMMERCENTE"/>
    <n v="1"/>
    <n v="1"/>
    <n v="2"/>
  </r>
  <r>
    <n v="441"/>
    <x v="435"/>
    <x v="0"/>
    <x v="14"/>
    <x v="13"/>
    <x v="0"/>
    <m/>
    <m/>
    <s v="KOUADIO KOFFI TEYA              "/>
    <s v="0749679733"/>
    <m/>
    <x v="0"/>
    <s v="En couple"/>
    <s v="COMMERCENTE"/>
    <n v="4"/>
    <n v="4"/>
    <n v="8"/>
  </r>
  <r>
    <n v="442"/>
    <x v="436"/>
    <x v="0"/>
    <x v="14"/>
    <x v="13"/>
    <x v="0"/>
    <m/>
    <m/>
    <s v="KOUADIO KOFFI TEYA              "/>
    <s v="O779181316"/>
    <m/>
    <x v="0"/>
    <s v="En couple"/>
    <s v="COMMERCENTE"/>
    <n v="3"/>
    <n v="6"/>
    <n v="9"/>
  </r>
  <r>
    <n v="443"/>
    <x v="437"/>
    <x v="0"/>
    <x v="14"/>
    <x v="13"/>
    <x v="0"/>
    <m/>
    <m/>
    <s v="KOUADIO KOFFI TEYA              "/>
    <s v="0748063998"/>
    <m/>
    <x v="0"/>
    <s v="En couple"/>
    <s v="COMMERCENTE"/>
    <n v="2"/>
    <n v="3"/>
    <n v="5"/>
  </r>
  <r>
    <n v="444"/>
    <x v="438"/>
    <x v="0"/>
    <x v="14"/>
    <x v="13"/>
    <x v="0"/>
    <m/>
    <m/>
    <s v="KOUADIO KOFFI TEYA              "/>
    <s v="07488O4658"/>
    <m/>
    <x v="0"/>
    <s v="En couple"/>
    <s v="COMMERCENTE"/>
    <n v="4"/>
    <n v="4"/>
    <n v="8"/>
  </r>
  <r>
    <n v="445"/>
    <x v="439"/>
    <x v="0"/>
    <x v="14"/>
    <x v="13"/>
    <x v="0"/>
    <m/>
    <m/>
    <s v="KOUADIO KOFFI TEYA              "/>
    <s v="O767519823"/>
    <m/>
    <x v="0"/>
    <s v="En couple"/>
    <s v="COMMERCENTE"/>
    <n v="4"/>
    <n v="4"/>
    <n v="8"/>
  </r>
  <r>
    <n v="446"/>
    <x v="440"/>
    <x v="0"/>
    <x v="14"/>
    <x v="13"/>
    <x v="0"/>
    <m/>
    <m/>
    <s v="KOUADIO KOFFI TEYA              "/>
    <s v="0708197932"/>
    <m/>
    <x v="0"/>
    <s v="En couple"/>
    <s v="COMMERCENTE"/>
    <n v="2"/>
    <n v="2"/>
    <n v="4"/>
  </r>
  <r>
    <n v="447"/>
    <x v="441"/>
    <x v="0"/>
    <x v="14"/>
    <x v="13"/>
    <x v="0"/>
    <m/>
    <m/>
    <s v="KOUADIO KOFFI TEYA              "/>
    <s v="0787999343"/>
    <m/>
    <x v="1"/>
    <s v="En couple"/>
    <s v="COMMERCENT"/>
    <n v="1"/>
    <n v="2"/>
    <n v="3"/>
  </r>
  <r>
    <n v="448"/>
    <x v="442"/>
    <x v="0"/>
    <x v="14"/>
    <x v="13"/>
    <x v="0"/>
    <m/>
    <m/>
    <s v="KOUADIO KOFFI TEYA              "/>
    <s v="0708143190"/>
    <m/>
    <x v="0"/>
    <s v="En couple"/>
    <s v="COMMERCANTE"/>
    <n v="2"/>
    <n v="2"/>
    <n v="4"/>
  </r>
  <r>
    <n v="449"/>
    <x v="443"/>
    <x v="0"/>
    <x v="14"/>
    <x v="13"/>
    <x v="0"/>
    <m/>
    <m/>
    <s v="KOUADIO KOFFI TEYA              "/>
    <s v="0788168862"/>
    <m/>
    <x v="0"/>
    <s v="En couple"/>
    <s v="COMMERCANTE"/>
    <n v="1"/>
    <n v="1"/>
    <n v="2"/>
  </r>
  <r>
    <n v="450"/>
    <x v="444"/>
    <x v="0"/>
    <x v="14"/>
    <x v="13"/>
    <x v="0"/>
    <m/>
    <m/>
    <s v="KOUADIO KOFFI TEYA              "/>
    <s v="0759059450"/>
    <m/>
    <x v="0"/>
    <s v="En couple"/>
    <s v="COMMERCANTE"/>
    <n v="2"/>
    <n v="3"/>
    <n v="5"/>
  </r>
  <r>
    <n v="451"/>
    <x v="445"/>
    <x v="0"/>
    <x v="14"/>
    <x v="13"/>
    <x v="0"/>
    <m/>
    <m/>
    <s v="KOUADIO KOFFI TEYA              "/>
    <s v="0759050212"/>
    <m/>
    <x v="1"/>
    <s v="celibataire"/>
    <s v="COMMERCANT"/>
    <n v="1"/>
    <m/>
    <n v="1"/>
  </r>
  <r>
    <n v="452"/>
    <x v="446"/>
    <x v="0"/>
    <x v="15"/>
    <x v="13"/>
    <x v="0"/>
    <m/>
    <m/>
    <s v="KOUADIO KOFFI TEYA              "/>
    <s v="O787341875"/>
    <m/>
    <x v="0"/>
    <s v="En couple"/>
    <s v="COMMERCANTE"/>
    <n v="1"/>
    <n v="3"/>
    <n v="4"/>
  </r>
  <r>
    <n v="453"/>
    <x v="447"/>
    <x v="0"/>
    <x v="15"/>
    <x v="13"/>
    <x v="0"/>
    <m/>
    <m/>
    <s v="KOUADIO KOFFI TEYA              "/>
    <s v="0758643130"/>
    <m/>
    <x v="1"/>
    <s v="En couple"/>
    <s v="COMMERCANT "/>
    <n v="1"/>
    <n v="3"/>
    <n v="4"/>
  </r>
  <r>
    <n v="454"/>
    <x v="448"/>
    <x v="0"/>
    <x v="15"/>
    <x v="13"/>
    <x v="0"/>
    <m/>
    <m/>
    <s v="KOUADIO KOFFI TEYA              "/>
    <s v="0787339390"/>
    <m/>
    <x v="0"/>
    <s v="En couple"/>
    <s v="COMMERCANTE"/>
    <n v="4"/>
    <n v="2"/>
    <n v="6"/>
  </r>
  <r>
    <n v="455"/>
    <x v="449"/>
    <x v="0"/>
    <x v="15"/>
    <x v="13"/>
    <x v="0"/>
    <m/>
    <m/>
    <s v="KOUADIO KOFFI TEYA              "/>
    <s v="0708962921"/>
    <m/>
    <x v="0"/>
    <s v="En couple"/>
    <s v="COMMERCANTE"/>
    <n v="4"/>
    <m/>
    <n v="4"/>
  </r>
  <r>
    <n v="456"/>
    <x v="450"/>
    <x v="0"/>
    <x v="15"/>
    <x v="13"/>
    <x v="0"/>
    <m/>
    <m/>
    <s v="KOUADIO KOFFI TEYA              "/>
    <s v="0759852526"/>
    <m/>
    <x v="0"/>
    <s v="En couple"/>
    <s v="COMMERCANTE"/>
    <m/>
    <n v="2"/>
    <n v="2"/>
  </r>
  <r>
    <n v="457"/>
    <x v="451"/>
    <x v="0"/>
    <x v="15"/>
    <x v="13"/>
    <x v="0"/>
    <m/>
    <m/>
    <s v="KOUADIO KOFFI TEYA              "/>
    <s v="0703243184"/>
    <m/>
    <x v="0"/>
    <s v="En couple"/>
    <s v="COMMERCANTE"/>
    <n v="2"/>
    <n v="2"/>
    <n v="4"/>
  </r>
  <r>
    <n v="458"/>
    <x v="452"/>
    <x v="0"/>
    <x v="15"/>
    <x v="13"/>
    <x v="0"/>
    <m/>
    <m/>
    <s v="KOUADIO KOFFI TEYA              "/>
    <s v="0759101560"/>
    <m/>
    <x v="0"/>
    <s v="En couple"/>
    <s v="COMMERCANTE"/>
    <n v="2"/>
    <n v="4"/>
    <n v="6"/>
  </r>
  <r>
    <n v="459"/>
    <x v="453"/>
    <x v="0"/>
    <x v="15"/>
    <x v="13"/>
    <x v="0"/>
    <m/>
    <m/>
    <s v="KOUADIO KOFFI TEYA              "/>
    <s v="0787860856"/>
    <m/>
    <x v="0"/>
    <s v="En couple"/>
    <s v="COUTURIERE"/>
    <n v="1"/>
    <n v="1"/>
    <n v="2"/>
  </r>
  <r>
    <n v="460"/>
    <x v="454"/>
    <x v="0"/>
    <x v="15"/>
    <x v="13"/>
    <x v="0"/>
    <m/>
    <m/>
    <s v="KOUADIO KOFFI TEYA              "/>
    <s v="0759949388"/>
    <m/>
    <x v="0"/>
    <s v="En couple"/>
    <s v="COMMERCANTE"/>
    <n v="1"/>
    <n v="5"/>
    <n v="6"/>
  </r>
  <r>
    <n v="461"/>
    <x v="455"/>
    <x v="0"/>
    <x v="15"/>
    <x v="13"/>
    <x v="0"/>
    <m/>
    <m/>
    <s v="KOUADIO KOFFI TEYA              "/>
    <s v="0758948388"/>
    <m/>
    <x v="0"/>
    <s v="En couple"/>
    <s v="COMMERCANTE"/>
    <n v="2"/>
    <n v="3"/>
    <n v="5"/>
  </r>
  <r>
    <n v="462"/>
    <x v="456"/>
    <x v="0"/>
    <x v="15"/>
    <x v="13"/>
    <x v="0"/>
    <m/>
    <m/>
    <s v="KOUADIO KOFFI TEYA              "/>
    <s v="0758705034"/>
    <m/>
    <x v="0"/>
    <s v="En couple"/>
    <s v="COMMERCANTE"/>
    <n v="2"/>
    <n v="2"/>
    <n v="4"/>
  </r>
  <r>
    <n v="463"/>
    <x v="457"/>
    <x v="0"/>
    <x v="15"/>
    <x v="13"/>
    <x v="0"/>
    <m/>
    <m/>
    <s v="KOUADIO KOFFI TEYA              "/>
    <s v="0709261042"/>
    <m/>
    <x v="1"/>
    <s v="celibataire"/>
    <s v="PLANTEUR"/>
    <m/>
    <n v="1"/>
    <n v="1"/>
  </r>
  <r>
    <n v="464"/>
    <x v="458"/>
    <x v="0"/>
    <x v="15"/>
    <x v="13"/>
    <x v="0"/>
    <m/>
    <m/>
    <s v="KOUADIO KOFFI TEYA              "/>
    <s v="0769077487"/>
    <m/>
    <x v="1"/>
    <s v="celibataire"/>
    <s v="COMMERCANTE"/>
    <n v="1"/>
    <n v="0"/>
    <n v="1"/>
  </r>
  <r>
    <n v="465"/>
    <x v="459"/>
    <x v="0"/>
    <x v="15"/>
    <x v="13"/>
    <x v="0"/>
    <m/>
    <m/>
    <s v="KOUADIO KOFFI TEYA              "/>
    <s v="0757281391"/>
    <m/>
    <x v="0"/>
    <s v="En couple"/>
    <s v="COMMERCANTE"/>
    <n v="5"/>
    <n v="2"/>
    <n v="7"/>
  </r>
  <r>
    <n v="466"/>
    <x v="460"/>
    <x v="0"/>
    <x v="15"/>
    <x v="13"/>
    <x v="0"/>
    <m/>
    <m/>
    <s v="KOUADIO KOFFI TEYA              "/>
    <s v="0758197890"/>
    <m/>
    <x v="0"/>
    <s v="En couple"/>
    <s v="COMMERCANTE"/>
    <n v="2"/>
    <n v="2"/>
    <n v="4"/>
  </r>
  <r>
    <n v="467"/>
    <x v="461"/>
    <x v="0"/>
    <x v="15"/>
    <x v="13"/>
    <x v="0"/>
    <m/>
    <m/>
    <s v="KOUADIO KOFFI TEYA              "/>
    <s v="0749291300"/>
    <m/>
    <x v="0"/>
    <s v="En couple"/>
    <s v="COMMERCANTE"/>
    <n v="1"/>
    <n v="1"/>
    <n v="2"/>
  </r>
  <r>
    <n v="468"/>
    <x v="462"/>
    <x v="0"/>
    <x v="15"/>
    <x v="13"/>
    <x v="0"/>
    <m/>
    <m/>
    <s v="KOUADIO KOFFI TEYA              "/>
    <s v="0747971493"/>
    <m/>
    <x v="0"/>
    <s v="En couple"/>
    <s v="COMMERCANTE"/>
    <n v="1"/>
    <n v="1"/>
    <n v="2"/>
  </r>
  <r>
    <n v="469"/>
    <x v="463"/>
    <x v="0"/>
    <x v="15"/>
    <x v="13"/>
    <x v="0"/>
    <m/>
    <m/>
    <s v="KOUADIO KOFFI TEYA              "/>
    <s v="0767774477"/>
    <m/>
    <x v="0"/>
    <s v="En couple"/>
    <s v="COMMRECANTE"/>
    <m/>
    <n v="1"/>
    <n v="1"/>
  </r>
  <r>
    <n v="470"/>
    <x v="464"/>
    <x v="0"/>
    <x v="15"/>
    <x v="13"/>
    <x v="0"/>
    <m/>
    <m/>
    <s v="KOUADIO KOFFI TEYA              "/>
    <s v="0757547430"/>
    <m/>
    <x v="0"/>
    <s v="En couple"/>
    <s v="COMMERCANTE"/>
    <m/>
    <n v="1"/>
    <n v="1"/>
  </r>
  <r>
    <n v="471"/>
    <x v="465"/>
    <x v="0"/>
    <x v="15"/>
    <x v="13"/>
    <x v="0"/>
    <m/>
    <m/>
    <s v="KOUADIO KOFFI TEYA              "/>
    <s v="0758602595"/>
    <m/>
    <x v="1"/>
    <s v="celibataire"/>
    <s v="PLANTEUR"/>
    <n v="1"/>
    <m/>
    <n v="1"/>
  </r>
  <r>
    <n v="472"/>
    <x v="466"/>
    <x v="0"/>
    <x v="15"/>
    <x v="13"/>
    <x v="0"/>
    <m/>
    <m/>
    <s v="KOUADIO KOFFI TEYA              "/>
    <m/>
    <m/>
    <x v="0"/>
    <s v="En couple"/>
    <s v="COMMERCANTE"/>
    <n v="2"/>
    <n v="2"/>
    <n v="4"/>
  </r>
  <r>
    <n v="473"/>
    <x v="467"/>
    <x v="0"/>
    <x v="16"/>
    <x v="14"/>
    <x v="0"/>
    <m/>
    <m/>
    <s v="KOUADIO KOFFI TEYA              "/>
    <s v="0748156946"/>
    <m/>
    <x v="0"/>
    <s v="celibataire"/>
    <s v="COMMERCENTE"/>
    <n v="2"/>
    <n v="2"/>
    <n v="4"/>
  </r>
  <r>
    <n v="474"/>
    <x v="468"/>
    <x v="0"/>
    <x v="16"/>
    <x v="14"/>
    <x v="0"/>
    <m/>
    <m/>
    <s v="KOUADIO KOFFI TEYA              "/>
    <s v="0788933583"/>
    <m/>
    <x v="0"/>
    <s v="celibataire"/>
    <s v="COMMERCENTE"/>
    <n v="1"/>
    <m/>
    <n v="1"/>
  </r>
  <r>
    <n v="475"/>
    <x v="469"/>
    <x v="0"/>
    <x v="16"/>
    <x v="14"/>
    <x v="0"/>
    <m/>
    <m/>
    <s v="KOUADIO KOFFI TEYA              "/>
    <s v="0788831523"/>
    <m/>
    <x v="0"/>
    <s v="VEUVRE"/>
    <s v="COMMERCENTE"/>
    <n v="2"/>
    <n v="3"/>
    <n v="5"/>
  </r>
  <r>
    <n v="476"/>
    <x v="470"/>
    <x v="0"/>
    <x v="16"/>
    <x v="14"/>
    <x v="0"/>
    <m/>
    <m/>
    <s v="KOUADIO KOFFI TEYA              "/>
    <s v="0709238803"/>
    <m/>
    <x v="0"/>
    <s v="En couple"/>
    <s v="COMMERCENTE"/>
    <n v="3"/>
    <n v="2"/>
    <n v="5"/>
  </r>
  <r>
    <n v="477"/>
    <x v="471"/>
    <x v="0"/>
    <x v="16"/>
    <x v="14"/>
    <x v="0"/>
    <m/>
    <m/>
    <s v="KOUADIO KOFFI TEYA              "/>
    <s v="0777707686"/>
    <m/>
    <x v="0"/>
    <s v="En couple"/>
    <s v="COMMERCENTE"/>
    <n v="3"/>
    <n v="1"/>
    <n v="4"/>
  </r>
  <r>
    <n v="478"/>
    <x v="472"/>
    <x v="0"/>
    <x v="16"/>
    <x v="14"/>
    <x v="0"/>
    <m/>
    <m/>
    <s v="KOUADIO KOFFI TEYA              "/>
    <s v="0758108060"/>
    <m/>
    <x v="0"/>
    <s v="VEUVRE"/>
    <s v="COMMERCENTE"/>
    <n v="1"/>
    <m/>
    <n v="1"/>
  </r>
  <r>
    <n v="479"/>
    <x v="473"/>
    <x v="0"/>
    <x v="16"/>
    <x v="14"/>
    <x v="0"/>
    <m/>
    <m/>
    <s v="KOUADIO KOFFI TEYA              "/>
    <s v="0747098045"/>
    <m/>
    <x v="1"/>
    <s v="celibataire"/>
    <s v="COMMERCENTE"/>
    <n v="3"/>
    <n v="2"/>
    <n v="5"/>
  </r>
  <r>
    <n v="480"/>
    <x v="423"/>
    <x v="0"/>
    <x v="16"/>
    <x v="14"/>
    <x v="0"/>
    <m/>
    <m/>
    <s v="KOUADIO KOFFI TEYA              "/>
    <s v="0787018472"/>
    <m/>
    <x v="0"/>
    <s v="En couple"/>
    <s v="COMMERCENT"/>
    <n v="1"/>
    <m/>
    <n v="1"/>
  </r>
  <r>
    <n v="481"/>
    <x v="474"/>
    <x v="0"/>
    <x v="16"/>
    <x v="14"/>
    <x v="0"/>
    <m/>
    <m/>
    <s v="KOUADIO KOFFI TEYA              "/>
    <s v="0778439727"/>
    <m/>
    <x v="0"/>
    <s v="En couple"/>
    <s v="COMMERCANTE"/>
    <n v="1"/>
    <m/>
    <n v="1"/>
  </r>
  <r>
    <n v="482"/>
    <x v="475"/>
    <x v="0"/>
    <x v="16"/>
    <x v="14"/>
    <x v="0"/>
    <m/>
    <m/>
    <s v="KOUADIO KOFFI TEYA              "/>
    <s v="O707189430"/>
    <m/>
    <x v="0"/>
    <s v="En couple"/>
    <s v="COMMERCANTE"/>
    <n v="1"/>
    <n v="3"/>
    <n v="4"/>
  </r>
  <r>
    <n v="483"/>
    <x v="476"/>
    <x v="0"/>
    <x v="16"/>
    <x v="14"/>
    <x v="0"/>
    <m/>
    <m/>
    <s v="KOUADIO KOFFI TEYA              "/>
    <s v="0709552399"/>
    <m/>
    <x v="0"/>
    <s v="celibataire"/>
    <s v="COMMERCANTE"/>
    <n v="1"/>
    <n v="3"/>
    <n v="4"/>
  </r>
  <r>
    <n v="484"/>
    <x v="477"/>
    <x v="0"/>
    <x v="16"/>
    <x v="14"/>
    <x v="0"/>
    <m/>
    <m/>
    <s v="KOUADIO KOFFI TEYA              "/>
    <s v="0708034803"/>
    <m/>
    <x v="0"/>
    <s v="En couple"/>
    <s v="COMMERCANTE"/>
    <n v="1"/>
    <n v="1"/>
    <n v="2"/>
  </r>
  <r>
    <n v="485"/>
    <x v="478"/>
    <x v="0"/>
    <x v="16"/>
    <x v="14"/>
    <x v="0"/>
    <m/>
    <m/>
    <s v="KOUADIO KOFFI TEYA              "/>
    <s v="0748861996"/>
    <m/>
    <x v="0"/>
    <s v="celibataire"/>
    <s v="COMMERCANTE"/>
    <n v="2"/>
    <n v="3"/>
    <n v="5"/>
  </r>
  <r>
    <n v="486"/>
    <x v="479"/>
    <x v="0"/>
    <x v="16"/>
    <x v="14"/>
    <x v="0"/>
    <m/>
    <m/>
    <s v="KOUADIO KOFFI TEYA              "/>
    <s v="0707502349"/>
    <m/>
    <x v="0"/>
    <s v="celibataire"/>
    <s v="COMMERCANTE"/>
    <n v="1"/>
    <m/>
    <n v="1"/>
  </r>
  <r>
    <n v="487"/>
    <x v="480"/>
    <x v="0"/>
    <x v="16"/>
    <x v="14"/>
    <x v="0"/>
    <m/>
    <m/>
    <s v="KOUADIO KOFFI TEYA              "/>
    <s v="0759055844"/>
    <m/>
    <x v="0"/>
    <s v="celibataire"/>
    <s v="COMMERCANTE"/>
    <m/>
    <n v="1"/>
    <n v="1"/>
  </r>
  <r>
    <n v="488"/>
    <x v="481"/>
    <x v="0"/>
    <x v="16"/>
    <x v="14"/>
    <x v="0"/>
    <m/>
    <m/>
    <s v="KOUADIO KOFFI TEYA              "/>
    <s v="0758508184"/>
    <m/>
    <x v="0"/>
    <s v="En couple"/>
    <s v="COMMERCANTE"/>
    <n v="1"/>
    <n v="5"/>
    <n v="6"/>
  </r>
  <r>
    <n v="489"/>
    <x v="482"/>
    <x v="0"/>
    <x v="16"/>
    <x v="14"/>
    <x v="0"/>
    <m/>
    <m/>
    <s v="KOUADIO KOFFI TEYA              "/>
    <s v="0709101926"/>
    <m/>
    <x v="0"/>
    <s v="celibataire"/>
    <s v="COMMERCANTE"/>
    <m/>
    <n v="1"/>
    <n v="1"/>
  </r>
  <r>
    <n v="490"/>
    <x v="483"/>
    <x v="0"/>
    <x v="16"/>
    <x v="14"/>
    <x v="0"/>
    <m/>
    <m/>
    <s v="KOUADIO KOFFI TEYA              "/>
    <s v="0777707466"/>
    <m/>
    <x v="0"/>
    <s v="En couple"/>
    <s v="COMMERCANTE"/>
    <n v="1"/>
    <n v="2"/>
    <n v="3"/>
  </r>
  <r>
    <n v="491"/>
    <x v="484"/>
    <x v="0"/>
    <x v="16"/>
    <x v="14"/>
    <x v="0"/>
    <m/>
    <m/>
    <s v="KOUADIO KOFFI TEYA              "/>
    <s v="0747105251"/>
    <m/>
    <x v="0"/>
    <s v="En couple"/>
    <s v="COMMERCANTE"/>
    <n v="1"/>
    <n v="1"/>
    <n v="2"/>
  </r>
  <r>
    <n v="492"/>
    <x v="485"/>
    <x v="0"/>
    <x v="16"/>
    <x v="14"/>
    <x v="0"/>
    <m/>
    <m/>
    <s v="KOUADIO KOFFI TEYA              "/>
    <s v="0757048084"/>
    <m/>
    <x v="0"/>
    <s v="celibataire"/>
    <s v="COMMERCANTE"/>
    <m/>
    <n v="1"/>
    <n v="1"/>
  </r>
  <r>
    <n v="493"/>
    <x v="486"/>
    <x v="0"/>
    <x v="16"/>
    <x v="14"/>
    <x v="0"/>
    <m/>
    <m/>
    <s v="KOUADIO KOFFI TEYA              "/>
    <s v="0707070536"/>
    <m/>
    <x v="1"/>
    <s v="En couple"/>
    <s v="COMMERCANT"/>
    <n v="3"/>
    <m/>
    <n v="3"/>
  </r>
  <r>
    <n v="494"/>
    <x v="487"/>
    <x v="0"/>
    <x v="16"/>
    <x v="14"/>
    <x v="0"/>
    <m/>
    <m/>
    <s v="KOUADIO KOFFI TEYA              "/>
    <s v="0707305073"/>
    <m/>
    <x v="0"/>
    <s v="En couple"/>
    <s v="COMMERCANTE"/>
    <m/>
    <n v="2"/>
    <n v="2"/>
  </r>
  <r>
    <n v="495"/>
    <x v="488"/>
    <x v="0"/>
    <x v="16"/>
    <x v="14"/>
    <x v="0"/>
    <m/>
    <m/>
    <s v="KOUADIO KOFFI TEYA              "/>
    <s v="0777743565"/>
    <m/>
    <x v="0"/>
    <s v="En couple"/>
    <s v="COMMERCANTE"/>
    <n v="1"/>
    <m/>
    <n v="1"/>
  </r>
  <r>
    <n v="496"/>
    <x v="489"/>
    <x v="0"/>
    <x v="16"/>
    <x v="14"/>
    <x v="0"/>
    <m/>
    <m/>
    <s v="KOUADIO KOFFI TEYA              "/>
    <s v="0777477682"/>
    <m/>
    <x v="0"/>
    <s v="En couple"/>
    <s v="COMMERCANTE"/>
    <n v="1"/>
    <n v="5"/>
    <n v="6"/>
  </r>
  <r>
    <n v="497"/>
    <x v="490"/>
    <x v="0"/>
    <x v="16"/>
    <x v="14"/>
    <x v="0"/>
    <m/>
    <m/>
    <s v="KOUADIO KOFFI TEYA              "/>
    <s v="0748632842"/>
    <m/>
    <x v="0"/>
    <s v="En couple"/>
    <s v="COMMERCANT"/>
    <n v="1"/>
    <n v="1"/>
    <n v="2"/>
  </r>
  <r>
    <n v="498"/>
    <x v="491"/>
    <x v="0"/>
    <x v="16"/>
    <x v="14"/>
    <x v="0"/>
    <m/>
    <m/>
    <s v="KOUADIO KOFFI TEYA              "/>
    <s v="0747275850"/>
    <m/>
    <x v="0"/>
    <s v="celibataire"/>
    <s v="COMMERCANTE"/>
    <n v="1"/>
    <n v="1"/>
    <n v="2"/>
  </r>
  <r>
    <n v="499"/>
    <x v="492"/>
    <x v="0"/>
    <x v="16"/>
    <x v="14"/>
    <x v="0"/>
    <m/>
    <m/>
    <s v="KOUADIO KOFFI TEYA              "/>
    <s v="0758660966"/>
    <m/>
    <x v="0"/>
    <s v="En couple"/>
    <s v="COMMERCANT"/>
    <n v="2"/>
    <n v="2"/>
    <n v="4"/>
  </r>
  <r>
    <n v="500"/>
    <x v="493"/>
    <x v="0"/>
    <x v="16"/>
    <x v="14"/>
    <x v="0"/>
    <m/>
    <m/>
    <s v="KOUADIO KOFFI TEYA              "/>
    <s v="0749209308"/>
    <m/>
    <x v="0"/>
    <s v="celibataire"/>
    <s v="COMMERCANTE"/>
    <n v="1"/>
    <n v="1"/>
    <n v="2"/>
  </r>
  <r>
    <n v="501"/>
    <x v="494"/>
    <x v="0"/>
    <x v="16"/>
    <x v="14"/>
    <x v="0"/>
    <m/>
    <m/>
    <s v="KOUADIO KOFFI TEYA              "/>
    <s v="0747057471"/>
    <m/>
    <x v="1"/>
    <s v="En couple"/>
    <s v="COMMERCANT"/>
    <n v="2"/>
    <n v="2"/>
    <n v="4"/>
  </r>
  <r>
    <n v="502"/>
    <x v="495"/>
    <x v="0"/>
    <x v="16"/>
    <x v="14"/>
    <x v="0"/>
    <m/>
    <m/>
    <s v="KOUADIO KOFFI TEYA              "/>
    <s v="0748143536"/>
    <m/>
    <x v="1"/>
    <s v="celibataire"/>
    <s v="COMMERCANT"/>
    <m/>
    <n v="1"/>
    <m/>
  </r>
  <r>
    <n v="503"/>
    <x v="496"/>
    <x v="1"/>
    <x v="17"/>
    <x v="15"/>
    <x v="0"/>
    <m/>
    <m/>
    <s v="YAO VINCENT "/>
    <m/>
    <m/>
    <x v="1"/>
    <s v="CONCUBINAGE"/>
    <m/>
    <n v="4"/>
    <n v="5"/>
    <n v="9"/>
  </r>
  <r>
    <n v="504"/>
    <x v="497"/>
    <x v="1"/>
    <x v="17"/>
    <x v="15"/>
    <x v="0"/>
    <m/>
    <m/>
    <s v="YAO VINCENT "/>
    <m/>
    <m/>
    <x v="1"/>
    <s v="CONCUBINAGE"/>
    <m/>
    <n v="1"/>
    <n v="2"/>
    <n v="3"/>
  </r>
  <r>
    <n v="505"/>
    <x v="498"/>
    <x v="1"/>
    <x v="17"/>
    <x v="15"/>
    <x v="0"/>
    <m/>
    <m/>
    <s v="YAO VINCENT "/>
    <m/>
    <m/>
    <x v="0"/>
    <s v="celibataire"/>
    <m/>
    <n v="0"/>
    <n v="0"/>
    <n v="0"/>
  </r>
  <r>
    <n v="506"/>
    <x v="499"/>
    <x v="1"/>
    <x v="17"/>
    <x v="15"/>
    <x v="0"/>
    <m/>
    <m/>
    <s v="YAO VINCENT "/>
    <m/>
    <m/>
    <x v="0"/>
    <s v="CONCUBINAGE"/>
    <m/>
    <n v="2"/>
    <n v="2"/>
    <n v="4"/>
  </r>
  <r>
    <n v="507"/>
    <x v="500"/>
    <x v="1"/>
    <x v="17"/>
    <x v="15"/>
    <x v="0"/>
    <m/>
    <m/>
    <s v="YAO VINCENT "/>
    <m/>
    <m/>
    <x v="0"/>
    <s v="CONCUBINAGE"/>
    <m/>
    <n v="3"/>
    <n v="3"/>
    <n v="6"/>
  </r>
  <r>
    <n v="508"/>
    <x v="501"/>
    <x v="1"/>
    <x v="17"/>
    <x v="15"/>
    <x v="0"/>
    <m/>
    <m/>
    <s v="YAO VINCENT "/>
    <m/>
    <m/>
    <x v="0"/>
    <s v="CONCUBINAGE"/>
    <m/>
    <n v="1"/>
    <n v="5"/>
    <n v="6"/>
  </r>
  <r>
    <n v="509"/>
    <x v="502"/>
    <x v="1"/>
    <x v="17"/>
    <x v="15"/>
    <x v="0"/>
    <m/>
    <m/>
    <s v="YAO VINCENT "/>
    <m/>
    <m/>
    <x v="1"/>
    <s v="CONCUBINAGE"/>
    <m/>
    <n v="3"/>
    <n v="1"/>
    <n v="4"/>
  </r>
  <r>
    <n v="510"/>
    <x v="503"/>
    <x v="1"/>
    <x v="17"/>
    <x v="15"/>
    <x v="0"/>
    <m/>
    <m/>
    <s v="YAO VINCENT "/>
    <m/>
    <m/>
    <x v="0"/>
    <s v="CONCUBINAGE"/>
    <m/>
    <n v="4"/>
    <n v="2"/>
    <n v="6"/>
  </r>
  <r>
    <n v="511"/>
    <x v="504"/>
    <x v="1"/>
    <x v="17"/>
    <x v="15"/>
    <x v="0"/>
    <m/>
    <m/>
    <s v="YAO VINCENT "/>
    <m/>
    <m/>
    <x v="0"/>
    <s v="CONCUBINAGE"/>
    <m/>
    <n v="4"/>
    <n v="0"/>
    <n v="4"/>
  </r>
  <r>
    <n v="512"/>
    <x v="505"/>
    <x v="1"/>
    <x v="17"/>
    <x v="15"/>
    <x v="0"/>
    <m/>
    <m/>
    <s v="YAO VINCENT "/>
    <m/>
    <m/>
    <x v="1"/>
    <s v="CONCUBINAGE"/>
    <m/>
    <n v="2"/>
    <n v="5"/>
    <n v="7"/>
  </r>
  <r>
    <n v="513"/>
    <x v="506"/>
    <x v="1"/>
    <x v="17"/>
    <x v="15"/>
    <x v="0"/>
    <m/>
    <m/>
    <s v="YAO VINCENT "/>
    <m/>
    <m/>
    <x v="0"/>
    <s v="CONCUBINAGE"/>
    <m/>
    <n v="0"/>
    <n v="0"/>
    <n v="0"/>
  </r>
  <r>
    <n v="514"/>
    <x v="507"/>
    <x v="1"/>
    <x v="17"/>
    <x v="15"/>
    <x v="0"/>
    <m/>
    <m/>
    <s v="YAO VINCENT "/>
    <m/>
    <m/>
    <x v="0"/>
    <s v="CONCUBINAGE"/>
    <m/>
    <n v="4"/>
    <n v="2"/>
    <n v="6"/>
  </r>
  <r>
    <n v="515"/>
    <x v="508"/>
    <x v="1"/>
    <x v="17"/>
    <x v="15"/>
    <x v="0"/>
    <m/>
    <m/>
    <s v="YAO VINCENT "/>
    <m/>
    <m/>
    <x v="0"/>
    <s v="CONCUBINAGE"/>
    <m/>
    <n v="1"/>
    <n v="2"/>
    <n v="3"/>
  </r>
  <r>
    <n v="516"/>
    <x v="509"/>
    <x v="1"/>
    <x v="17"/>
    <x v="15"/>
    <x v="0"/>
    <m/>
    <m/>
    <s v="YAO VINCENT "/>
    <m/>
    <m/>
    <x v="0"/>
    <s v="CONCUBINAGE"/>
    <m/>
    <n v="3"/>
    <n v="2"/>
    <n v="5"/>
  </r>
  <r>
    <n v="517"/>
    <x v="510"/>
    <x v="1"/>
    <x v="17"/>
    <x v="15"/>
    <x v="0"/>
    <m/>
    <m/>
    <s v="YAO VINCENT "/>
    <m/>
    <m/>
    <x v="0"/>
    <s v="CONCUBINAGE"/>
    <m/>
    <n v="1"/>
    <n v="1"/>
    <n v="2"/>
  </r>
  <r>
    <n v="518"/>
    <x v="511"/>
    <x v="1"/>
    <x v="17"/>
    <x v="15"/>
    <x v="0"/>
    <m/>
    <m/>
    <s v="YAO VINCENT "/>
    <m/>
    <m/>
    <x v="0"/>
    <s v="CONCUBINAGE"/>
    <m/>
    <n v="3"/>
    <n v="4"/>
    <n v="7"/>
  </r>
  <r>
    <n v="519"/>
    <x v="512"/>
    <x v="1"/>
    <x v="17"/>
    <x v="15"/>
    <x v="0"/>
    <m/>
    <m/>
    <s v="YAO VINCENT "/>
    <m/>
    <m/>
    <x v="0"/>
    <s v="CONCUBINAGE"/>
    <m/>
    <n v="4"/>
    <n v="4"/>
    <n v="8"/>
  </r>
  <r>
    <n v="520"/>
    <x v="513"/>
    <x v="1"/>
    <x v="17"/>
    <x v="15"/>
    <x v="0"/>
    <m/>
    <m/>
    <s v="YAO VINCENT "/>
    <m/>
    <m/>
    <x v="0"/>
    <s v="CONCUBINAGE"/>
    <m/>
    <n v="0"/>
    <n v="4"/>
    <n v="4"/>
  </r>
  <r>
    <n v="521"/>
    <x v="514"/>
    <x v="1"/>
    <x v="17"/>
    <x v="15"/>
    <x v="0"/>
    <m/>
    <m/>
    <s v="YAO VINCENT "/>
    <m/>
    <m/>
    <x v="0"/>
    <s v="CONCUBINAGE"/>
    <m/>
    <n v="3"/>
    <n v="2"/>
    <n v="5"/>
  </r>
  <r>
    <n v="522"/>
    <x v="515"/>
    <x v="1"/>
    <x v="17"/>
    <x v="15"/>
    <x v="0"/>
    <m/>
    <m/>
    <s v="YAO VINCENT "/>
    <m/>
    <m/>
    <x v="1"/>
    <s v="CONCUBINAGE"/>
    <m/>
    <n v="1"/>
    <n v="2"/>
    <n v="3"/>
  </r>
  <r>
    <n v="523"/>
    <x v="516"/>
    <x v="1"/>
    <x v="17"/>
    <x v="15"/>
    <x v="0"/>
    <m/>
    <m/>
    <s v="YAO VINCENT "/>
    <m/>
    <m/>
    <x v="0"/>
    <s v="CONCUBINAGE"/>
    <m/>
    <n v="4"/>
    <n v="2"/>
    <n v="6"/>
  </r>
  <r>
    <n v="524"/>
    <x v="517"/>
    <x v="1"/>
    <x v="17"/>
    <x v="15"/>
    <x v="0"/>
    <m/>
    <m/>
    <s v="YAO VINCENT "/>
    <m/>
    <m/>
    <x v="0"/>
    <s v="CONCUBINAGE"/>
    <m/>
    <n v="2"/>
    <n v="2"/>
    <n v="4"/>
  </r>
  <r>
    <n v="525"/>
    <x v="518"/>
    <x v="1"/>
    <x v="17"/>
    <x v="15"/>
    <x v="0"/>
    <m/>
    <m/>
    <s v="YAO VINCENT "/>
    <m/>
    <m/>
    <x v="0"/>
    <s v="CONCUBINAGE"/>
    <m/>
    <n v="1"/>
    <n v="0"/>
    <n v="1"/>
  </r>
  <r>
    <n v="526"/>
    <x v="519"/>
    <x v="1"/>
    <x v="17"/>
    <x v="15"/>
    <x v="0"/>
    <m/>
    <m/>
    <s v="YAO VINCENT "/>
    <m/>
    <m/>
    <x v="1"/>
    <s v="CONCUBINAGE"/>
    <m/>
    <n v="1"/>
    <n v="0"/>
    <n v="1"/>
  </r>
  <r>
    <n v="527"/>
    <x v="520"/>
    <x v="1"/>
    <x v="17"/>
    <x v="15"/>
    <x v="0"/>
    <m/>
    <m/>
    <s v="YAO VINCENT "/>
    <m/>
    <m/>
    <x v="0"/>
    <s v="CONCUBINAGE"/>
    <m/>
    <n v="2"/>
    <n v="2"/>
    <n v="4"/>
  </r>
  <r>
    <n v="528"/>
    <x v="521"/>
    <x v="1"/>
    <x v="17"/>
    <x v="15"/>
    <x v="0"/>
    <m/>
    <m/>
    <s v="YAO VINCENT "/>
    <m/>
    <m/>
    <x v="0"/>
    <s v="CONCUBINAGE"/>
    <m/>
    <n v="1"/>
    <n v="1"/>
    <n v="2"/>
  </r>
  <r>
    <n v="529"/>
    <x v="522"/>
    <x v="1"/>
    <x v="17"/>
    <x v="15"/>
    <x v="0"/>
    <m/>
    <m/>
    <s v="YAO VINCENT "/>
    <m/>
    <m/>
    <x v="0"/>
    <s v="CONCUBINAGE"/>
    <m/>
    <n v="1"/>
    <n v="4"/>
    <n v="5"/>
  </r>
  <r>
    <n v="530"/>
    <x v="523"/>
    <x v="1"/>
    <x v="18"/>
    <x v="15"/>
    <x v="0"/>
    <m/>
    <m/>
    <s v="YAO VINCENT "/>
    <m/>
    <m/>
    <x v="1"/>
    <s v="CONCUBINAGE"/>
    <m/>
    <n v="3"/>
    <n v="1"/>
    <n v="4"/>
  </r>
  <r>
    <n v="531"/>
    <x v="524"/>
    <x v="1"/>
    <x v="18"/>
    <x v="15"/>
    <x v="0"/>
    <m/>
    <m/>
    <s v="YAO VINCENT "/>
    <m/>
    <m/>
    <x v="0"/>
    <s v="CONCUBINAGE"/>
    <m/>
    <n v="6"/>
    <n v="4"/>
    <n v="10"/>
  </r>
  <r>
    <n v="532"/>
    <x v="525"/>
    <x v="1"/>
    <x v="18"/>
    <x v="15"/>
    <x v="0"/>
    <m/>
    <m/>
    <s v="YAO VINCENT "/>
    <m/>
    <m/>
    <x v="0"/>
    <s v="CONCUBINAGE"/>
    <m/>
    <n v="1"/>
    <n v="1"/>
    <n v="1"/>
  </r>
  <r>
    <n v="533"/>
    <x v="526"/>
    <x v="1"/>
    <x v="18"/>
    <x v="15"/>
    <x v="0"/>
    <m/>
    <m/>
    <s v="YAO VINCENT "/>
    <m/>
    <m/>
    <x v="0"/>
    <s v="CONCUBINAGE"/>
    <m/>
    <n v="2"/>
    <n v="2"/>
    <n v="4"/>
  </r>
  <r>
    <n v="534"/>
    <x v="527"/>
    <x v="1"/>
    <x v="18"/>
    <x v="15"/>
    <x v="0"/>
    <m/>
    <m/>
    <s v="YAO VINCENT "/>
    <m/>
    <m/>
    <x v="1"/>
    <s v="celibataire"/>
    <m/>
    <n v="1"/>
    <n v="1"/>
    <n v="2"/>
  </r>
  <r>
    <n v="535"/>
    <x v="528"/>
    <x v="1"/>
    <x v="18"/>
    <x v="15"/>
    <x v="0"/>
    <m/>
    <m/>
    <s v="YAO VINCENT "/>
    <m/>
    <m/>
    <x v="0"/>
    <s v="celibataire"/>
    <m/>
    <n v="3"/>
    <n v="3"/>
    <n v="6"/>
  </r>
  <r>
    <n v="536"/>
    <x v="529"/>
    <x v="1"/>
    <x v="18"/>
    <x v="15"/>
    <x v="0"/>
    <m/>
    <m/>
    <s v="YAO VINCENT "/>
    <m/>
    <m/>
    <x v="1"/>
    <s v="MARIE"/>
    <m/>
    <n v="2"/>
    <n v="2"/>
    <n v="4"/>
  </r>
  <r>
    <n v="537"/>
    <x v="530"/>
    <x v="1"/>
    <x v="18"/>
    <x v="15"/>
    <x v="0"/>
    <m/>
    <m/>
    <s v="YAO VINCENT "/>
    <m/>
    <m/>
    <x v="1"/>
    <s v="celibataire"/>
    <m/>
    <n v="1"/>
    <n v="3"/>
    <n v="4"/>
  </r>
  <r>
    <n v="538"/>
    <x v="531"/>
    <x v="1"/>
    <x v="18"/>
    <x v="15"/>
    <x v="0"/>
    <m/>
    <m/>
    <s v="YAO VINCENT "/>
    <m/>
    <m/>
    <x v="0"/>
    <s v="celibataire"/>
    <m/>
    <n v="2"/>
    <n v="3"/>
    <n v="5"/>
  </r>
  <r>
    <n v="539"/>
    <x v="532"/>
    <x v="1"/>
    <x v="18"/>
    <x v="15"/>
    <x v="0"/>
    <m/>
    <m/>
    <s v="YAO VINCENT "/>
    <m/>
    <m/>
    <x v="0"/>
    <s v="celibataire"/>
    <m/>
    <n v="4"/>
    <n v="0"/>
    <n v="4"/>
  </r>
  <r>
    <n v="540"/>
    <x v="533"/>
    <x v="1"/>
    <x v="18"/>
    <x v="15"/>
    <x v="0"/>
    <m/>
    <m/>
    <s v="YAO VINCENT "/>
    <m/>
    <m/>
    <x v="0"/>
    <s v="celibataire"/>
    <m/>
    <n v="3"/>
    <n v="2"/>
    <n v="5"/>
  </r>
  <r>
    <n v="541"/>
    <x v="534"/>
    <x v="1"/>
    <x v="18"/>
    <x v="15"/>
    <x v="0"/>
    <m/>
    <m/>
    <s v="YAO VINCENT "/>
    <m/>
    <m/>
    <x v="0"/>
    <s v="celibataire"/>
    <m/>
    <n v="0"/>
    <n v="1"/>
    <n v="1"/>
  </r>
  <r>
    <n v="542"/>
    <x v="535"/>
    <x v="1"/>
    <x v="18"/>
    <x v="15"/>
    <x v="0"/>
    <m/>
    <m/>
    <s v="YAO VINCENT "/>
    <m/>
    <m/>
    <x v="0"/>
    <s v="celibataire"/>
    <m/>
    <n v="2"/>
    <n v="3"/>
    <n v="5"/>
  </r>
  <r>
    <n v="543"/>
    <x v="536"/>
    <x v="1"/>
    <x v="18"/>
    <x v="15"/>
    <x v="0"/>
    <m/>
    <m/>
    <s v="YAO VINCENT "/>
    <m/>
    <m/>
    <x v="0"/>
    <s v="celibataire"/>
    <m/>
    <n v="0"/>
    <n v="0"/>
    <n v="0"/>
  </r>
  <r>
    <n v="544"/>
    <x v="537"/>
    <x v="1"/>
    <x v="18"/>
    <x v="15"/>
    <x v="0"/>
    <m/>
    <m/>
    <s v="YAO VINCENT "/>
    <m/>
    <m/>
    <x v="1"/>
    <s v="celibataire"/>
    <m/>
    <n v="3"/>
    <n v="6"/>
    <n v="9"/>
  </r>
  <r>
    <n v="545"/>
    <x v="538"/>
    <x v="1"/>
    <x v="18"/>
    <x v="15"/>
    <x v="0"/>
    <m/>
    <m/>
    <s v="YAO VINCENT "/>
    <m/>
    <m/>
    <x v="1"/>
    <s v="celibataire"/>
    <m/>
    <n v="3"/>
    <n v="3"/>
    <n v="6"/>
  </r>
  <r>
    <n v="546"/>
    <x v="539"/>
    <x v="1"/>
    <x v="18"/>
    <x v="15"/>
    <x v="0"/>
    <m/>
    <m/>
    <s v="YAO VINCENT "/>
    <m/>
    <m/>
    <x v="0"/>
    <s v="celibataire"/>
    <m/>
    <n v="1"/>
    <n v="3"/>
    <n v="4"/>
  </r>
  <r>
    <n v="547"/>
    <x v="540"/>
    <x v="1"/>
    <x v="18"/>
    <x v="15"/>
    <x v="0"/>
    <m/>
    <m/>
    <s v="YAO VINCENT "/>
    <m/>
    <m/>
    <x v="1"/>
    <s v="CONCUBINAGE"/>
    <m/>
    <n v="1"/>
    <n v="3"/>
    <n v="4"/>
  </r>
  <r>
    <n v="548"/>
    <x v="541"/>
    <x v="1"/>
    <x v="18"/>
    <x v="15"/>
    <x v="0"/>
    <m/>
    <m/>
    <s v="YAO VINCENT "/>
    <m/>
    <m/>
    <x v="1"/>
    <s v="CONCUBINAGE"/>
    <m/>
    <n v="2"/>
    <n v="3"/>
    <n v="5"/>
  </r>
  <r>
    <n v="549"/>
    <x v="326"/>
    <x v="1"/>
    <x v="18"/>
    <x v="15"/>
    <x v="0"/>
    <m/>
    <m/>
    <s v="YAO VINCENT "/>
    <m/>
    <m/>
    <x v="0"/>
    <s v="CONCUBINAGE"/>
    <m/>
    <n v="2"/>
    <n v="6"/>
    <n v="8"/>
  </r>
  <r>
    <n v="550"/>
    <x v="542"/>
    <x v="1"/>
    <x v="18"/>
    <x v="15"/>
    <x v="0"/>
    <m/>
    <m/>
    <s v="YAO VINCENT "/>
    <m/>
    <m/>
    <x v="1"/>
    <s v="CONCUBINAGE"/>
    <m/>
    <n v="2"/>
    <n v="0"/>
    <n v="2"/>
  </r>
  <r>
    <n v="551"/>
    <x v="543"/>
    <x v="1"/>
    <x v="18"/>
    <x v="15"/>
    <x v="0"/>
    <m/>
    <m/>
    <s v="YAO VINCENT "/>
    <m/>
    <m/>
    <x v="1"/>
    <s v="CONCUBINAGE"/>
    <m/>
    <n v="2"/>
    <n v="1"/>
    <n v="3"/>
  </r>
  <r>
    <n v="552"/>
    <x v="544"/>
    <x v="1"/>
    <x v="18"/>
    <x v="15"/>
    <x v="0"/>
    <m/>
    <m/>
    <s v="YAO VINCENT "/>
    <m/>
    <m/>
    <x v="0"/>
    <s v="CONCUBINAGE"/>
    <m/>
    <n v="1"/>
    <n v="3"/>
    <n v="4"/>
  </r>
  <r>
    <n v="553"/>
    <x v="545"/>
    <x v="1"/>
    <x v="18"/>
    <x v="15"/>
    <x v="0"/>
    <m/>
    <m/>
    <s v="YAO VINCENT "/>
    <m/>
    <m/>
    <x v="0"/>
    <s v="CONCUBINAGE"/>
    <m/>
    <n v="1"/>
    <n v="2"/>
    <n v="3"/>
  </r>
  <r>
    <n v="554"/>
    <x v="546"/>
    <x v="1"/>
    <x v="18"/>
    <x v="15"/>
    <x v="0"/>
    <m/>
    <m/>
    <s v="YAO VINCENT "/>
    <m/>
    <m/>
    <x v="0"/>
    <s v="CONCUBINAGE"/>
    <m/>
    <n v="6"/>
    <n v="1"/>
    <n v="7"/>
  </r>
  <r>
    <n v="555"/>
    <x v="547"/>
    <x v="1"/>
    <x v="18"/>
    <x v="15"/>
    <x v="0"/>
    <m/>
    <m/>
    <s v="YAO VINCENT "/>
    <m/>
    <m/>
    <x v="0"/>
    <s v="CONCUBINAGE"/>
    <m/>
    <n v="5"/>
    <n v="2"/>
    <n v="7"/>
  </r>
  <r>
    <n v="556"/>
    <x v="548"/>
    <x v="1"/>
    <x v="18"/>
    <x v="15"/>
    <x v="0"/>
    <m/>
    <m/>
    <s v="YAO VINCENT "/>
    <m/>
    <m/>
    <x v="0"/>
    <s v="CONCUBINAGE"/>
    <m/>
    <n v="3"/>
    <n v="4"/>
    <n v="7"/>
  </r>
  <r>
    <n v="557"/>
    <x v="549"/>
    <x v="1"/>
    <x v="18"/>
    <x v="15"/>
    <x v="0"/>
    <m/>
    <m/>
    <s v="YAO VINCENT "/>
    <m/>
    <m/>
    <x v="0"/>
    <s v="CONCUBINAGE"/>
    <m/>
    <n v="1"/>
    <n v="3"/>
    <n v="4"/>
  </r>
  <r>
    <n v="558"/>
    <x v="550"/>
    <x v="1"/>
    <x v="19"/>
    <x v="15"/>
    <x v="0"/>
    <m/>
    <m/>
    <s v="YAO VINCENT "/>
    <m/>
    <m/>
    <x v="1"/>
    <m/>
    <m/>
    <n v="1"/>
    <n v="3"/>
    <n v="4"/>
  </r>
  <r>
    <n v="559"/>
    <x v="551"/>
    <x v="1"/>
    <x v="19"/>
    <x v="15"/>
    <x v="0"/>
    <m/>
    <m/>
    <s v="YAO VINCENT "/>
    <m/>
    <m/>
    <x v="0"/>
    <m/>
    <m/>
    <n v="0"/>
    <n v="1"/>
    <n v="1"/>
  </r>
  <r>
    <n v="560"/>
    <x v="552"/>
    <x v="1"/>
    <x v="19"/>
    <x v="15"/>
    <x v="0"/>
    <m/>
    <m/>
    <s v="YAO VINCENT "/>
    <m/>
    <m/>
    <x v="0"/>
    <m/>
    <m/>
    <n v="6"/>
    <n v="3"/>
    <n v="9"/>
  </r>
  <r>
    <n v="561"/>
    <x v="553"/>
    <x v="1"/>
    <x v="19"/>
    <x v="15"/>
    <x v="0"/>
    <m/>
    <m/>
    <s v="YAO VINCENT "/>
    <m/>
    <m/>
    <x v="1"/>
    <m/>
    <m/>
    <n v="5"/>
    <n v="3"/>
    <n v="8"/>
  </r>
  <r>
    <n v="562"/>
    <x v="554"/>
    <x v="1"/>
    <x v="19"/>
    <x v="15"/>
    <x v="0"/>
    <m/>
    <m/>
    <s v="YAO VINCENT "/>
    <m/>
    <m/>
    <x v="0"/>
    <m/>
    <m/>
    <n v="0"/>
    <n v="1"/>
    <n v="1"/>
  </r>
  <r>
    <n v="563"/>
    <x v="555"/>
    <x v="1"/>
    <x v="19"/>
    <x v="15"/>
    <x v="0"/>
    <m/>
    <m/>
    <s v="YAO VINCENT "/>
    <m/>
    <m/>
    <x v="0"/>
    <m/>
    <m/>
    <n v="1"/>
    <n v="3"/>
    <n v="4"/>
  </r>
  <r>
    <n v="564"/>
    <x v="556"/>
    <x v="1"/>
    <x v="19"/>
    <x v="15"/>
    <x v="0"/>
    <m/>
    <m/>
    <s v="YAO VINCENT "/>
    <m/>
    <m/>
    <x v="1"/>
    <m/>
    <m/>
    <n v="2"/>
    <n v="3"/>
    <n v="5"/>
  </r>
  <r>
    <n v="565"/>
    <x v="557"/>
    <x v="1"/>
    <x v="19"/>
    <x v="15"/>
    <x v="0"/>
    <m/>
    <m/>
    <s v="YAO VINCENT "/>
    <m/>
    <m/>
    <x v="1"/>
    <m/>
    <m/>
    <n v="0"/>
    <n v="0"/>
    <n v="0"/>
  </r>
  <r>
    <n v="566"/>
    <x v="558"/>
    <x v="1"/>
    <x v="19"/>
    <x v="15"/>
    <x v="0"/>
    <m/>
    <m/>
    <s v="YAO VINCENT "/>
    <m/>
    <m/>
    <x v="0"/>
    <m/>
    <m/>
    <n v="3"/>
    <n v="1"/>
    <n v="4"/>
  </r>
  <r>
    <n v="567"/>
    <x v="559"/>
    <x v="1"/>
    <x v="19"/>
    <x v="15"/>
    <x v="0"/>
    <m/>
    <m/>
    <s v="YAO VINCENT "/>
    <m/>
    <m/>
    <x v="0"/>
    <m/>
    <m/>
    <n v="2"/>
    <n v="1"/>
    <n v="3"/>
  </r>
  <r>
    <n v="568"/>
    <x v="560"/>
    <x v="1"/>
    <x v="19"/>
    <x v="15"/>
    <x v="0"/>
    <m/>
    <m/>
    <s v="YAO VINCENT "/>
    <m/>
    <m/>
    <x v="0"/>
    <m/>
    <m/>
    <n v="1"/>
    <n v="4"/>
    <n v="5"/>
  </r>
  <r>
    <n v="569"/>
    <x v="561"/>
    <x v="1"/>
    <x v="19"/>
    <x v="15"/>
    <x v="0"/>
    <m/>
    <m/>
    <s v="YAO VINCENT "/>
    <m/>
    <m/>
    <x v="0"/>
    <m/>
    <m/>
    <n v="1"/>
    <n v="1"/>
    <n v="2"/>
  </r>
  <r>
    <n v="570"/>
    <x v="562"/>
    <x v="1"/>
    <x v="19"/>
    <x v="15"/>
    <x v="0"/>
    <m/>
    <m/>
    <s v="YAO VINCENT "/>
    <m/>
    <m/>
    <x v="0"/>
    <m/>
    <m/>
    <n v="1"/>
    <n v="2"/>
    <n v="3"/>
  </r>
  <r>
    <n v="571"/>
    <x v="563"/>
    <x v="1"/>
    <x v="19"/>
    <x v="15"/>
    <x v="0"/>
    <m/>
    <m/>
    <s v="YAO VINCENT "/>
    <m/>
    <m/>
    <x v="1"/>
    <m/>
    <m/>
    <n v="4"/>
    <n v="0"/>
    <n v="4"/>
  </r>
  <r>
    <n v="572"/>
    <x v="564"/>
    <x v="1"/>
    <x v="19"/>
    <x v="15"/>
    <x v="0"/>
    <m/>
    <m/>
    <s v="YAO VINCENT "/>
    <m/>
    <m/>
    <x v="1"/>
    <m/>
    <m/>
    <n v="3"/>
    <n v="2"/>
    <n v="5"/>
  </r>
  <r>
    <n v="573"/>
    <x v="565"/>
    <x v="1"/>
    <x v="19"/>
    <x v="15"/>
    <x v="0"/>
    <m/>
    <m/>
    <s v="YAO VINCENT "/>
    <m/>
    <m/>
    <x v="1"/>
    <m/>
    <m/>
    <n v="0"/>
    <n v="4"/>
    <n v="4"/>
  </r>
  <r>
    <n v="574"/>
    <x v="566"/>
    <x v="1"/>
    <x v="19"/>
    <x v="15"/>
    <x v="0"/>
    <m/>
    <m/>
    <s v="YAO VINCENT "/>
    <m/>
    <m/>
    <x v="0"/>
    <m/>
    <m/>
    <n v="0"/>
    <n v="1"/>
    <n v="1"/>
  </r>
  <r>
    <n v="575"/>
    <x v="567"/>
    <x v="1"/>
    <x v="19"/>
    <x v="15"/>
    <x v="0"/>
    <m/>
    <m/>
    <s v="YAO VINCENT "/>
    <m/>
    <m/>
    <x v="0"/>
    <m/>
    <m/>
    <n v="2"/>
    <n v="3"/>
    <n v="5"/>
  </r>
  <r>
    <n v="576"/>
    <x v="568"/>
    <x v="1"/>
    <x v="19"/>
    <x v="15"/>
    <x v="0"/>
    <m/>
    <m/>
    <s v="YAO VINCENT "/>
    <m/>
    <m/>
    <x v="1"/>
    <m/>
    <m/>
    <n v="0"/>
    <n v="1"/>
    <n v="1"/>
  </r>
  <r>
    <n v="577"/>
    <x v="569"/>
    <x v="1"/>
    <x v="19"/>
    <x v="15"/>
    <x v="0"/>
    <m/>
    <m/>
    <s v="YAO VINCENT "/>
    <m/>
    <m/>
    <x v="1"/>
    <m/>
    <m/>
    <n v="0"/>
    <n v="0"/>
    <n v="0"/>
  </r>
  <r>
    <n v="578"/>
    <x v="525"/>
    <x v="1"/>
    <x v="19"/>
    <x v="15"/>
    <x v="0"/>
    <m/>
    <m/>
    <s v="YAO VINCENT "/>
    <m/>
    <m/>
    <x v="0"/>
    <m/>
    <m/>
    <n v="0"/>
    <n v="1"/>
    <n v="1"/>
  </r>
  <r>
    <n v="579"/>
    <x v="570"/>
    <x v="1"/>
    <x v="19"/>
    <x v="15"/>
    <x v="0"/>
    <m/>
    <m/>
    <s v="YAO VINCENT "/>
    <m/>
    <m/>
    <x v="1"/>
    <m/>
    <m/>
    <n v="0"/>
    <n v="0"/>
    <n v="0"/>
  </r>
  <r>
    <n v="580"/>
    <x v="571"/>
    <x v="1"/>
    <x v="19"/>
    <x v="15"/>
    <x v="0"/>
    <m/>
    <m/>
    <s v="YAO VINCENT "/>
    <m/>
    <m/>
    <x v="1"/>
    <m/>
    <m/>
    <n v="2"/>
    <n v="3"/>
    <n v="5"/>
  </r>
  <r>
    <n v="581"/>
    <x v="572"/>
    <x v="1"/>
    <x v="19"/>
    <x v="15"/>
    <x v="0"/>
    <m/>
    <m/>
    <s v="YAO VINCENT "/>
    <m/>
    <m/>
    <x v="1"/>
    <m/>
    <m/>
    <n v="4"/>
    <n v="3"/>
    <n v="7"/>
  </r>
  <r>
    <n v="582"/>
    <x v="563"/>
    <x v="1"/>
    <x v="19"/>
    <x v="15"/>
    <x v="0"/>
    <m/>
    <m/>
    <s v="YAO VINCENT "/>
    <m/>
    <m/>
    <x v="1"/>
    <m/>
    <m/>
    <n v="4"/>
    <n v="1"/>
    <n v="5"/>
  </r>
  <r>
    <n v="583"/>
    <x v="573"/>
    <x v="1"/>
    <x v="19"/>
    <x v="15"/>
    <x v="0"/>
    <m/>
    <m/>
    <s v="YAO VINCENT "/>
    <m/>
    <m/>
    <x v="1"/>
    <m/>
    <m/>
    <n v="1"/>
    <n v="4"/>
    <n v="5"/>
  </r>
  <r>
    <n v="584"/>
    <x v="574"/>
    <x v="1"/>
    <x v="20"/>
    <x v="16"/>
    <x v="0"/>
    <m/>
    <m/>
    <s v="YAO VINCENT "/>
    <s v="0575999055"/>
    <n v="40"/>
    <x v="0"/>
    <s v="UNION LIBRE"/>
    <s v="MENAGERE"/>
    <n v="2"/>
    <n v="0"/>
    <n v="2"/>
  </r>
  <r>
    <n v="585"/>
    <x v="575"/>
    <x v="1"/>
    <x v="20"/>
    <x v="16"/>
    <x v="0"/>
    <m/>
    <m/>
    <s v="YAO VINCENT "/>
    <s v="0747521553"/>
    <n v="50"/>
    <x v="1"/>
    <s v="UNION LIBRE"/>
    <s v="PLANTEUR"/>
    <n v="2"/>
    <n v="1"/>
    <n v="3"/>
  </r>
  <r>
    <n v="586"/>
    <x v="576"/>
    <x v="1"/>
    <x v="20"/>
    <x v="16"/>
    <x v="0"/>
    <m/>
    <m/>
    <s v="YAO VINCENT "/>
    <s v="0778716308"/>
    <m/>
    <x v="0"/>
    <s v="MARIEE"/>
    <s v="MENAGERE"/>
    <n v="3"/>
    <n v="1"/>
    <n v="4"/>
  </r>
  <r>
    <n v="587"/>
    <x v="577"/>
    <x v="1"/>
    <x v="20"/>
    <x v="16"/>
    <x v="0"/>
    <m/>
    <m/>
    <s v="YAO VINCENT "/>
    <s v="0767746018"/>
    <n v="53"/>
    <x v="0"/>
    <s v="DOTE"/>
    <s v="MENAGERE"/>
    <n v="5"/>
    <n v="4"/>
    <n v="9"/>
  </r>
  <r>
    <n v="588"/>
    <x v="578"/>
    <x v="1"/>
    <x v="20"/>
    <x v="16"/>
    <x v="0"/>
    <m/>
    <m/>
    <s v="YAO VINCENT "/>
    <s v="0576787919"/>
    <n v="35"/>
    <x v="0"/>
    <s v="DOTE"/>
    <s v="MENAGERE"/>
    <n v="6"/>
    <n v="2"/>
    <n v="8"/>
  </r>
  <r>
    <n v="589"/>
    <x v="579"/>
    <x v="1"/>
    <x v="20"/>
    <x v="16"/>
    <x v="0"/>
    <m/>
    <m/>
    <s v="YAO VINCENT "/>
    <s v="0758488754"/>
    <n v="45"/>
    <x v="0"/>
    <s v="DOTE"/>
    <s v="MENAGERE"/>
    <n v="3"/>
    <n v="2"/>
    <n v="5"/>
  </r>
  <r>
    <n v="590"/>
    <x v="580"/>
    <x v="1"/>
    <x v="20"/>
    <x v="16"/>
    <x v="0"/>
    <m/>
    <m/>
    <s v="YAO VINCENT "/>
    <s v="0565119652"/>
    <n v="40"/>
    <x v="0"/>
    <s v="UNION LIBRE"/>
    <s v="MENAGERE"/>
    <n v="3"/>
    <n v="2"/>
    <n v="5"/>
  </r>
  <r>
    <n v="591"/>
    <x v="581"/>
    <x v="1"/>
    <x v="20"/>
    <x v="16"/>
    <x v="0"/>
    <m/>
    <m/>
    <s v="YAO VINCENT "/>
    <s v="0709052028"/>
    <n v="33"/>
    <x v="1"/>
    <s v="DOTE"/>
    <s v="PLANTEUR"/>
    <n v="2"/>
    <n v="0"/>
    <n v="2"/>
  </r>
  <r>
    <n v="592"/>
    <x v="582"/>
    <x v="1"/>
    <x v="20"/>
    <x v="16"/>
    <x v="0"/>
    <m/>
    <m/>
    <s v="YAO VINCENT "/>
    <s v="0545856352"/>
    <n v="42"/>
    <x v="1"/>
    <s v="UNION LIBRE"/>
    <s v="PLANTEUR"/>
    <n v="5"/>
    <n v="0"/>
    <n v="5"/>
  </r>
  <r>
    <n v="593"/>
    <x v="583"/>
    <x v="1"/>
    <x v="20"/>
    <x v="16"/>
    <x v="0"/>
    <m/>
    <m/>
    <s v="YAO VINCENT "/>
    <s v="055911197"/>
    <n v="33"/>
    <x v="1"/>
    <s v="UNION LIBRE"/>
    <s v="PLANTEUR"/>
    <n v="2"/>
    <n v="2"/>
    <n v="4"/>
  </r>
  <r>
    <n v="594"/>
    <x v="584"/>
    <x v="1"/>
    <x v="20"/>
    <x v="16"/>
    <x v="0"/>
    <m/>
    <m/>
    <s v="YAO VINCENT "/>
    <s v="0758534512"/>
    <n v="40"/>
    <x v="0"/>
    <s v="UNION LIBRE"/>
    <s v="MENAGERE"/>
    <n v="2"/>
    <n v="1"/>
    <n v="3"/>
  </r>
  <r>
    <n v="595"/>
    <x v="585"/>
    <x v="1"/>
    <x v="20"/>
    <x v="16"/>
    <x v="0"/>
    <m/>
    <m/>
    <s v="YAO VINCENT "/>
    <s v="0797898137"/>
    <n v="50"/>
    <x v="0"/>
    <s v="UNION LIBRE"/>
    <s v="MENAGERE"/>
    <n v="2"/>
    <n v="2"/>
    <n v="4"/>
  </r>
  <r>
    <n v="596"/>
    <x v="586"/>
    <x v="1"/>
    <x v="20"/>
    <x v="16"/>
    <x v="0"/>
    <m/>
    <m/>
    <s v="YAO VINCENT "/>
    <s v="0707100119"/>
    <n v="50"/>
    <x v="0"/>
    <s v="DOTE"/>
    <s v="MENAGERE"/>
    <n v="1"/>
    <n v="0"/>
    <n v="1"/>
  </r>
  <r>
    <n v="597"/>
    <x v="587"/>
    <x v="1"/>
    <x v="20"/>
    <x v="16"/>
    <x v="0"/>
    <m/>
    <m/>
    <s v="YAO VINCENT "/>
    <s v="0574932446"/>
    <n v="35"/>
    <x v="0"/>
    <s v="UNION LIBRE"/>
    <s v="MENAGERE"/>
    <n v="0"/>
    <n v="3"/>
    <n v="3"/>
  </r>
  <r>
    <n v="598"/>
    <x v="588"/>
    <x v="1"/>
    <x v="20"/>
    <x v="16"/>
    <x v="0"/>
    <m/>
    <m/>
    <s v="YAO VINCENT "/>
    <s v="0574819037"/>
    <n v="34"/>
    <x v="0"/>
    <s v="UNION LIBRE"/>
    <s v="MENAGERE"/>
    <n v="0"/>
    <n v="4"/>
    <n v="4"/>
  </r>
  <r>
    <n v="599"/>
    <x v="589"/>
    <x v="1"/>
    <x v="20"/>
    <x v="16"/>
    <x v="0"/>
    <m/>
    <m/>
    <s v="YAO VINCENT "/>
    <s v="0769594740"/>
    <n v="32"/>
    <x v="0"/>
    <s v="UNION LIBRE"/>
    <s v="MENAGERE"/>
    <n v="4"/>
    <n v="1"/>
    <n v="5"/>
  </r>
  <r>
    <n v="600"/>
    <x v="590"/>
    <x v="1"/>
    <x v="20"/>
    <x v="16"/>
    <x v="0"/>
    <m/>
    <m/>
    <s v="YAO VINCENT "/>
    <s v="0748740053"/>
    <n v="31"/>
    <x v="0"/>
    <s v="UNION LIBRE"/>
    <s v="MENAGERE"/>
    <n v="0"/>
    <n v="1"/>
    <n v="1"/>
  </r>
  <r>
    <n v="601"/>
    <x v="591"/>
    <x v="1"/>
    <x v="20"/>
    <x v="16"/>
    <x v="0"/>
    <m/>
    <m/>
    <s v="YAO VINCENT "/>
    <s v="0787726283"/>
    <n v="28"/>
    <x v="0"/>
    <s v="UNION LIBRE"/>
    <s v="MENAGERE"/>
    <n v="1"/>
    <n v="1"/>
    <n v="2"/>
  </r>
  <r>
    <n v="602"/>
    <x v="592"/>
    <x v="1"/>
    <x v="20"/>
    <x v="16"/>
    <x v="0"/>
    <m/>
    <m/>
    <s v="YAO VINCENT "/>
    <s v="0788544048"/>
    <n v="32"/>
    <x v="1"/>
    <s v="UNION LIBRE"/>
    <s v="PLANTEUR"/>
    <n v="2"/>
    <n v="1"/>
    <n v="3"/>
  </r>
  <r>
    <n v="603"/>
    <x v="593"/>
    <x v="1"/>
    <x v="20"/>
    <x v="16"/>
    <x v="0"/>
    <m/>
    <m/>
    <s v="YAO VINCENT "/>
    <s v="0779979947"/>
    <n v="54"/>
    <x v="0"/>
    <s v="UNION LIBRE"/>
    <s v="MENAGERE"/>
    <n v="4"/>
    <n v="3"/>
    <n v="7"/>
  </r>
  <r>
    <n v="604"/>
    <x v="594"/>
    <x v="1"/>
    <x v="20"/>
    <x v="16"/>
    <x v="0"/>
    <m/>
    <m/>
    <s v="YAO VINCENT "/>
    <s v="0170432024"/>
    <n v="35"/>
    <x v="0"/>
    <s v="UNION LIBRE"/>
    <s v="MENAGERE"/>
    <n v="2"/>
    <n v="4"/>
    <n v="6"/>
  </r>
  <r>
    <n v="605"/>
    <x v="595"/>
    <x v="1"/>
    <x v="20"/>
    <x v="16"/>
    <x v="0"/>
    <m/>
    <m/>
    <s v="YAO VINCENT "/>
    <s v="0759124178"/>
    <n v="28"/>
    <x v="0"/>
    <s v="UNION LIBRE"/>
    <s v="MENAGERE"/>
    <n v="1"/>
    <n v="0"/>
    <n v="1"/>
  </r>
  <r>
    <n v="606"/>
    <x v="596"/>
    <x v="1"/>
    <x v="20"/>
    <x v="16"/>
    <x v="0"/>
    <m/>
    <m/>
    <s v="YAO VINCENT "/>
    <s v="0788110149"/>
    <n v="30"/>
    <x v="0"/>
    <s v="UNION LIBRE"/>
    <s v="MENAGERE"/>
    <n v="2"/>
    <n v="1"/>
    <n v="3"/>
  </r>
  <r>
    <n v="607"/>
    <x v="597"/>
    <x v="1"/>
    <x v="20"/>
    <x v="16"/>
    <x v="0"/>
    <m/>
    <m/>
    <s v="YAO VINCENT "/>
    <s v="0564411077"/>
    <n v="36"/>
    <x v="0"/>
    <s v="UNION LIBRE"/>
    <s v="MENAGERE"/>
    <n v="6"/>
    <n v="1"/>
    <n v="7"/>
  </r>
  <r>
    <n v="608"/>
    <x v="598"/>
    <x v="1"/>
    <x v="20"/>
    <x v="16"/>
    <x v="0"/>
    <m/>
    <m/>
    <s v="YAO VINCENT "/>
    <m/>
    <n v="32"/>
    <x v="0"/>
    <s v="UNION LIBRE"/>
    <s v="MENAGERE"/>
    <n v="1"/>
    <n v="0"/>
    <n v="1"/>
  </r>
  <r>
    <n v="609"/>
    <x v="599"/>
    <x v="1"/>
    <x v="20"/>
    <x v="16"/>
    <x v="0"/>
    <m/>
    <m/>
    <s v="YAO VINCENT "/>
    <s v="0757480715"/>
    <n v="43"/>
    <x v="0"/>
    <s v="UNION LIBRE"/>
    <s v="MENAGERE"/>
    <n v="3"/>
    <n v="4"/>
    <n v="7"/>
  </r>
  <r>
    <n v="610"/>
    <x v="600"/>
    <x v="1"/>
    <x v="20"/>
    <x v="16"/>
    <x v="0"/>
    <m/>
    <m/>
    <s v="YAO VINCENT "/>
    <s v="0759573624"/>
    <n v="53"/>
    <x v="0"/>
    <s v="UNION LIBRE"/>
    <s v="MENAGERE"/>
    <n v="0"/>
    <n v="0"/>
    <n v="0"/>
  </r>
  <r>
    <n v="611"/>
    <x v="601"/>
    <x v="1"/>
    <x v="20"/>
    <x v="16"/>
    <x v="0"/>
    <m/>
    <m/>
    <s v="YAO VINCENT "/>
    <m/>
    <n v="53"/>
    <x v="0"/>
    <s v="UNION LIBRE"/>
    <s v="MENAGERE"/>
    <n v="0"/>
    <n v="4"/>
    <n v="4"/>
  </r>
  <r>
    <n v="612"/>
    <x v="602"/>
    <x v="1"/>
    <x v="20"/>
    <x v="16"/>
    <x v="0"/>
    <m/>
    <m/>
    <s v="YAO VINCENT "/>
    <s v="0779223109"/>
    <n v="33"/>
    <x v="0"/>
    <s v="DOTE"/>
    <s v="MENAGERE"/>
    <n v="2"/>
    <n v="2"/>
    <n v="4"/>
  </r>
  <r>
    <n v="613"/>
    <x v="603"/>
    <x v="1"/>
    <x v="20"/>
    <x v="16"/>
    <x v="0"/>
    <m/>
    <m/>
    <s v="YAO VINCENT "/>
    <s v="0747883817"/>
    <n v="22"/>
    <x v="1"/>
    <s v="UNION LIBRE"/>
    <s v="PLANTEUR"/>
    <n v="0"/>
    <n v="0"/>
    <n v="0"/>
  </r>
  <r>
    <n v="614"/>
    <x v="604"/>
    <x v="1"/>
    <x v="21"/>
    <x v="16"/>
    <x v="0"/>
    <m/>
    <m/>
    <s v="YAO VINCENT "/>
    <s v="0574639213"/>
    <n v="50"/>
    <x v="1"/>
    <s v="MARIE"/>
    <s v="PLANTEUR"/>
    <n v="4"/>
    <n v="3"/>
    <n v="7"/>
  </r>
  <r>
    <n v="615"/>
    <x v="605"/>
    <x v="1"/>
    <x v="21"/>
    <x v="16"/>
    <x v="0"/>
    <m/>
    <m/>
    <s v="YAO VINCENT "/>
    <s v="0566609416"/>
    <n v="34"/>
    <x v="1"/>
    <s v="DOTE"/>
    <s v="PLANTEUR"/>
    <n v="1"/>
    <n v="4"/>
    <n v="5"/>
  </r>
  <r>
    <n v="616"/>
    <x v="606"/>
    <x v="1"/>
    <x v="21"/>
    <x v="16"/>
    <x v="0"/>
    <m/>
    <m/>
    <s v="YAO VINCENT "/>
    <s v="0778713966"/>
    <n v="65"/>
    <x v="1"/>
    <s v="MARIE"/>
    <s v="PLANTEUR"/>
    <n v="3"/>
    <n v="1"/>
    <n v="4"/>
  </r>
  <r>
    <n v="617"/>
    <x v="607"/>
    <x v="1"/>
    <x v="21"/>
    <x v="16"/>
    <x v="0"/>
    <m/>
    <m/>
    <s v="YAO VINCENT "/>
    <s v="0779433364"/>
    <n v="47"/>
    <x v="1"/>
    <s v="DOTE"/>
    <s v="PLANTEUR"/>
    <n v="1"/>
    <n v="2"/>
    <n v="3"/>
  </r>
  <r>
    <n v="618"/>
    <x v="608"/>
    <x v="1"/>
    <x v="21"/>
    <x v="16"/>
    <x v="0"/>
    <m/>
    <m/>
    <s v="YAO VINCENT "/>
    <s v="0545612370"/>
    <n v="42"/>
    <x v="1"/>
    <s v="DOTE"/>
    <s v="PLANTEUR"/>
    <n v="5"/>
    <n v="1"/>
    <n v="6"/>
  </r>
  <r>
    <n v="619"/>
    <x v="609"/>
    <x v="1"/>
    <x v="21"/>
    <x v="16"/>
    <x v="0"/>
    <m/>
    <m/>
    <s v="YAO VINCENT "/>
    <s v="0779487967"/>
    <n v="45"/>
    <x v="1"/>
    <s v="DOTE"/>
    <s v="PLANTEUR"/>
    <n v="4"/>
    <n v="1"/>
    <n v="5"/>
  </r>
  <r>
    <n v="620"/>
    <x v="610"/>
    <x v="1"/>
    <x v="21"/>
    <x v="16"/>
    <x v="0"/>
    <m/>
    <m/>
    <s v="YAO VINCENT "/>
    <s v="0777934111"/>
    <n v="67"/>
    <x v="1"/>
    <s v="DOTE"/>
    <s v="PLANTEUR"/>
    <n v="3"/>
    <n v="6"/>
    <n v="9"/>
  </r>
  <r>
    <n v="621"/>
    <x v="611"/>
    <x v="1"/>
    <x v="21"/>
    <x v="16"/>
    <x v="0"/>
    <m/>
    <m/>
    <s v="YAO VINCENT "/>
    <s v="0709890572"/>
    <n v="43"/>
    <x v="0"/>
    <s v="MARIE"/>
    <s v="MENAGERE"/>
    <n v="4"/>
    <n v="3"/>
    <n v="7"/>
  </r>
  <r>
    <n v="622"/>
    <x v="612"/>
    <x v="1"/>
    <x v="21"/>
    <x v="16"/>
    <x v="0"/>
    <m/>
    <m/>
    <s v="YAO VINCENT "/>
    <s v="0779143251"/>
    <n v="68"/>
    <x v="1"/>
    <s v="DOTE"/>
    <s v="PLANTEUR"/>
    <n v="1"/>
    <n v="4"/>
    <n v="5"/>
  </r>
  <r>
    <n v="623"/>
    <x v="613"/>
    <x v="1"/>
    <x v="21"/>
    <x v="16"/>
    <x v="0"/>
    <m/>
    <m/>
    <s v="YAO VINCENT "/>
    <s v="0777058079"/>
    <n v="32"/>
    <x v="1"/>
    <s v="DOTE"/>
    <s v="PLANTEUR"/>
    <n v="4"/>
    <n v="4"/>
    <n v="8"/>
  </r>
  <r>
    <n v="624"/>
    <x v="614"/>
    <x v="1"/>
    <x v="21"/>
    <x v="16"/>
    <x v="0"/>
    <m/>
    <m/>
    <s v="YAO VINCENT "/>
    <s v="0778393409"/>
    <n v="39"/>
    <x v="1"/>
    <s v="DOTE"/>
    <s v="PLANTEUR"/>
    <n v="1"/>
    <n v="4"/>
    <n v="5"/>
  </r>
  <r>
    <n v="625"/>
    <x v="615"/>
    <x v="1"/>
    <x v="21"/>
    <x v="16"/>
    <x v="0"/>
    <m/>
    <m/>
    <s v="YAO VINCENT "/>
    <s v="0789013316"/>
    <n v="32"/>
    <x v="0"/>
    <s v="DOTE"/>
    <s v="MENAGERE"/>
    <n v="4"/>
    <n v="4"/>
    <n v="8"/>
  </r>
  <r>
    <n v="626"/>
    <x v="616"/>
    <x v="1"/>
    <x v="21"/>
    <x v="16"/>
    <x v="0"/>
    <m/>
    <m/>
    <s v="YAO VINCENT "/>
    <s v="0797432577"/>
    <n v="31"/>
    <x v="0"/>
    <s v="DOTE"/>
    <s v="MENAGERE"/>
    <n v="3"/>
    <n v="0"/>
    <n v="3"/>
  </r>
  <r>
    <n v="627"/>
    <x v="617"/>
    <x v="1"/>
    <x v="21"/>
    <x v="16"/>
    <x v="0"/>
    <m/>
    <m/>
    <s v="YAO VINCENT "/>
    <s v="0545862598"/>
    <n v="38"/>
    <x v="0"/>
    <s v="DOTE"/>
    <s v="MENAGERE"/>
    <n v="2"/>
    <n v="5"/>
    <n v="7"/>
  </r>
  <r>
    <n v="628"/>
    <x v="618"/>
    <x v="1"/>
    <x v="21"/>
    <x v="16"/>
    <x v="0"/>
    <m/>
    <m/>
    <s v="YAO VINCENT "/>
    <s v="0564143365"/>
    <n v="36"/>
    <x v="0"/>
    <s v="DOTE"/>
    <s v="MENAGERE"/>
    <n v="0"/>
    <n v="4"/>
    <n v="4"/>
  </r>
  <r>
    <n v="629"/>
    <x v="619"/>
    <x v="1"/>
    <x v="21"/>
    <x v="16"/>
    <x v="0"/>
    <m/>
    <m/>
    <s v="YAO VINCENT "/>
    <m/>
    <n v="42"/>
    <x v="0"/>
    <s v="DOTE"/>
    <s v="MENAGERE"/>
    <n v="3"/>
    <n v="4"/>
    <n v="7"/>
  </r>
  <r>
    <n v="630"/>
    <x v="620"/>
    <x v="1"/>
    <x v="21"/>
    <x v="16"/>
    <x v="0"/>
    <m/>
    <m/>
    <s v="YAO VINCENT "/>
    <s v="0778024233"/>
    <n v="55"/>
    <x v="0"/>
    <s v="DOTE"/>
    <s v="MENAGERE"/>
    <n v="1"/>
    <n v="5"/>
    <n v="6"/>
  </r>
  <r>
    <n v="631"/>
    <x v="621"/>
    <x v="1"/>
    <x v="21"/>
    <x v="16"/>
    <x v="0"/>
    <m/>
    <m/>
    <s v="YAO VINCENT "/>
    <s v="0779442900"/>
    <n v="45"/>
    <x v="0"/>
    <s v="DOTE"/>
    <s v="MENAGERE"/>
    <n v="3"/>
    <n v="4"/>
    <n v="7"/>
  </r>
  <r>
    <n v="632"/>
    <x v="622"/>
    <x v="1"/>
    <x v="21"/>
    <x v="16"/>
    <x v="0"/>
    <m/>
    <m/>
    <s v="YAO VINCENT "/>
    <s v="0574657233"/>
    <n v="53"/>
    <x v="1"/>
    <s v="DOTE"/>
    <s v="PLANTEUR"/>
    <n v="4"/>
    <n v="5"/>
    <n v="9"/>
  </r>
  <r>
    <n v="633"/>
    <x v="623"/>
    <x v="1"/>
    <x v="21"/>
    <x v="16"/>
    <x v="0"/>
    <m/>
    <m/>
    <s v="YAO VINCENT "/>
    <s v="0555721437"/>
    <n v="37"/>
    <x v="0"/>
    <s v="DOTE"/>
    <s v="MENAGERE"/>
    <n v="1"/>
    <n v="1"/>
    <n v="2"/>
  </r>
  <r>
    <n v="634"/>
    <x v="624"/>
    <x v="1"/>
    <x v="21"/>
    <x v="16"/>
    <x v="0"/>
    <m/>
    <m/>
    <s v="YAO VINCENT "/>
    <s v="0788772389"/>
    <n v="58"/>
    <x v="0"/>
    <s v="DOTE"/>
    <s v="MENAGERE"/>
    <n v="1"/>
    <n v="2"/>
    <n v="3"/>
  </r>
  <r>
    <n v="635"/>
    <x v="625"/>
    <x v="1"/>
    <x v="21"/>
    <x v="16"/>
    <x v="0"/>
    <m/>
    <m/>
    <s v="YAO VINCENT "/>
    <s v="0709015990"/>
    <n v="56"/>
    <x v="0"/>
    <s v="DOTE"/>
    <s v="MENAGERE"/>
    <n v="5"/>
    <n v="4"/>
    <n v="9"/>
  </r>
  <r>
    <n v="636"/>
    <x v="626"/>
    <x v="1"/>
    <x v="21"/>
    <x v="16"/>
    <x v="0"/>
    <m/>
    <m/>
    <s v="YAO VINCENT "/>
    <s v="0141234250"/>
    <n v="19"/>
    <x v="1"/>
    <s v="celibataire"/>
    <s v="PLANTEUR"/>
    <n v="0"/>
    <n v="0"/>
    <n v="0"/>
  </r>
  <r>
    <n v="637"/>
    <x v="627"/>
    <x v="1"/>
    <x v="21"/>
    <x v="16"/>
    <x v="0"/>
    <m/>
    <m/>
    <s v="YAO VINCENT "/>
    <s v="0748402984"/>
    <n v="57"/>
    <x v="0"/>
    <s v="DOTE"/>
    <s v="MENAGERE"/>
    <n v="3"/>
    <n v="2"/>
    <n v="5"/>
  </r>
  <r>
    <n v="638"/>
    <x v="628"/>
    <x v="1"/>
    <x v="21"/>
    <x v="16"/>
    <x v="0"/>
    <m/>
    <m/>
    <s v="YAO VINCENT "/>
    <s v="0747348103"/>
    <n v="53"/>
    <x v="1"/>
    <s v="DOTE"/>
    <s v="PLANTEUR"/>
    <n v="1"/>
    <n v="4"/>
    <n v="5"/>
  </r>
  <r>
    <n v="639"/>
    <x v="629"/>
    <x v="1"/>
    <x v="21"/>
    <x v="16"/>
    <x v="0"/>
    <m/>
    <m/>
    <s v="YAO VINCENT "/>
    <s v="0575141721"/>
    <n v="47"/>
    <x v="1"/>
    <s v="DOTE"/>
    <s v="PLANTEUR"/>
    <n v="4"/>
    <n v="3"/>
    <n v="7"/>
  </r>
  <r>
    <n v="640"/>
    <x v="630"/>
    <x v="1"/>
    <x v="21"/>
    <x v="16"/>
    <x v="0"/>
    <m/>
    <m/>
    <s v="YAO VINCENT "/>
    <s v="0747326053"/>
    <n v="39"/>
    <x v="0"/>
    <s v="DOTE"/>
    <s v="MENAGERE"/>
    <n v="3"/>
    <n v="2"/>
    <n v="5"/>
  </r>
  <r>
    <n v="641"/>
    <x v="631"/>
    <x v="1"/>
    <x v="22"/>
    <x v="16"/>
    <x v="0"/>
    <m/>
    <m/>
    <s v="YAO VINCENT "/>
    <s v="0747005040"/>
    <n v="55"/>
    <x v="1"/>
    <s v="UNION LIBRE"/>
    <s v="PLANTEUR"/>
    <n v="6"/>
    <n v="4"/>
    <n v="10"/>
  </r>
  <r>
    <n v="642"/>
    <x v="632"/>
    <x v="1"/>
    <x v="22"/>
    <x v="16"/>
    <x v="0"/>
    <m/>
    <m/>
    <s v="YAO VINCENT "/>
    <s v="0747713372"/>
    <n v="34"/>
    <x v="1"/>
    <s v="UNION LIBRE"/>
    <s v="PLANTEUR"/>
    <n v="3"/>
    <n v="2"/>
    <n v="5"/>
  </r>
  <r>
    <n v="643"/>
    <x v="633"/>
    <x v="1"/>
    <x v="22"/>
    <x v="16"/>
    <x v="0"/>
    <m/>
    <m/>
    <s v="YAO VINCENT "/>
    <s v="0788136542"/>
    <n v="44"/>
    <x v="0"/>
    <s v="UNION LIBRE"/>
    <s v="MENAGERE"/>
    <n v="3"/>
    <n v="1"/>
    <n v="4"/>
  </r>
  <r>
    <n v="644"/>
    <x v="634"/>
    <x v="1"/>
    <x v="22"/>
    <x v="16"/>
    <x v="0"/>
    <m/>
    <m/>
    <s v="YAO VINCENT "/>
    <s v="0747477264"/>
    <n v="51"/>
    <x v="1"/>
    <s v="UNION LIBRE"/>
    <s v="PLANTEUR"/>
    <n v="6"/>
    <n v="4"/>
    <n v="10"/>
  </r>
  <r>
    <n v="645"/>
    <x v="635"/>
    <x v="1"/>
    <x v="22"/>
    <x v="16"/>
    <x v="0"/>
    <m/>
    <m/>
    <s v="YAO VINCENT "/>
    <s v="0555676399"/>
    <n v="48"/>
    <x v="1"/>
    <s v="UNION LIBRE"/>
    <s v="PLANTEUR"/>
    <n v="4"/>
    <n v="5"/>
    <n v="9"/>
  </r>
  <r>
    <n v="646"/>
    <x v="636"/>
    <x v="1"/>
    <x v="22"/>
    <x v="16"/>
    <x v="0"/>
    <m/>
    <m/>
    <s v="YAO VINCENT "/>
    <s v="0747375130"/>
    <n v="40"/>
    <x v="0"/>
    <s v="UNION LIBRE"/>
    <s v="MENAGERE"/>
    <n v="4"/>
    <n v="0"/>
    <n v="4"/>
  </r>
  <r>
    <n v="647"/>
    <x v="637"/>
    <x v="1"/>
    <x v="22"/>
    <x v="16"/>
    <x v="0"/>
    <m/>
    <m/>
    <s v="YAO VINCENT "/>
    <s v="0555992356"/>
    <n v="33"/>
    <x v="0"/>
    <s v="UNION LIBRE"/>
    <s v="MENAGERE"/>
    <n v="3"/>
    <n v="2"/>
    <n v="5"/>
  </r>
  <r>
    <n v="648"/>
    <x v="638"/>
    <x v="1"/>
    <x v="22"/>
    <x v="16"/>
    <x v="0"/>
    <m/>
    <m/>
    <s v="YAO VINCENT "/>
    <s v="0787920738"/>
    <n v="45"/>
    <x v="0"/>
    <s v="UNION LIBRE"/>
    <s v="MENAGERE"/>
    <n v="6"/>
    <n v="2"/>
    <n v="8"/>
  </r>
  <r>
    <n v="649"/>
    <x v="639"/>
    <x v="1"/>
    <x v="22"/>
    <x v="16"/>
    <x v="0"/>
    <m/>
    <m/>
    <s v="YAO VINCENT "/>
    <s v="0748851139"/>
    <n v="76"/>
    <x v="1"/>
    <s v="UNION LIBRE"/>
    <s v="PLANTEUR"/>
    <n v="0"/>
    <n v="2"/>
    <n v="2"/>
  </r>
  <r>
    <n v="650"/>
    <x v="640"/>
    <x v="1"/>
    <x v="22"/>
    <x v="16"/>
    <x v="0"/>
    <m/>
    <m/>
    <s v="YAO VINCENT "/>
    <s v="0574240751"/>
    <n v="65"/>
    <x v="1"/>
    <s v="DOTE"/>
    <s v="PLANTEUR"/>
    <n v="0"/>
    <n v="2"/>
    <n v="2"/>
  </r>
  <r>
    <n v="651"/>
    <x v="641"/>
    <x v="1"/>
    <x v="22"/>
    <x v="16"/>
    <x v="0"/>
    <m/>
    <m/>
    <s v="YAO VINCENT "/>
    <s v="0798989386"/>
    <n v="30"/>
    <x v="0"/>
    <s v="UNION LIBRE"/>
    <s v="MENAGERE"/>
    <n v="3"/>
    <n v="1"/>
    <n v="4"/>
  </r>
  <r>
    <n v="652"/>
    <x v="642"/>
    <x v="1"/>
    <x v="22"/>
    <x v="16"/>
    <x v="0"/>
    <m/>
    <m/>
    <s v="YAO VINCENT "/>
    <s v="0769358868"/>
    <n v="37"/>
    <x v="0"/>
    <s v="UNION LIBRE"/>
    <s v="MENAGERE"/>
    <n v="6"/>
    <n v="1"/>
    <n v="7"/>
  </r>
  <r>
    <n v="653"/>
    <x v="643"/>
    <x v="1"/>
    <x v="22"/>
    <x v="16"/>
    <x v="0"/>
    <m/>
    <m/>
    <s v="YAO VINCENT "/>
    <s v="0545011190"/>
    <n v="32"/>
    <x v="0"/>
    <s v="UNION LIBRE"/>
    <s v="MENAGERE"/>
    <n v="2"/>
    <n v="2"/>
    <n v="4"/>
  </r>
  <r>
    <n v="654"/>
    <x v="644"/>
    <x v="1"/>
    <x v="22"/>
    <x v="16"/>
    <x v="0"/>
    <m/>
    <m/>
    <s v="YAO VINCENT "/>
    <s v="0555911821"/>
    <m/>
    <x v="0"/>
    <s v="DOTE"/>
    <s v="COMMERCANTE"/>
    <n v="1"/>
    <n v="2"/>
    <n v="3"/>
  </r>
  <r>
    <n v="655"/>
    <x v="645"/>
    <x v="1"/>
    <x v="22"/>
    <x v="16"/>
    <x v="0"/>
    <m/>
    <m/>
    <s v="YAO VINCENT "/>
    <s v="0779336786"/>
    <n v="53"/>
    <x v="1"/>
    <s v="UNION LIBRE"/>
    <s v="PLANTEUR"/>
    <n v="4"/>
    <n v="1"/>
    <n v="5"/>
  </r>
  <r>
    <n v="656"/>
    <x v="646"/>
    <x v="1"/>
    <x v="22"/>
    <x v="16"/>
    <x v="0"/>
    <m/>
    <m/>
    <s v="YAO VINCENT "/>
    <s v="0575209921"/>
    <n v="59"/>
    <x v="0"/>
    <s v="UNION LIBRE"/>
    <s v="MENAGERE"/>
    <n v="4"/>
    <n v="0"/>
    <n v="4"/>
  </r>
  <r>
    <n v="657"/>
    <x v="647"/>
    <x v="1"/>
    <x v="22"/>
    <x v="16"/>
    <x v="0"/>
    <m/>
    <m/>
    <s v="YAO VINCENT "/>
    <s v="0556445382"/>
    <n v="29"/>
    <x v="0"/>
    <s v="UNION LIBRE"/>
    <s v="MENAGERE"/>
    <n v="2"/>
    <n v="2"/>
    <n v="4"/>
  </r>
  <r>
    <n v="658"/>
    <x v="648"/>
    <x v="1"/>
    <x v="22"/>
    <x v="16"/>
    <x v="0"/>
    <m/>
    <m/>
    <s v="YAO VINCENT "/>
    <s v="0708720850"/>
    <n v="40"/>
    <x v="1"/>
    <s v="UNION LIBRE"/>
    <s v="PLANTEUR"/>
    <n v="6"/>
    <n v="3"/>
    <n v="9"/>
  </r>
  <r>
    <n v="659"/>
    <x v="649"/>
    <x v="1"/>
    <x v="22"/>
    <x v="16"/>
    <x v="0"/>
    <m/>
    <m/>
    <s v="YAO VINCENT "/>
    <s v="0749218633"/>
    <n v="48"/>
    <x v="1"/>
    <s v="DOTE"/>
    <s v="PLANTEUR"/>
    <n v="2"/>
    <n v="3"/>
    <n v="5"/>
  </r>
  <r>
    <n v="660"/>
    <x v="283"/>
    <x v="1"/>
    <x v="22"/>
    <x v="16"/>
    <x v="0"/>
    <m/>
    <m/>
    <s v="YAO VINCENT "/>
    <s v="0789950884"/>
    <m/>
    <x v="0"/>
    <s v="MARIE"/>
    <m/>
    <n v="2"/>
    <n v="1"/>
    <n v="3"/>
  </r>
  <r>
    <n v="661"/>
    <x v="650"/>
    <x v="1"/>
    <x v="23"/>
    <x v="17"/>
    <x v="0"/>
    <m/>
    <m/>
    <s v="YAO VINCENT "/>
    <s v="0749664007"/>
    <m/>
    <x v="0"/>
    <m/>
    <m/>
    <n v="5"/>
    <n v="1"/>
    <n v="6"/>
  </r>
  <r>
    <n v="662"/>
    <x v="651"/>
    <x v="1"/>
    <x v="23"/>
    <x v="17"/>
    <x v="0"/>
    <m/>
    <m/>
    <s v="YAO VINCENT "/>
    <s v="0767783686"/>
    <m/>
    <x v="0"/>
    <m/>
    <m/>
    <n v="3"/>
    <n v="2"/>
    <n v="5"/>
  </r>
  <r>
    <n v="663"/>
    <x v="652"/>
    <x v="1"/>
    <x v="23"/>
    <x v="17"/>
    <x v="0"/>
    <m/>
    <m/>
    <s v="YAO VINCENT "/>
    <s v="0709714315"/>
    <m/>
    <x v="0"/>
    <m/>
    <m/>
    <n v="3"/>
    <n v="3"/>
    <n v="6"/>
  </r>
  <r>
    <n v="664"/>
    <x v="653"/>
    <x v="1"/>
    <x v="23"/>
    <x v="17"/>
    <x v="0"/>
    <m/>
    <m/>
    <s v="YAO VINCENT "/>
    <s v="0768961817"/>
    <m/>
    <x v="0"/>
    <m/>
    <m/>
    <n v="1"/>
    <n v="2"/>
    <n v="3"/>
  </r>
  <r>
    <n v="665"/>
    <x v="654"/>
    <x v="1"/>
    <x v="23"/>
    <x v="17"/>
    <x v="0"/>
    <m/>
    <m/>
    <s v="YAO VINCENT "/>
    <s v="0748663835"/>
    <m/>
    <x v="0"/>
    <m/>
    <m/>
    <n v="2"/>
    <n v="3"/>
    <n v="5"/>
  </r>
  <r>
    <n v="666"/>
    <x v="655"/>
    <x v="1"/>
    <x v="23"/>
    <x v="17"/>
    <x v="0"/>
    <m/>
    <m/>
    <s v="YAO VINCENT "/>
    <s v="0709873904"/>
    <m/>
    <x v="0"/>
    <m/>
    <m/>
    <n v="1"/>
    <n v="2"/>
    <n v="3"/>
  </r>
  <r>
    <n v="667"/>
    <x v="656"/>
    <x v="1"/>
    <x v="23"/>
    <x v="17"/>
    <x v="0"/>
    <m/>
    <m/>
    <s v="YAO VINCENT "/>
    <s v="0777807902"/>
    <m/>
    <x v="0"/>
    <m/>
    <m/>
    <m/>
    <m/>
    <n v="0"/>
  </r>
  <r>
    <n v="668"/>
    <x v="657"/>
    <x v="1"/>
    <x v="23"/>
    <x v="17"/>
    <x v="0"/>
    <m/>
    <m/>
    <s v="YAO VINCENT "/>
    <m/>
    <m/>
    <x v="0"/>
    <m/>
    <m/>
    <n v="0"/>
    <n v="4"/>
    <n v="4"/>
  </r>
  <r>
    <n v="669"/>
    <x v="658"/>
    <x v="1"/>
    <x v="23"/>
    <x v="17"/>
    <x v="0"/>
    <m/>
    <m/>
    <s v="YAO VINCENT "/>
    <s v="0747532244"/>
    <m/>
    <x v="0"/>
    <m/>
    <m/>
    <n v="2"/>
    <n v="2"/>
    <n v="4"/>
  </r>
  <r>
    <n v="670"/>
    <x v="659"/>
    <x v="1"/>
    <x v="23"/>
    <x v="17"/>
    <x v="0"/>
    <m/>
    <m/>
    <s v="YAO VINCENT "/>
    <m/>
    <m/>
    <x v="0"/>
    <m/>
    <m/>
    <n v="2"/>
    <n v="2"/>
    <n v="4"/>
  </r>
  <r>
    <n v="671"/>
    <x v="660"/>
    <x v="1"/>
    <x v="23"/>
    <x v="17"/>
    <x v="0"/>
    <m/>
    <m/>
    <s v="YAO VINCENT "/>
    <s v="0759046388"/>
    <m/>
    <x v="0"/>
    <m/>
    <m/>
    <n v="1"/>
    <n v="4"/>
    <n v="5"/>
  </r>
  <r>
    <n v="672"/>
    <x v="654"/>
    <x v="1"/>
    <x v="23"/>
    <x v="17"/>
    <x v="0"/>
    <m/>
    <m/>
    <s v="YAO VINCENT "/>
    <s v="0777106343"/>
    <m/>
    <x v="0"/>
    <m/>
    <m/>
    <n v="1"/>
    <n v="4"/>
    <n v="5"/>
  </r>
  <r>
    <n v="673"/>
    <x v="661"/>
    <x v="1"/>
    <x v="23"/>
    <x v="17"/>
    <x v="0"/>
    <m/>
    <m/>
    <s v="YAO VINCENT "/>
    <s v="0797211108"/>
    <m/>
    <x v="1"/>
    <m/>
    <m/>
    <n v="5"/>
    <n v="1"/>
    <n v="6"/>
  </r>
  <r>
    <n v="674"/>
    <x v="662"/>
    <x v="1"/>
    <x v="23"/>
    <x v="17"/>
    <x v="0"/>
    <m/>
    <m/>
    <s v="YAO VINCENT "/>
    <s v="0747911820"/>
    <m/>
    <x v="0"/>
    <m/>
    <m/>
    <n v="2"/>
    <n v="0"/>
    <n v="2"/>
  </r>
  <r>
    <n v="675"/>
    <x v="663"/>
    <x v="1"/>
    <x v="23"/>
    <x v="17"/>
    <x v="0"/>
    <m/>
    <m/>
    <s v="YAO VINCENT "/>
    <s v="0778688037"/>
    <m/>
    <x v="0"/>
    <m/>
    <m/>
    <n v="3"/>
    <n v="1"/>
    <n v="4"/>
  </r>
  <r>
    <n v="676"/>
    <x v="664"/>
    <x v="1"/>
    <x v="23"/>
    <x v="17"/>
    <x v="0"/>
    <m/>
    <m/>
    <s v="YAO VINCENT "/>
    <s v="0171248216"/>
    <m/>
    <x v="0"/>
    <s v="MARIE"/>
    <m/>
    <n v="4"/>
    <n v="2"/>
    <n v="6"/>
  </r>
  <r>
    <n v="677"/>
    <x v="665"/>
    <x v="1"/>
    <x v="23"/>
    <x v="17"/>
    <x v="0"/>
    <m/>
    <m/>
    <s v="YAO VINCENT "/>
    <s v="0778688037"/>
    <m/>
    <x v="0"/>
    <s v="MARIE"/>
    <m/>
    <n v="2"/>
    <n v="3"/>
    <n v="5"/>
  </r>
  <r>
    <n v="678"/>
    <x v="666"/>
    <x v="1"/>
    <x v="23"/>
    <x v="17"/>
    <x v="0"/>
    <m/>
    <m/>
    <s v="YAO VINCENT "/>
    <s v="0758041545"/>
    <m/>
    <x v="0"/>
    <s v="MARIE"/>
    <m/>
    <n v="2"/>
    <n v="4"/>
    <n v="6"/>
  </r>
  <r>
    <n v="679"/>
    <x v="667"/>
    <x v="1"/>
    <x v="23"/>
    <x v="17"/>
    <x v="0"/>
    <m/>
    <m/>
    <s v="YAO VINCENT "/>
    <s v="0767978676"/>
    <m/>
    <x v="0"/>
    <m/>
    <m/>
    <n v="2"/>
    <n v="2"/>
    <n v="4"/>
  </r>
  <r>
    <n v="680"/>
    <x v="668"/>
    <x v="1"/>
    <x v="23"/>
    <x v="17"/>
    <x v="0"/>
    <m/>
    <m/>
    <s v="YAO VINCENT "/>
    <m/>
    <m/>
    <x v="0"/>
    <m/>
    <m/>
    <n v="4"/>
    <n v="2"/>
    <n v="6"/>
  </r>
  <r>
    <n v="681"/>
    <x v="669"/>
    <x v="1"/>
    <x v="23"/>
    <x v="17"/>
    <x v="0"/>
    <m/>
    <m/>
    <s v="YAO VINCENT "/>
    <s v="0777806808"/>
    <m/>
    <x v="0"/>
    <m/>
    <m/>
    <n v="1"/>
    <n v="3"/>
    <n v="4"/>
  </r>
  <r>
    <n v="682"/>
    <x v="670"/>
    <x v="1"/>
    <x v="23"/>
    <x v="17"/>
    <x v="0"/>
    <m/>
    <m/>
    <s v="YAO VINCENT "/>
    <m/>
    <m/>
    <x v="0"/>
    <m/>
    <m/>
    <n v="1"/>
    <n v="3"/>
    <n v="4"/>
  </r>
  <r>
    <n v="683"/>
    <x v="671"/>
    <x v="1"/>
    <x v="23"/>
    <x v="17"/>
    <x v="0"/>
    <m/>
    <m/>
    <s v="YAO VINCENT "/>
    <s v="0788926673"/>
    <m/>
    <x v="0"/>
    <m/>
    <m/>
    <n v="4"/>
    <n v="2"/>
    <n v="6"/>
  </r>
  <r>
    <n v="684"/>
    <x v="672"/>
    <x v="1"/>
    <x v="23"/>
    <x v="17"/>
    <x v="0"/>
    <m/>
    <m/>
    <s v="YAO VINCENT "/>
    <s v="0749587983"/>
    <m/>
    <x v="1"/>
    <s v="MARIE"/>
    <m/>
    <n v="1"/>
    <n v="2"/>
    <n v="3"/>
  </r>
  <r>
    <n v="685"/>
    <x v="673"/>
    <x v="1"/>
    <x v="23"/>
    <x v="17"/>
    <x v="0"/>
    <m/>
    <m/>
    <s v="YAO VINCENT "/>
    <s v="0708776905"/>
    <m/>
    <x v="1"/>
    <m/>
    <m/>
    <n v="0"/>
    <n v="0"/>
    <n v="0"/>
  </r>
  <r>
    <n v="686"/>
    <x v="674"/>
    <x v="1"/>
    <x v="23"/>
    <x v="17"/>
    <x v="0"/>
    <m/>
    <m/>
    <s v="YAO VINCENT "/>
    <s v="0759113148"/>
    <m/>
    <x v="0"/>
    <m/>
    <m/>
    <n v="2"/>
    <n v="3"/>
    <n v="5"/>
  </r>
  <r>
    <n v="687"/>
    <x v="675"/>
    <x v="1"/>
    <x v="23"/>
    <x v="17"/>
    <x v="0"/>
    <m/>
    <m/>
    <s v="YAO VINCENT "/>
    <s v="0777806804"/>
    <m/>
    <x v="0"/>
    <m/>
    <m/>
    <n v="0"/>
    <n v="0"/>
    <n v="0"/>
  </r>
  <r>
    <n v="688"/>
    <x v="676"/>
    <x v="1"/>
    <x v="23"/>
    <x v="17"/>
    <x v="0"/>
    <m/>
    <m/>
    <s v="YAO VINCENT "/>
    <m/>
    <m/>
    <x v="0"/>
    <m/>
    <m/>
    <n v="0"/>
    <n v="0"/>
    <n v="0"/>
  </r>
  <r>
    <n v="689"/>
    <x v="677"/>
    <x v="1"/>
    <x v="23"/>
    <x v="17"/>
    <x v="0"/>
    <m/>
    <m/>
    <s v="YAO VINCENT "/>
    <m/>
    <m/>
    <x v="0"/>
    <s v="MARIE"/>
    <m/>
    <n v="2"/>
    <n v="3"/>
    <n v="5"/>
  </r>
  <r>
    <n v="690"/>
    <x v="678"/>
    <x v="1"/>
    <x v="23"/>
    <x v="17"/>
    <x v="0"/>
    <m/>
    <m/>
    <s v="YAO VINCENT "/>
    <s v="0153021400"/>
    <m/>
    <x v="0"/>
    <m/>
    <m/>
    <m/>
    <m/>
    <n v="0"/>
  </r>
  <r>
    <n v="691"/>
    <x v="679"/>
    <x v="1"/>
    <x v="22"/>
    <x v="17"/>
    <x v="0"/>
    <m/>
    <m/>
    <s v="YAO VINCENT "/>
    <m/>
    <m/>
    <x v="0"/>
    <s v="MARIE"/>
    <m/>
    <n v="3"/>
    <n v="3"/>
    <n v="6"/>
  </r>
  <r>
    <n v="692"/>
    <x v="680"/>
    <x v="1"/>
    <x v="22"/>
    <x v="17"/>
    <x v="0"/>
    <m/>
    <m/>
    <s v="YAO VINCENT "/>
    <m/>
    <m/>
    <x v="1"/>
    <s v="MARIE"/>
    <m/>
    <n v="3"/>
    <n v="3"/>
    <n v="6"/>
  </r>
  <r>
    <n v="693"/>
    <x v="681"/>
    <x v="1"/>
    <x v="22"/>
    <x v="17"/>
    <x v="0"/>
    <m/>
    <m/>
    <s v="YAO VINCENT "/>
    <s v="0160330872"/>
    <m/>
    <x v="0"/>
    <s v="CONCUBINAGE"/>
    <m/>
    <n v="8"/>
    <n v="0"/>
    <n v="8"/>
  </r>
  <r>
    <n v="694"/>
    <x v="682"/>
    <x v="1"/>
    <x v="22"/>
    <x v="17"/>
    <x v="0"/>
    <m/>
    <m/>
    <s v="YAO VINCENT "/>
    <m/>
    <m/>
    <x v="0"/>
    <s v="CONCUBINAGE"/>
    <m/>
    <n v="2"/>
    <n v="2"/>
    <n v="4"/>
  </r>
  <r>
    <n v="695"/>
    <x v="683"/>
    <x v="1"/>
    <x v="22"/>
    <x v="17"/>
    <x v="0"/>
    <m/>
    <m/>
    <s v="YAO VINCENT "/>
    <m/>
    <m/>
    <x v="0"/>
    <s v="CONCUBINAGE"/>
    <m/>
    <n v="3"/>
    <n v="2"/>
    <n v="5"/>
  </r>
  <r>
    <n v="696"/>
    <x v="684"/>
    <x v="1"/>
    <x v="22"/>
    <x v="17"/>
    <x v="0"/>
    <m/>
    <m/>
    <s v="YAO VINCENT "/>
    <m/>
    <m/>
    <x v="0"/>
    <s v="CONCUBINAGE"/>
    <m/>
    <n v="4"/>
    <n v="3"/>
    <n v="7"/>
  </r>
  <r>
    <n v="697"/>
    <x v="685"/>
    <x v="1"/>
    <x v="22"/>
    <x v="17"/>
    <x v="0"/>
    <m/>
    <m/>
    <s v="YAO VINCENT "/>
    <m/>
    <m/>
    <x v="0"/>
    <s v="CONCUBINAGE"/>
    <m/>
    <n v="1"/>
    <n v="2"/>
    <n v="3"/>
  </r>
  <r>
    <n v="698"/>
    <x v="686"/>
    <x v="1"/>
    <x v="22"/>
    <x v="17"/>
    <x v="0"/>
    <m/>
    <m/>
    <s v="YAO VINCENT "/>
    <m/>
    <m/>
    <x v="0"/>
    <s v="CONCUBINAGE"/>
    <m/>
    <n v="2"/>
    <n v="3"/>
    <n v="5"/>
  </r>
  <r>
    <n v="699"/>
    <x v="687"/>
    <x v="1"/>
    <x v="22"/>
    <x v="17"/>
    <x v="0"/>
    <m/>
    <m/>
    <s v="YAO VINCENT "/>
    <m/>
    <m/>
    <x v="0"/>
    <s v="CONCUBINAGE"/>
    <m/>
    <n v="1"/>
    <n v="0"/>
    <n v="1"/>
  </r>
  <r>
    <n v="700"/>
    <x v="688"/>
    <x v="1"/>
    <x v="22"/>
    <x v="17"/>
    <x v="0"/>
    <m/>
    <m/>
    <s v="YAO VINCENT "/>
    <m/>
    <m/>
    <x v="0"/>
    <s v="CONCUBINAGE"/>
    <m/>
    <n v="8"/>
    <n v="1"/>
    <n v="9"/>
  </r>
  <r>
    <n v="701"/>
    <x v="689"/>
    <x v="1"/>
    <x v="22"/>
    <x v="17"/>
    <x v="0"/>
    <m/>
    <m/>
    <s v="YAO VINCENT "/>
    <s v="0152625491"/>
    <m/>
    <x v="1"/>
    <s v="CONCUBINAGE"/>
    <m/>
    <n v="8"/>
    <n v="1"/>
    <n v="9"/>
  </r>
  <r>
    <n v="702"/>
    <x v="690"/>
    <x v="1"/>
    <x v="22"/>
    <x v="17"/>
    <x v="0"/>
    <m/>
    <m/>
    <s v="YAO VINCENT "/>
    <m/>
    <m/>
    <x v="0"/>
    <s v="CONCUBINAGE"/>
    <m/>
    <n v="1"/>
    <n v="3"/>
    <n v="4"/>
  </r>
  <r>
    <n v="703"/>
    <x v="691"/>
    <x v="1"/>
    <x v="22"/>
    <x v="17"/>
    <x v="0"/>
    <m/>
    <m/>
    <s v="YAO VINCENT "/>
    <s v="0142257974"/>
    <m/>
    <x v="0"/>
    <s v="CONCUBINAGE"/>
    <m/>
    <n v="2"/>
    <n v="2"/>
    <n v="4"/>
  </r>
  <r>
    <n v="704"/>
    <x v="692"/>
    <x v="1"/>
    <x v="22"/>
    <x v="17"/>
    <x v="0"/>
    <m/>
    <m/>
    <s v="YAO VINCENT "/>
    <m/>
    <m/>
    <x v="0"/>
    <s v="CONCUBINAGE"/>
    <m/>
    <n v="0"/>
    <n v="2"/>
    <n v="2"/>
  </r>
  <r>
    <n v="705"/>
    <x v="693"/>
    <x v="1"/>
    <x v="22"/>
    <x v="17"/>
    <x v="0"/>
    <m/>
    <m/>
    <s v="YAO VINCENT "/>
    <m/>
    <m/>
    <x v="1"/>
    <s v="MARIE"/>
    <m/>
    <n v="3"/>
    <n v="2"/>
    <n v="5"/>
  </r>
  <r>
    <n v="706"/>
    <x v="694"/>
    <x v="1"/>
    <x v="22"/>
    <x v="17"/>
    <x v="0"/>
    <m/>
    <m/>
    <s v="YAO VINCENT "/>
    <m/>
    <m/>
    <x v="1"/>
    <s v="CONCUBINAGE"/>
    <m/>
    <n v="3"/>
    <n v="3"/>
    <n v="6"/>
  </r>
  <r>
    <n v="707"/>
    <x v="695"/>
    <x v="1"/>
    <x v="22"/>
    <x v="17"/>
    <x v="0"/>
    <m/>
    <m/>
    <s v="YAO VINCENT "/>
    <m/>
    <m/>
    <x v="0"/>
    <s v="CONCUBINAGE"/>
    <m/>
    <n v="2"/>
    <n v="4"/>
    <n v="6"/>
  </r>
  <r>
    <n v="708"/>
    <x v="696"/>
    <x v="1"/>
    <x v="22"/>
    <x v="17"/>
    <x v="0"/>
    <m/>
    <m/>
    <s v="YAO VINCENT "/>
    <m/>
    <m/>
    <x v="0"/>
    <s v="CONCUBINAGE"/>
    <m/>
    <n v="1"/>
    <n v="3"/>
    <n v="4"/>
  </r>
  <r>
    <n v="709"/>
    <x v="697"/>
    <x v="1"/>
    <x v="22"/>
    <x v="17"/>
    <x v="0"/>
    <m/>
    <m/>
    <s v="YAO VINCENT "/>
    <m/>
    <m/>
    <x v="0"/>
    <s v="CONCUBINAGE"/>
    <m/>
    <n v="2"/>
    <n v="0"/>
    <n v="2"/>
  </r>
  <r>
    <n v="710"/>
    <x v="698"/>
    <x v="1"/>
    <x v="22"/>
    <x v="17"/>
    <x v="0"/>
    <m/>
    <m/>
    <s v="YAO VINCENT "/>
    <m/>
    <m/>
    <x v="0"/>
    <s v="CONCUBINAGE"/>
    <m/>
    <n v="4"/>
    <n v="1"/>
    <n v="5"/>
  </r>
  <r>
    <n v="711"/>
    <x v="699"/>
    <x v="1"/>
    <x v="22"/>
    <x v="17"/>
    <x v="0"/>
    <m/>
    <m/>
    <s v="YAO VINCENT "/>
    <m/>
    <m/>
    <x v="0"/>
    <s v="CONCUBINAGE"/>
    <m/>
    <n v="1"/>
    <n v="0"/>
    <n v="1"/>
  </r>
  <r>
    <n v="712"/>
    <x v="700"/>
    <x v="1"/>
    <x v="22"/>
    <x v="17"/>
    <x v="0"/>
    <m/>
    <m/>
    <s v="YAO VINCENT "/>
    <m/>
    <m/>
    <x v="0"/>
    <s v="CONCUBINAGE"/>
    <m/>
    <n v="2"/>
    <n v="0"/>
    <n v="2"/>
  </r>
  <r>
    <n v="713"/>
    <x v="701"/>
    <x v="1"/>
    <x v="22"/>
    <x v="17"/>
    <x v="0"/>
    <m/>
    <m/>
    <s v="YAO VINCENT "/>
    <m/>
    <m/>
    <x v="0"/>
    <s v="CONCUBINAGE"/>
    <m/>
    <n v="0"/>
    <n v="0"/>
    <n v="0"/>
  </r>
  <r>
    <n v="714"/>
    <x v="702"/>
    <x v="1"/>
    <x v="22"/>
    <x v="17"/>
    <x v="0"/>
    <m/>
    <m/>
    <s v="YAO VINCENT "/>
    <m/>
    <m/>
    <x v="1"/>
    <s v="CONCUBINAGE"/>
    <m/>
    <n v="4"/>
    <n v="4"/>
    <n v="8"/>
  </r>
  <r>
    <n v="715"/>
    <x v="703"/>
    <x v="1"/>
    <x v="22"/>
    <x v="17"/>
    <x v="0"/>
    <m/>
    <m/>
    <s v="YAO VINCENT "/>
    <m/>
    <m/>
    <x v="0"/>
    <s v="CONCUBINAGE"/>
    <m/>
    <n v="2"/>
    <n v="0"/>
    <n v="2"/>
  </r>
  <r>
    <n v="716"/>
    <x v="704"/>
    <x v="1"/>
    <x v="22"/>
    <x v="17"/>
    <x v="0"/>
    <m/>
    <m/>
    <s v="YAO VINCENT "/>
    <s v="0171478536"/>
    <m/>
    <x v="0"/>
    <s v="CONCUBINAGE"/>
    <m/>
    <n v="1"/>
    <n v="4"/>
    <n v="5"/>
  </r>
  <r>
    <n v="717"/>
    <x v="705"/>
    <x v="1"/>
    <x v="22"/>
    <x v="17"/>
    <x v="0"/>
    <m/>
    <m/>
    <s v="YAO VINCENT "/>
    <m/>
    <m/>
    <x v="0"/>
    <s v="CONCUBINAGE"/>
    <m/>
    <n v="1"/>
    <n v="0"/>
    <n v="1"/>
  </r>
  <r>
    <n v="718"/>
    <x v="706"/>
    <x v="1"/>
    <x v="22"/>
    <x v="17"/>
    <x v="0"/>
    <m/>
    <m/>
    <s v="YAO VINCENT "/>
    <m/>
    <m/>
    <x v="0"/>
    <s v="CONCUBINAGE"/>
    <m/>
    <n v="0"/>
    <n v="0"/>
    <n v="0"/>
  </r>
  <r>
    <n v="719"/>
    <x v="707"/>
    <x v="1"/>
    <x v="22"/>
    <x v="17"/>
    <x v="0"/>
    <m/>
    <m/>
    <s v="YAO VINCENT "/>
    <m/>
    <m/>
    <x v="1"/>
    <s v="CONCUBINAGE"/>
    <m/>
    <n v="5"/>
    <n v="2"/>
    <n v="7"/>
  </r>
  <r>
    <n v="720"/>
    <x v="708"/>
    <x v="1"/>
    <x v="22"/>
    <x v="17"/>
    <x v="0"/>
    <m/>
    <m/>
    <s v="YAO VINCENT "/>
    <m/>
    <m/>
    <x v="1"/>
    <s v="CONCUBINAGE"/>
    <m/>
    <n v="3"/>
    <n v="4"/>
    <n v="7"/>
  </r>
  <r>
    <n v="721"/>
    <x v="186"/>
    <x v="1"/>
    <x v="24"/>
    <x v="17"/>
    <x v="0"/>
    <m/>
    <m/>
    <s v="YAO VINCENT "/>
    <s v="0778103746"/>
    <m/>
    <x v="1"/>
    <m/>
    <m/>
    <m/>
    <m/>
    <n v="0"/>
  </r>
  <r>
    <n v="722"/>
    <x v="187"/>
    <x v="1"/>
    <x v="24"/>
    <x v="17"/>
    <x v="0"/>
    <m/>
    <m/>
    <s v="YAO VINCENT "/>
    <s v="0798113505"/>
    <m/>
    <x v="0"/>
    <m/>
    <m/>
    <m/>
    <m/>
    <n v="0"/>
  </r>
  <r>
    <n v="723"/>
    <x v="188"/>
    <x v="1"/>
    <x v="24"/>
    <x v="17"/>
    <x v="0"/>
    <m/>
    <m/>
    <s v="YAO VINCENT "/>
    <m/>
    <m/>
    <x v="0"/>
    <m/>
    <m/>
    <m/>
    <m/>
    <n v="0"/>
  </r>
  <r>
    <n v="724"/>
    <x v="189"/>
    <x v="1"/>
    <x v="24"/>
    <x v="17"/>
    <x v="0"/>
    <m/>
    <m/>
    <s v="YAO VINCENT "/>
    <s v="0747785419"/>
    <m/>
    <x v="1"/>
    <m/>
    <m/>
    <m/>
    <m/>
    <n v="0"/>
  </r>
  <r>
    <n v="725"/>
    <x v="190"/>
    <x v="1"/>
    <x v="24"/>
    <x v="17"/>
    <x v="0"/>
    <m/>
    <m/>
    <s v="YAO VINCENT "/>
    <m/>
    <m/>
    <x v="0"/>
    <m/>
    <m/>
    <m/>
    <m/>
    <n v="0"/>
  </r>
  <r>
    <n v="726"/>
    <x v="191"/>
    <x v="1"/>
    <x v="24"/>
    <x v="17"/>
    <x v="0"/>
    <m/>
    <m/>
    <s v="YAO VINCENT "/>
    <m/>
    <m/>
    <x v="0"/>
    <m/>
    <m/>
    <m/>
    <m/>
    <n v="0"/>
  </r>
  <r>
    <n v="727"/>
    <x v="192"/>
    <x v="1"/>
    <x v="24"/>
    <x v="17"/>
    <x v="0"/>
    <m/>
    <m/>
    <s v="YAO VINCENT "/>
    <s v="0758510795"/>
    <m/>
    <x v="0"/>
    <m/>
    <m/>
    <m/>
    <m/>
    <n v="0"/>
  </r>
  <r>
    <n v="728"/>
    <x v="193"/>
    <x v="1"/>
    <x v="24"/>
    <x v="17"/>
    <x v="0"/>
    <m/>
    <m/>
    <s v="YAO VINCENT "/>
    <m/>
    <m/>
    <x v="0"/>
    <m/>
    <m/>
    <m/>
    <m/>
    <n v="0"/>
  </r>
  <r>
    <n v="729"/>
    <x v="194"/>
    <x v="1"/>
    <x v="24"/>
    <x v="17"/>
    <x v="0"/>
    <m/>
    <m/>
    <s v="YAO VINCENT "/>
    <m/>
    <m/>
    <x v="1"/>
    <m/>
    <m/>
    <m/>
    <m/>
    <n v="0"/>
  </r>
  <r>
    <n v="730"/>
    <x v="195"/>
    <x v="1"/>
    <x v="24"/>
    <x v="17"/>
    <x v="0"/>
    <m/>
    <m/>
    <s v="YAO VINCENT "/>
    <s v="0778103467"/>
    <m/>
    <x v="1"/>
    <m/>
    <m/>
    <m/>
    <m/>
    <n v="0"/>
  </r>
  <r>
    <n v="731"/>
    <x v="196"/>
    <x v="1"/>
    <x v="24"/>
    <x v="17"/>
    <x v="0"/>
    <m/>
    <m/>
    <s v="YAO VINCENT "/>
    <m/>
    <m/>
    <x v="1"/>
    <m/>
    <m/>
    <m/>
    <m/>
    <n v="0"/>
  </r>
  <r>
    <n v="732"/>
    <x v="197"/>
    <x v="1"/>
    <x v="24"/>
    <x v="17"/>
    <x v="0"/>
    <m/>
    <m/>
    <s v="YAO VINCENT "/>
    <s v="0566195231"/>
    <m/>
    <x v="1"/>
    <m/>
    <m/>
    <m/>
    <m/>
    <n v="0"/>
  </r>
  <r>
    <n v="733"/>
    <x v="198"/>
    <x v="1"/>
    <x v="24"/>
    <x v="17"/>
    <x v="0"/>
    <m/>
    <m/>
    <s v="YAO VINCENT "/>
    <m/>
    <m/>
    <x v="0"/>
    <m/>
    <m/>
    <m/>
    <m/>
    <n v="0"/>
  </r>
  <r>
    <n v="734"/>
    <x v="199"/>
    <x v="1"/>
    <x v="24"/>
    <x v="17"/>
    <x v="0"/>
    <m/>
    <m/>
    <s v="YAO VINCENT "/>
    <m/>
    <m/>
    <x v="0"/>
    <m/>
    <m/>
    <m/>
    <m/>
    <n v="0"/>
  </r>
  <r>
    <n v="735"/>
    <x v="200"/>
    <x v="1"/>
    <x v="24"/>
    <x v="17"/>
    <x v="0"/>
    <m/>
    <m/>
    <s v="YAO VINCENT "/>
    <m/>
    <m/>
    <x v="0"/>
    <m/>
    <m/>
    <m/>
    <m/>
    <n v="0"/>
  </r>
  <r>
    <n v="736"/>
    <x v="201"/>
    <x v="1"/>
    <x v="24"/>
    <x v="17"/>
    <x v="0"/>
    <m/>
    <m/>
    <s v="YAO VINCENT "/>
    <s v="0758876879"/>
    <m/>
    <x v="0"/>
    <m/>
    <m/>
    <m/>
    <m/>
    <n v="0"/>
  </r>
  <r>
    <n v="737"/>
    <x v="202"/>
    <x v="1"/>
    <x v="24"/>
    <x v="17"/>
    <x v="0"/>
    <m/>
    <m/>
    <s v="YAO VINCENT "/>
    <s v="0742026800"/>
    <m/>
    <x v="1"/>
    <m/>
    <m/>
    <m/>
    <m/>
    <n v="0"/>
  </r>
  <r>
    <n v="738"/>
    <x v="203"/>
    <x v="1"/>
    <x v="24"/>
    <x v="17"/>
    <x v="0"/>
    <m/>
    <m/>
    <s v="YAO VINCENT "/>
    <s v="0759014585"/>
    <m/>
    <x v="1"/>
    <m/>
    <m/>
    <m/>
    <m/>
    <n v="0"/>
  </r>
  <r>
    <n v="739"/>
    <x v="204"/>
    <x v="1"/>
    <x v="24"/>
    <x v="17"/>
    <x v="0"/>
    <m/>
    <m/>
    <s v="YAO VINCENT "/>
    <m/>
    <m/>
    <x v="0"/>
    <m/>
    <m/>
    <m/>
    <m/>
    <n v="0"/>
  </r>
  <r>
    <n v="740"/>
    <x v="205"/>
    <x v="1"/>
    <x v="24"/>
    <x v="17"/>
    <x v="0"/>
    <m/>
    <m/>
    <s v="YAO VINCENT "/>
    <m/>
    <m/>
    <x v="0"/>
    <m/>
    <m/>
    <m/>
    <m/>
    <n v="0"/>
  </r>
  <r>
    <n v="741"/>
    <x v="206"/>
    <x v="1"/>
    <x v="24"/>
    <x v="17"/>
    <x v="0"/>
    <m/>
    <m/>
    <s v="YAO VINCENT "/>
    <m/>
    <m/>
    <x v="0"/>
    <m/>
    <m/>
    <m/>
    <m/>
    <n v="0"/>
  </r>
  <r>
    <n v="742"/>
    <x v="207"/>
    <x v="1"/>
    <x v="24"/>
    <x v="17"/>
    <x v="0"/>
    <m/>
    <m/>
    <s v="YAO VINCENT "/>
    <s v="0747912400"/>
    <m/>
    <x v="1"/>
    <m/>
    <m/>
    <m/>
    <m/>
    <n v="0"/>
  </r>
  <r>
    <n v="743"/>
    <x v="208"/>
    <x v="1"/>
    <x v="24"/>
    <x v="17"/>
    <x v="0"/>
    <m/>
    <m/>
    <s v="YAO VINCENT "/>
    <s v="0768396232"/>
    <m/>
    <x v="1"/>
    <m/>
    <m/>
    <m/>
    <m/>
    <n v="0"/>
  </r>
  <r>
    <n v="744"/>
    <x v="209"/>
    <x v="1"/>
    <x v="24"/>
    <x v="17"/>
    <x v="0"/>
    <m/>
    <m/>
    <s v="YAO VINCENT "/>
    <s v="0777204741"/>
    <m/>
    <x v="1"/>
    <m/>
    <m/>
    <m/>
    <m/>
    <n v="0"/>
  </r>
  <r>
    <n v="745"/>
    <x v="210"/>
    <x v="1"/>
    <x v="24"/>
    <x v="17"/>
    <x v="0"/>
    <m/>
    <m/>
    <s v="YAO VINCENT "/>
    <s v="0748780881"/>
    <m/>
    <x v="1"/>
    <m/>
    <m/>
    <m/>
    <m/>
    <n v="0"/>
  </r>
  <r>
    <n v="746"/>
    <x v="211"/>
    <x v="1"/>
    <x v="24"/>
    <x v="17"/>
    <x v="0"/>
    <m/>
    <m/>
    <s v="YAO VINCENT "/>
    <m/>
    <m/>
    <x v="1"/>
    <m/>
    <m/>
    <m/>
    <m/>
    <n v="0"/>
  </r>
  <r>
    <n v="747"/>
    <x v="212"/>
    <x v="1"/>
    <x v="24"/>
    <x v="17"/>
    <x v="0"/>
    <m/>
    <m/>
    <s v="YAO VINCENT "/>
    <m/>
    <m/>
    <x v="0"/>
    <m/>
    <m/>
    <m/>
    <m/>
    <n v="0"/>
  </r>
  <r>
    <n v="748"/>
    <x v="213"/>
    <x v="1"/>
    <x v="24"/>
    <x v="17"/>
    <x v="0"/>
    <m/>
    <m/>
    <s v="YAO VINCENT "/>
    <m/>
    <m/>
    <x v="0"/>
    <m/>
    <m/>
    <m/>
    <m/>
    <n v="0"/>
  </r>
  <r>
    <n v="749"/>
    <x v="214"/>
    <x v="1"/>
    <x v="24"/>
    <x v="17"/>
    <x v="0"/>
    <m/>
    <m/>
    <s v="YAO VINCENT "/>
    <m/>
    <m/>
    <x v="0"/>
    <m/>
    <m/>
    <m/>
    <m/>
    <n v="0"/>
  </r>
  <r>
    <n v="750"/>
    <x v="709"/>
    <x v="1"/>
    <x v="25"/>
    <x v="18"/>
    <x v="0"/>
    <m/>
    <m/>
    <s v="YAO VINCENT "/>
    <s v="0173465578"/>
    <m/>
    <x v="0"/>
    <s v="CONCUBINAGE"/>
    <s v="MENAGERE"/>
    <n v="0"/>
    <n v="0"/>
    <n v="0"/>
  </r>
  <r>
    <n v="751"/>
    <x v="710"/>
    <x v="1"/>
    <x v="25"/>
    <x v="18"/>
    <x v="0"/>
    <m/>
    <m/>
    <s v="YAO VINCENT "/>
    <s v="0172840308"/>
    <n v="44"/>
    <x v="0"/>
    <s v="CONCUBINAGE"/>
    <s v="MENAGERE"/>
    <n v="2"/>
    <n v="0"/>
    <n v="2"/>
  </r>
  <r>
    <n v="752"/>
    <x v="711"/>
    <x v="1"/>
    <x v="25"/>
    <x v="18"/>
    <x v="0"/>
    <m/>
    <m/>
    <s v="YAO VINCENT "/>
    <s v="0757340886"/>
    <n v="45"/>
    <x v="0"/>
    <s v="CONCUBINAGE"/>
    <s v="MENAGERE"/>
    <n v="3"/>
    <n v="1"/>
    <n v="4"/>
  </r>
  <r>
    <n v="753"/>
    <x v="712"/>
    <x v="1"/>
    <x v="25"/>
    <x v="18"/>
    <x v="0"/>
    <m/>
    <m/>
    <s v="YAO VINCENT "/>
    <s v="0101318120"/>
    <n v="27"/>
    <x v="0"/>
    <s v="CONCUBINAGE"/>
    <s v="MENAGERE"/>
    <n v="0"/>
    <n v="1"/>
    <n v="1"/>
  </r>
  <r>
    <n v="754"/>
    <x v="713"/>
    <x v="1"/>
    <x v="25"/>
    <x v="18"/>
    <x v="0"/>
    <m/>
    <m/>
    <s v="YAO VINCENT "/>
    <s v="0172868568"/>
    <n v="30"/>
    <x v="0"/>
    <s v="CONCUBINAGE"/>
    <s v="MENAGERE"/>
    <n v="0"/>
    <n v="3"/>
    <n v="3"/>
  </r>
  <r>
    <n v="755"/>
    <x v="714"/>
    <x v="1"/>
    <x v="25"/>
    <x v="18"/>
    <x v="0"/>
    <m/>
    <m/>
    <s v="YAO VINCENT "/>
    <s v="0545485506"/>
    <n v="37"/>
    <x v="0"/>
    <s v="CONCUBINAGE"/>
    <s v="MENAGERE"/>
    <n v="2"/>
    <n v="2"/>
    <n v="4"/>
  </r>
  <r>
    <n v="756"/>
    <x v="715"/>
    <x v="1"/>
    <x v="25"/>
    <x v="18"/>
    <x v="0"/>
    <m/>
    <m/>
    <s v="YAO VINCENT "/>
    <s v="0554432003"/>
    <n v="40"/>
    <x v="0"/>
    <s v="CONCUBINAGE"/>
    <s v="MENAGERE"/>
    <n v="0"/>
    <n v="1"/>
    <n v="1"/>
  </r>
  <r>
    <n v="757"/>
    <x v="716"/>
    <x v="1"/>
    <x v="25"/>
    <x v="18"/>
    <x v="0"/>
    <m/>
    <m/>
    <s v="YAO VINCENT "/>
    <s v="0153955563"/>
    <n v="41"/>
    <x v="0"/>
    <s v="CONCUBINAGE"/>
    <s v="MENAGERE"/>
    <n v="3"/>
    <n v="3"/>
    <n v="6"/>
  </r>
  <r>
    <n v="758"/>
    <x v="63"/>
    <x v="1"/>
    <x v="25"/>
    <x v="18"/>
    <x v="0"/>
    <m/>
    <m/>
    <s v="YAO VINCENT "/>
    <s v="0584081793"/>
    <n v="33"/>
    <x v="0"/>
    <s v="CONCUBINAGE"/>
    <s v="MENAGERE"/>
    <n v="2"/>
    <n v="4"/>
    <n v="6"/>
  </r>
  <r>
    <n v="759"/>
    <x v="717"/>
    <x v="1"/>
    <x v="25"/>
    <x v="18"/>
    <x v="0"/>
    <m/>
    <m/>
    <s v="YAO VINCENT "/>
    <s v="0150228941"/>
    <m/>
    <x v="0"/>
    <s v="CONCUBINAGE"/>
    <s v="MENAGERE"/>
    <n v="3"/>
    <n v="1"/>
    <n v="4"/>
  </r>
  <r>
    <n v="760"/>
    <x v="718"/>
    <x v="1"/>
    <x v="25"/>
    <x v="18"/>
    <x v="0"/>
    <m/>
    <m/>
    <s v="YAO VINCENT "/>
    <s v="0556820007"/>
    <n v="41"/>
    <x v="0"/>
    <s v="CONCUBINAGE"/>
    <s v="MENAGERE"/>
    <n v="4"/>
    <n v="1"/>
    <n v="5"/>
  </r>
  <r>
    <n v="761"/>
    <x v="719"/>
    <x v="1"/>
    <x v="25"/>
    <x v="18"/>
    <x v="0"/>
    <m/>
    <m/>
    <s v="YAO VINCENT "/>
    <s v="0143503626"/>
    <n v="32"/>
    <x v="0"/>
    <s v="CONCUBINAGE"/>
    <s v="MENAGERE"/>
    <n v="3"/>
    <n v="1"/>
    <n v="4"/>
  </r>
  <r>
    <n v="762"/>
    <x v="720"/>
    <x v="1"/>
    <x v="25"/>
    <x v="18"/>
    <x v="0"/>
    <m/>
    <m/>
    <s v="YAO VINCENT "/>
    <s v="0798473582"/>
    <n v="50"/>
    <x v="0"/>
    <s v="CONCUBINAGE"/>
    <s v="MENAGERE"/>
    <n v="2"/>
    <n v="2"/>
    <n v="4"/>
  </r>
  <r>
    <n v="763"/>
    <x v="721"/>
    <x v="1"/>
    <x v="25"/>
    <x v="18"/>
    <x v="0"/>
    <m/>
    <m/>
    <s v="YAO VINCENT "/>
    <s v="0766744531"/>
    <n v="40"/>
    <x v="0"/>
    <s v="CONCUBINAGE"/>
    <s v="MENAGERE"/>
    <n v="1"/>
    <n v="2"/>
    <n v="3"/>
  </r>
  <r>
    <n v="764"/>
    <x v="722"/>
    <x v="1"/>
    <x v="25"/>
    <x v="18"/>
    <x v="0"/>
    <m/>
    <m/>
    <s v="YAO VINCENT "/>
    <s v="0769544381"/>
    <n v="38"/>
    <x v="0"/>
    <s v="CONCUBINAGE"/>
    <s v="MENAGERE"/>
    <n v="1"/>
    <n v="1"/>
    <n v="2"/>
  </r>
  <r>
    <n v="765"/>
    <x v="723"/>
    <x v="1"/>
    <x v="25"/>
    <x v="18"/>
    <x v="0"/>
    <m/>
    <m/>
    <s v="YAO VINCENT "/>
    <s v="0709297137"/>
    <n v="46"/>
    <x v="0"/>
    <s v="CONCUBINAGE"/>
    <s v="MENAGERE"/>
    <n v="1"/>
    <n v="1"/>
    <n v="2"/>
  </r>
  <r>
    <n v="766"/>
    <x v="724"/>
    <x v="1"/>
    <x v="25"/>
    <x v="18"/>
    <x v="0"/>
    <m/>
    <m/>
    <s v="YAO VINCENT "/>
    <s v="0707757382"/>
    <n v="34"/>
    <x v="0"/>
    <s v="CONCUBINAGE"/>
    <s v="MENAGERE"/>
    <n v="3"/>
    <n v="2"/>
    <n v="5"/>
  </r>
  <r>
    <n v="767"/>
    <x v="725"/>
    <x v="1"/>
    <x v="25"/>
    <x v="18"/>
    <x v="0"/>
    <m/>
    <m/>
    <s v="YAO VINCENT "/>
    <s v="0584161940"/>
    <n v="42"/>
    <x v="0"/>
    <s v="CONCUBINAGE"/>
    <s v="MENAGERE"/>
    <n v="3"/>
    <n v="3"/>
    <n v="6"/>
  </r>
  <r>
    <n v="768"/>
    <x v="726"/>
    <x v="1"/>
    <x v="25"/>
    <x v="18"/>
    <x v="0"/>
    <m/>
    <m/>
    <s v="YAO VINCENT "/>
    <s v="0757378636"/>
    <n v="57"/>
    <x v="0"/>
    <s v="CONCUBINAGE"/>
    <s v="MENAGERE"/>
    <n v="0"/>
    <n v="0"/>
    <n v="0"/>
  </r>
  <r>
    <n v="769"/>
    <x v="727"/>
    <x v="1"/>
    <x v="25"/>
    <x v="18"/>
    <x v="0"/>
    <m/>
    <m/>
    <s v="YAO VINCENT "/>
    <s v="0555779387"/>
    <n v="41"/>
    <x v="0"/>
    <s v="CONCUBINAGE"/>
    <s v="MENAGERE"/>
    <n v="2"/>
    <n v="4"/>
    <n v="6"/>
  </r>
  <r>
    <n v="770"/>
    <x v="728"/>
    <x v="1"/>
    <x v="25"/>
    <x v="18"/>
    <x v="0"/>
    <m/>
    <m/>
    <s v="YAO VINCENT "/>
    <s v="0545166569"/>
    <n v="28"/>
    <x v="0"/>
    <s v="CONCUBINAGE"/>
    <s v="MENAGERE"/>
    <n v="1"/>
    <n v="2"/>
    <n v="3"/>
  </r>
  <r>
    <n v="771"/>
    <x v="729"/>
    <x v="1"/>
    <x v="25"/>
    <x v="18"/>
    <x v="0"/>
    <m/>
    <m/>
    <s v="YAO VINCENT "/>
    <s v="0143396939"/>
    <n v="25"/>
    <x v="0"/>
    <s v="CONCUBINAGE"/>
    <s v="MENAGERE"/>
    <n v="0"/>
    <n v="0"/>
    <n v="0"/>
  </r>
  <r>
    <n v="772"/>
    <x v="730"/>
    <x v="1"/>
    <x v="25"/>
    <x v="18"/>
    <x v="0"/>
    <m/>
    <m/>
    <s v="YAO VINCENT "/>
    <s v="0757744571"/>
    <n v="53"/>
    <x v="0"/>
    <s v="CONCUBINAGE"/>
    <s v="MENAGERE"/>
    <n v="5"/>
    <n v="3"/>
    <n v="8"/>
  </r>
  <r>
    <n v="773"/>
    <x v="731"/>
    <x v="1"/>
    <x v="25"/>
    <x v="18"/>
    <x v="0"/>
    <m/>
    <m/>
    <s v="YAO VINCENT "/>
    <s v="075855878722"/>
    <n v="50"/>
    <x v="0"/>
    <s v="CONCUBINAGE"/>
    <s v="MENAGERE"/>
    <n v="4"/>
    <n v="4"/>
    <n v="8"/>
  </r>
  <r>
    <n v="774"/>
    <x v="732"/>
    <x v="1"/>
    <x v="25"/>
    <x v="18"/>
    <x v="0"/>
    <m/>
    <m/>
    <s v="YAO VINCENT "/>
    <s v="0799336229"/>
    <n v="42"/>
    <x v="0"/>
    <s v="CONCUBINAGE"/>
    <s v="MENAGERE"/>
    <n v="3"/>
    <n v="1"/>
    <n v="4"/>
  </r>
  <r>
    <n v="775"/>
    <x v="733"/>
    <x v="1"/>
    <x v="25"/>
    <x v="18"/>
    <x v="0"/>
    <m/>
    <m/>
    <s v="YAO VINCENT "/>
    <s v="0749710388"/>
    <n v="28"/>
    <x v="0"/>
    <s v="CONCUBINAGE"/>
    <s v="MENAGERE"/>
    <n v="0"/>
    <n v="1"/>
    <n v="1"/>
  </r>
  <r>
    <n v="776"/>
    <x v="734"/>
    <x v="1"/>
    <x v="25"/>
    <x v="18"/>
    <x v="0"/>
    <m/>
    <m/>
    <s v="YAO VINCENT "/>
    <s v="0140160023"/>
    <n v="35"/>
    <x v="0"/>
    <s v="CONCUBINAGE"/>
    <s v="MENAGERE"/>
    <n v="3"/>
    <n v="2"/>
    <n v="5"/>
  </r>
  <r>
    <n v="777"/>
    <x v="735"/>
    <x v="1"/>
    <x v="25"/>
    <x v="18"/>
    <x v="0"/>
    <m/>
    <m/>
    <s v="YAO VINCENT "/>
    <s v="0565387003"/>
    <n v="43"/>
    <x v="0"/>
    <s v="CONCUBINAGE"/>
    <s v="MENAGERE"/>
    <n v="2"/>
    <n v="8"/>
    <n v="10"/>
  </r>
  <r>
    <n v="778"/>
    <x v="736"/>
    <x v="1"/>
    <x v="25"/>
    <x v="18"/>
    <x v="0"/>
    <m/>
    <m/>
    <s v="YAO VINCENT "/>
    <s v="0170304941"/>
    <n v="35"/>
    <x v="0"/>
    <s v="CONCUBINAGE"/>
    <s v="MENAGERE"/>
    <n v="4"/>
    <n v="1"/>
    <n v="5"/>
  </r>
  <r>
    <n v="779"/>
    <x v="737"/>
    <x v="1"/>
    <x v="26"/>
    <x v="18"/>
    <x v="0"/>
    <m/>
    <m/>
    <s v="YAO VINCENT "/>
    <s v="0779144096"/>
    <m/>
    <x v="1"/>
    <s v="CONCUBINAGE"/>
    <s v="PLANTEUR"/>
    <n v="2"/>
    <n v="2"/>
    <n v="4"/>
  </r>
  <r>
    <n v="780"/>
    <x v="738"/>
    <x v="1"/>
    <x v="26"/>
    <x v="18"/>
    <x v="0"/>
    <m/>
    <m/>
    <s v="YAO VINCENT "/>
    <s v="0565125524"/>
    <n v="44"/>
    <x v="1"/>
    <s v="CONCUBINAGE"/>
    <s v="PLANTEUR"/>
    <n v="1"/>
    <n v="2"/>
    <n v="3"/>
  </r>
  <r>
    <n v="781"/>
    <x v="739"/>
    <x v="1"/>
    <x v="26"/>
    <x v="18"/>
    <x v="0"/>
    <m/>
    <m/>
    <s v="YAO VINCENT "/>
    <s v="0748034236"/>
    <n v="36"/>
    <x v="1"/>
    <s v="CONCUBINAGE"/>
    <s v="PLANTEUR"/>
    <n v="4"/>
    <n v="2"/>
    <n v="6"/>
  </r>
  <r>
    <n v="782"/>
    <x v="740"/>
    <x v="1"/>
    <x v="26"/>
    <x v="18"/>
    <x v="0"/>
    <m/>
    <m/>
    <s v="YAO VINCENT "/>
    <s v="0707423621"/>
    <n v="38"/>
    <x v="1"/>
    <s v="CONCUBINAGE"/>
    <s v="PLANTEUR"/>
    <n v="4"/>
    <n v="2"/>
    <n v="6"/>
  </r>
  <r>
    <n v="783"/>
    <x v="741"/>
    <x v="1"/>
    <x v="26"/>
    <x v="18"/>
    <x v="0"/>
    <m/>
    <m/>
    <s v="YAO VINCENT "/>
    <s v="0554571975"/>
    <n v="37"/>
    <x v="1"/>
    <s v="CONCUBINAGE"/>
    <s v="PLANTEUR"/>
    <n v="1"/>
    <n v="1"/>
    <n v="2"/>
  </r>
  <r>
    <n v="784"/>
    <x v="742"/>
    <x v="1"/>
    <x v="26"/>
    <x v="18"/>
    <x v="0"/>
    <m/>
    <m/>
    <s v="YAO VINCENT "/>
    <s v="0141445876"/>
    <n v="37"/>
    <x v="1"/>
    <s v="CONCUBINAGE"/>
    <s v="PLANTEUR"/>
    <n v="2"/>
    <n v="2"/>
    <n v="4"/>
  </r>
  <r>
    <n v="785"/>
    <x v="743"/>
    <x v="1"/>
    <x v="26"/>
    <x v="18"/>
    <x v="0"/>
    <m/>
    <m/>
    <s v="YAO VINCENT "/>
    <s v="0759369296"/>
    <n v="42"/>
    <x v="1"/>
    <s v="CONCUBINAGE"/>
    <s v="PLANTEUR"/>
    <n v="5"/>
    <n v="2"/>
    <n v="7"/>
  </r>
  <r>
    <n v="786"/>
    <x v="744"/>
    <x v="1"/>
    <x v="26"/>
    <x v="18"/>
    <x v="0"/>
    <m/>
    <m/>
    <s v="YAO VINCENT "/>
    <s v="0172050926"/>
    <n v="30"/>
    <x v="1"/>
    <s v="CONCUBINAGE"/>
    <s v="PLANTEUR"/>
    <n v="0"/>
    <n v="0"/>
    <n v="0"/>
  </r>
  <r>
    <n v="787"/>
    <x v="745"/>
    <x v="1"/>
    <x v="26"/>
    <x v="18"/>
    <x v="0"/>
    <m/>
    <m/>
    <s v="YAO VINCENT "/>
    <s v="0171395223"/>
    <n v="52"/>
    <x v="1"/>
    <s v="CONCUBINAGE"/>
    <s v="PLANTEUR"/>
    <n v="3"/>
    <n v="3"/>
    <n v="6"/>
  </r>
  <r>
    <n v="788"/>
    <x v="746"/>
    <x v="1"/>
    <x v="26"/>
    <x v="18"/>
    <x v="0"/>
    <m/>
    <m/>
    <s v="YAO VINCENT "/>
    <s v="0574144332"/>
    <n v="42"/>
    <x v="1"/>
    <s v="CONCUBINAGE"/>
    <s v="PLANTEUR"/>
    <n v="2"/>
    <n v="0"/>
    <n v="2"/>
  </r>
  <r>
    <n v="789"/>
    <x v="747"/>
    <x v="1"/>
    <x v="26"/>
    <x v="18"/>
    <x v="0"/>
    <m/>
    <m/>
    <s v="YAO VINCENT "/>
    <s v="0171395223"/>
    <n v="39"/>
    <x v="1"/>
    <s v="CONCUBINAGE"/>
    <s v="PLANTEUR"/>
    <n v="5"/>
    <n v="3"/>
    <n v="8"/>
  </r>
  <r>
    <n v="790"/>
    <x v="748"/>
    <x v="1"/>
    <x v="26"/>
    <x v="18"/>
    <x v="0"/>
    <m/>
    <m/>
    <s v="YAO VINCENT "/>
    <s v="0152997145"/>
    <n v="55"/>
    <x v="1"/>
    <s v="CONCUBINAGE"/>
    <s v="ENSEIGNANT"/>
    <n v="3"/>
    <n v="1"/>
    <n v="4"/>
  </r>
  <r>
    <n v="791"/>
    <x v="749"/>
    <x v="1"/>
    <x v="26"/>
    <x v="18"/>
    <x v="0"/>
    <m/>
    <m/>
    <s v="YAO VINCENT "/>
    <s v="0545166569"/>
    <n v="37"/>
    <x v="1"/>
    <s v="CONCUBINAGE"/>
    <s v="PLANTEUR"/>
    <n v="2"/>
    <n v="1"/>
    <n v="3"/>
  </r>
  <r>
    <n v="792"/>
    <x v="750"/>
    <x v="1"/>
    <x v="26"/>
    <x v="18"/>
    <x v="0"/>
    <m/>
    <m/>
    <s v="YAO VINCENT "/>
    <s v="0565327304"/>
    <n v="38"/>
    <x v="1"/>
    <s v="CONCUBINAGE"/>
    <s v="PLANTEUR"/>
    <n v="0"/>
    <n v="2"/>
    <n v="2"/>
  </r>
  <r>
    <n v="793"/>
    <x v="751"/>
    <x v="1"/>
    <x v="26"/>
    <x v="18"/>
    <x v="0"/>
    <m/>
    <m/>
    <s v="YAO VINCENT "/>
    <s v="0140589529"/>
    <n v="47"/>
    <x v="1"/>
    <s v="CONCUBINAGE"/>
    <s v="PLANTEUR"/>
    <n v="2"/>
    <n v="1"/>
    <n v="3"/>
  </r>
  <r>
    <n v="794"/>
    <x v="752"/>
    <x v="1"/>
    <x v="26"/>
    <x v="18"/>
    <x v="0"/>
    <m/>
    <m/>
    <s v="YAO VINCENT "/>
    <s v="0708544169"/>
    <n v="40"/>
    <x v="1"/>
    <s v="CONCUBINAGE"/>
    <s v="PLANTEUR"/>
    <n v="1"/>
    <n v="0"/>
    <n v="1"/>
  </r>
  <r>
    <n v="795"/>
    <x v="753"/>
    <x v="1"/>
    <x v="26"/>
    <x v="18"/>
    <x v="0"/>
    <m/>
    <m/>
    <s v="YAO VINCENT "/>
    <s v="0143434756"/>
    <n v="39"/>
    <x v="1"/>
    <s v="CONCUBINAGE"/>
    <s v="PLANTEUR"/>
    <n v="2"/>
    <n v="1"/>
    <n v="3"/>
  </r>
  <r>
    <n v="796"/>
    <x v="754"/>
    <x v="1"/>
    <x v="26"/>
    <x v="18"/>
    <x v="0"/>
    <m/>
    <m/>
    <s v="YAO VINCENT "/>
    <s v="0103322190"/>
    <n v="49"/>
    <x v="1"/>
    <s v="CONCUBINAGE"/>
    <s v="PLANTEUR"/>
    <n v="1"/>
    <n v="1"/>
    <n v="2"/>
  </r>
  <r>
    <n v="797"/>
    <x v="755"/>
    <x v="1"/>
    <x v="26"/>
    <x v="18"/>
    <x v="0"/>
    <m/>
    <m/>
    <s v="YAO VINCENT "/>
    <s v="0140556295"/>
    <n v="32"/>
    <x v="1"/>
    <s v="CONCUBINAGE"/>
    <s v="PLANTEUR"/>
    <n v="2"/>
    <n v="0"/>
    <n v="2"/>
  </r>
  <r>
    <n v="798"/>
    <x v="756"/>
    <x v="1"/>
    <x v="26"/>
    <x v="18"/>
    <x v="0"/>
    <m/>
    <m/>
    <s v="YAO VINCENT "/>
    <s v="0748100307"/>
    <n v="50"/>
    <x v="1"/>
    <s v="CONCUBINAGE"/>
    <s v="PLANTEUR"/>
    <n v="0"/>
    <n v="1"/>
    <n v="1"/>
  </r>
  <r>
    <n v="799"/>
    <x v="757"/>
    <x v="1"/>
    <x v="26"/>
    <x v="18"/>
    <x v="0"/>
    <m/>
    <m/>
    <s v="YAO VINCENT "/>
    <s v="0150228941"/>
    <n v="49"/>
    <x v="1"/>
    <s v="CONCUBINAGE"/>
    <s v="PLANTEUR"/>
    <n v="4"/>
    <n v="1"/>
    <n v="5"/>
  </r>
  <r>
    <n v="800"/>
    <x v="758"/>
    <x v="1"/>
    <x v="26"/>
    <x v="18"/>
    <x v="0"/>
    <m/>
    <m/>
    <s v="YAO VINCENT "/>
    <s v="0140068278"/>
    <n v="47"/>
    <x v="1"/>
    <s v="CONCUBINAGE"/>
    <s v="PLANTEUR"/>
    <n v="6"/>
    <n v="0"/>
    <n v="6"/>
  </r>
  <r>
    <n v="801"/>
    <x v="759"/>
    <x v="1"/>
    <x v="26"/>
    <x v="18"/>
    <x v="0"/>
    <m/>
    <m/>
    <s v="YAO VINCENT "/>
    <s v="0749993501"/>
    <n v="33"/>
    <x v="1"/>
    <s v="CONCUBINAGE"/>
    <s v="TRANSPORTEUR TAXI MOTO"/>
    <n v="1"/>
    <n v="1"/>
    <n v="2"/>
  </r>
  <r>
    <n v="802"/>
    <x v="760"/>
    <x v="1"/>
    <x v="26"/>
    <x v="18"/>
    <x v="0"/>
    <m/>
    <m/>
    <s v="YAO VINCENT "/>
    <s v="0576646552"/>
    <n v="50"/>
    <x v="1"/>
    <s v="CONCUBINAGE"/>
    <s v="PLANTEUR"/>
    <n v="2"/>
    <n v="3"/>
    <n v="5"/>
  </r>
  <r>
    <n v="803"/>
    <x v="761"/>
    <x v="1"/>
    <x v="26"/>
    <x v="18"/>
    <x v="0"/>
    <m/>
    <m/>
    <s v="YAO VINCENT "/>
    <s v="0141510802"/>
    <n v="38"/>
    <x v="1"/>
    <s v="CONCUBINAGE"/>
    <s v="PLANTEUR"/>
    <n v="2"/>
    <n v="2"/>
    <n v="4"/>
  </r>
  <r>
    <n v="804"/>
    <x v="762"/>
    <x v="1"/>
    <x v="26"/>
    <x v="18"/>
    <x v="0"/>
    <m/>
    <m/>
    <s v="YAO VINCENT "/>
    <s v="0152191489"/>
    <n v="36"/>
    <x v="1"/>
    <s v="CONCUBINAGE"/>
    <s v="PLANTEUR"/>
    <n v="1"/>
    <n v="1"/>
    <n v="2"/>
  </r>
  <r>
    <n v="805"/>
    <x v="763"/>
    <x v="1"/>
    <x v="26"/>
    <x v="18"/>
    <x v="0"/>
    <m/>
    <m/>
    <s v="YAO VINCENT "/>
    <s v="0143530852"/>
    <n v="61"/>
    <x v="0"/>
    <s v="CONCUBINAGE"/>
    <s v="MENAGERE"/>
    <n v="2"/>
    <n v="4"/>
    <n v="6"/>
  </r>
  <r>
    <n v="806"/>
    <x v="764"/>
    <x v="1"/>
    <x v="26"/>
    <x v="18"/>
    <x v="0"/>
    <m/>
    <m/>
    <s v="YAO VINCENT "/>
    <m/>
    <n v="34"/>
    <x v="0"/>
    <s v="CONCUBINAGE"/>
    <s v="MENAGERE"/>
    <n v="2"/>
    <n v="2"/>
    <n v="4"/>
  </r>
  <r>
    <n v="807"/>
    <x v="765"/>
    <x v="1"/>
    <x v="26"/>
    <x v="18"/>
    <x v="0"/>
    <m/>
    <m/>
    <s v="YAO VINCENT "/>
    <s v="0140324340"/>
    <n v="35"/>
    <x v="0"/>
    <s v="CONCUBINAGE"/>
    <s v="MENAGERE"/>
    <n v="0"/>
    <n v="4"/>
    <n v="4"/>
  </r>
  <r>
    <n v="808"/>
    <x v="766"/>
    <x v="1"/>
    <x v="27"/>
    <x v="19"/>
    <x v="0"/>
    <m/>
    <m/>
    <s v="YAO VINCENT "/>
    <s v="0768578813"/>
    <n v="51"/>
    <x v="0"/>
    <s v="CONCUBINAGE"/>
    <s v="MENAGERE"/>
    <n v="3"/>
    <n v="1"/>
    <n v="4"/>
  </r>
  <r>
    <n v="809"/>
    <x v="767"/>
    <x v="1"/>
    <x v="27"/>
    <x v="19"/>
    <x v="0"/>
    <m/>
    <m/>
    <s v="YAO VINCENT "/>
    <s v="0748537341"/>
    <m/>
    <x v="1"/>
    <s v="CONCUBINAGE"/>
    <s v="PLANTEUR"/>
    <n v="0"/>
    <n v="2"/>
    <n v="2"/>
  </r>
  <r>
    <n v="810"/>
    <x v="768"/>
    <x v="1"/>
    <x v="27"/>
    <x v="19"/>
    <x v="0"/>
    <m/>
    <m/>
    <s v="YAO VINCENT "/>
    <s v="0749191129"/>
    <n v="58"/>
    <x v="0"/>
    <m/>
    <s v="MENAGERE"/>
    <n v="1"/>
    <n v="4"/>
    <n v="5"/>
  </r>
  <r>
    <n v="811"/>
    <x v="769"/>
    <x v="1"/>
    <x v="27"/>
    <x v="19"/>
    <x v="0"/>
    <m/>
    <m/>
    <s v="YAO VINCENT "/>
    <s v="0758824102"/>
    <n v="37"/>
    <x v="1"/>
    <m/>
    <s v="PLANTEUR"/>
    <n v="1"/>
    <n v="3"/>
    <n v="4"/>
  </r>
  <r>
    <n v="812"/>
    <x v="770"/>
    <x v="1"/>
    <x v="27"/>
    <x v="19"/>
    <x v="0"/>
    <m/>
    <m/>
    <s v="YAO VINCENT "/>
    <m/>
    <n v="41"/>
    <x v="0"/>
    <m/>
    <s v="MENAGERE"/>
    <n v="3"/>
    <n v="5"/>
    <n v="8"/>
  </r>
  <r>
    <n v="813"/>
    <x v="771"/>
    <x v="1"/>
    <x v="27"/>
    <x v="19"/>
    <x v="0"/>
    <m/>
    <m/>
    <s v="YAO VINCENT "/>
    <s v="0143765255"/>
    <n v="45"/>
    <x v="0"/>
    <m/>
    <s v="MENAGERE"/>
    <n v="3"/>
    <n v="5"/>
    <n v="8"/>
  </r>
  <r>
    <n v="814"/>
    <x v="772"/>
    <x v="1"/>
    <x v="27"/>
    <x v="19"/>
    <x v="0"/>
    <m/>
    <m/>
    <s v="YAO VINCENT "/>
    <m/>
    <n v="29"/>
    <x v="0"/>
    <m/>
    <s v="MENAGERE"/>
    <n v="4"/>
    <n v="2"/>
    <n v="6"/>
  </r>
  <r>
    <n v="815"/>
    <x v="773"/>
    <x v="1"/>
    <x v="27"/>
    <x v="19"/>
    <x v="0"/>
    <m/>
    <m/>
    <s v="YAO VINCENT "/>
    <s v="0172887250"/>
    <n v="25"/>
    <x v="0"/>
    <m/>
    <s v="MENAGERE"/>
    <n v="2"/>
    <n v="1"/>
    <n v="3"/>
  </r>
  <r>
    <n v="816"/>
    <x v="774"/>
    <x v="1"/>
    <x v="27"/>
    <x v="19"/>
    <x v="0"/>
    <m/>
    <m/>
    <s v="YAO VINCENT "/>
    <m/>
    <n v="66"/>
    <x v="0"/>
    <m/>
    <s v="MENAGERE"/>
    <n v="5"/>
    <n v="3"/>
    <n v="8"/>
  </r>
  <r>
    <n v="817"/>
    <x v="775"/>
    <x v="1"/>
    <x v="27"/>
    <x v="19"/>
    <x v="0"/>
    <m/>
    <m/>
    <s v="YAO VINCENT "/>
    <s v="0777267540"/>
    <n v="59"/>
    <x v="0"/>
    <m/>
    <s v="MENAGERE"/>
    <n v="2"/>
    <n v="2"/>
    <n v="4"/>
  </r>
  <r>
    <n v="818"/>
    <x v="776"/>
    <x v="1"/>
    <x v="27"/>
    <x v="19"/>
    <x v="0"/>
    <m/>
    <m/>
    <s v="YAO VINCENT "/>
    <m/>
    <n v="58"/>
    <x v="0"/>
    <m/>
    <s v="MENAGERE"/>
    <n v="3"/>
    <n v="2"/>
    <n v="5"/>
  </r>
  <r>
    <n v="819"/>
    <x v="777"/>
    <x v="1"/>
    <x v="27"/>
    <x v="19"/>
    <x v="0"/>
    <m/>
    <m/>
    <s v="YAO VINCENT "/>
    <m/>
    <m/>
    <x v="0"/>
    <m/>
    <s v="MENAGERE"/>
    <n v="2"/>
    <n v="8"/>
    <n v="10"/>
  </r>
  <r>
    <n v="820"/>
    <x v="778"/>
    <x v="1"/>
    <x v="27"/>
    <x v="19"/>
    <x v="0"/>
    <m/>
    <m/>
    <s v="YAO VINCENT "/>
    <s v="0103186576"/>
    <m/>
    <x v="0"/>
    <m/>
    <s v="MENAGERE"/>
    <n v="4"/>
    <n v="4"/>
    <n v="8"/>
  </r>
  <r>
    <n v="821"/>
    <x v="779"/>
    <x v="1"/>
    <x v="27"/>
    <x v="19"/>
    <x v="0"/>
    <m/>
    <m/>
    <s v="YAO VINCENT "/>
    <s v="0700130208"/>
    <m/>
    <x v="0"/>
    <m/>
    <s v="MENAGERE"/>
    <n v="0"/>
    <n v="0"/>
    <n v="0"/>
  </r>
  <r>
    <n v="822"/>
    <x v="780"/>
    <x v="1"/>
    <x v="27"/>
    <x v="19"/>
    <x v="0"/>
    <m/>
    <m/>
    <s v="YAO VINCENT "/>
    <s v="0779427981"/>
    <m/>
    <x v="0"/>
    <m/>
    <s v="MENAGERE"/>
    <n v="1"/>
    <n v="1"/>
    <n v="2"/>
  </r>
  <r>
    <n v="823"/>
    <x v="781"/>
    <x v="1"/>
    <x v="27"/>
    <x v="19"/>
    <x v="0"/>
    <m/>
    <m/>
    <s v="YAO VINCENT "/>
    <s v="0778955389"/>
    <m/>
    <x v="0"/>
    <m/>
    <s v="MENAGERE"/>
    <n v="4"/>
    <n v="2"/>
    <n v="6"/>
  </r>
  <r>
    <n v="824"/>
    <x v="782"/>
    <x v="1"/>
    <x v="27"/>
    <x v="19"/>
    <x v="0"/>
    <m/>
    <m/>
    <s v="YAO VINCENT "/>
    <s v="0701546439"/>
    <m/>
    <x v="1"/>
    <m/>
    <s v="PLANTEUR"/>
    <n v="1"/>
    <n v="2"/>
    <n v="3"/>
  </r>
  <r>
    <n v="825"/>
    <x v="783"/>
    <x v="1"/>
    <x v="27"/>
    <x v="19"/>
    <x v="0"/>
    <m/>
    <m/>
    <s v="YAO VINCENT "/>
    <m/>
    <m/>
    <x v="0"/>
    <m/>
    <s v="MENAGERE"/>
    <n v="0"/>
    <n v="5"/>
    <n v="5"/>
  </r>
  <r>
    <n v="826"/>
    <x v="784"/>
    <x v="1"/>
    <x v="27"/>
    <x v="19"/>
    <x v="0"/>
    <m/>
    <m/>
    <s v="YAO VINCENT "/>
    <s v="0143667163"/>
    <m/>
    <x v="1"/>
    <m/>
    <s v="PLANTEUR"/>
    <n v="3"/>
    <n v="5"/>
    <n v="8"/>
  </r>
  <r>
    <n v="827"/>
    <x v="785"/>
    <x v="1"/>
    <x v="27"/>
    <x v="19"/>
    <x v="0"/>
    <m/>
    <m/>
    <s v="YAO VINCENT "/>
    <s v="0758483429"/>
    <m/>
    <x v="0"/>
    <m/>
    <s v="MENAGERE"/>
    <n v="5"/>
    <n v="5"/>
    <n v="10"/>
  </r>
  <r>
    <n v="828"/>
    <x v="786"/>
    <x v="1"/>
    <x v="27"/>
    <x v="19"/>
    <x v="0"/>
    <m/>
    <m/>
    <s v="YAO VINCENT "/>
    <s v="0778979591"/>
    <n v="33"/>
    <x v="0"/>
    <m/>
    <s v="MENAGERE"/>
    <n v="0"/>
    <n v="2"/>
    <n v="2"/>
  </r>
  <r>
    <n v="829"/>
    <x v="787"/>
    <x v="1"/>
    <x v="27"/>
    <x v="19"/>
    <x v="0"/>
    <m/>
    <m/>
    <s v="YAO VINCENT "/>
    <m/>
    <n v="20"/>
    <x v="0"/>
    <m/>
    <s v="MENAGERE"/>
    <n v="1"/>
    <n v="1"/>
    <n v="2"/>
  </r>
  <r>
    <n v="830"/>
    <x v="788"/>
    <x v="1"/>
    <x v="27"/>
    <x v="19"/>
    <x v="0"/>
    <m/>
    <m/>
    <s v="YAO VINCENT "/>
    <s v="0171962764"/>
    <n v="26"/>
    <x v="0"/>
    <m/>
    <s v="MENAGERE"/>
    <n v="0"/>
    <n v="2"/>
    <n v="2"/>
  </r>
  <r>
    <n v="831"/>
    <x v="789"/>
    <x v="1"/>
    <x v="27"/>
    <x v="19"/>
    <x v="0"/>
    <m/>
    <m/>
    <s v="YAO VINCENT "/>
    <s v="0767779617"/>
    <m/>
    <x v="0"/>
    <m/>
    <s v="MENAGERE"/>
    <n v="3"/>
    <n v="4"/>
    <n v="7"/>
  </r>
  <r>
    <n v="832"/>
    <x v="790"/>
    <x v="1"/>
    <x v="27"/>
    <x v="19"/>
    <x v="0"/>
    <m/>
    <m/>
    <s v="YAO VINCENT "/>
    <m/>
    <m/>
    <x v="0"/>
    <m/>
    <s v="MENAGERE"/>
    <n v="3"/>
    <n v="3"/>
    <n v="6"/>
  </r>
  <r>
    <n v="833"/>
    <x v="791"/>
    <x v="1"/>
    <x v="27"/>
    <x v="19"/>
    <x v="0"/>
    <m/>
    <m/>
    <s v="YAO VINCENT "/>
    <m/>
    <m/>
    <x v="1"/>
    <m/>
    <s v="PLANTEUR"/>
    <n v="1"/>
    <n v="0"/>
    <n v="1"/>
  </r>
  <r>
    <n v="834"/>
    <x v="792"/>
    <x v="1"/>
    <x v="27"/>
    <x v="19"/>
    <x v="0"/>
    <m/>
    <m/>
    <s v="YAO VINCENT "/>
    <s v="077866894"/>
    <m/>
    <x v="1"/>
    <m/>
    <s v="PLANTEUR"/>
    <n v="8"/>
    <n v="6"/>
    <n v="14"/>
  </r>
  <r>
    <n v="835"/>
    <x v="793"/>
    <x v="1"/>
    <x v="27"/>
    <x v="19"/>
    <x v="0"/>
    <m/>
    <m/>
    <s v="YAO VINCENT "/>
    <m/>
    <m/>
    <x v="0"/>
    <m/>
    <s v="MENAGERE"/>
    <n v="5"/>
    <n v="2"/>
    <n v="7"/>
  </r>
  <r>
    <n v="836"/>
    <x v="794"/>
    <x v="1"/>
    <x v="27"/>
    <x v="19"/>
    <x v="0"/>
    <m/>
    <m/>
    <s v="YAO VINCENT "/>
    <m/>
    <m/>
    <x v="0"/>
    <m/>
    <s v="MENAGERE"/>
    <n v="1"/>
    <n v="4"/>
    <n v="5"/>
  </r>
  <r>
    <n v="837"/>
    <x v="795"/>
    <x v="1"/>
    <x v="27"/>
    <x v="19"/>
    <x v="0"/>
    <m/>
    <m/>
    <s v="YAO VINCENT "/>
    <m/>
    <m/>
    <x v="0"/>
    <m/>
    <s v="MENAGERE"/>
    <n v="3"/>
    <n v="2"/>
    <n v="5"/>
  </r>
  <r>
    <n v="838"/>
    <x v="796"/>
    <x v="1"/>
    <x v="28"/>
    <x v="20"/>
    <x v="0"/>
    <m/>
    <m/>
    <s v="YAO VINCENT "/>
    <s v="0152322529"/>
    <n v="49"/>
    <x v="0"/>
    <s v="DOTE"/>
    <s v="COMMERCE"/>
    <n v="3"/>
    <n v="1"/>
    <n v="4"/>
  </r>
  <r>
    <n v="839"/>
    <x v="797"/>
    <x v="1"/>
    <x v="28"/>
    <x v="20"/>
    <x v="0"/>
    <m/>
    <m/>
    <s v="YAO VINCENT "/>
    <s v="0143984338"/>
    <n v="43"/>
    <x v="0"/>
    <s v="MARIEE"/>
    <s v="COMMERCE"/>
    <n v="1"/>
    <n v="1"/>
    <n v="2"/>
  </r>
  <r>
    <n v="840"/>
    <x v="798"/>
    <x v="1"/>
    <x v="28"/>
    <x v="20"/>
    <x v="0"/>
    <m/>
    <m/>
    <s v="YAO VINCENT "/>
    <s v="0152625443"/>
    <n v="60"/>
    <x v="0"/>
    <s v="DOTE"/>
    <s v="COMMERCE"/>
    <n v="4"/>
    <n v="1"/>
    <n v="5"/>
  </r>
  <r>
    <n v="841"/>
    <x v="799"/>
    <x v="1"/>
    <x v="28"/>
    <x v="20"/>
    <x v="0"/>
    <m/>
    <m/>
    <s v="YAO VINCENT "/>
    <s v="0143445186"/>
    <n v="59"/>
    <x v="0"/>
    <s v="MARIEE"/>
    <m/>
    <n v="1"/>
    <n v="5"/>
    <n v="6"/>
  </r>
  <r>
    <n v="842"/>
    <x v="800"/>
    <x v="1"/>
    <x v="28"/>
    <x v="20"/>
    <x v="0"/>
    <m/>
    <m/>
    <s v="YAO VINCENT "/>
    <s v="0749752465"/>
    <n v="42"/>
    <x v="0"/>
    <s v="DOTE"/>
    <m/>
    <n v="0"/>
    <n v="1"/>
    <n v="1"/>
  </r>
  <r>
    <n v="843"/>
    <x v="801"/>
    <x v="1"/>
    <x v="28"/>
    <x v="20"/>
    <x v="0"/>
    <m/>
    <m/>
    <s v="YAO VINCENT "/>
    <s v="0748953407"/>
    <n v="30"/>
    <x v="0"/>
    <s v="DOTE"/>
    <m/>
    <n v="1"/>
    <n v="2"/>
    <n v="3"/>
  </r>
  <r>
    <n v="844"/>
    <x v="802"/>
    <x v="1"/>
    <x v="28"/>
    <x v="20"/>
    <x v="0"/>
    <m/>
    <m/>
    <s v="YAO VINCENT "/>
    <s v="0150584831"/>
    <n v="50"/>
    <x v="0"/>
    <s v="DOTE"/>
    <m/>
    <n v="3"/>
    <n v="2"/>
    <n v="5"/>
  </r>
  <r>
    <n v="845"/>
    <x v="803"/>
    <x v="1"/>
    <x v="28"/>
    <x v="20"/>
    <x v="0"/>
    <m/>
    <m/>
    <s v="YAO VINCENT "/>
    <s v="0103443178"/>
    <n v="47"/>
    <x v="0"/>
    <s v="MARIEE"/>
    <s v="COMMERCE"/>
    <n v="3"/>
    <n v="2"/>
    <n v="5"/>
  </r>
  <r>
    <n v="846"/>
    <x v="804"/>
    <x v="1"/>
    <x v="28"/>
    <x v="20"/>
    <x v="0"/>
    <m/>
    <m/>
    <s v="YAO VINCENT "/>
    <s v="0140009358"/>
    <n v="53"/>
    <x v="0"/>
    <s v="MARIEE"/>
    <m/>
    <n v="3"/>
    <n v="2"/>
    <n v="5"/>
  </r>
  <r>
    <n v="847"/>
    <x v="805"/>
    <x v="1"/>
    <x v="28"/>
    <x v="20"/>
    <x v="0"/>
    <m/>
    <m/>
    <s v="YAO VINCENT "/>
    <s v="0102513505"/>
    <n v="37"/>
    <x v="0"/>
    <s v="DOTE"/>
    <m/>
    <n v="0"/>
    <n v="3"/>
    <n v="3"/>
  </r>
  <r>
    <n v="848"/>
    <x v="806"/>
    <x v="1"/>
    <x v="28"/>
    <x v="20"/>
    <x v="0"/>
    <m/>
    <m/>
    <s v="YAO VINCENT "/>
    <s v="0778342970"/>
    <n v="44"/>
    <x v="0"/>
    <s v="DOTE"/>
    <m/>
    <n v="4"/>
    <n v="3"/>
    <n v="7"/>
  </r>
  <r>
    <n v="849"/>
    <x v="807"/>
    <x v="1"/>
    <x v="28"/>
    <x v="20"/>
    <x v="0"/>
    <m/>
    <m/>
    <s v="YAO VINCENT "/>
    <s v="0102043546"/>
    <n v="48"/>
    <x v="1"/>
    <s v="DOTE"/>
    <m/>
    <n v="1"/>
    <n v="3"/>
    <n v="4"/>
  </r>
  <r>
    <n v="850"/>
    <x v="808"/>
    <x v="1"/>
    <x v="28"/>
    <x v="20"/>
    <x v="0"/>
    <m/>
    <m/>
    <s v="YAO VINCENT "/>
    <s v="0171852653"/>
    <n v="42"/>
    <x v="0"/>
    <s v="DOTE"/>
    <s v="COMMERCE"/>
    <n v="4"/>
    <n v="3"/>
    <n v="7"/>
  </r>
  <r>
    <n v="851"/>
    <x v="809"/>
    <x v="1"/>
    <x v="28"/>
    <x v="20"/>
    <x v="0"/>
    <m/>
    <m/>
    <s v="YAO VINCENT "/>
    <s v="0171704075"/>
    <n v="42"/>
    <x v="1"/>
    <s v="DOTE"/>
    <s v="PLANTEUR"/>
    <n v="0"/>
    <n v="8"/>
    <n v="8"/>
  </r>
  <r>
    <n v="852"/>
    <x v="810"/>
    <x v="1"/>
    <x v="28"/>
    <x v="20"/>
    <x v="0"/>
    <m/>
    <m/>
    <s v="YAO VINCENT "/>
    <s v="0160557843"/>
    <n v="56"/>
    <x v="1"/>
    <s v="DOTE"/>
    <s v="ELEVEUR"/>
    <n v="4"/>
    <n v="2"/>
    <n v="6"/>
  </r>
  <r>
    <n v="853"/>
    <x v="811"/>
    <x v="1"/>
    <x v="28"/>
    <x v="20"/>
    <x v="0"/>
    <m/>
    <m/>
    <s v="YAO VINCENT "/>
    <s v="0546108301"/>
    <n v="46"/>
    <x v="1"/>
    <s v="DOTE"/>
    <s v="PLANTEUR"/>
    <n v="3"/>
    <n v="4"/>
    <n v="7"/>
  </r>
  <r>
    <n v="854"/>
    <x v="812"/>
    <x v="1"/>
    <x v="28"/>
    <x v="20"/>
    <x v="0"/>
    <m/>
    <m/>
    <s v="YAO VINCENT "/>
    <s v="0789749001"/>
    <n v="53"/>
    <x v="0"/>
    <s v="DOTE"/>
    <m/>
    <n v="4"/>
    <n v="2"/>
    <n v="6"/>
  </r>
  <r>
    <n v="855"/>
    <x v="813"/>
    <x v="1"/>
    <x v="28"/>
    <x v="20"/>
    <x v="0"/>
    <m/>
    <m/>
    <s v="YAO VINCENT "/>
    <m/>
    <n v="88"/>
    <x v="0"/>
    <s v="DOTE"/>
    <m/>
    <n v="2"/>
    <n v="7"/>
    <n v="9"/>
  </r>
  <r>
    <n v="856"/>
    <x v="814"/>
    <x v="1"/>
    <x v="28"/>
    <x v="20"/>
    <x v="0"/>
    <m/>
    <m/>
    <s v="YAO VINCENT "/>
    <s v="0715801707"/>
    <n v="45"/>
    <x v="0"/>
    <s v="DOTE"/>
    <s v="COMMERCE"/>
    <n v="2"/>
    <n v="1"/>
    <n v="3"/>
  </r>
  <r>
    <n v="857"/>
    <x v="815"/>
    <x v="1"/>
    <x v="28"/>
    <x v="20"/>
    <x v="0"/>
    <m/>
    <m/>
    <s v="YAO VINCENT "/>
    <s v="0143608091"/>
    <n v="38"/>
    <x v="0"/>
    <s v="DOTE"/>
    <s v="COMMERCE"/>
    <n v="2"/>
    <n v="1"/>
    <n v="3"/>
  </r>
  <r>
    <n v="858"/>
    <x v="816"/>
    <x v="1"/>
    <x v="28"/>
    <x v="20"/>
    <x v="0"/>
    <m/>
    <m/>
    <s v="YAO VINCENT "/>
    <s v="0787809241"/>
    <n v="35"/>
    <x v="0"/>
    <s v="DOTE"/>
    <m/>
    <n v="3"/>
    <n v="3"/>
    <n v="6"/>
  </r>
  <r>
    <n v="859"/>
    <x v="817"/>
    <x v="1"/>
    <x v="28"/>
    <x v="20"/>
    <x v="0"/>
    <m/>
    <m/>
    <s v="YAO VINCENT "/>
    <m/>
    <n v="50"/>
    <x v="0"/>
    <s v="DOTE"/>
    <m/>
    <n v="5"/>
    <n v="5"/>
    <n v="10"/>
  </r>
  <r>
    <n v="860"/>
    <x v="818"/>
    <x v="1"/>
    <x v="28"/>
    <x v="20"/>
    <x v="0"/>
    <m/>
    <m/>
    <s v="YAO VINCENT "/>
    <m/>
    <n v="33"/>
    <x v="0"/>
    <s v="MARIEE"/>
    <s v="COMMERCE"/>
    <n v="3"/>
    <n v="1"/>
    <n v="4"/>
  </r>
  <r>
    <n v="861"/>
    <x v="819"/>
    <x v="1"/>
    <x v="28"/>
    <x v="20"/>
    <x v="0"/>
    <m/>
    <m/>
    <s v="YAO VINCENT "/>
    <s v="0749971999"/>
    <n v="49"/>
    <x v="0"/>
    <s v="DOTE"/>
    <m/>
    <n v="3"/>
    <n v="3"/>
    <n v="6"/>
  </r>
  <r>
    <n v="862"/>
    <x v="820"/>
    <x v="1"/>
    <x v="28"/>
    <x v="20"/>
    <x v="0"/>
    <m/>
    <m/>
    <s v="YAO VINCENT "/>
    <s v="0141355445"/>
    <n v="56"/>
    <x v="0"/>
    <s v="DOTE"/>
    <m/>
    <n v="1"/>
    <n v="2"/>
    <n v="3"/>
  </r>
  <r>
    <n v="863"/>
    <x v="821"/>
    <x v="1"/>
    <x v="28"/>
    <x v="20"/>
    <x v="0"/>
    <m/>
    <m/>
    <s v="YAO VINCENT "/>
    <s v="0748814811"/>
    <n v="35"/>
    <x v="0"/>
    <s v="DOTE"/>
    <m/>
    <n v="1"/>
    <n v="0"/>
    <n v="1"/>
  </r>
  <r>
    <n v="864"/>
    <x v="822"/>
    <x v="1"/>
    <x v="28"/>
    <x v="20"/>
    <x v="0"/>
    <m/>
    <m/>
    <s v="YAO VINCENT "/>
    <s v="0172878548"/>
    <n v="30"/>
    <x v="0"/>
    <s v="DOTE"/>
    <s v="COMMERCE"/>
    <n v="1"/>
    <n v="2"/>
    <n v="3"/>
  </r>
  <r>
    <n v="865"/>
    <x v="823"/>
    <x v="1"/>
    <x v="28"/>
    <x v="20"/>
    <x v="0"/>
    <m/>
    <m/>
    <s v="YAO VINCENT "/>
    <s v="0707227697"/>
    <n v="53"/>
    <x v="0"/>
    <s v="DOTE"/>
    <s v="COMMERCE"/>
    <n v="5"/>
    <n v="4"/>
    <n v="9"/>
  </r>
  <r>
    <n v="866"/>
    <x v="824"/>
    <x v="1"/>
    <x v="28"/>
    <x v="20"/>
    <x v="0"/>
    <m/>
    <m/>
    <s v="YAO VINCENT "/>
    <s v="0759119444"/>
    <n v="34"/>
    <x v="0"/>
    <s v="DOTE"/>
    <m/>
    <n v="0"/>
    <n v="2"/>
    <n v="2"/>
  </r>
  <r>
    <n v="867"/>
    <x v="825"/>
    <x v="1"/>
    <x v="28"/>
    <x v="20"/>
    <x v="0"/>
    <m/>
    <m/>
    <s v="YAO VINCENT "/>
    <m/>
    <n v="50"/>
    <x v="0"/>
    <s v="DOTE"/>
    <s v="COMMERCE"/>
    <n v="2"/>
    <n v="2"/>
    <n v="4"/>
  </r>
  <r>
    <n v="868"/>
    <x v="826"/>
    <x v="1"/>
    <x v="29"/>
    <x v="20"/>
    <x v="0"/>
    <m/>
    <m/>
    <s v="YAO VINCENT "/>
    <s v="0153049584"/>
    <n v="50"/>
    <x v="0"/>
    <s v="DOTE"/>
    <m/>
    <n v="2"/>
    <n v="4"/>
    <n v="6"/>
  </r>
  <r>
    <n v="869"/>
    <x v="827"/>
    <x v="1"/>
    <x v="29"/>
    <x v="20"/>
    <x v="0"/>
    <m/>
    <m/>
    <s v="YAO VINCENT "/>
    <s v="0170737093"/>
    <n v="49"/>
    <x v="0"/>
    <s v="MARIEE"/>
    <s v="COMMERCE"/>
    <n v="0"/>
    <n v="2"/>
    <n v="2"/>
  </r>
  <r>
    <n v="870"/>
    <x v="828"/>
    <x v="1"/>
    <x v="29"/>
    <x v="20"/>
    <x v="0"/>
    <m/>
    <m/>
    <s v="YAO VINCENT "/>
    <s v="0153044221"/>
    <n v="53"/>
    <x v="0"/>
    <s v="DOTE"/>
    <m/>
    <n v="2"/>
    <n v="6"/>
    <n v="8"/>
  </r>
  <r>
    <n v="871"/>
    <x v="829"/>
    <x v="1"/>
    <x v="29"/>
    <x v="20"/>
    <x v="0"/>
    <m/>
    <m/>
    <s v="YAO VINCENT "/>
    <s v="0709936627"/>
    <n v="44"/>
    <x v="0"/>
    <s v="DOTE"/>
    <s v="COMMERCE"/>
    <n v="2"/>
    <n v="3"/>
    <n v="5"/>
  </r>
  <r>
    <n v="872"/>
    <x v="830"/>
    <x v="1"/>
    <x v="29"/>
    <x v="20"/>
    <x v="0"/>
    <m/>
    <m/>
    <s v="YAO VINCENT "/>
    <s v="0103937207"/>
    <n v="57"/>
    <x v="0"/>
    <s v="MARIEE"/>
    <m/>
    <n v="1"/>
    <n v="7"/>
    <n v="8"/>
  </r>
  <r>
    <n v="873"/>
    <x v="831"/>
    <x v="1"/>
    <x v="29"/>
    <x v="20"/>
    <x v="0"/>
    <m/>
    <m/>
    <s v="YAO VINCENT "/>
    <m/>
    <n v="50"/>
    <x v="0"/>
    <s v="DOTE"/>
    <s v="COMMERCE"/>
    <n v="2"/>
    <n v="2"/>
    <n v="4"/>
  </r>
  <r>
    <n v="874"/>
    <x v="832"/>
    <x v="1"/>
    <x v="29"/>
    <x v="20"/>
    <x v="0"/>
    <m/>
    <m/>
    <s v="YAO VINCENT "/>
    <s v="0140200527"/>
    <n v="37"/>
    <x v="0"/>
    <s v="DOTE"/>
    <m/>
    <n v="2"/>
    <n v="5"/>
    <n v="7"/>
  </r>
  <r>
    <n v="875"/>
    <x v="833"/>
    <x v="1"/>
    <x v="29"/>
    <x v="20"/>
    <x v="0"/>
    <m/>
    <m/>
    <s v="YAO VINCENT "/>
    <m/>
    <n v="48"/>
    <x v="0"/>
    <s v="DOTE"/>
    <m/>
    <n v="2"/>
    <n v="3"/>
    <n v="5"/>
  </r>
  <r>
    <n v="876"/>
    <x v="834"/>
    <x v="1"/>
    <x v="29"/>
    <x v="20"/>
    <x v="0"/>
    <m/>
    <m/>
    <s v="YAO VINCENT "/>
    <m/>
    <n v="48"/>
    <x v="0"/>
    <s v="DOTE"/>
    <m/>
    <n v="3"/>
    <n v="4"/>
    <n v="7"/>
  </r>
  <r>
    <n v="877"/>
    <x v="835"/>
    <x v="1"/>
    <x v="29"/>
    <x v="20"/>
    <x v="0"/>
    <m/>
    <m/>
    <s v="YAO VINCENT "/>
    <s v="0151274797"/>
    <n v="56"/>
    <x v="1"/>
    <s v="DOTE"/>
    <s v="PLANTEUR"/>
    <n v="2"/>
    <n v="5"/>
    <n v="7"/>
  </r>
  <r>
    <n v="878"/>
    <x v="836"/>
    <x v="1"/>
    <x v="29"/>
    <x v="20"/>
    <x v="0"/>
    <m/>
    <m/>
    <s v="YAO VINCENT "/>
    <s v="0171611450"/>
    <n v="58"/>
    <x v="0"/>
    <s v="DOTE"/>
    <m/>
    <n v="3"/>
    <n v="2"/>
    <n v="5"/>
  </r>
  <r>
    <n v="879"/>
    <x v="837"/>
    <x v="1"/>
    <x v="29"/>
    <x v="20"/>
    <x v="0"/>
    <m/>
    <m/>
    <s v="YAO VINCENT "/>
    <m/>
    <n v="51"/>
    <x v="0"/>
    <s v="DOTE"/>
    <m/>
    <n v="2"/>
    <n v="5"/>
    <n v="7"/>
  </r>
  <r>
    <n v="880"/>
    <x v="838"/>
    <x v="1"/>
    <x v="29"/>
    <x v="20"/>
    <x v="0"/>
    <m/>
    <m/>
    <s v="YAO VINCENT "/>
    <s v="0173425265"/>
    <n v="47"/>
    <x v="1"/>
    <s v="DOTE"/>
    <m/>
    <n v="0"/>
    <n v="0"/>
    <n v="0"/>
  </r>
  <r>
    <n v="881"/>
    <x v="839"/>
    <x v="1"/>
    <x v="29"/>
    <x v="20"/>
    <x v="0"/>
    <m/>
    <m/>
    <s v="YAO VINCENT "/>
    <m/>
    <n v="35"/>
    <x v="0"/>
    <s v="DOTE"/>
    <m/>
    <n v="0"/>
    <n v="0"/>
    <n v="0"/>
  </r>
  <r>
    <n v="882"/>
    <x v="840"/>
    <x v="1"/>
    <x v="29"/>
    <x v="20"/>
    <x v="0"/>
    <m/>
    <m/>
    <s v="YAO VINCENT "/>
    <m/>
    <n v="35"/>
    <x v="0"/>
    <s v="DOTE"/>
    <m/>
    <n v="4"/>
    <n v="2"/>
    <n v="6"/>
  </r>
  <r>
    <n v="883"/>
    <x v="841"/>
    <x v="1"/>
    <x v="29"/>
    <x v="20"/>
    <x v="0"/>
    <m/>
    <m/>
    <s v="YAO VINCENT "/>
    <s v="0171090021"/>
    <n v="46"/>
    <x v="1"/>
    <s v="DOTE"/>
    <s v="ELEVEUR"/>
    <n v="3"/>
    <n v="2"/>
    <n v="5"/>
  </r>
  <r>
    <n v="884"/>
    <x v="842"/>
    <x v="1"/>
    <x v="29"/>
    <x v="20"/>
    <x v="0"/>
    <m/>
    <m/>
    <s v="YAO VINCENT "/>
    <s v="0140215290"/>
    <n v="42"/>
    <x v="0"/>
    <s v="DOTE"/>
    <m/>
    <n v="4"/>
    <n v="2"/>
    <n v="6"/>
  </r>
  <r>
    <n v="885"/>
    <x v="843"/>
    <x v="1"/>
    <x v="29"/>
    <x v="20"/>
    <x v="0"/>
    <m/>
    <m/>
    <s v="YAO VINCENT "/>
    <s v="0709135100"/>
    <n v="57"/>
    <x v="0"/>
    <s v="DOTE"/>
    <m/>
    <n v="2"/>
    <n v="3"/>
    <n v="5"/>
  </r>
  <r>
    <n v="886"/>
    <x v="844"/>
    <x v="1"/>
    <x v="29"/>
    <x v="20"/>
    <x v="0"/>
    <m/>
    <m/>
    <s v="YAO VINCENT "/>
    <m/>
    <n v="46"/>
    <x v="0"/>
    <s v="DOTE"/>
    <m/>
    <n v="1"/>
    <n v="2"/>
    <n v="3"/>
  </r>
  <r>
    <n v="887"/>
    <x v="845"/>
    <x v="1"/>
    <x v="29"/>
    <x v="20"/>
    <x v="0"/>
    <m/>
    <m/>
    <s v="YAO VINCENT "/>
    <m/>
    <n v="38"/>
    <x v="0"/>
    <s v="DOTE"/>
    <m/>
    <n v="2"/>
    <n v="7"/>
    <n v="9"/>
  </r>
  <r>
    <n v="888"/>
    <x v="846"/>
    <x v="1"/>
    <x v="29"/>
    <x v="20"/>
    <x v="0"/>
    <m/>
    <m/>
    <s v="YAO VINCENT "/>
    <m/>
    <m/>
    <x v="0"/>
    <s v="DOTE"/>
    <m/>
    <n v="0"/>
    <n v="2"/>
    <n v="2"/>
  </r>
  <r>
    <n v="889"/>
    <x v="847"/>
    <x v="1"/>
    <x v="29"/>
    <x v="20"/>
    <x v="0"/>
    <m/>
    <m/>
    <s v="YAO VINCENT "/>
    <s v="0748487178"/>
    <n v="59"/>
    <x v="1"/>
    <s v="DOTE"/>
    <s v="PLANTEUR"/>
    <n v="2"/>
    <n v="7"/>
    <n v="9"/>
  </r>
  <r>
    <n v="890"/>
    <x v="848"/>
    <x v="1"/>
    <x v="29"/>
    <x v="20"/>
    <x v="0"/>
    <m/>
    <m/>
    <s v="YAO VINCENT "/>
    <m/>
    <n v="42"/>
    <x v="0"/>
    <s v="DOTE"/>
    <m/>
    <n v="3"/>
    <n v="4"/>
    <n v="7"/>
  </r>
  <r>
    <n v="891"/>
    <x v="849"/>
    <x v="1"/>
    <x v="29"/>
    <x v="20"/>
    <x v="0"/>
    <m/>
    <m/>
    <s v="YAO VINCENT "/>
    <m/>
    <n v="41"/>
    <x v="0"/>
    <s v="DOTE"/>
    <m/>
    <n v="3"/>
    <n v="2"/>
    <n v="5"/>
  </r>
  <r>
    <n v="892"/>
    <x v="850"/>
    <x v="1"/>
    <x v="29"/>
    <x v="20"/>
    <x v="0"/>
    <m/>
    <m/>
    <s v="YAO VINCENT "/>
    <m/>
    <n v="39"/>
    <x v="0"/>
    <s v="DOTE"/>
    <m/>
    <n v="2"/>
    <n v="4"/>
    <n v="6"/>
  </r>
  <r>
    <n v="893"/>
    <x v="851"/>
    <x v="1"/>
    <x v="29"/>
    <x v="20"/>
    <x v="0"/>
    <m/>
    <m/>
    <s v="YAO VINCENT "/>
    <s v="0709890297"/>
    <n v="75"/>
    <x v="1"/>
    <s v="MARIEE"/>
    <s v="PLANTEUR"/>
    <n v="6"/>
    <n v="9"/>
    <n v="15"/>
  </r>
  <r>
    <n v="894"/>
    <x v="852"/>
    <x v="1"/>
    <x v="29"/>
    <x v="20"/>
    <x v="0"/>
    <m/>
    <m/>
    <s v="YAO VINCENT "/>
    <s v="0140103326"/>
    <n v="59"/>
    <x v="0"/>
    <s v="DOTE"/>
    <m/>
    <n v="1"/>
    <n v="0"/>
    <n v="1"/>
  </r>
  <r>
    <n v="895"/>
    <x v="853"/>
    <x v="1"/>
    <x v="29"/>
    <x v="20"/>
    <x v="0"/>
    <m/>
    <m/>
    <s v="YAO VINCENT "/>
    <m/>
    <n v="38"/>
    <x v="0"/>
    <s v="DOTE"/>
    <m/>
    <n v="4"/>
    <n v="3"/>
    <n v="7"/>
  </r>
  <r>
    <n v="896"/>
    <x v="854"/>
    <x v="1"/>
    <x v="29"/>
    <x v="20"/>
    <x v="0"/>
    <m/>
    <m/>
    <s v="YAO VINCENT "/>
    <s v="0748892144"/>
    <n v="47"/>
    <x v="1"/>
    <s v="DOTE"/>
    <m/>
    <n v="2"/>
    <n v="3"/>
    <n v="5"/>
  </r>
  <r>
    <n v="897"/>
    <x v="855"/>
    <x v="1"/>
    <x v="29"/>
    <x v="20"/>
    <x v="0"/>
    <m/>
    <m/>
    <s v="YAO VINCENT "/>
    <m/>
    <n v="42"/>
    <x v="0"/>
    <s v="DOTE"/>
    <m/>
    <n v="4"/>
    <n v="2"/>
    <n v="6"/>
  </r>
  <r>
    <n v="898"/>
    <x v="856"/>
    <x v="1"/>
    <x v="30"/>
    <x v="20"/>
    <x v="0"/>
    <m/>
    <m/>
    <s v="YAO VINCENT "/>
    <s v="0748126645"/>
    <n v="49"/>
    <x v="0"/>
    <s v="DOTE"/>
    <s v="RESTAURATION"/>
    <n v="2"/>
    <n v="5"/>
    <n v="7"/>
  </r>
  <r>
    <n v="899"/>
    <x v="857"/>
    <x v="1"/>
    <x v="30"/>
    <x v="20"/>
    <x v="0"/>
    <m/>
    <m/>
    <s v="YAO VINCENT "/>
    <s v="0768631586"/>
    <n v="23"/>
    <x v="0"/>
    <s v="DOTE"/>
    <m/>
    <n v="0"/>
    <n v="1"/>
    <n v="1"/>
  </r>
  <r>
    <n v="900"/>
    <x v="858"/>
    <x v="1"/>
    <x v="30"/>
    <x v="20"/>
    <x v="0"/>
    <m/>
    <m/>
    <s v="YAO VINCENT "/>
    <s v="0172755278"/>
    <n v="35"/>
    <x v="0"/>
    <s v="DOTE"/>
    <m/>
    <n v="5"/>
    <n v="3"/>
    <n v="8"/>
  </r>
  <r>
    <n v="901"/>
    <x v="859"/>
    <x v="1"/>
    <x v="30"/>
    <x v="20"/>
    <x v="0"/>
    <m/>
    <m/>
    <s v="YAO VINCENT "/>
    <m/>
    <n v="40"/>
    <x v="0"/>
    <s v="DOTE"/>
    <m/>
    <n v="4"/>
    <n v="3"/>
    <n v="7"/>
  </r>
  <r>
    <n v="902"/>
    <x v="860"/>
    <x v="1"/>
    <x v="30"/>
    <x v="20"/>
    <x v="0"/>
    <m/>
    <m/>
    <s v="YAO VINCENT "/>
    <m/>
    <n v="41"/>
    <x v="0"/>
    <s v="DOTE"/>
    <m/>
    <n v="3"/>
    <n v="3"/>
    <n v="6"/>
  </r>
  <r>
    <n v="903"/>
    <x v="861"/>
    <x v="1"/>
    <x v="30"/>
    <x v="20"/>
    <x v="0"/>
    <m/>
    <m/>
    <s v="YAO VINCENT "/>
    <m/>
    <n v="30"/>
    <x v="0"/>
    <s v="DOTE"/>
    <m/>
    <n v="1"/>
    <n v="0"/>
    <n v="1"/>
  </r>
  <r>
    <n v="904"/>
    <x v="862"/>
    <x v="1"/>
    <x v="30"/>
    <x v="20"/>
    <x v="0"/>
    <m/>
    <m/>
    <s v="YAO VINCENT "/>
    <s v="0777467815"/>
    <n v="50"/>
    <x v="1"/>
    <s v="MARIE"/>
    <s v="COMMERCE"/>
    <n v="5"/>
    <n v="2"/>
    <n v="7"/>
  </r>
  <r>
    <n v="905"/>
    <x v="863"/>
    <x v="1"/>
    <x v="30"/>
    <x v="20"/>
    <x v="0"/>
    <m/>
    <m/>
    <s v="YAO VINCENT "/>
    <s v="0150174466"/>
    <n v="42"/>
    <x v="0"/>
    <s v="DOTE"/>
    <m/>
    <n v="2"/>
    <n v="8"/>
    <n v="10"/>
  </r>
  <r>
    <n v="906"/>
    <x v="864"/>
    <x v="1"/>
    <x v="30"/>
    <x v="20"/>
    <x v="0"/>
    <m/>
    <m/>
    <s v="YAO VINCENT "/>
    <m/>
    <n v="30"/>
    <x v="0"/>
    <s v="DOTE"/>
    <m/>
    <n v="3"/>
    <n v="3"/>
    <n v="6"/>
  </r>
  <r>
    <n v="907"/>
    <x v="865"/>
    <x v="1"/>
    <x v="30"/>
    <x v="20"/>
    <x v="0"/>
    <m/>
    <m/>
    <s v="YAO VINCENT "/>
    <m/>
    <n v="45"/>
    <x v="0"/>
    <s v="DOTE"/>
    <m/>
    <n v="2"/>
    <n v="4"/>
    <n v="6"/>
  </r>
  <r>
    <n v="908"/>
    <x v="866"/>
    <x v="1"/>
    <x v="30"/>
    <x v="20"/>
    <x v="0"/>
    <m/>
    <m/>
    <s v="YAO VINCENT "/>
    <m/>
    <n v="37"/>
    <x v="0"/>
    <s v="DOTE"/>
    <m/>
    <n v="2"/>
    <n v="1"/>
    <n v="3"/>
  </r>
  <r>
    <n v="909"/>
    <x v="867"/>
    <x v="1"/>
    <x v="30"/>
    <x v="20"/>
    <x v="0"/>
    <m/>
    <m/>
    <s v="YAO VINCENT "/>
    <m/>
    <n v="39"/>
    <x v="0"/>
    <s v="DOTE"/>
    <m/>
    <n v="3"/>
    <n v="4"/>
    <n v="7"/>
  </r>
  <r>
    <n v="910"/>
    <x v="868"/>
    <x v="1"/>
    <x v="30"/>
    <x v="20"/>
    <x v="0"/>
    <m/>
    <m/>
    <s v="YAO VINCENT "/>
    <m/>
    <n v="27"/>
    <x v="0"/>
    <s v="DOTE"/>
    <m/>
    <n v="2"/>
    <n v="1"/>
    <n v="3"/>
  </r>
  <r>
    <n v="911"/>
    <x v="869"/>
    <x v="1"/>
    <x v="30"/>
    <x v="20"/>
    <x v="0"/>
    <m/>
    <m/>
    <s v="YAO VINCENT "/>
    <m/>
    <n v="26"/>
    <x v="0"/>
    <s v="DOTE"/>
    <m/>
    <n v="1"/>
    <n v="1"/>
    <n v="2"/>
  </r>
  <r>
    <n v="912"/>
    <x v="870"/>
    <x v="1"/>
    <x v="30"/>
    <x v="20"/>
    <x v="0"/>
    <m/>
    <m/>
    <s v="YAO VINCENT "/>
    <m/>
    <n v="31"/>
    <x v="0"/>
    <s v="DOTE"/>
    <m/>
    <n v="0"/>
    <n v="2"/>
    <n v="2"/>
  </r>
  <r>
    <n v="913"/>
    <x v="871"/>
    <x v="1"/>
    <x v="30"/>
    <x v="20"/>
    <x v="0"/>
    <m/>
    <m/>
    <s v="YAO VINCENT "/>
    <m/>
    <n v="44"/>
    <x v="0"/>
    <s v="DOTE"/>
    <m/>
    <n v="1"/>
    <n v="1"/>
    <n v="2"/>
  </r>
  <r>
    <n v="914"/>
    <x v="872"/>
    <x v="1"/>
    <x v="30"/>
    <x v="20"/>
    <x v="0"/>
    <m/>
    <m/>
    <s v="YAO VINCENT "/>
    <m/>
    <n v="33"/>
    <x v="0"/>
    <s v="DOTE"/>
    <m/>
    <n v="0"/>
    <n v="1"/>
    <n v="1"/>
  </r>
  <r>
    <n v="915"/>
    <x v="873"/>
    <x v="1"/>
    <x v="30"/>
    <x v="20"/>
    <x v="0"/>
    <m/>
    <m/>
    <s v="YAO VINCENT "/>
    <s v="0757357680"/>
    <n v="42"/>
    <x v="0"/>
    <s v="DOTE"/>
    <s v="COUTURE"/>
    <n v="2"/>
    <n v="1"/>
    <n v="3"/>
  </r>
  <r>
    <n v="916"/>
    <x v="874"/>
    <x v="1"/>
    <x v="30"/>
    <x v="20"/>
    <x v="0"/>
    <m/>
    <m/>
    <s v="YAO VINCENT "/>
    <m/>
    <n v="40"/>
    <x v="0"/>
    <s v="DOTE"/>
    <s v="RESTAURATION"/>
    <n v="1"/>
    <n v="1"/>
    <n v="2"/>
  </r>
  <r>
    <n v="917"/>
    <x v="875"/>
    <x v="1"/>
    <x v="30"/>
    <x v="20"/>
    <x v="0"/>
    <m/>
    <m/>
    <s v="YAO VINCENT "/>
    <m/>
    <n v="38"/>
    <x v="0"/>
    <s v="DOTE"/>
    <s v="COMMERCE"/>
    <n v="3"/>
    <n v="4"/>
    <n v="7"/>
  </r>
  <r>
    <n v="918"/>
    <x v="876"/>
    <x v="1"/>
    <x v="30"/>
    <x v="20"/>
    <x v="0"/>
    <m/>
    <m/>
    <s v="YAO VINCENT "/>
    <m/>
    <n v="37"/>
    <x v="0"/>
    <s v="DOTE"/>
    <s v="RESTAURATION"/>
    <n v="2"/>
    <n v="6"/>
    <n v="8"/>
  </r>
  <r>
    <n v="919"/>
    <x v="877"/>
    <x v="1"/>
    <x v="30"/>
    <x v="20"/>
    <x v="0"/>
    <m/>
    <m/>
    <s v="YAO VINCENT "/>
    <m/>
    <n v="50"/>
    <x v="1"/>
    <s v="DOTE"/>
    <s v="COMMECRCE"/>
    <n v="2"/>
    <n v="6"/>
    <n v="8"/>
  </r>
  <r>
    <n v="920"/>
    <x v="878"/>
    <x v="1"/>
    <x v="30"/>
    <x v="20"/>
    <x v="0"/>
    <m/>
    <m/>
    <s v="YAO VINCENT "/>
    <m/>
    <n v="60"/>
    <x v="0"/>
    <s v="DOTE"/>
    <m/>
    <n v="5"/>
    <n v="1"/>
    <n v="6"/>
  </r>
  <r>
    <n v="921"/>
    <x v="879"/>
    <x v="1"/>
    <x v="30"/>
    <x v="20"/>
    <x v="0"/>
    <m/>
    <m/>
    <s v="YAO VINCENT "/>
    <m/>
    <n v="64"/>
    <x v="0"/>
    <s v="DOTE"/>
    <m/>
    <n v="4"/>
    <n v="5"/>
    <n v="9"/>
  </r>
  <r>
    <n v="922"/>
    <x v="880"/>
    <x v="1"/>
    <x v="30"/>
    <x v="20"/>
    <x v="0"/>
    <m/>
    <m/>
    <s v="YAO VINCENT "/>
    <m/>
    <n v="48"/>
    <x v="0"/>
    <s v="DOTE"/>
    <m/>
    <n v="0"/>
    <n v="2"/>
    <n v="2"/>
  </r>
  <r>
    <n v="923"/>
    <x v="881"/>
    <x v="1"/>
    <x v="30"/>
    <x v="20"/>
    <x v="0"/>
    <m/>
    <m/>
    <s v="YAO VINCENT "/>
    <m/>
    <n v="25"/>
    <x v="0"/>
    <s v="DOTE"/>
    <m/>
    <n v="3"/>
    <n v="1"/>
    <n v="4"/>
  </r>
  <r>
    <n v="924"/>
    <x v="882"/>
    <x v="1"/>
    <x v="30"/>
    <x v="20"/>
    <x v="0"/>
    <m/>
    <m/>
    <s v="YAO VINCENT "/>
    <s v="0151432650"/>
    <n v="30"/>
    <x v="0"/>
    <s v="DOTE"/>
    <s v="COMMERCE"/>
    <n v="3"/>
    <n v="0"/>
    <n v="3"/>
  </r>
  <r>
    <n v="925"/>
    <x v="883"/>
    <x v="1"/>
    <x v="30"/>
    <x v="20"/>
    <x v="0"/>
    <m/>
    <m/>
    <s v="YAO VINCENT "/>
    <s v="070850064"/>
    <n v="29"/>
    <x v="0"/>
    <s v="DOTE"/>
    <s v="COMMERCE"/>
    <n v="2"/>
    <n v="1"/>
    <n v="3"/>
  </r>
  <r>
    <n v="926"/>
    <x v="884"/>
    <x v="1"/>
    <x v="30"/>
    <x v="20"/>
    <x v="0"/>
    <m/>
    <m/>
    <s v="YAO VINCENT "/>
    <m/>
    <n v="27"/>
    <x v="0"/>
    <s v="DOTE"/>
    <m/>
    <n v="0"/>
    <n v="1"/>
    <n v="1"/>
  </r>
  <r>
    <n v="927"/>
    <x v="885"/>
    <x v="1"/>
    <x v="30"/>
    <x v="20"/>
    <x v="0"/>
    <m/>
    <m/>
    <s v="YAO VINCENT "/>
    <m/>
    <n v="42"/>
    <x v="0"/>
    <s v="DOTE"/>
    <m/>
    <n v="3"/>
    <n v="2"/>
    <n v="5"/>
  </r>
  <r>
    <n v="928"/>
    <x v="886"/>
    <x v="1"/>
    <x v="23"/>
    <x v="21"/>
    <x v="0"/>
    <m/>
    <m/>
    <s v="YAO VINCENT "/>
    <s v="0747928851"/>
    <n v="35"/>
    <x v="0"/>
    <s v="DOTE"/>
    <s v="MENAGERE"/>
    <n v="3"/>
    <n v="5"/>
    <n v="8"/>
  </r>
  <r>
    <n v="929"/>
    <x v="887"/>
    <x v="1"/>
    <x v="23"/>
    <x v="21"/>
    <x v="0"/>
    <m/>
    <m/>
    <s v="YAO VINCENT "/>
    <s v="0769089402"/>
    <n v="40"/>
    <x v="0"/>
    <s v="DOTE"/>
    <s v="MENAGERE"/>
    <n v="2"/>
    <n v="3"/>
    <n v="5"/>
  </r>
  <r>
    <n v="930"/>
    <x v="888"/>
    <x v="1"/>
    <x v="23"/>
    <x v="21"/>
    <x v="0"/>
    <m/>
    <m/>
    <s v="YAO VINCENT "/>
    <s v="0768250630"/>
    <n v="22"/>
    <x v="0"/>
    <s v="DOTE"/>
    <s v="MENAGERE"/>
    <n v="2"/>
    <n v="2"/>
    <n v="4"/>
  </r>
  <r>
    <n v="931"/>
    <x v="889"/>
    <x v="1"/>
    <x v="23"/>
    <x v="21"/>
    <x v="0"/>
    <m/>
    <m/>
    <s v="YAO VINCENT "/>
    <s v="0779384177"/>
    <n v="40"/>
    <x v="0"/>
    <s v="DOTE"/>
    <s v="MENAGERE"/>
    <n v="2"/>
    <n v="1"/>
    <n v="3"/>
  </r>
  <r>
    <n v="932"/>
    <x v="890"/>
    <x v="1"/>
    <x v="23"/>
    <x v="21"/>
    <x v="0"/>
    <m/>
    <m/>
    <s v="YAO VINCENT "/>
    <s v="0788809929"/>
    <n v="55"/>
    <x v="0"/>
    <s v="DOTE"/>
    <s v="MENAGERE"/>
    <n v="2"/>
    <n v="2"/>
    <n v="4"/>
  </r>
  <r>
    <n v="933"/>
    <x v="891"/>
    <x v="1"/>
    <x v="23"/>
    <x v="21"/>
    <x v="0"/>
    <m/>
    <m/>
    <s v="YAO VINCENT "/>
    <s v="0799381674"/>
    <n v="30"/>
    <x v="0"/>
    <s v="DOTE"/>
    <s v="MENAGERE"/>
    <n v="2"/>
    <n v="5"/>
    <n v="7"/>
  </r>
  <r>
    <n v="934"/>
    <x v="892"/>
    <x v="1"/>
    <x v="23"/>
    <x v="21"/>
    <x v="0"/>
    <m/>
    <m/>
    <s v="YAO VINCENT "/>
    <s v="0778187079"/>
    <n v="20"/>
    <x v="0"/>
    <s v="DOTE"/>
    <s v="MENAGERE"/>
    <n v="0"/>
    <n v="1"/>
    <n v="1"/>
  </r>
  <r>
    <n v="935"/>
    <x v="893"/>
    <x v="1"/>
    <x v="23"/>
    <x v="21"/>
    <x v="0"/>
    <m/>
    <m/>
    <s v="YAO VINCENT "/>
    <s v="0788066835"/>
    <n v="32"/>
    <x v="0"/>
    <s v="DOTE"/>
    <s v="MENAGERE"/>
    <n v="0"/>
    <n v="1"/>
    <n v="1"/>
  </r>
  <r>
    <n v="936"/>
    <x v="894"/>
    <x v="1"/>
    <x v="23"/>
    <x v="21"/>
    <x v="0"/>
    <m/>
    <m/>
    <s v="YAO VINCENT "/>
    <s v="0778673242"/>
    <n v="50"/>
    <x v="0"/>
    <s v="DOTE"/>
    <s v="MENAGERE"/>
    <n v="3"/>
    <n v="4"/>
    <n v="7"/>
  </r>
  <r>
    <n v="937"/>
    <x v="895"/>
    <x v="1"/>
    <x v="23"/>
    <x v="21"/>
    <x v="0"/>
    <m/>
    <m/>
    <s v="YAO VINCENT "/>
    <s v="0777454865"/>
    <m/>
    <x v="0"/>
    <s v="DOTE"/>
    <s v="MENAGERE"/>
    <n v="1"/>
    <n v="0"/>
    <n v="1"/>
  </r>
  <r>
    <n v="938"/>
    <x v="896"/>
    <x v="1"/>
    <x v="23"/>
    <x v="21"/>
    <x v="0"/>
    <m/>
    <m/>
    <s v="YAO VINCENT "/>
    <s v="0748047024"/>
    <n v="30"/>
    <x v="0"/>
    <s v="DOTE"/>
    <s v="MENAGERE"/>
    <n v="4"/>
    <n v="1"/>
    <n v="5"/>
  </r>
  <r>
    <n v="939"/>
    <x v="897"/>
    <x v="1"/>
    <x v="23"/>
    <x v="21"/>
    <x v="0"/>
    <m/>
    <m/>
    <s v="YAO VINCENT "/>
    <s v="0749842305"/>
    <n v="30"/>
    <x v="0"/>
    <s v="DOTE"/>
    <s v="MENAGERE"/>
    <n v="5"/>
    <n v="2"/>
    <n v="7"/>
  </r>
  <r>
    <n v="940"/>
    <x v="898"/>
    <x v="1"/>
    <x v="23"/>
    <x v="21"/>
    <x v="0"/>
    <m/>
    <m/>
    <s v="YAO VINCENT "/>
    <s v="0700129880"/>
    <n v="25"/>
    <x v="0"/>
    <s v="DOTE"/>
    <s v="MENAGERE"/>
    <n v="4"/>
    <n v="1"/>
    <n v="5"/>
  </r>
  <r>
    <n v="941"/>
    <x v="899"/>
    <x v="1"/>
    <x v="23"/>
    <x v="21"/>
    <x v="0"/>
    <m/>
    <m/>
    <s v="YAO VINCENT "/>
    <s v="0799013784"/>
    <n v="24"/>
    <x v="0"/>
    <s v="DOTE"/>
    <s v="MENAGERE"/>
    <n v="1"/>
    <n v="1"/>
    <n v="2"/>
  </r>
  <r>
    <n v="942"/>
    <x v="900"/>
    <x v="1"/>
    <x v="23"/>
    <x v="21"/>
    <x v="0"/>
    <m/>
    <m/>
    <s v="YAO VINCENT "/>
    <s v="0747502637"/>
    <n v="24"/>
    <x v="0"/>
    <s v="DOTE"/>
    <s v="MENAGERE"/>
    <n v="4"/>
    <n v="0"/>
    <n v="4"/>
  </r>
  <r>
    <n v="943"/>
    <x v="901"/>
    <x v="1"/>
    <x v="23"/>
    <x v="21"/>
    <x v="0"/>
    <m/>
    <m/>
    <s v="YAO VINCENT "/>
    <s v="0556264223"/>
    <n v="39"/>
    <x v="0"/>
    <s v="DOTE"/>
    <s v="MENAGERE"/>
    <n v="3"/>
    <n v="4"/>
    <n v="7"/>
  </r>
  <r>
    <n v="944"/>
    <x v="902"/>
    <x v="1"/>
    <x v="23"/>
    <x v="21"/>
    <x v="0"/>
    <m/>
    <m/>
    <s v="YAO VINCENT "/>
    <s v="0759038667"/>
    <n v="30"/>
    <x v="0"/>
    <s v="DOTE"/>
    <s v="MENAGERE"/>
    <n v="6"/>
    <n v="3"/>
    <n v="9"/>
  </r>
  <r>
    <n v="945"/>
    <x v="903"/>
    <x v="1"/>
    <x v="23"/>
    <x v="21"/>
    <x v="0"/>
    <m/>
    <m/>
    <s v="YAO VINCENT "/>
    <s v="0779309104"/>
    <n v="25"/>
    <x v="0"/>
    <s v="DOTE"/>
    <s v="MENAGERE"/>
    <n v="0"/>
    <n v="0"/>
    <n v="0"/>
  </r>
  <r>
    <n v="946"/>
    <x v="904"/>
    <x v="1"/>
    <x v="23"/>
    <x v="21"/>
    <x v="0"/>
    <m/>
    <m/>
    <s v="YAO VINCENT "/>
    <s v="0749452454"/>
    <n v="20"/>
    <x v="0"/>
    <s v="DOTE"/>
    <s v="MENAGERE"/>
    <n v="0"/>
    <n v="0"/>
    <n v="0"/>
  </r>
  <r>
    <n v="947"/>
    <x v="860"/>
    <x v="1"/>
    <x v="23"/>
    <x v="21"/>
    <x v="0"/>
    <m/>
    <m/>
    <s v="YAO VINCENT "/>
    <s v="0759006040"/>
    <n v="30"/>
    <x v="0"/>
    <s v="DOTE"/>
    <s v="MENAGERE"/>
    <n v="3"/>
    <n v="3"/>
    <n v="6"/>
  </r>
  <r>
    <n v="948"/>
    <x v="894"/>
    <x v="1"/>
    <x v="23"/>
    <x v="21"/>
    <x v="0"/>
    <m/>
    <m/>
    <s v="YAO VINCENT "/>
    <s v="0747512168"/>
    <n v="26"/>
    <x v="0"/>
    <s v="DOTE"/>
    <s v="MENAGERE"/>
    <n v="0"/>
    <n v="3"/>
    <n v="3"/>
  </r>
  <r>
    <n v="949"/>
    <x v="905"/>
    <x v="1"/>
    <x v="23"/>
    <x v="21"/>
    <x v="0"/>
    <m/>
    <m/>
    <s v="YAO VINCENT "/>
    <s v="0748583565"/>
    <n v="52"/>
    <x v="0"/>
    <s v="DOTE"/>
    <s v="MENAGERE"/>
    <n v="2"/>
    <n v="3"/>
    <n v="5"/>
  </r>
  <r>
    <n v="950"/>
    <x v="906"/>
    <x v="1"/>
    <x v="23"/>
    <x v="21"/>
    <x v="0"/>
    <m/>
    <m/>
    <s v="YAO VINCENT "/>
    <s v="0748026086"/>
    <n v="30"/>
    <x v="0"/>
    <s v="DOTE"/>
    <s v="MENAGERE"/>
    <n v="4"/>
    <n v="2"/>
    <n v="6"/>
  </r>
  <r>
    <n v="951"/>
    <x v="907"/>
    <x v="1"/>
    <x v="23"/>
    <x v="21"/>
    <x v="0"/>
    <m/>
    <m/>
    <s v="YAO VINCENT "/>
    <s v="0795154245"/>
    <n v="29"/>
    <x v="0"/>
    <s v="DOTE"/>
    <s v="MENAGERE"/>
    <n v="2"/>
    <n v="2"/>
    <n v="4"/>
  </r>
  <r>
    <n v="952"/>
    <x v="908"/>
    <x v="1"/>
    <x v="23"/>
    <x v="21"/>
    <x v="0"/>
    <m/>
    <m/>
    <s v="YAO VINCENT "/>
    <s v="0758113537"/>
    <n v="30"/>
    <x v="0"/>
    <s v="DOTE"/>
    <s v="MENAGERE"/>
    <n v="3"/>
    <n v="5"/>
    <n v="8"/>
  </r>
  <r>
    <n v="953"/>
    <x v="909"/>
    <x v="1"/>
    <x v="23"/>
    <x v="21"/>
    <x v="0"/>
    <m/>
    <m/>
    <s v="YAO VINCENT "/>
    <s v="0564262266"/>
    <n v="30"/>
    <x v="0"/>
    <s v="DOTE"/>
    <s v="MENAGERE"/>
    <n v="2"/>
    <n v="3"/>
    <n v="5"/>
  </r>
  <r>
    <n v="954"/>
    <x v="910"/>
    <x v="1"/>
    <x v="23"/>
    <x v="21"/>
    <x v="0"/>
    <m/>
    <m/>
    <s v="YAO VINCENT "/>
    <s v="0173426539"/>
    <n v="30"/>
    <x v="0"/>
    <s v="DOTE"/>
    <s v="MENAGERE"/>
    <n v="1"/>
    <n v="2"/>
    <n v="3"/>
  </r>
  <r>
    <n v="955"/>
    <x v="911"/>
    <x v="1"/>
    <x v="23"/>
    <x v="21"/>
    <x v="0"/>
    <m/>
    <m/>
    <s v="YAO VINCENT "/>
    <s v="0789104425"/>
    <n v="30"/>
    <x v="0"/>
    <s v="DOTE"/>
    <s v="MENAGERE"/>
    <n v="2"/>
    <n v="3"/>
    <n v="5"/>
  </r>
  <r>
    <n v="956"/>
    <x v="912"/>
    <x v="1"/>
    <x v="23"/>
    <x v="21"/>
    <x v="0"/>
    <m/>
    <m/>
    <s v="YAO VINCENT "/>
    <s v="05464222"/>
    <n v="27"/>
    <x v="0"/>
    <s v="DOTE"/>
    <s v="MENAGERE"/>
    <n v="2"/>
    <n v="2"/>
    <n v="4"/>
  </r>
  <r>
    <n v="957"/>
    <x v="913"/>
    <x v="1"/>
    <x v="23"/>
    <x v="21"/>
    <x v="0"/>
    <m/>
    <m/>
    <s v="YAO VINCENT "/>
    <s v="0747477414"/>
    <n v="32"/>
    <x v="0"/>
    <s v="DOTE"/>
    <s v="MENAGERE"/>
    <n v="2"/>
    <n v="2"/>
    <n v="4"/>
  </r>
  <r>
    <n v="958"/>
    <x v="914"/>
    <x v="1"/>
    <x v="31"/>
    <x v="21"/>
    <x v="0"/>
    <m/>
    <m/>
    <s v="YAO VINCENT "/>
    <s v="0555017433"/>
    <n v="50"/>
    <x v="1"/>
    <s v="CONCUBINAGE"/>
    <s v="PLANTEUR"/>
    <n v="5"/>
    <n v="1"/>
    <n v="6"/>
  </r>
  <r>
    <n v="959"/>
    <x v="915"/>
    <x v="1"/>
    <x v="31"/>
    <x v="21"/>
    <x v="0"/>
    <m/>
    <m/>
    <s v="YAO VINCENT "/>
    <m/>
    <n v="36"/>
    <x v="0"/>
    <s v="CONCUBINAGE"/>
    <s v="MENAGERE"/>
    <n v="1"/>
    <n v="0"/>
    <n v="1"/>
  </r>
  <r>
    <n v="960"/>
    <x v="916"/>
    <x v="1"/>
    <x v="31"/>
    <x v="21"/>
    <x v="0"/>
    <m/>
    <m/>
    <s v="YAO VINCENT "/>
    <s v="0758120287"/>
    <m/>
    <x v="0"/>
    <s v="DOTE"/>
    <s v="COMMERCE"/>
    <n v="2"/>
    <n v="3"/>
    <n v="5"/>
  </r>
  <r>
    <n v="961"/>
    <x v="917"/>
    <x v="1"/>
    <x v="31"/>
    <x v="21"/>
    <x v="0"/>
    <m/>
    <m/>
    <s v="YAO VINCENT "/>
    <s v="0778540467"/>
    <n v="50"/>
    <x v="0"/>
    <s v="CONCUBINAGE"/>
    <s v="COMMERCE"/>
    <n v="1"/>
    <n v="1"/>
    <n v="2"/>
  </r>
  <r>
    <n v="962"/>
    <x v="918"/>
    <x v="1"/>
    <x v="31"/>
    <x v="21"/>
    <x v="0"/>
    <m/>
    <m/>
    <s v="YAO VINCENT "/>
    <s v="0777121251"/>
    <m/>
    <x v="0"/>
    <s v="CONCUBINAGE"/>
    <s v="COMMERCE"/>
    <n v="4"/>
    <n v="1"/>
    <n v="5"/>
  </r>
  <r>
    <n v="963"/>
    <x v="919"/>
    <x v="1"/>
    <x v="31"/>
    <x v="21"/>
    <x v="0"/>
    <m/>
    <m/>
    <s v="YAO VINCENT "/>
    <s v="0759889355"/>
    <n v="41"/>
    <x v="1"/>
    <s v="CONCUBINAGE"/>
    <s v="PLANTEUR"/>
    <n v="2"/>
    <n v="2"/>
    <n v="4"/>
  </r>
  <r>
    <n v="964"/>
    <x v="920"/>
    <x v="1"/>
    <x v="31"/>
    <x v="21"/>
    <x v="0"/>
    <m/>
    <m/>
    <s v="YAO VINCENT "/>
    <s v="0576859837"/>
    <n v="41"/>
    <x v="1"/>
    <s v="MARIE"/>
    <s v="PLANTEUR"/>
    <n v="1"/>
    <n v="3"/>
    <n v="4"/>
  </r>
  <r>
    <n v="965"/>
    <x v="921"/>
    <x v="1"/>
    <x v="31"/>
    <x v="21"/>
    <x v="0"/>
    <m/>
    <m/>
    <s v="YAO VINCENT "/>
    <s v="0788904884"/>
    <n v="44"/>
    <x v="1"/>
    <s v="DOTE"/>
    <s v="PLANTEUR"/>
    <n v="2"/>
    <n v="3"/>
    <n v="5"/>
  </r>
  <r>
    <n v="966"/>
    <x v="922"/>
    <x v="1"/>
    <x v="31"/>
    <x v="21"/>
    <x v="0"/>
    <m/>
    <m/>
    <s v="YAO VINCENT "/>
    <s v="0748070316"/>
    <n v="36"/>
    <x v="1"/>
    <s v="DOTE"/>
    <s v="PLANTEUR"/>
    <n v="0"/>
    <n v="0"/>
    <n v="0"/>
  </r>
  <r>
    <n v="967"/>
    <x v="923"/>
    <x v="1"/>
    <x v="31"/>
    <x v="21"/>
    <x v="0"/>
    <m/>
    <m/>
    <s v="YAO VINCENT "/>
    <s v="0575105071"/>
    <n v="35"/>
    <x v="0"/>
    <s v="MARIE"/>
    <s v="MENAGERE"/>
    <n v="1"/>
    <n v="3"/>
    <n v="4"/>
  </r>
  <r>
    <n v="968"/>
    <x v="924"/>
    <x v="1"/>
    <x v="31"/>
    <x v="21"/>
    <x v="0"/>
    <m/>
    <m/>
    <s v="YAO VINCENT "/>
    <m/>
    <n v="33"/>
    <x v="0"/>
    <s v="DOTE"/>
    <s v="COMMERCE"/>
    <n v="4"/>
    <n v="2"/>
    <n v="6"/>
  </r>
  <r>
    <n v="969"/>
    <x v="925"/>
    <x v="1"/>
    <x v="31"/>
    <x v="21"/>
    <x v="0"/>
    <m/>
    <m/>
    <s v="YAO VINCENT "/>
    <s v="0799574795"/>
    <n v="29"/>
    <x v="0"/>
    <s v="DOTE"/>
    <s v="MENAGERE"/>
    <n v="4"/>
    <n v="2"/>
    <n v="6"/>
  </r>
  <r>
    <n v="970"/>
    <x v="926"/>
    <x v="1"/>
    <x v="31"/>
    <x v="21"/>
    <x v="0"/>
    <m/>
    <m/>
    <s v="YAO VINCENT "/>
    <s v="0748048771"/>
    <n v="49"/>
    <x v="1"/>
    <s v="DOTE"/>
    <s v="PLANTEUR"/>
    <n v="5"/>
    <n v="4"/>
    <n v="9"/>
  </r>
  <r>
    <n v="971"/>
    <x v="927"/>
    <x v="1"/>
    <x v="31"/>
    <x v="21"/>
    <x v="0"/>
    <m/>
    <m/>
    <s v="YAO VINCENT "/>
    <s v="0779546104"/>
    <n v="33"/>
    <x v="0"/>
    <s v="CONCUBINAGE"/>
    <s v="MENAGERE"/>
    <n v="2"/>
    <n v="3"/>
    <n v="5"/>
  </r>
  <r>
    <n v="972"/>
    <x v="928"/>
    <x v="1"/>
    <x v="31"/>
    <x v="21"/>
    <x v="0"/>
    <m/>
    <m/>
    <s v="YAO VINCENT "/>
    <s v="0574737495"/>
    <n v="37"/>
    <x v="0"/>
    <s v="DOTE"/>
    <s v="COMMERCE"/>
    <n v="1"/>
    <n v="3"/>
    <n v="4"/>
  </r>
  <r>
    <n v="973"/>
    <x v="929"/>
    <x v="1"/>
    <x v="31"/>
    <x v="21"/>
    <x v="0"/>
    <m/>
    <m/>
    <s v="YAO VINCENT "/>
    <s v="0585824435"/>
    <n v="40"/>
    <x v="1"/>
    <s v="celibataire"/>
    <s v="ELEVAGE"/>
    <n v="2"/>
    <n v="2"/>
    <n v="4"/>
  </r>
  <r>
    <n v="974"/>
    <x v="930"/>
    <x v="1"/>
    <x v="31"/>
    <x v="21"/>
    <x v="0"/>
    <m/>
    <m/>
    <s v="YAO VINCENT "/>
    <s v="0777796986"/>
    <n v="55"/>
    <x v="0"/>
    <s v="DOTE"/>
    <s v="MENAGERE"/>
    <n v="3"/>
    <n v="3"/>
    <n v="6"/>
  </r>
  <r>
    <n v="975"/>
    <x v="931"/>
    <x v="1"/>
    <x v="31"/>
    <x v="21"/>
    <x v="0"/>
    <m/>
    <m/>
    <s v="YAO VINCENT "/>
    <s v="0779309104"/>
    <n v="50"/>
    <x v="0"/>
    <s v="DOTE"/>
    <s v="CULTIVATRICE"/>
    <n v="6"/>
    <n v="2"/>
    <n v="8"/>
  </r>
  <r>
    <n v="976"/>
    <x v="932"/>
    <x v="1"/>
    <x v="31"/>
    <x v="21"/>
    <x v="0"/>
    <m/>
    <m/>
    <s v="YAO VINCENT "/>
    <s v="0748888365"/>
    <n v="43"/>
    <x v="0"/>
    <s v="DOTE"/>
    <s v="COMMERCE"/>
    <n v="6"/>
    <n v="2"/>
    <n v="8"/>
  </r>
  <r>
    <n v="977"/>
    <x v="933"/>
    <x v="1"/>
    <x v="31"/>
    <x v="21"/>
    <x v="0"/>
    <m/>
    <m/>
    <s v="YAO VINCENT "/>
    <s v="0704196295"/>
    <n v="49"/>
    <x v="0"/>
    <s v="DOTE"/>
    <s v="COMMERCE"/>
    <n v="3"/>
    <n v="5"/>
    <n v="8"/>
  </r>
  <r>
    <n v="978"/>
    <x v="934"/>
    <x v="1"/>
    <x v="31"/>
    <x v="21"/>
    <x v="0"/>
    <m/>
    <m/>
    <s v="YAO VINCENT "/>
    <s v="0707093963"/>
    <n v="50"/>
    <x v="0"/>
    <s v="DOTE"/>
    <s v="PLANTEUR"/>
    <n v="4"/>
    <n v="3"/>
    <n v="7"/>
  </r>
  <r>
    <n v="979"/>
    <x v="935"/>
    <x v="1"/>
    <x v="31"/>
    <x v="21"/>
    <x v="0"/>
    <m/>
    <m/>
    <s v="YAO VINCENT "/>
    <s v="0749469015"/>
    <n v="59"/>
    <x v="1"/>
    <s v="celibataire"/>
    <s v="PLANTEUR"/>
    <n v="1"/>
    <n v="5"/>
    <n v="6"/>
  </r>
  <r>
    <n v="980"/>
    <x v="936"/>
    <x v="1"/>
    <x v="31"/>
    <x v="21"/>
    <x v="0"/>
    <m/>
    <m/>
    <s v="YAO VINCENT "/>
    <s v="0778766223"/>
    <n v="36"/>
    <x v="0"/>
    <s v="CONCUBINAGE"/>
    <s v="MENAGERE"/>
    <n v="2"/>
    <n v="3"/>
    <n v="5"/>
  </r>
  <r>
    <n v="981"/>
    <x v="937"/>
    <x v="1"/>
    <x v="31"/>
    <x v="21"/>
    <x v="0"/>
    <m/>
    <m/>
    <s v="YAO VINCENT "/>
    <m/>
    <n v="55"/>
    <x v="0"/>
    <s v="DOTE"/>
    <s v="COMMERCE"/>
    <n v="7"/>
    <n v="0"/>
    <n v="7"/>
  </r>
  <r>
    <n v="982"/>
    <x v="938"/>
    <x v="1"/>
    <x v="31"/>
    <x v="21"/>
    <x v="0"/>
    <m/>
    <m/>
    <s v="YAO VINCENT "/>
    <m/>
    <n v="54"/>
    <x v="0"/>
    <s v="DOTE"/>
    <s v="COMMERCE"/>
    <n v="3"/>
    <n v="6"/>
    <n v="9"/>
  </r>
  <r>
    <n v="983"/>
    <x v="939"/>
    <x v="1"/>
    <x v="31"/>
    <x v="21"/>
    <x v="0"/>
    <m/>
    <m/>
    <s v="YAO VINCENT "/>
    <s v="0787835129"/>
    <m/>
    <x v="0"/>
    <s v="DOTE"/>
    <s v="MENAGERE"/>
    <n v="6"/>
    <n v="2"/>
    <n v="8"/>
  </r>
  <r>
    <n v="984"/>
    <x v="940"/>
    <x v="1"/>
    <x v="31"/>
    <x v="21"/>
    <x v="0"/>
    <m/>
    <m/>
    <s v="YAO VINCENT "/>
    <s v="0749973258"/>
    <n v="49"/>
    <x v="0"/>
    <s v="DOTE"/>
    <s v="PLANTEUR"/>
    <n v="4"/>
    <n v="6"/>
    <n v="10"/>
  </r>
  <r>
    <n v="985"/>
    <x v="941"/>
    <x v="1"/>
    <x v="31"/>
    <x v="21"/>
    <x v="0"/>
    <m/>
    <m/>
    <s v="YAO VINCENT "/>
    <m/>
    <n v="42"/>
    <x v="0"/>
    <s v="DOTE"/>
    <s v="COIFFEUSE"/>
    <n v="2"/>
    <n v="0"/>
    <n v="2"/>
  </r>
  <r>
    <n v="986"/>
    <x v="942"/>
    <x v="1"/>
    <x v="31"/>
    <x v="21"/>
    <x v="0"/>
    <m/>
    <m/>
    <s v="YAO VINCENT "/>
    <s v="0777215276"/>
    <n v="47"/>
    <x v="0"/>
    <s v="CONCUBINAGE"/>
    <s v="COMMERCE"/>
    <n v="1"/>
    <n v="2"/>
    <n v="3"/>
  </r>
  <r>
    <n v="987"/>
    <x v="943"/>
    <x v="1"/>
    <x v="31"/>
    <x v="21"/>
    <x v="0"/>
    <m/>
    <m/>
    <s v="YAO VINCENT "/>
    <s v="0749672161"/>
    <n v="62"/>
    <x v="0"/>
    <s v="DOTE"/>
    <s v="MENAGERE"/>
    <n v="2"/>
    <n v="5"/>
    <n v="7"/>
  </r>
  <r>
    <n v="988"/>
    <x v="944"/>
    <x v="1"/>
    <x v="32"/>
    <x v="21"/>
    <x v="0"/>
    <m/>
    <m/>
    <s v="YAO VINCENT "/>
    <s v="0707495228"/>
    <n v="45"/>
    <x v="0"/>
    <s v="CONCUBINAGE"/>
    <s v="COIFFEUSE"/>
    <n v="1"/>
    <n v="3"/>
    <n v="4"/>
  </r>
  <r>
    <n v="989"/>
    <x v="945"/>
    <x v="1"/>
    <x v="32"/>
    <x v="21"/>
    <x v="0"/>
    <m/>
    <m/>
    <s v="YAO VINCENT "/>
    <m/>
    <m/>
    <x v="0"/>
    <s v="CONCUBINAGE"/>
    <s v="MENAGERE"/>
    <n v="2"/>
    <n v="1"/>
    <n v="3"/>
  </r>
  <r>
    <n v="990"/>
    <x v="946"/>
    <x v="1"/>
    <x v="32"/>
    <x v="21"/>
    <x v="0"/>
    <m/>
    <m/>
    <s v="YAO VINCENT "/>
    <s v="0749913450"/>
    <n v="51"/>
    <x v="0"/>
    <s v="CONCUBINAGE"/>
    <s v="COMMERCE"/>
    <n v="3"/>
    <n v="7"/>
    <n v="10"/>
  </r>
  <r>
    <n v="991"/>
    <x v="947"/>
    <x v="1"/>
    <x v="32"/>
    <x v="21"/>
    <x v="0"/>
    <m/>
    <m/>
    <s v="YAO VINCENT "/>
    <s v="0708960354"/>
    <n v="56"/>
    <x v="0"/>
    <s v="celibataire"/>
    <s v="MENAGERE"/>
    <n v="1"/>
    <n v="1"/>
    <n v="2"/>
  </r>
  <r>
    <n v="992"/>
    <x v="948"/>
    <x v="1"/>
    <x v="32"/>
    <x v="21"/>
    <x v="0"/>
    <m/>
    <m/>
    <s v="YAO VINCENT "/>
    <s v="0172804225"/>
    <n v="40"/>
    <x v="0"/>
    <s v="CONCUBINAGE"/>
    <s v="TRAISSEUSE"/>
    <n v="4"/>
    <n v="2"/>
    <n v="6"/>
  </r>
  <r>
    <n v="993"/>
    <x v="949"/>
    <x v="1"/>
    <x v="32"/>
    <x v="21"/>
    <x v="0"/>
    <m/>
    <m/>
    <s v="YAO VINCENT "/>
    <s v="0708933874"/>
    <m/>
    <x v="0"/>
    <s v="MARIE"/>
    <s v="COMMERCE"/>
    <n v="0"/>
    <n v="0"/>
    <n v="0"/>
  </r>
  <r>
    <n v="994"/>
    <x v="950"/>
    <x v="1"/>
    <x v="32"/>
    <x v="21"/>
    <x v="0"/>
    <m/>
    <m/>
    <s v="YAO VINCENT "/>
    <s v="0708910372"/>
    <n v="52"/>
    <x v="0"/>
    <s v="CONCUBINAGE"/>
    <s v="COMMERCE"/>
    <n v="3"/>
    <n v="1"/>
    <n v="4"/>
  </r>
  <r>
    <n v="995"/>
    <x v="951"/>
    <x v="1"/>
    <x v="32"/>
    <x v="21"/>
    <x v="0"/>
    <m/>
    <m/>
    <s v="YAO VINCENT "/>
    <s v="0173827773"/>
    <n v="52"/>
    <x v="0"/>
    <s v="DOTE"/>
    <s v="COMMERCE"/>
    <n v="1"/>
    <n v="0"/>
    <n v="1"/>
  </r>
  <r>
    <n v="996"/>
    <x v="952"/>
    <x v="1"/>
    <x v="32"/>
    <x v="21"/>
    <x v="0"/>
    <m/>
    <m/>
    <s v="YAO VINCENT "/>
    <s v="0565112725"/>
    <m/>
    <x v="0"/>
    <s v="CONCUBINAGE"/>
    <s v="COUTURE"/>
    <n v="2"/>
    <n v="2"/>
    <n v="4"/>
  </r>
  <r>
    <n v="997"/>
    <x v="953"/>
    <x v="1"/>
    <x v="32"/>
    <x v="21"/>
    <x v="0"/>
    <m/>
    <m/>
    <s v="YAO VINCENT "/>
    <s v="0103933350"/>
    <n v="55"/>
    <x v="0"/>
    <s v="CONCUBINAGE"/>
    <s v="MENAGERE"/>
    <n v="2"/>
    <n v="5"/>
    <n v="7"/>
  </r>
  <r>
    <n v="998"/>
    <x v="954"/>
    <x v="1"/>
    <x v="32"/>
    <x v="21"/>
    <x v="0"/>
    <m/>
    <m/>
    <s v="YAO VINCENT "/>
    <s v="05762028414"/>
    <n v="46"/>
    <x v="0"/>
    <s v="CONCUBINAGE"/>
    <s v="MENAGERE"/>
    <n v="3"/>
    <n v="2"/>
    <n v="5"/>
  </r>
  <r>
    <n v="999"/>
    <x v="955"/>
    <x v="1"/>
    <x v="32"/>
    <x v="21"/>
    <x v="0"/>
    <m/>
    <m/>
    <s v="YAO VINCENT "/>
    <s v="0789118804"/>
    <m/>
    <x v="0"/>
    <s v="VEUVE"/>
    <s v="MENAGERE"/>
    <n v="0"/>
    <n v="0"/>
    <n v="0"/>
  </r>
  <r>
    <n v="1000"/>
    <x v="956"/>
    <x v="1"/>
    <x v="32"/>
    <x v="21"/>
    <x v="0"/>
    <m/>
    <m/>
    <s v="YAO VINCENT "/>
    <s v="0707089458"/>
    <n v="53"/>
    <x v="0"/>
    <s v="CONCUBINAGE"/>
    <s v="MENAGERE"/>
    <n v="1"/>
    <n v="2"/>
    <n v="3"/>
  </r>
  <r>
    <n v="1001"/>
    <x v="957"/>
    <x v="1"/>
    <x v="32"/>
    <x v="21"/>
    <x v="0"/>
    <m/>
    <m/>
    <s v="YAO VINCENT "/>
    <s v="0554299910"/>
    <n v="46"/>
    <x v="0"/>
    <s v="celibataire"/>
    <s v="MENAGERE"/>
    <n v="4"/>
    <n v="2"/>
    <n v="6"/>
  </r>
  <r>
    <n v="1002"/>
    <x v="958"/>
    <x v="1"/>
    <x v="32"/>
    <x v="21"/>
    <x v="0"/>
    <m/>
    <m/>
    <s v="YAO VINCENT "/>
    <s v="0788115391"/>
    <n v="64"/>
    <x v="0"/>
    <s v="VEUVE"/>
    <s v="MENAGERE"/>
    <n v="2"/>
    <n v="4"/>
    <n v="6"/>
  </r>
  <r>
    <n v="1003"/>
    <x v="959"/>
    <x v="1"/>
    <x v="32"/>
    <x v="21"/>
    <x v="0"/>
    <m/>
    <m/>
    <s v="YAO VINCENT "/>
    <s v="0758918425"/>
    <n v="55"/>
    <x v="0"/>
    <s v="DOTE"/>
    <s v="MENAGERE"/>
    <n v="4"/>
    <n v="3"/>
    <n v="7"/>
  </r>
  <r>
    <n v="1004"/>
    <x v="960"/>
    <x v="1"/>
    <x v="32"/>
    <x v="21"/>
    <x v="0"/>
    <m/>
    <m/>
    <s v="YAO VINCENT "/>
    <s v="0777564193"/>
    <n v="44"/>
    <x v="0"/>
    <s v="CONCUBINAGE"/>
    <s v="COMMERCE"/>
    <n v="3"/>
    <n v="3"/>
    <n v="6"/>
  </r>
  <r>
    <n v="1005"/>
    <x v="961"/>
    <x v="1"/>
    <x v="32"/>
    <x v="21"/>
    <x v="0"/>
    <m/>
    <m/>
    <s v="YAO VINCENT "/>
    <s v="0797326394"/>
    <n v="40"/>
    <x v="0"/>
    <s v="DOTE"/>
    <s v="COMMERCE"/>
    <n v="3"/>
    <n v="2"/>
    <n v="5"/>
  </r>
  <r>
    <n v="1006"/>
    <x v="962"/>
    <x v="1"/>
    <x v="32"/>
    <x v="21"/>
    <x v="0"/>
    <m/>
    <m/>
    <s v="YAO VINCENT "/>
    <s v="0749452745"/>
    <n v="52"/>
    <x v="1"/>
    <s v="CONCUBINAGE"/>
    <s v="PLANTEUR"/>
    <n v="1"/>
    <n v="3"/>
    <n v="4"/>
  </r>
  <r>
    <n v="1007"/>
    <x v="963"/>
    <x v="1"/>
    <x v="32"/>
    <x v="21"/>
    <x v="0"/>
    <m/>
    <m/>
    <s v="YAO VINCENT "/>
    <s v="055537649"/>
    <n v="55"/>
    <x v="1"/>
    <s v="CONCUBINAGE"/>
    <s v="PLANTEUR"/>
    <n v="0"/>
    <n v="0"/>
    <n v="0"/>
  </r>
  <r>
    <n v="1008"/>
    <x v="964"/>
    <x v="1"/>
    <x v="32"/>
    <x v="21"/>
    <x v="0"/>
    <m/>
    <m/>
    <s v="YAO VINCENT "/>
    <m/>
    <n v="42"/>
    <x v="0"/>
    <s v="CONCUBINAGE"/>
    <s v="MENAGERE"/>
    <n v="3"/>
    <n v="3"/>
    <n v="6"/>
  </r>
  <r>
    <n v="1009"/>
    <x v="965"/>
    <x v="1"/>
    <x v="32"/>
    <x v="21"/>
    <x v="0"/>
    <m/>
    <m/>
    <s v="YAO VINCENT "/>
    <m/>
    <n v="26"/>
    <x v="0"/>
    <s v="CONCUBINAGE"/>
    <s v="MENAGERE"/>
    <n v="1"/>
    <n v="2"/>
    <n v="3"/>
  </r>
  <r>
    <n v="1010"/>
    <x v="966"/>
    <x v="1"/>
    <x v="32"/>
    <x v="21"/>
    <x v="0"/>
    <m/>
    <m/>
    <s v="YAO VINCENT "/>
    <m/>
    <n v="25"/>
    <x v="0"/>
    <s v="MARIE"/>
    <s v="COUTURE"/>
    <n v="1"/>
    <n v="0"/>
    <n v="1"/>
  </r>
  <r>
    <n v="1011"/>
    <x v="967"/>
    <x v="1"/>
    <x v="32"/>
    <x v="21"/>
    <x v="0"/>
    <m/>
    <m/>
    <s v="YAO VINCENT "/>
    <s v="0595665492"/>
    <n v="44"/>
    <x v="0"/>
    <s v="CONCUBINAGE"/>
    <s v="COMMERCE"/>
    <n v="2"/>
    <n v="3"/>
    <n v="5"/>
  </r>
  <r>
    <n v="1012"/>
    <x v="968"/>
    <x v="1"/>
    <x v="32"/>
    <x v="21"/>
    <x v="0"/>
    <m/>
    <m/>
    <s v="YAO VINCENT "/>
    <s v="0709554618"/>
    <n v="55"/>
    <x v="1"/>
    <s v="CONCUBINAGE"/>
    <s v="PLANTEUR"/>
    <n v="8"/>
    <n v="7"/>
    <n v="15"/>
  </r>
  <r>
    <n v="1013"/>
    <x v="969"/>
    <x v="1"/>
    <x v="32"/>
    <x v="21"/>
    <x v="0"/>
    <m/>
    <m/>
    <s v="YAO VINCENT "/>
    <s v="0749320970"/>
    <n v="26"/>
    <x v="0"/>
    <s v="CONCUBINAGE"/>
    <s v="COMMERCE"/>
    <n v="2"/>
    <n v="1"/>
    <n v="3"/>
  </r>
  <r>
    <n v="1014"/>
    <x v="970"/>
    <x v="1"/>
    <x v="32"/>
    <x v="21"/>
    <x v="0"/>
    <m/>
    <m/>
    <s v="YAO VINCENT "/>
    <m/>
    <n v="44"/>
    <x v="0"/>
    <s v="CONCUBINAGE"/>
    <s v="MENAGERE"/>
    <n v="4"/>
    <n v="2"/>
    <n v="6"/>
  </r>
  <r>
    <n v="1015"/>
    <x v="971"/>
    <x v="1"/>
    <x v="32"/>
    <x v="21"/>
    <x v="0"/>
    <m/>
    <m/>
    <s v="YAO VINCENT "/>
    <s v="0707064568"/>
    <n v="44"/>
    <x v="0"/>
    <s v="CONCUBINAGE"/>
    <s v="COMMERCE"/>
    <n v="2"/>
    <n v="3"/>
    <n v="5"/>
  </r>
  <r>
    <n v="1016"/>
    <x v="972"/>
    <x v="1"/>
    <x v="32"/>
    <x v="21"/>
    <x v="0"/>
    <m/>
    <m/>
    <s v="YAO VINCENT "/>
    <s v="0789292212"/>
    <n v="54"/>
    <x v="0"/>
    <s v="VEUVE"/>
    <s v="MENAGERE"/>
    <n v="2"/>
    <n v="3"/>
    <n v="5"/>
  </r>
  <r>
    <n v="1017"/>
    <x v="973"/>
    <x v="1"/>
    <x v="32"/>
    <x v="21"/>
    <x v="0"/>
    <m/>
    <m/>
    <s v="YAO VINCENT "/>
    <s v="0778077385"/>
    <n v="42"/>
    <x v="0"/>
    <s v="CONCUBINAGE"/>
    <s v="COMMERCE"/>
    <n v="2"/>
    <n v="2"/>
    <n v="4"/>
  </r>
  <r>
    <n v="1018"/>
    <x v="974"/>
    <x v="1"/>
    <x v="33"/>
    <x v="22"/>
    <x v="0"/>
    <m/>
    <m/>
    <s v="YAO VINCENT "/>
    <s v="0544475790"/>
    <m/>
    <x v="1"/>
    <m/>
    <m/>
    <n v="2"/>
    <n v="0"/>
    <n v="2"/>
  </r>
  <r>
    <n v="1019"/>
    <x v="975"/>
    <x v="1"/>
    <x v="33"/>
    <x v="22"/>
    <x v="0"/>
    <m/>
    <m/>
    <s v="YAO VINCENT "/>
    <s v="0778118929"/>
    <m/>
    <x v="1"/>
    <m/>
    <m/>
    <n v="2"/>
    <n v="2"/>
    <n v="4"/>
  </r>
  <r>
    <n v="1020"/>
    <x v="177"/>
    <x v="1"/>
    <x v="33"/>
    <x v="22"/>
    <x v="0"/>
    <m/>
    <m/>
    <s v="YAO VINCENT "/>
    <s v="0749282390"/>
    <m/>
    <x v="1"/>
    <m/>
    <m/>
    <n v="3"/>
    <n v="0"/>
    <n v="3"/>
  </r>
  <r>
    <n v="1021"/>
    <x v="976"/>
    <x v="1"/>
    <x v="33"/>
    <x v="22"/>
    <x v="0"/>
    <m/>
    <m/>
    <s v="YAO VINCENT "/>
    <s v="0170658502"/>
    <m/>
    <x v="0"/>
    <m/>
    <m/>
    <n v="1"/>
    <n v="0"/>
    <n v="1"/>
  </r>
  <r>
    <n v="1022"/>
    <x v="977"/>
    <x v="1"/>
    <x v="33"/>
    <x v="22"/>
    <x v="0"/>
    <m/>
    <m/>
    <s v="YAO VINCENT "/>
    <s v="0788546013"/>
    <m/>
    <x v="1"/>
    <m/>
    <m/>
    <n v="1"/>
    <n v="0"/>
    <n v="1"/>
  </r>
  <r>
    <n v="1023"/>
    <x v="978"/>
    <x v="1"/>
    <x v="33"/>
    <x v="22"/>
    <x v="0"/>
    <m/>
    <m/>
    <s v="YAO VINCENT "/>
    <s v="0749521516"/>
    <m/>
    <x v="1"/>
    <m/>
    <m/>
    <n v="0"/>
    <n v="2"/>
    <n v="2"/>
  </r>
  <r>
    <n v="1024"/>
    <x v="979"/>
    <x v="1"/>
    <x v="33"/>
    <x v="22"/>
    <x v="0"/>
    <m/>
    <m/>
    <s v="YAO VINCENT "/>
    <s v="0777675335"/>
    <m/>
    <x v="1"/>
    <m/>
    <m/>
    <n v="3"/>
    <n v="4"/>
    <n v="7"/>
  </r>
  <r>
    <n v="1025"/>
    <x v="980"/>
    <x v="1"/>
    <x v="33"/>
    <x v="22"/>
    <x v="0"/>
    <m/>
    <m/>
    <s v="YAO VINCENT "/>
    <s v="0758097516"/>
    <m/>
    <x v="0"/>
    <m/>
    <m/>
    <n v="1"/>
    <n v="1"/>
    <n v="2"/>
  </r>
  <r>
    <n v="1026"/>
    <x v="981"/>
    <x v="1"/>
    <x v="33"/>
    <x v="22"/>
    <x v="0"/>
    <m/>
    <m/>
    <s v="YAO VINCENT "/>
    <m/>
    <m/>
    <x v="0"/>
    <m/>
    <m/>
    <n v="0"/>
    <n v="0"/>
    <n v="0"/>
  </r>
  <r>
    <n v="1027"/>
    <x v="982"/>
    <x v="1"/>
    <x v="33"/>
    <x v="22"/>
    <x v="0"/>
    <m/>
    <m/>
    <s v="YAO VINCENT "/>
    <s v="0757606546"/>
    <m/>
    <x v="0"/>
    <m/>
    <m/>
    <n v="0"/>
    <n v="1"/>
    <n v="1"/>
  </r>
  <r>
    <n v="1028"/>
    <x v="983"/>
    <x v="1"/>
    <x v="33"/>
    <x v="22"/>
    <x v="0"/>
    <m/>
    <m/>
    <s v="YAO VINCENT "/>
    <s v="0758548016"/>
    <m/>
    <x v="0"/>
    <m/>
    <m/>
    <n v="2"/>
    <n v="0"/>
    <n v="2"/>
  </r>
  <r>
    <n v="1029"/>
    <x v="984"/>
    <x v="1"/>
    <x v="33"/>
    <x v="22"/>
    <x v="0"/>
    <m/>
    <m/>
    <s v="YAO VINCENT "/>
    <s v="0769391304"/>
    <m/>
    <x v="0"/>
    <m/>
    <m/>
    <n v="0"/>
    <n v="2"/>
    <n v="2"/>
  </r>
  <r>
    <n v="1030"/>
    <x v="985"/>
    <x v="1"/>
    <x v="33"/>
    <x v="22"/>
    <x v="0"/>
    <m/>
    <m/>
    <s v="YAO VINCENT "/>
    <s v="0759695432"/>
    <m/>
    <x v="0"/>
    <m/>
    <m/>
    <n v="2"/>
    <n v="2"/>
    <n v="4"/>
  </r>
  <r>
    <n v="1031"/>
    <x v="986"/>
    <x v="1"/>
    <x v="33"/>
    <x v="22"/>
    <x v="0"/>
    <m/>
    <m/>
    <s v="YAO VINCENT "/>
    <s v="0709564324"/>
    <m/>
    <x v="0"/>
    <m/>
    <m/>
    <n v="0"/>
    <n v="0"/>
    <n v="0"/>
  </r>
  <r>
    <n v="1032"/>
    <x v="987"/>
    <x v="1"/>
    <x v="33"/>
    <x v="22"/>
    <x v="0"/>
    <m/>
    <m/>
    <s v="YAO VINCENT "/>
    <m/>
    <m/>
    <x v="0"/>
    <m/>
    <m/>
    <m/>
    <m/>
    <n v="0"/>
  </r>
  <r>
    <n v="1033"/>
    <x v="988"/>
    <x v="1"/>
    <x v="33"/>
    <x v="22"/>
    <x v="0"/>
    <m/>
    <m/>
    <s v="YAO VINCENT "/>
    <s v="0101212040"/>
    <m/>
    <x v="0"/>
    <m/>
    <m/>
    <n v="0"/>
    <n v="3"/>
    <n v="3"/>
  </r>
  <r>
    <n v="1034"/>
    <x v="989"/>
    <x v="1"/>
    <x v="33"/>
    <x v="22"/>
    <x v="0"/>
    <m/>
    <m/>
    <s v="YAO VINCENT "/>
    <m/>
    <m/>
    <x v="0"/>
    <m/>
    <m/>
    <n v="0"/>
    <n v="0"/>
    <n v="0"/>
  </r>
  <r>
    <n v="1035"/>
    <x v="990"/>
    <x v="1"/>
    <x v="33"/>
    <x v="22"/>
    <x v="0"/>
    <m/>
    <m/>
    <s v="YAO VINCENT "/>
    <s v="0748425437"/>
    <m/>
    <x v="0"/>
    <m/>
    <m/>
    <n v="0"/>
    <n v="0"/>
    <n v="0"/>
  </r>
  <r>
    <n v="1036"/>
    <x v="991"/>
    <x v="1"/>
    <x v="33"/>
    <x v="22"/>
    <x v="0"/>
    <m/>
    <m/>
    <s v="YAO VINCENT "/>
    <m/>
    <m/>
    <x v="0"/>
    <m/>
    <m/>
    <n v="0"/>
    <n v="0"/>
    <n v="0"/>
  </r>
  <r>
    <n v="1037"/>
    <x v="992"/>
    <x v="1"/>
    <x v="33"/>
    <x v="22"/>
    <x v="0"/>
    <m/>
    <m/>
    <s v="YAO VINCENT "/>
    <m/>
    <m/>
    <x v="1"/>
    <m/>
    <m/>
    <n v="0"/>
    <n v="0"/>
    <n v="0"/>
  </r>
  <r>
    <n v="1038"/>
    <x v="993"/>
    <x v="1"/>
    <x v="33"/>
    <x v="22"/>
    <x v="0"/>
    <m/>
    <m/>
    <s v="YAO VINCENT "/>
    <m/>
    <m/>
    <x v="0"/>
    <m/>
    <m/>
    <n v="0"/>
    <n v="0"/>
    <n v="0"/>
  </r>
  <r>
    <n v="1039"/>
    <x v="994"/>
    <x v="1"/>
    <x v="33"/>
    <x v="22"/>
    <x v="0"/>
    <m/>
    <m/>
    <s v="YAO VINCENT "/>
    <m/>
    <m/>
    <x v="0"/>
    <m/>
    <m/>
    <n v="0"/>
    <n v="0"/>
    <n v="0"/>
  </r>
  <r>
    <n v="1040"/>
    <x v="995"/>
    <x v="1"/>
    <x v="33"/>
    <x v="22"/>
    <x v="0"/>
    <m/>
    <m/>
    <s v="YAO VINCENT "/>
    <m/>
    <m/>
    <x v="0"/>
    <m/>
    <m/>
    <n v="1"/>
    <n v="2"/>
    <n v="3"/>
  </r>
  <r>
    <n v="1041"/>
    <x v="996"/>
    <x v="1"/>
    <x v="33"/>
    <x v="22"/>
    <x v="0"/>
    <m/>
    <m/>
    <s v="YAO VINCENT "/>
    <m/>
    <m/>
    <x v="0"/>
    <m/>
    <m/>
    <n v="0"/>
    <n v="0"/>
    <n v="0"/>
  </r>
  <r>
    <n v="1042"/>
    <x v="997"/>
    <x v="1"/>
    <x v="33"/>
    <x v="22"/>
    <x v="0"/>
    <m/>
    <m/>
    <s v="YAO VINCENT "/>
    <m/>
    <m/>
    <x v="0"/>
    <m/>
    <m/>
    <n v="2"/>
    <n v="0"/>
    <n v="2"/>
  </r>
  <r>
    <n v="1043"/>
    <x v="998"/>
    <x v="1"/>
    <x v="34"/>
    <x v="23"/>
    <x v="0"/>
    <m/>
    <m/>
    <s v="YAO VINCENT "/>
    <s v="0748078652"/>
    <m/>
    <x v="1"/>
    <m/>
    <m/>
    <n v="0"/>
    <n v="0"/>
    <n v="0"/>
  </r>
  <r>
    <n v="1044"/>
    <x v="999"/>
    <x v="1"/>
    <x v="34"/>
    <x v="23"/>
    <x v="0"/>
    <m/>
    <m/>
    <s v="YAO VINCENT "/>
    <s v="0787079211"/>
    <m/>
    <x v="0"/>
    <m/>
    <m/>
    <n v="2"/>
    <n v="3"/>
    <n v="5"/>
  </r>
  <r>
    <n v="1045"/>
    <x v="1000"/>
    <x v="1"/>
    <x v="34"/>
    <x v="23"/>
    <x v="0"/>
    <m/>
    <m/>
    <s v="YAO VINCENT "/>
    <s v="0778527868"/>
    <m/>
    <x v="0"/>
    <m/>
    <m/>
    <n v="0"/>
    <n v="1"/>
    <n v="1"/>
  </r>
  <r>
    <n v="1046"/>
    <x v="1001"/>
    <x v="1"/>
    <x v="34"/>
    <x v="23"/>
    <x v="0"/>
    <m/>
    <m/>
    <s v="YAO VINCENT "/>
    <s v="0779117079"/>
    <m/>
    <x v="1"/>
    <m/>
    <m/>
    <n v="0"/>
    <n v="0"/>
    <n v="0"/>
  </r>
  <r>
    <n v="1047"/>
    <x v="1002"/>
    <x v="1"/>
    <x v="34"/>
    <x v="23"/>
    <x v="0"/>
    <m/>
    <m/>
    <s v="YAO VINCENT "/>
    <m/>
    <m/>
    <x v="0"/>
    <m/>
    <m/>
    <n v="0"/>
    <n v="2"/>
    <n v="2"/>
  </r>
  <r>
    <n v="1048"/>
    <x v="1003"/>
    <x v="1"/>
    <x v="34"/>
    <x v="23"/>
    <x v="0"/>
    <m/>
    <m/>
    <s v="YAO VINCENT "/>
    <m/>
    <m/>
    <x v="0"/>
    <m/>
    <m/>
    <n v="1"/>
    <n v="3"/>
    <n v="4"/>
  </r>
  <r>
    <n v="1049"/>
    <x v="1004"/>
    <x v="1"/>
    <x v="34"/>
    <x v="23"/>
    <x v="0"/>
    <m/>
    <m/>
    <s v="YAO VINCENT "/>
    <m/>
    <m/>
    <x v="0"/>
    <m/>
    <m/>
    <n v="1"/>
    <n v="2"/>
    <n v="3"/>
  </r>
  <r>
    <n v="1050"/>
    <x v="1005"/>
    <x v="1"/>
    <x v="34"/>
    <x v="23"/>
    <x v="0"/>
    <m/>
    <m/>
    <s v="YAO VINCENT "/>
    <s v="0758842115"/>
    <m/>
    <x v="1"/>
    <m/>
    <m/>
    <n v="0"/>
    <n v="0"/>
    <n v="0"/>
  </r>
  <r>
    <n v="1051"/>
    <x v="1006"/>
    <x v="1"/>
    <x v="34"/>
    <x v="23"/>
    <x v="0"/>
    <m/>
    <m/>
    <s v="YAO VINCENT "/>
    <m/>
    <m/>
    <x v="0"/>
    <m/>
    <m/>
    <n v="3"/>
    <n v="4"/>
    <n v="7"/>
  </r>
  <r>
    <n v="1052"/>
    <x v="1007"/>
    <x v="1"/>
    <x v="34"/>
    <x v="23"/>
    <x v="0"/>
    <m/>
    <m/>
    <s v="YAO VINCENT "/>
    <s v="0749452244"/>
    <m/>
    <x v="1"/>
    <m/>
    <m/>
    <n v="0"/>
    <n v="0"/>
    <n v="0"/>
  </r>
  <r>
    <n v="1053"/>
    <x v="1008"/>
    <x v="1"/>
    <x v="34"/>
    <x v="23"/>
    <x v="0"/>
    <m/>
    <m/>
    <s v="YAO VINCENT "/>
    <m/>
    <m/>
    <x v="1"/>
    <m/>
    <m/>
    <n v="0"/>
    <n v="0"/>
    <n v="0"/>
  </r>
  <r>
    <n v="1054"/>
    <x v="1009"/>
    <x v="1"/>
    <x v="34"/>
    <x v="23"/>
    <x v="0"/>
    <m/>
    <m/>
    <s v="YAO VINCENT "/>
    <m/>
    <m/>
    <x v="0"/>
    <m/>
    <m/>
    <n v="2"/>
    <n v="2"/>
    <n v="4"/>
  </r>
  <r>
    <n v="1055"/>
    <x v="1010"/>
    <x v="1"/>
    <x v="34"/>
    <x v="23"/>
    <x v="0"/>
    <m/>
    <m/>
    <s v="YAO VINCENT "/>
    <m/>
    <m/>
    <x v="1"/>
    <m/>
    <m/>
    <n v="0"/>
    <n v="0"/>
    <n v="0"/>
  </r>
  <r>
    <n v="1056"/>
    <x v="1011"/>
    <x v="1"/>
    <x v="34"/>
    <x v="23"/>
    <x v="0"/>
    <m/>
    <m/>
    <s v="YAO VINCENT "/>
    <m/>
    <m/>
    <x v="0"/>
    <m/>
    <m/>
    <n v="2"/>
    <n v="2"/>
    <n v="4"/>
  </r>
  <r>
    <n v="1057"/>
    <x v="1012"/>
    <x v="1"/>
    <x v="34"/>
    <x v="23"/>
    <x v="0"/>
    <m/>
    <m/>
    <s v="YAO VINCENT "/>
    <s v="0747718300"/>
    <m/>
    <x v="1"/>
    <m/>
    <m/>
    <n v="1"/>
    <n v="2"/>
    <n v="3"/>
  </r>
  <r>
    <n v="1058"/>
    <x v="1013"/>
    <x v="1"/>
    <x v="34"/>
    <x v="23"/>
    <x v="0"/>
    <m/>
    <m/>
    <s v="YAO VINCENT "/>
    <m/>
    <m/>
    <x v="0"/>
    <m/>
    <m/>
    <n v="2"/>
    <n v="1"/>
    <n v="3"/>
  </r>
  <r>
    <n v="1059"/>
    <x v="1014"/>
    <x v="1"/>
    <x v="34"/>
    <x v="23"/>
    <x v="0"/>
    <m/>
    <m/>
    <s v="YAO VINCENT "/>
    <m/>
    <m/>
    <x v="0"/>
    <m/>
    <m/>
    <n v="2"/>
    <n v="2"/>
    <n v="4"/>
  </r>
  <r>
    <n v="1060"/>
    <x v="1015"/>
    <x v="1"/>
    <x v="34"/>
    <x v="23"/>
    <x v="0"/>
    <m/>
    <m/>
    <s v="YAO VINCENT "/>
    <s v="0749747022"/>
    <m/>
    <x v="1"/>
    <m/>
    <m/>
    <n v="2"/>
    <n v="2"/>
    <n v="4"/>
  </r>
  <r>
    <n v="1061"/>
    <x v="1016"/>
    <x v="1"/>
    <x v="34"/>
    <x v="23"/>
    <x v="0"/>
    <m/>
    <m/>
    <s v="YAO VINCENT "/>
    <m/>
    <m/>
    <x v="0"/>
    <m/>
    <m/>
    <n v="0"/>
    <n v="0"/>
    <n v="0"/>
  </r>
  <r>
    <n v="1062"/>
    <x v="1017"/>
    <x v="1"/>
    <x v="34"/>
    <x v="23"/>
    <x v="0"/>
    <m/>
    <m/>
    <s v="YAO VINCENT "/>
    <s v="0749687460"/>
    <m/>
    <x v="1"/>
    <m/>
    <m/>
    <n v="0"/>
    <n v="0"/>
    <n v="0"/>
  </r>
  <r>
    <n v="1063"/>
    <x v="1018"/>
    <x v="1"/>
    <x v="34"/>
    <x v="23"/>
    <x v="0"/>
    <m/>
    <m/>
    <s v="YAO VINCENT "/>
    <m/>
    <m/>
    <x v="0"/>
    <m/>
    <m/>
    <n v="2"/>
    <n v="0"/>
    <n v="2"/>
  </r>
  <r>
    <n v="1064"/>
    <x v="1019"/>
    <x v="1"/>
    <x v="34"/>
    <x v="23"/>
    <x v="0"/>
    <m/>
    <m/>
    <s v="YAO VINCENT "/>
    <m/>
    <m/>
    <x v="0"/>
    <m/>
    <m/>
    <n v="1"/>
    <n v="1"/>
    <n v="2"/>
  </r>
  <r>
    <n v="1065"/>
    <x v="1020"/>
    <x v="1"/>
    <x v="34"/>
    <x v="23"/>
    <x v="0"/>
    <m/>
    <m/>
    <s v="YAO VINCENT "/>
    <m/>
    <m/>
    <x v="0"/>
    <m/>
    <m/>
    <n v="2"/>
    <n v="1"/>
    <n v="3"/>
  </r>
  <r>
    <n v="1066"/>
    <x v="1021"/>
    <x v="1"/>
    <x v="34"/>
    <x v="23"/>
    <x v="0"/>
    <m/>
    <m/>
    <s v="YAO VINCENT "/>
    <m/>
    <m/>
    <x v="1"/>
    <m/>
    <m/>
    <n v="0"/>
    <n v="3"/>
    <n v="3"/>
  </r>
  <r>
    <n v="1067"/>
    <x v="1022"/>
    <x v="1"/>
    <x v="34"/>
    <x v="23"/>
    <x v="0"/>
    <m/>
    <m/>
    <s v="YAO VINCENT "/>
    <s v="0749440328"/>
    <m/>
    <x v="0"/>
    <m/>
    <m/>
    <n v="1"/>
    <n v="2"/>
    <n v="3"/>
  </r>
  <r>
    <n v="1068"/>
    <x v="1023"/>
    <x v="1"/>
    <x v="34"/>
    <x v="23"/>
    <x v="0"/>
    <m/>
    <m/>
    <s v="YAO VINCENT "/>
    <m/>
    <m/>
    <x v="0"/>
    <m/>
    <m/>
    <n v="0"/>
    <n v="0"/>
    <n v="0"/>
  </r>
  <r>
    <n v="1069"/>
    <x v="1024"/>
    <x v="1"/>
    <x v="34"/>
    <x v="23"/>
    <x v="0"/>
    <m/>
    <m/>
    <s v="YAO VINCENT "/>
    <m/>
    <m/>
    <x v="0"/>
    <m/>
    <m/>
    <n v="1"/>
    <n v="1"/>
    <n v="2"/>
  </r>
  <r>
    <n v="1070"/>
    <x v="1025"/>
    <x v="1"/>
    <x v="34"/>
    <x v="23"/>
    <x v="0"/>
    <m/>
    <m/>
    <s v="YAO VINCENT "/>
    <m/>
    <m/>
    <x v="1"/>
    <m/>
    <m/>
    <n v="0"/>
    <n v="2"/>
    <n v="2"/>
  </r>
  <r>
    <n v="1071"/>
    <x v="1026"/>
    <x v="1"/>
    <x v="35"/>
    <x v="23"/>
    <x v="0"/>
    <m/>
    <m/>
    <s v="YAO VINCENT "/>
    <m/>
    <m/>
    <x v="0"/>
    <m/>
    <m/>
    <n v="0"/>
    <n v="0"/>
    <n v="0"/>
  </r>
  <r>
    <n v="1072"/>
    <x v="1027"/>
    <x v="1"/>
    <x v="35"/>
    <x v="23"/>
    <x v="0"/>
    <m/>
    <m/>
    <s v="YAO VINCENT "/>
    <s v="0758087015"/>
    <m/>
    <x v="0"/>
    <m/>
    <m/>
    <n v="0"/>
    <n v="0"/>
    <n v="0"/>
  </r>
  <r>
    <n v="1073"/>
    <x v="1028"/>
    <x v="1"/>
    <x v="35"/>
    <x v="23"/>
    <x v="0"/>
    <m/>
    <m/>
    <s v="YAO VINCENT "/>
    <m/>
    <m/>
    <x v="0"/>
    <m/>
    <m/>
    <n v="1"/>
    <n v="1"/>
    <n v="2"/>
  </r>
  <r>
    <n v="1074"/>
    <x v="1029"/>
    <x v="1"/>
    <x v="35"/>
    <x v="23"/>
    <x v="0"/>
    <m/>
    <m/>
    <s v="YAO VINCENT "/>
    <s v="0748075236"/>
    <m/>
    <x v="0"/>
    <m/>
    <m/>
    <n v="0"/>
    <n v="2"/>
    <n v="2"/>
  </r>
  <r>
    <n v="1075"/>
    <x v="1030"/>
    <x v="1"/>
    <x v="35"/>
    <x v="23"/>
    <x v="0"/>
    <m/>
    <m/>
    <s v="YAO VINCENT "/>
    <m/>
    <m/>
    <x v="0"/>
    <m/>
    <m/>
    <n v="3"/>
    <n v="0"/>
    <n v="3"/>
  </r>
  <r>
    <n v="1076"/>
    <x v="1031"/>
    <x v="1"/>
    <x v="35"/>
    <x v="23"/>
    <x v="0"/>
    <m/>
    <m/>
    <s v="YAO VINCENT "/>
    <m/>
    <m/>
    <x v="0"/>
    <m/>
    <m/>
    <n v="1"/>
    <n v="1"/>
    <n v="2"/>
  </r>
  <r>
    <n v="1077"/>
    <x v="1032"/>
    <x v="1"/>
    <x v="35"/>
    <x v="23"/>
    <x v="0"/>
    <m/>
    <m/>
    <s v="YAO VINCENT "/>
    <m/>
    <m/>
    <x v="0"/>
    <m/>
    <m/>
    <n v="1"/>
    <n v="2"/>
    <n v="3"/>
  </r>
  <r>
    <n v="1078"/>
    <x v="1033"/>
    <x v="1"/>
    <x v="35"/>
    <x v="23"/>
    <x v="0"/>
    <m/>
    <m/>
    <s v="YAO VINCENT "/>
    <m/>
    <m/>
    <x v="0"/>
    <m/>
    <m/>
    <n v="1"/>
    <n v="1"/>
    <n v="2"/>
  </r>
  <r>
    <n v="1079"/>
    <x v="1034"/>
    <x v="1"/>
    <x v="35"/>
    <x v="23"/>
    <x v="0"/>
    <m/>
    <m/>
    <s v="YAO VINCENT "/>
    <m/>
    <m/>
    <x v="0"/>
    <m/>
    <m/>
    <n v="1"/>
    <n v="0"/>
    <n v="1"/>
  </r>
  <r>
    <n v="1080"/>
    <x v="1035"/>
    <x v="1"/>
    <x v="35"/>
    <x v="23"/>
    <x v="0"/>
    <m/>
    <m/>
    <s v="YAO VINCENT "/>
    <m/>
    <m/>
    <x v="0"/>
    <m/>
    <m/>
    <n v="3"/>
    <n v="2"/>
    <n v="5"/>
  </r>
  <r>
    <n v="1081"/>
    <x v="1036"/>
    <x v="1"/>
    <x v="35"/>
    <x v="23"/>
    <x v="0"/>
    <m/>
    <m/>
    <s v="YAO VINCENT "/>
    <m/>
    <m/>
    <x v="0"/>
    <m/>
    <m/>
    <n v="1"/>
    <n v="1"/>
    <n v="2"/>
  </r>
  <r>
    <n v="1082"/>
    <x v="1037"/>
    <x v="1"/>
    <x v="35"/>
    <x v="23"/>
    <x v="0"/>
    <m/>
    <m/>
    <s v="YAO VINCENT "/>
    <m/>
    <m/>
    <x v="0"/>
    <m/>
    <m/>
    <n v="0"/>
    <n v="2"/>
    <n v="2"/>
  </r>
  <r>
    <n v="1083"/>
    <x v="1038"/>
    <x v="1"/>
    <x v="35"/>
    <x v="23"/>
    <x v="0"/>
    <m/>
    <m/>
    <s v="YAO VINCENT "/>
    <m/>
    <m/>
    <x v="0"/>
    <m/>
    <m/>
    <n v="4"/>
    <n v="2"/>
    <n v="6"/>
  </r>
  <r>
    <n v="1084"/>
    <x v="1039"/>
    <x v="1"/>
    <x v="35"/>
    <x v="23"/>
    <x v="0"/>
    <m/>
    <m/>
    <s v="YAO VINCENT "/>
    <s v="0576775828"/>
    <m/>
    <x v="1"/>
    <m/>
    <m/>
    <n v="0"/>
    <n v="0"/>
    <n v="0"/>
  </r>
  <r>
    <n v="1085"/>
    <x v="1040"/>
    <x v="1"/>
    <x v="35"/>
    <x v="23"/>
    <x v="0"/>
    <m/>
    <m/>
    <s v="YAO VINCENT "/>
    <m/>
    <m/>
    <x v="0"/>
    <m/>
    <m/>
    <n v="2"/>
    <n v="2"/>
    <n v="4"/>
  </r>
  <r>
    <n v="1086"/>
    <x v="1041"/>
    <x v="1"/>
    <x v="35"/>
    <x v="23"/>
    <x v="0"/>
    <m/>
    <m/>
    <s v="YAO VINCENT "/>
    <m/>
    <m/>
    <x v="0"/>
    <m/>
    <m/>
    <n v="1"/>
    <n v="1"/>
    <n v="2"/>
  </r>
  <r>
    <n v="1087"/>
    <x v="1042"/>
    <x v="1"/>
    <x v="35"/>
    <x v="23"/>
    <x v="0"/>
    <m/>
    <m/>
    <s v="YAO VINCENT "/>
    <m/>
    <m/>
    <x v="0"/>
    <m/>
    <m/>
    <n v="2"/>
    <n v="2"/>
    <n v="4"/>
  </r>
  <r>
    <n v="1088"/>
    <x v="1043"/>
    <x v="1"/>
    <x v="35"/>
    <x v="23"/>
    <x v="0"/>
    <m/>
    <m/>
    <s v="YAO VINCENT "/>
    <m/>
    <m/>
    <x v="1"/>
    <m/>
    <m/>
    <n v="2"/>
    <n v="2"/>
    <n v="4"/>
  </r>
  <r>
    <n v="1089"/>
    <x v="1044"/>
    <x v="1"/>
    <x v="35"/>
    <x v="23"/>
    <x v="0"/>
    <m/>
    <m/>
    <s v="YAO VINCENT "/>
    <m/>
    <m/>
    <x v="1"/>
    <m/>
    <m/>
    <n v="1"/>
    <n v="0"/>
    <n v="1"/>
  </r>
  <r>
    <n v="1090"/>
    <x v="1045"/>
    <x v="1"/>
    <x v="35"/>
    <x v="23"/>
    <x v="0"/>
    <m/>
    <m/>
    <s v="YAO VINCENT "/>
    <m/>
    <m/>
    <x v="1"/>
    <m/>
    <m/>
    <n v="0"/>
    <n v="0"/>
    <n v="0"/>
  </r>
  <r>
    <n v="1091"/>
    <x v="1046"/>
    <x v="1"/>
    <x v="35"/>
    <x v="23"/>
    <x v="0"/>
    <m/>
    <m/>
    <s v="YAO VINCENT "/>
    <m/>
    <m/>
    <x v="0"/>
    <m/>
    <m/>
    <n v="1"/>
    <n v="0"/>
    <n v="1"/>
  </r>
  <r>
    <n v="1092"/>
    <x v="1047"/>
    <x v="1"/>
    <x v="35"/>
    <x v="23"/>
    <x v="0"/>
    <m/>
    <m/>
    <s v="YAO VINCENT "/>
    <m/>
    <m/>
    <x v="1"/>
    <m/>
    <m/>
    <n v="0"/>
    <n v="0"/>
    <n v="0"/>
  </r>
  <r>
    <n v="1093"/>
    <x v="1048"/>
    <x v="1"/>
    <x v="35"/>
    <x v="23"/>
    <x v="0"/>
    <m/>
    <m/>
    <s v="YAO VINCENT "/>
    <m/>
    <m/>
    <x v="0"/>
    <m/>
    <m/>
    <n v="2"/>
    <n v="0"/>
    <n v="2"/>
  </r>
  <r>
    <n v="1094"/>
    <x v="1049"/>
    <x v="1"/>
    <x v="35"/>
    <x v="23"/>
    <x v="0"/>
    <m/>
    <m/>
    <s v="YAO VINCENT "/>
    <m/>
    <m/>
    <x v="1"/>
    <m/>
    <m/>
    <n v="0"/>
    <n v="0"/>
    <n v="0"/>
  </r>
  <r>
    <n v="1095"/>
    <x v="1050"/>
    <x v="1"/>
    <x v="35"/>
    <x v="23"/>
    <x v="0"/>
    <m/>
    <m/>
    <s v="YAO VINCENT "/>
    <m/>
    <m/>
    <x v="0"/>
    <m/>
    <m/>
    <n v="1"/>
    <n v="3"/>
    <n v="4"/>
  </r>
  <r>
    <n v="1096"/>
    <x v="1051"/>
    <x v="1"/>
    <x v="35"/>
    <x v="23"/>
    <x v="0"/>
    <m/>
    <m/>
    <s v="YAO VINCENT "/>
    <m/>
    <m/>
    <x v="0"/>
    <m/>
    <m/>
    <n v="1"/>
    <n v="1"/>
    <n v="2"/>
  </r>
  <r>
    <n v="1097"/>
    <x v="1052"/>
    <x v="1"/>
    <x v="35"/>
    <x v="23"/>
    <x v="0"/>
    <m/>
    <m/>
    <s v="YAO VINCENT "/>
    <m/>
    <m/>
    <x v="0"/>
    <m/>
    <m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8">
  <r>
    <n v="1"/>
    <s v="BAMBA DJENEBOU"/>
    <x v="0"/>
    <n v="12"/>
    <n v="6.28"/>
    <s v="CPU"/>
    <s v="8è"/>
    <s v="Admis"/>
    <m/>
    <x v="0"/>
    <s v="Dabouyo 3"/>
    <n v="1"/>
    <n v="0"/>
    <m/>
    <m/>
    <x v="0"/>
  </r>
  <r>
    <n v="2"/>
    <s v="BAMBA KARIDJATOU"/>
    <x v="0"/>
    <n v="10"/>
    <n v="6.07"/>
    <s v="CPU"/>
    <s v="9è"/>
    <s v="Admis"/>
    <m/>
    <x v="0"/>
    <s v="Dabouyo 3"/>
    <n v="1"/>
    <n v="0"/>
    <m/>
    <m/>
    <x v="1"/>
  </r>
  <r>
    <n v="3"/>
    <s v="BAMOGO ZAKARIA"/>
    <x v="1"/>
    <n v="10"/>
    <n v="5"/>
    <s v="CPU"/>
    <s v="15è"/>
    <s v="Admis"/>
    <m/>
    <x v="0"/>
    <s v="Dabouyo 3"/>
    <n v="1"/>
    <n v="0"/>
    <m/>
    <m/>
    <x v="1"/>
  </r>
  <r>
    <n v="4"/>
    <s v="BERTE WASSA"/>
    <x v="0"/>
    <n v="10"/>
    <n v="6.42"/>
    <s v="CPU"/>
    <s v="6è"/>
    <s v="Admis"/>
    <m/>
    <x v="0"/>
    <s v="Dabouyo 3"/>
    <n v="1"/>
    <n v="0"/>
    <m/>
    <m/>
    <x v="1"/>
  </r>
  <r>
    <n v="5"/>
    <s v="COULIBALY MAIMOUNA"/>
    <x v="0"/>
    <n v="10"/>
    <n v="5.5"/>
    <s v="CPU"/>
    <s v="11è"/>
    <s v="Admis"/>
    <m/>
    <x v="0"/>
    <s v="Dabouyo 3"/>
    <n v="1"/>
    <n v="0"/>
    <m/>
    <m/>
    <x v="1"/>
  </r>
  <r>
    <n v="6"/>
    <s v="ETONDY INGRIDE"/>
    <x v="1"/>
    <n v="11"/>
    <n v="8.2799999999999994"/>
    <s v="CPU"/>
    <s v="2è "/>
    <s v="Admis"/>
    <m/>
    <x v="0"/>
    <s v="Dabouyo 3"/>
    <n v="1"/>
    <n v="0"/>
    <m/>
    <m/>
    <x v="1"/>
  </r>
  <r>
    <n v="7"/>
    <s v="KOFFI ADJOUA ANGE MARIE"/>
    <x v="0"/>
    <n v="11"/>
    <n v="7.14"/>
    <s v="CPU"/>
    <s v="3è"/>
    <s v="Admis"/>
    <m/>
    <x v="0"/>
    <s v="Dabouyo 3"/>
    <n v="1"/>
    <n v="0"/>
    <m/>
    <m/>
    <x v="1"/>
  </r>
  <r>
    <n v="8"/>
    <s v="SAWADOGO ASSETOU"/>
    <x v="0"/>
    <n v="12"/>
    <n v="7.14"/>
    <s v="CPU"/>
    <s v="3è"/>
    <s v="Admis"/>
    <m/>
    <x v="0"/>
    <s v="Dabouyo 3"/>
    <n v="1"/>
    <n v="0"/>
    <m/>
    <m/>
    <x v="0"/>
  </r>
  <r>
    <n v="9"/>
    <s v="SANOGO ISSA"/>
    <x v="1"/>
    <n v="9"/>
    <n v="5.42"/>
    <s v="CPU"/>
    <s v="12è"/>
    <s v="Admis"/>
    <m/>
    <x v="0"/>
    <s v="Dabouyo 3"/>
    <n v="1"/>
    <n v="0"/>
    <m/>
    <m/>
    <x v="1"/>
  </r>
  <r>
    <n v="10"/>
    <s v="KONE FATOUMATA"/>
    <x v="0"/>
    <n v="10"/>
    <n v="5.21"/>
    <s v="CPU"/>
    <s v="13è"/>
    <s v="Admis"/>
    <m/>
    <x v="0"/>
    <s v="Dabouyo 3"/>
    <n v="1"/>
    <n v="0"/>
    <m/>
    <m/>
    <x v="1"/>
  </r>
  <r>
    <n v="11"/>
    <s v="KOUADIO AHOU HORIANE"/>
    <x v="0"/>
    <n v="12"/>
    <n v="6.57"/>
    <s v="CPU"/>
    <s v="5è"/>
    <s v="Admis"/>
    <m/>
    <x v="0"/>
    <s v="Dabouyo 3"/>
    <n v="1"/>
    <n v="0"/>
    <m/>
    <m/>
    <x v="0"/>
  </r>
  <r>
    <n v="12"/>
    <s v="OUEDRAOGO NAFISSATOU"/>
    <x v="0"/>
    <n v="11"/>
    <n v="5.21"/>
    <s v="CPU"/>
    <s v="13è"/>
    <s v="Admis"/>
    <m/>
    <x v="0"/>
    <s v="Dabouyo 3"/>
    <n v="1"/>
    <n v="0"/>
    <m/>
    <m/>
    <x v="1"/>
  </r>
  <r>
    <n v="13"/>
    <s v="KOUASSI KOUAKOU YOHAN"/>
    <x v="1"/>
    <n v="10"/>
    <n v="6.42"/>
    <s v="CPU"/>
    <s v="6è"/>
    <s v="Admis"/>
    <m/>
    <x v="0"/>
    <s v="Dabouyo 3"/>
    <n v="1"/>
    <n v="0"/>
    <m/>
    <m/>
    <x v="1"/>
  </r>
  <r>
    <n v="14"/>
    <s v="KOUAME YAO PRINCE MOYE"/>
    <x v="1"/>
    <n v="10"/>
    <n v="5.71"/>
    <s v="CPU"/>
    <s v="10è"/>
    <s v="Admis"/>
    <m/>
    <x v="0"/>
    <s v="Dabouyo 3"/>
    <n v="1"/>
    <n v="0"/>
    <m/>
    <m/>
    <x v="1"/>
  </r>
  <r>
    <n v="15"/>
    <s v="KOUASSI KOUADIO JEAN MARC"/>
    <x v="1"/>
    <n v="13"/>
    <n v="9"/>
    <s v="CPU"/>
    <s v="1er"/>
    <s v="Admis"/>
    <m/>
    <x v="0"/>
    <s v="Dabouyo 3"/>
    <n v="1"/>
    <n v="0"/>
    <m/>
    <m/>
    <x v="0"/>
  </r>
  <r>
    <n v="16"/>
    <s v="KOUASSI KOUADIO NICAISE"/>
    <x v="1"/>
    <n v="11"/>
    <n v="4"/>
    <s v="CPU"/>
    <s v="18è"/>
    <s v="Redouble"/>
    <m/>
    <x v="0"/>
    <s v="Dabouyo 3"/>
    <n v="0"/>
    <n v="0"/>
    <m/>
    <m/>
    <x v="2"/>
  </r>
  <r>
    <n v="17"/>
    <s v="N'GUESSAN AMENAN SARAHIDE"/>
    <x v="0"/>
    <n v="9"/>
    <n v="1.28"/>
    <s v="CPU"/>
    <s v="24è"/>
    <s v="Redouble"/>
    <m/>
    <x v="0"/>
    <s v="Dabouyo 3"/>
    <n v="0"/>
    <n v="0"/>
    <m/>
    <m/>
    <x v="2"/>
  </r>
  <r>
    <n v="18"/>
    <s v="OUATTARA ZOULOUKALAMANI"/>
    <x v="1"/>
    <n v="9"/>
    <n v="4.78"/>
    <s v="CPU"/>
    <s v="16è"/>
    <s v="Redouble"/>
    <m/>
    <x v="0"/>
    <s v="Dabouyo 3"/>
    <n v="0"/>
    <n v="0"/>
    <m/>
    <m/>
    <x v="2"/>
  </r>
  <r>
    <n v="19"/>
    <s v="KOUAME KOUASSI ISAAC"/>
    <x v="1"/>
    <n v="9"/>
    <n v="2.0699999999999998"/>
    <s v="CPU"/>
    <s v="21è"/>
    <s v="Redouble"/>
    <m/>
    <x v="0"/>
    <s v="Dabouyo 3"/>
    <n v="0"/>
    <n v="0"/>
    <m/>
    <m/>
    <x v="2"/>
  </r>
  <r>
    <n v="20"/>
    <s v="KOUAKOU AMOIN MARINA"/>
    <x v="0"/>
    <n v="9"/>
    <n v="2.14"/>
    <s v="CPU"/>
    <s v="20è"/>
    <s v="Redouble"/>
    <m/>
    <x v="0"/>
    <s v="Dabouyo 3"/>
    <n v="0"/>
    <n v="0"/>
    <m/>
    <m/>
    <x v="2"/>
  </r>
  <r>
    <n v="21"/>
    <s v="KOUADIO AMENAN BENEDICTE"/>
    <x v="0"/>
    <n v="9"/>
    <n v="1.85"/>
    <s v="CPU"/>
    <s v="23è"/>
    <s v="Redouble"/>
    <m/>
    <x v="0"/>
    <s v="Dabouyo 3"/>
    <n v="0"/>
    <n v="0"/>
    <m/>
    <m/>
    <x v="2"/>
  </r>
  <r>
    <n v="22"/>
    <s v="KOFFI AMOIN MARIE"/>
    <x v="0"/>
    <n v="10"/>
    <n v="2"/>
    <s v="CPU"/>
    <s v="22è"/>
    <s v="Redouble"/>
    <m/>
    <x v="0"/>
    <s v="Dabouyo 3"/>
    <n v="0"/>
    <n v="0"/>
    <m/>
    <m/>
    <x v="2"/>
  </r>
  <r>
    <n v="23"/>
    <s v="KOFFI KOUASSI MANASSE"/>
    <x v="1"/>
    <n v="10"/>
    <n v="4.71"/>
    <s v="CPU"/>
    <s v="17è"/>
    <s v="Redouble"/>
    <m/>
    <x v="0"/>
    <s v="Dabouyo 3"/>
    <n v="0"/>
    <n v="0"/>
    <m/>
    <m/>
    <x v="2"/>
  </r>
  <r>
    <n v="24"/>
    <s v="YAO KOUAKOU ETIENNE"/>
    <x v="1"/>
    <n v="10"/>
    <n v="3.14"/>
    <s v="CPU"/>
    <s v="19è"/>
    <s v="Redouble"/>
    <m/>
    <x v="0"/>
    <s v="Dabouyo 3"/>
    <n v="0"/>
    <n v="0"/>
    <m/>
    <m/>
    <x v="2"/>
  </r>
  <r>
    <n v="25"/>
    <s v="KOFFI YAO NICKANOR"/>
    <x v="0"/>
    <n v="9"/>
    <n v="1.1399999999999999"/>
    <s v="CPU"/>
    <s v="25è"/>
    <s v="Redouble"/>
    <m/>
    <x v="0"/>
    <s v="Dabouyo 3"/>
    <n v="0"/>
    <n v="0"/>
    <m/>
    <m/>
    <x v="2"/>
  </r>
  <r>
    <n v="26"/>
    <s v="KOUADIO AHOU SEPHORA"/>
    <x v="0"/>
    <n v="9"/>
    <n v="0.71"/>
    <s v="CPU"/>
    <s v="26è"/>
    <s v="Redouble"/>
    <m/>
    <x v="0"/>
    <s v="Dabouyo 3"/>
    <n v="0"/>
    <n v="0"/>
    <m/>
    <m/>
    <x v="2"/>
  </r>
  <r>
    <n v="27"/>
    <s v="BARRE FATOUMATA"/>
    <x v="0"/>
    <n v="10"/>
    <n v="6.57"/>
    <s v="CPU"/>
    <s v="9è"/>
    <s v="Admis"/>
    <m/>
    <x v="0"/>
    <s v="Dabouyo 3"/>
    <n v="1"/>
    <n v="0"/>
    <m/>
    <m/>
    <x v="1"/>
  </r>
  <r>
    <n v="28"/>
    <s v="BAYA ACHA"/>
    <x v="0"/>
    <n v="12"/>
    <n v="8.14"/>
    <s v="CPU"/>
    <s v="2è"/>
    <s v="Admis"/>
    <m/>
    <x v="0"/>
    <s v="Dabouyo 3"/>
    <n v="1"/>
    <n v="0"/>
    <m/>
    <m/>
    <x v="0"/>
  </r>
  <r>
    <n v="29"/>
    <s v="BAYA KADIDJATOU"/>
    <x v="0"/>
    <n v="9"/>
    <n v="6.85"/>
    <s v="CPU"/>
    <s v="6è"/>
    <s v="Admis"/>
    <m/>
    <x v="0"/>
    <s v="Dabouyo 3"/>
    <n v="1"/>
    <n v="0"/>
    <m/>
    <m/>
    <x v="1"/>
  </r>
  <r>
    <n v="30"/>
    <s v="BERTE ABI"/>
    <x v="0"/>
    <n v="10"/>
    <n v="6.14"/>
    <s v="CPU"/>
    <s v="10è"/>
    <s v="Admis"/>
    <m/>
    <x v="0"/>
    <s v="Dabouyo 3"/>
    <n v="1"/>
    <n v="0"/>
    <m/>
    <m/>
    <x v="1"/>
  </r>
  <r>
    <n v="31"/>
    <s v="DIARRA SOUNGALO"/>
    <x v="1"/>
    <n v="9"/>
    <n v="5.78"/>
    <s v="CPU"/>
    <s v="13è"/>
    <s v="Admis"/>
    <m/>
    <x v="0"/>
    <s v="Dabouyo 3"/>
    <n v="1"/>
    <n v="0"/>
    <m/>
    <m/>
    <x v="1"/>
  </r>
  <r>
    <n v="32"/>
    <s v="EKRA OUATTARA CHAKA"/>
    <x v="1"/>
    <n v="12"/>
    <n v="7.71"/>
    <s v="CPU"/>
    <s v="3è"/>
    <s v="Admis"/>
    <m/>
    <x v="0"/>
    <s v="Dabouyo 3"/>
    <n v="1"/>
    <n v="0"/>
    <m/>
    <m/>
    <x v="0"/>
  </r>
  <r>
    <n v="33"/>
    <s v="KONDO AYA CELINE"/>
    <x v="0"/>
    <n v="12"/>
    <n v="7.42"/>
    <s v="CPU"/>
    <s v="5è"/>
    <s v="Admis"/>
    <m/>
    <x v="0"/>
    <s v="Dabouyo 3"/>
    <n v="1"/>
    <n v="0"/>
    <m/>
    <m/>
    <x v="0"/>
  </r>
  <r>
    <n v="34"/>
    <s v="KONE DAOUDA"/>
    <x v="1"/>
    <n v="11"/>
    <n v="6.78"/>
    <s v="CPU"/>
    <s v="8è"/>
    <s v="Admis"/>
    <m/>
    <x v="0"/>
    <s v="Dabouyo 3"/>
    <n v="1"/>
    <n v="0"/>
    <m/>
    <m/>
    <x v="1"/>
  </r>
  <r>
    <n v="35"/>
    <s v="KOUAKOU ADJOUA RACHELLE"/>
    <x v="0"/>
    <n v="10"/>
    <n v="5.57"/>
    <s v="CPU"/>
    <s v="14è"/>
    <s v="Admis"/>
    <m/>
    <x v="0"/>
    <s v="Dabouyo 3"/>
    <n v="1"/>
    <n v="0"/>
    <m/>
    <m/>
    <x v="1"/>
  </r>
  <r>
    <n v="36"/>
    <s v="KOUASSI AKISSI FELICITE"/>
    <x v="0"/>
    <n v="10"/>
    <n v="7.71"/>
    <s v="CPU"/>
    <s v="3è"/>
    <s v="Admis"/>
    <m/>
    <x v="0"/>
    <s v="Dabouyo 3"/>
    <n v="1"/>
    <n v="0"/>
    <m/>
    <m/>
    <x v="1"/>
  </r>
  <r>
    <n v="37"/>
    <s v="KOUAKOU AHOU ESTELLE"/>
    <x v="0"/>
    <n v="10"/>
    <n v="5"/>
    <s v="CPU"/>
    <s v="15è"/>
    <s v="Admis"/>
    <m/>
    <x v="0"/>
    <s v="Dabouyo 3"/>
    <n v="1"/>
    <n v="0"/>
    <m/>
    <m/>
    <x v="1"/>
  </r>
  <r>
    <n v="38"/>
    <s v="KOUAME CHARLOTTE"/>
    <x v="0"/>
    <n v="9"/>
    <n v="6"/>
    <s v="CPU"/>
    <s v="11è"/>
    <s v="Admis"/>
    <m/>
    <x v="0"/>
    <s v="Dabouyo 3"/>
    <n v="1"/>
    <n v="0"/>
    <m/>
    <m/>
    <x v="1"/>
  </r>
  <r>
    <n v="39"/>
    <s v="OUATTARA BAMORY"/>
    <x v="1"/>
    <n v="11"/>
    <n v="8.2799999999999994"/>
    <s v="CPU"/>
    <s v="1er"/>
    <s v="Admis"/>
    <m/>
    <x v="0"/>
    <s v="Dabouyo 3"/>
    <n v="1"/>
    <n v="0"/>
    <m/>
    <m/>
    <x v="1"/>
  </r>
  <r>
    <n v="40"/>
    <s v="SADIKA SOULEYMANE"/>
    <x v="1"/>
    <n v="10"/>
    <n v="6"/>
    <s v="CPU"/>
    <s v="11è"/>
    <s v="Admis"/>
    <m/>
    <x v="0"/>
    <s v="Dabouyo 3"/>
    <n v="1"/>
    <n v="0"/>
    <m/>
    <m/>
    <x v="1"/>
  </r>
  <r>
    <n v="41"/>
    <s v="SAGNON YAYA"/>
    <x v="1"/>
    <n v="12"/>
    <n v="6.85"/>
    <s v="CPU"/>
    <s v="6è"/>
    <s v="Admis"/>
    <m/>
    <x v="0"/>
    <s v="Dabouyo 3"/>
    <n v="1"/>
    <n v="0"/>
    <m/>
    <m/>
    <x v="0"/>
  </r>
  <r>
    <n v="42"/>
    <s v="YAO KONAN FANIEL"/>
    <x v="1"/>
    <n v="10"/>
    <n v="4.71"/>
    <s v="CPU"/>
    <s v="17è"/>
    <s v="Redouble"/>
    <m/>
    <x v="0"/>
    <s v="Dabouyo 3"/>
    <n v="0"/>
    <n v="0"/>
    <m/>
    <m/>
    <x v="2"/>
  </r>
  <r>
    <n v="43"/>
    <s v="BALLO ABDOULAYE"/>
    <x v="1"/>
    <n v="9"/>
    <n v="2.2799999999999998"/>
    <s v="CPU"/>
    <s v="23è"/>
    <s v="Redouble"/>
    <m/>
    <x v="0"/>
    <s v="Dabouyo 3"/>
    <n v="0"/>
    <n v="0"/>
    <m/>
    <m/>
    <x v="2"/>
  </r>
  <r>
    <n v="44"/>
    <s v="KONAN AFFOUE CHARLOTTE"/>
    <x v="0"/>
    <n v="10"/>
    <n v="4.8499999999999996"/>
    <s v="CPU"/>
    <s v="16è"/>
    <s v="Redouble"/>
    <m/>
    <x v="0"/>
    <s v="Dabouyo 3"/>
    <n v="0"/>
    <n v="0"/>
    <m/>
    <m/>
    <x v="2"/>
  </r>
  <r>
    <n v="45"/>
    <s v="KOUASSI ADJOUA GRACE DIVINE"/>
    <x v="0"/>
    <n v="9"/>
    <n v="4.42"/>
    <s v="CPU"/>
    <s v="19è"/>
    <s v="Redouble"/>
    <m/>
    <x v="0"/>
    <s v="Dabouyo 3"/>
    <n v="0"/>
    <n v="0"/>
    <m/>
    <m/>
    <x v="2"/>
  </r>
  <r>
    <n v="46"/>
    <s v="KOUASSI KOUAME GEDEON"/>
    <x v="1"/>
    <n v="9"/>
    <n v="4.71"/>
    <s v="CPU"/>
    <s v="17è"/>
    <s v="Redouble"/>
    <m/>
    <x v="0"/>
    <s v="Dabouyo 3"/>
    <n v="0"/>
    <n v="0"/>
    <m/>
    <m/>
    <x v="2"/>
  </r>
  <r>
    <n v="47"/>
    <s v="TRAORE MARIAM"/>
    <x v="0"/>
    <n v="9"/>
    <n v="4.28"/>
    <s v="CPU"/>
    <s v="20è"/>
    <s v="Redouble"/>
    <m/>
    <x v="0"/>
    <s v="Dabouyo 3"/>
    <n v="0"/>
    <n v="0"/>
    <m/>
    <m/>
    <x v="2"/>
  </r>
  <r>
    <n v="48"/>
    <s v="OUATTARA ABOUBACAR"/>
    <x v="1"/>
    <n v="10"/>
    <n v="3.07"/>
    <s v="CPU"/>
    <s v="21è"/>
    <s v="Redouble"/>
    <m/>
    <x v="0"/>
    <s v="Dabouyo 3"/>
    <n v="0"/>
    <n v="0"/>
    <m/>
    <m/>
    <x v="2"/>
  </r>
  <r>
    <n v="49"/>
    <s v="N'GUESSAN ADJOUA GENEVIEVE"/>
    <x v="0"/>
    <n v="10"/>
    <n v="2.92"/>
    <s v="CPU"/>
    <s v="22è"/>
    <s v="Redouble"/>
    <m/>
    <x v="0"/>
    <s v="Dabouyo 3"/>
    <n v="0"/>
    <n v="0"/>
    <m/>
    <m/>
    <x v="2"/>
  </r>
  <r>
    <n v="50"/>
    <s v="KOUADIO KOUADIO EZEKIEL"/>
    <x v="1"/>
    <n v="9"/>
    <n v="7.83"/>
    <s v="CPU"/>
    <s v="7è"/>
    <s v="Admis"/>
    <m/>
    <x v="0"/>
    <s v="YOBOUET-KOUASSIKRO"/>
    <n v="1"/>
    <n v="0"/>
    <m/>
    <m/>
    <x v="1"/>
  </r>
  <r>
    <n v="51"/>
    <s v="KONAN KOUAKOU DANIEL"/>
    <x v="1"/>
    <n v="10"/>
    <n v="5.83"/>
    <s v="CPU"/>
    <s v="12è"/>
    <s v="Admis"/>
    <m/>
    <x v="0"/>
    <s v="YOBOUET-KOUASSIKRO"/>
    <n v="1"/>
    <n v="0"/>
    <m/>
    <m/>
    <x v="1"/>
  </r>
  <r>
    <n v="52"/>
    <s v="KONAN KOUAKOU MANASSE"/>
    <x v="1"/>
    <n v="13"/>
    <n v="9.5"/>
    <s v="CPU"/>
    <s v="1er"/>
    <s v="Admis"/>
    <m/>
    <x v="0"/>
    <s v="YOBOUET-KOUASSIKRO"/>
    <n v="1"/>
    <n v="0"/>
    <m/>
    <m/>
    <x v="0"/>
  </r>
  <r>
    <n v="53"/>
    <s v="KOTOU SIGOLE MADOCHE"/>
    <x v="1"/>
    <n v="11"/>
    <n v="8.16"/>
    <s v="CPU"/>
    <s v="6è"/>
    <s v="Admis"/>
    <m/>
    <x v="0"/>
    <s v="YOBOUET-KOUASSIKRO"/>
    <n v="1"/>
    <n v="0"/>
    <m/>
    <m/>
    <x v="1"/>
  </r>
  <r>
    <n v="54"/>
    <s v="KOUADIO AMENAN ANGE V"/>
    <x v="0"/>
    <n v="10"/>
    <n v="6.66"/>
    <s v="CPU"/>
    <s v="9è"/>
    <s v="Admis"/>
    <m/>
    <x v="0"/>
    <s v="YOBOUET-KOUASSIKRO"/>
    <n v="1"/>
    <n v="0"/>
    <m/>
    <m/>
    <x v="1"/>
  </r>
  <r>
    <n v="55"/>
    <s v="KOUADIO KOFFI STEPHANE"/>
    <x v="1"/>
    <n v="11"/>
    <n v="5.33"/>
    <s v="CPU"/>
    <s v="13è"/>
    <s v="Admis"/>
    <m/>
    <x v="0"/>
    <s v="YOBOUET-KOUASSIKRO"/>
    <n v="1"/>
    <n v="0"/>
    <m/>
    <m/>
    <x v="1"/>
  </r>
  <r>
    <n v="56"/>
    <s v="KOUAME AMENAN GRACE"/>
    <x v="0"/>
    <n v="9"/>
    <n v="8.33"/>
    <s v="CPU"/>
    <s v="5è"/>
    <s v="Admis"/>
    <m/>
    <x v="0"/>
    <s v="YOBOUET-KOUASSIKRO"/>
    <n v="1"/>
    <n v="0"/>
    <m/>
    <m/>
    <x v="1"/>
  </r>
  <r>
    <n v="57"/>
    <s v="KOUASSI AYA ANGE MARIE"/>
    <x v="0"/>
    <n v="12"/>
    <n v="7.66"/>
    <s v="CPU"/>
    <s v="8è"/>
    <s v="Admis"/>
    <m/>
    <x v="0"/>
    <s v="YOBOUET-KOUASSIKRO"/>
    <n v="1"/>
    <n v="0"/>
    <m/>
    <m/>
    <x v="0"/>
  </r>
  <r>
    <n v="58"/>
    <s v="KOUASSI KOFFI FOFANA"/>
    <x v="1"/>
    <n v="10"/>
    <n v="6.66"/>
    <s v="CPU"/>
    <s v="10è"/>
    <s v="Admis"/>
    <m/>
    <x v="0"/>
    <s v="YOBOUET-KOUASSIKRO"/>
    <n v="1"/>
    <n v="0"/>
    <m/>
    <m/>
    <x v="1"/>
  </r>
  <r>
    <n v="59"/>
    <s v="KOUASSI KONAN MADOCHE"/>
    <x v="1"/>
    <n v="13"/>
    <n v="6.66"/>
    <s v="CPU"/>
    <s v="10è"/>
    <s v="Admis"/>
    <m/>
    <x v="0"/>
    <s v="YOBOUET-KOUASSIKRO"/>
    <n v="1"/>
    <n v="0"/>
    <m/>
    <m/>
    <x v="0"/>
  </r>
  <r>
    <n v="60"/>
    <s v="KOUASSI KOUADIO ARON"/>
    <x v="1"/>
    <n v="13"/>
    <n v="9.16"/>
    <s v="CPU"/>
    <s v="3è"/>
    <s v="Admis"/>
    <m/>
    <x v="0"/>
    <s v="YOBOUET-KOUASSIKRO"/>
    <n v="1"/>
    <n v="0"/>
    <m/>
    <m/>
    <x v="0"/>
  </r>
  <r>
    <n v="61"/>
    <s v="KOUASSI KOUAME NOE"/>
    <x v="1"/>
    <n v="10"/>
    <n v="8.66"/>
    <s v="CPU"/>
    <s v="3è"/>
    <s v="Admis"/>
    <m/>
    <x v="0"/>
    <s v="YOBOUET-KOUASSIKRO"/>
    <n v="1"/>
    <n v="0"/>
    <m/>
    <m/>
    <x v="1"/>
  </r>
  <r>
    <n v="62"/>
    <s v="YAO AFFOUE IRENE"/>
    <x v="0"/>
    <n v="11"/>
    <n v="9.33"/>
    <s v="CPU"/>
    <s v="2è"/>
    <s v="Admis"/>
    <m/>
    <x v="0"/>
    <s v="YOBOUET-KOUASSIKRO"/>
    <n v="1"/>
    <n v="0"/>
    <m/>
    <m/>
    <x v="1"/>
  </r>
  <r>
    <n v="63"/>
    <s v="YAO KOUASSI GUILLAUME"/>
    <x v="1"/>
    <n v="14"/>
    <n v="7.83"/>
    <s v="CPU"/>
    <s v="7è"/>
    <s v="Admis"/>
    <m/>
    <x v="0"/>
    <s v="YOBOUET-KOUASSIKRO"/>
    <n v="1"/>
    <n v="0"/>
    <m/>
    <m/>
    <x v="0"/>
  </r>
  <r>
    <n v="64"/>
    <s v="KOFFI AMENAN SARA DORIS"/>
    <x v="0"/>
    <n v="11"/>
    <n v="3.83"/>
    <s v="CPU"/>
    <s v="15è"/>
    <s v="Redouble"/>
    <m/>
    <x v="0"/>
    <s v="YOBOUET-KOUASSIKRO"/>
    <n v="0"/>
    <n v="0"/>
    <m/>
    <m/>
    <x v="2"/>
  </r>
  <r>
    <n v="65"/>
    <s v="KOUAME KOUADIO DIEU-FERA"/>
    <x v="1"/>
    <n v="12"/>
    <s v="Absent"/>
    <s v="CPU"/>
    <s v="Absent"/>
    <s v="Absent"/>
    <m/>
    <x v="0"/>
    <s v="YOBOUET-KOUASSIKRO"/>
    <n v="0"/>
    <n v="0"/>
    <m/>
    <m/>
    <x v="3"/>
  </r>
  <r>
    <n v="66"/>
    <s v="BAMBA MARIAM"/>
    <x v="1"/>
    <n v="10"/>
    <n v="7.33"/>
    <s v="CPU"/>
    <s v="7è"/>
    <s v="Admis"/>
    <m/>
    <x v="0"/>
    <s v="ALIKRO"/>
    <n v="1"/>
    <n v="0"/>
    <m/>
    <m/>
    <x v="1"/>
  </r>
  <r>
    <n v="67"/>
    <s v="BAYILI DENIS(1)"/>
    <x v="1"/>
    <n v="13"/>
    <n v="5.16"/>
    <s v="CPU"/>
    <n v="15"/>
    <s v="Admis"/>
    <m/>
    <x v="0"/>
    <s v="ALIKRO"/>
    <n v="1"/>
    <n v="0"/>
    <m/>
    <m/>
    <x v="0"/>
  </r>
  <r>
    <n v="68"/>
    <s v="BAYILI DENIS(2)"/>
    <x v="1"/>
    <n v="9"/>
    <n v="6.83"/>
    <s v="CPU"/>
    <s v="9è"/>
    <s v="Admis"/>
    <m/>
    <x v="0"/>
    <s v="ALIKRO"/>
    <n v="1"/>
    <n v="0"/>
    <m/>
    <m/>
    <x v="1"/>
  </r>
  <r>
    <n v="69"/>
    <s v="BAYILI SYLVAIN"/>
    <x v="1"/>
    <n v="10"/>
    <n v="6.58"/>
    <s v="CPU"/>
    <s v="10è"/>
    <s v="Admis"/>
    <m/>
    <x v="0"/>
    <s v="ALIKRO"/>
    <n v="1"/>
    <n v="0"/>
    <m/>
    <m/>
    <x v="1"/>
  </r>
  <r>
    <n v="70"/>
    <s v="BAYILI JULES"/>
    <x v="1"/>
    <n v="12"/>
    <n v="7.33"/>
    <s v="CPU"/>
    <s v="7è"/>
    <s v="Admis"/>
    <m/>
    <x v="0"/>
    <s v="ALIKRO"/>
    <n v="1"/>
    <n v="0"/>
    <m/>
    <m/>
    <x v="0"/>
  </r>
  <r>
    <n v="71"/>
    <s v="BAYILI PAULINE"/>
    <x v="0"/>
    <n v="9"/>
    <n v="7.83"/>
    <s v="CPU"/>
    <s v="6è"/>
    <s v="Admis"/>
    <m/>
    <x v="0"/>
    <s v="ALIKRO"/>
    <n v="1"/>
    <n v="0"/>
    <m/>
    <m/>
    <x v="1"/>
  </r>
  <r>
    <n v="72"/>
    <s v="BELMA ATHANASE"/>
    <x v="1"/>
    <n v="11"/>
    <n v="6.5"/>
    <s v="CPU"/>
    <s v="11è"/>
    <s v="Admis"/>
    <m/>
    <x v="0"/>
    <s v="ALIKRO"/>
    <n v="1"/>
    <n v="0"/>
    <m/>
    <m/>
    <x v="1"/>
  </r>
  <r>
    <n v="73"/>
    <s v="DJINI YACOUBA"/>
    <x v="1"/>
    <n v="13"/>
    <n v="9"/>
    <s v="CPU"/>
    <s v="1er"/>
    <s v="Admis"/>
    <m/>
    <x v="0"/>
    <s v="ALIKRO"/>
    <n v="1"/>
    <n v="0"/>
    <m/>
    <m/>
    <x v="0"/>
  </r>
  <r>
    <n v="74"/>
    <s v="KOFFI AMENAN ROLANDE"/>
    <x v="0"/>
    <n v="9"/>
    <n v="5.33"/>
    <s v="CPU"/>
    <s v="14è"/>
    <s v="Admis"/>
    <m/>
    <x v="0"/>
    <s v="ALIKRO"/>
    <n v="1"/>
    <n v="0"/>
    <m/>
    <m/>
    <x v="1"/>
  </r>
  <r>
    <n v="75"/>
    <s v="KONE AWA"/>
    <x v="0"/>
    <n v="10"/>
    <n v="5.66"/>
    <s v="CPU"/>
    <s v="13è"/>
    <s v="Admis"/>
    <m/>
    <x v="0"/>
    <s v="ALIKRO"/>
    <n v="1"/>
    <n v="0"/>
    <m/>
    <m/>
    <x v="1"/>
  </r>
  <r>
    <n v="76"/>
    <s v="OUATTARA BRAHIMA"/>
    <x v="1"/>
    <n v="13"/>
    <n v="8.33"/>
    <s v="CPU"/>
    <s v="4è"/>
    <s v="Admis"/>
    <m/>
    <x v="0"/>
    <s v="ALIKRO"/>
    <n v="1"/>
    <n v="0"/>
    <m/>
    <m/>
    <x v="0"/>
  </r>
  <r>
    <n v="77"/>
    <s v="OUEDRAOGO DAOUDA"/>
    <x v="1"/>
    <n v="13"/>
    <n v="8.66"/>
    <s v="CPU"/>
    <s v="2è"/>
    <s v="Admis"/>
    <m/>
    <x v="0"/>
    <s v="ALIKRO"/>
    <n v="1"/>
    <n v="0"/>
    <m/>
    <m/>
    <x v="0"/>
  </r>
  <r>
    <n v="78"/>
    <s v="OUEDRAOGO AMINATA"/>
    <x v="0"/>
    <n v="9"/>
    <n v="6"/>
    <s v="CPU"/>
    <s v="12è"/>
    <s v="Admis"/>
    <m/>
    <x v="0"/>
    <s v="ALIKRO"/>
    <n v="1"/>
    <n v="0"/>
    <m/>
    <m/>
    <x v="1"/>
  </r>
  <r>
    <n v="79"/>
    <s v="TRAORE YACOUBA 1"/>
    <x v="1"/>
    <n v="14"/>
    <n v="8.08"/>
    <s v="CPU"/>
    <s v="5è"/>
    <s v="Admis"/>
    <m/>
    <x v="0"/>
    <s v="ALIKRO"/>
    <n v="1"/>
    <n v="0"/>
    <m/>
    <m/>
    <x v="0"/>
  </r>
  <r>
    <n v="80"/>
    <s v="TRAORE YACOUBA 2"/>
    <x v="1"/>
    <n v="13"/>
    <n v="8.5"/>
    <s v="CPU"/>
    <s v="3è"/>
    <s v="Admis"/>
    <m/>
    <x v="0"/>
    <s v="ALIKRO"/>
    <n v="1"/>
    <n v="0"/>
    <m/>
    <m/>
    <x v="0"/>
  </r>
  <r>
    <n v="81"/>
    <s v="OUATTARA FATOUMATA"/>
    <x v="0"/>
    <n v="9"/>
    <n v="3.83"/>
    <s v="CPU"/>
    <s v="17è"/>
    <s v="Redouble"/>
    <m/>
    <x v="0"/>
    <s v="ALIKRO"/>
    <n v="0"/>
    <n v="0"/>
    <m/>
    <m/>
    <x v="2"/>
  </r>
  <r>
    <n v="82"/>
    <s v="SAMAKE ADAMA"/>
    <x v="1"/>
    <n v="9"/>
    <n v="4.75"/>
    <s v="CPU"/>
    <s v="16è"/>
    <s v="Redouble"/>
    <m/>
    <x v="0"/>
    <s v="ALIKRO"/>
    <n v="0"/>
    <n v="0"/>
    <m/>
    <m/>
    <x v="2"/>
  </r>
  <r>
    <n v="83"/>
    <s v="KOUAME AKISSI HORGA"/>
    <x v="1"/>
    <n v="9"/>
    <n v="4.33"/>
    <s v="CPU"/>
    <m/>
    <s v="Redouble"/>
    <m/>
    <x v="0"/>
    <s v="ALIKRO"/>
    <n v="0"/>
    <n v="0"/>
    <m/>
    <m/>
    <x v="2"/>
  </r>
  <r>
    <n v="84"/>
    <s v="BASSINGA BERTRAND"/>
    <x v="1"/>
    <n v="9"/>
    <s v="Absent"/>
    <s v="CPU"/>
    <s v="Absent"/>
    <s v="Absent"/>
    <m/>
    <x v="0"/>
    <s v="ALIKRO"/>
    <n v="0"/>
    <n v="0"/>
    <m/>
    <m/>
    <x v="3"/>
  </r>
  <r>
    <n v="85"/>
    <s v="BAYILI YOLANDE"/>
    <x v="0"/>
    <n v="9"/>
    <s v="Absent"/>
    <s v="CPU"/>
    <s v="Absent"/>
    <s v="Absent"/>
    <m/>
    <x v="0"/>
    <s v="ALIKRO"/>
    <n v="0"/>
    <n v="0"/>
    <m/>
    <m/>
    <x v="3"/>
  </r>
  <r>
    <n v="86"/>
    <s v="BAMBA KASSARATIEN"/>
    <x v="1"/>
    <n v="10"/>
    <n v="6.66"/>
    <s v="CPU"/>
    <s v="11è"/>
    <s v="Admis"/>
    <m/>
    <x v="0"/>
    <s v="ALIKRO"/>
    <n v="1"/>
    <n v="0"/>
    <m/>
    <m/>
    <x v="1"/>
  </r>
  <r>
    <n v="87"/>
    <s v="BAYILI ALEXIS"/>
    <x v="1"/>
    <n v="11"/>
    <n v="7.66"/>
    <s v="CPU"/>
    <s v="8è"/>
    <s v="Admis"/>
    <m/>
    <x v="0"/>
    <s v="ALIKRO"/>
    <n v="1"/>
    <n v="0"/>
    <m/>
    <m/>
    <x v="1"/>
  </r>
  <r>
    <n v="88"/>
    <s v="BAYILI APOLINAIRE"/>
    <x v="1"/>
    <n v="10"/>
    <n v="7.91"/>
    <s v="CPU"/>
    <s v="5è"/>
    <s v="Admis"/>
    <m/>
    <x v="0"/>
    <s v="ALIKRO"/>
    <n v="1"/>
    <n v="0"/>
    <m/>
    <m/>
    <x v="1"/>
  </r>
  <r>
    <n v="89"/>
    <s v="BAYILI CLAUDINE"/>
    <x v="0"/>
    <n v="9"/>
    <n v="5.41"/>
    <s v="CPU"/>
    <s v="15è"/>
    <s v="Admis"/>
    <m/>
    <x v="0"/>
    <s v="ALIKRO"/>
    <n v="1"/>
    <n v="0"/>
    <m/>
    <m/>
    <x v="1"/>
  </r>
  <r>
    <n v="90"/>
    <s v="BAYILI COLETTE"/>
    <x v="0"/>
    <n v="9"/>
    <n v="7.41"/>
    <s v="CPU"/>
    <s v="10è"/>
    <s v="Admis"/>
    <m/>
    <x v="0"/>
    <s v="ALIKRO"/>
    <n v="1"/>
    <n v="0"/>
    <m/>
    <m/>
    <x v="1"/>
  </r>
  <r>
    <n v="91"/>
    <s v="BAYILI HERVE"/>
    <x v="1"/>
    <n v="9"/>
    <n v="5"/>
    <s v="CPU"/>
    <s v="16è"/>
    <s v="Admis"/>
    <m/>
    <x v="0"/>
    <s v="ALIKRO"/>
    <n v="1"/>
    <n v="0"/>
    <m/>
    <m/>
    <x v="1"/>
  </r>
  <r>
    <n v="92"/>
    <s v="BAYILI MARIAM"/>
    <x v="0"/>
    <n v="10"/>
    <n v="8.08"/>
    <s v="CPU"/>
    <s v="3è"/>
    <s v="Admis"/>
    <m/>
    <x v="0"/>
    <s v="ALIKRO"/>
    <n v="1"/>
    <n v="0"/>
    <m/>
    <m/>
    <x v="1"/>
  </r>
  <r>
    <n v="93"/>
    <s v="COULIBALY AICHA"/>
    <x v="0"/>
    <n v="9"/>
    <n v="6.5"/>
    <s v="CPU"/>
    <s v="13è"/>
    <s v="Admis"/>
    <m/>
    <x v="0"/>
    <s v="ALIKRO"/>
    <n v="1"/>
    <n v="0"/>
    <m/>
    <m/>
    <x v="1"/>
  </r>
  <r>
    <n v="94"/>
    <s v="DOUMBIA IBRAHIM"/>
    <x v="1"/>
    <n v="9"/>
    <n v="7.91"/>
    <s v="CPU"/>
    <s v="5è"/>
    <s v="Admis"/>
    <m/>
    <x v="0"/>
    <s v="ALIKRO"/>
    <n v="1"/>
    <n v="0"/>
    <m/>
    <m/>
    <x v="1"/>
  </r>
  <r>
    <n v="95"/>
    <s v="GO ALEXANDRE"/>
    <x v="1"/>
    <n v="9"/>
    <n v="7.5"/>
    <s v="CPU"/>
    <s v="9è"/>
    <s v="Admis"/>
    <m/>
    <x v="0"/>
    <s v="ALIKRO"/>
    <n v="1"/>
    <n v="0"/>
    <m/>
    <m/>
    <x v="1"/>
  </r>
  <r>
    <n v="96"/>
    <s v="GO ALEXIS"/>
    <x v="1"/>
    <n v="9"/>
    <n v="8"/>
    <s v="CPU"/>
    <s v="4è"/>
    <s v="Admis"/>
    <m/>
    <x v="0"/>
    <s v="ALIKRO"/>
    <n v="1"/>
    <n v="0"/>
    <m/>
    <m/>
    <x v="1"/>
  </r>
  <r>
    <n v="97"/>
    <s v="MEA RABIATOU"/>
    <x v="0"/>
    <n v="10"/>
    <n v="5.6"/>
    <s v="CPU"/>
    <s v="14è"/>
    <s v="Admis"/>
    <m/>
    <x v="0"/>
    <s v="ALIKRO"/>
    <n v="1"/>
    <n v="0"/>
    <m/>
    <m/>
    <x v="1"/>
  </r>
  <r>
    <n v="98"/>
    <s v="OUATTARA SIRIKI"/>
    <x v="1"/>
    <n v="9"/>
    <n v="8.41"/>
    <s v="CPU"/>
    <s v="1er"/>
    <s v="Admis"/>
    <m/>
    <x v="0"/>
    <s v="ALIKRO"/>
    <n v="1"/>
    <n v="0"/>
    <m/>
    <m/>
    <x v="1"/>
  </r>
  <r>
    <n v="99"/>
    <s v="SANGARE BOUREIMA"/>
    <x v="1"/>
    <n v="9"/>
    <n v="7.83"/>
    <s v="CPU"/>
    <s v="7è"/>
    <s v="Admis"/>
    <m/>
    <x v="0"/>
    <s v="ALIKRO"/>
    <n v="1"/>
    <n v="0"/>
    <m/>
    <m/>
    <x v="1"/>
  </r>
  <r>
    <n v="100"/>
    <s v="TRAORE IBRAHIM"/>
    <x v="1"/>
    <n v="11"/>
    <n v="8.33"/>
    <s v="CPU"/>
    <s v="2è"/>
    <s v="Admis"/>
    <m/>
    <x v="0"/>
    <s v="ALIKRO"/>
    <n v="1"/>
    <n v="0"/>
    <m/>
    <m/>
    <x v="1"/>
  </r>
  <r>
    <n v="101"/>
    <s v="TRAORE KAFININ"/>
    <x v="1"/>
    <n v="9"/>
    <n v="6.58"/>
    <s v="CPU"/>
    <s v="12è"/>
    <s v="Admis"/>
    <m/>
    <x v="0"/>
    <s v="ALIKRO"/>
    <n v="1"/>
    <n v="0"/>
    <m/>
    <m/>
    <x v="1"/>
  </r>
  <r>
    <n v="102"/>
    <s v="BAYILI OLIVIA"/>
    <x v="0"/>
    <n v="9"/>
    <n v="3.2"/>
    <s v="CPU"/>
    <s v="18è"/>
    <s v="Redouble"/>
    <m/>
    <x v="0"/>
    <s v="ALIKRO"/>
    <n v="0"/>
    <n v="0"/>
    <m/>
    <m/>
    <x v="2"/>
  </r>
  <r>
    <n v="103"/>
    <s v="COULIBALY NOUMOUSSO"/>
    <x v="0"/>
    <n v="9"/>
    <n v="3.41"/>
    <s v="CPU"/>
    <s v="17è"/>
    <s v="Redouble"/>
    <m/>
    <x v="0"/>
    <s v="ALIKRO"/>
    <n v="0"/>
    <n v="0"/>
    <m/>
    <m/>
    <x v="2"/>
  </r>
  <r>
    <n v="104"/>
    <s v="KOFFI KONAN NICRETTE"/>
    <x v="0"/>
    <n v="9"/>
    <n v="2"/>
    <s v="CPU"/>
    <s v="19è"/>
    <s v="Redouble"/>
    <m/>
    <x v="0"/>
    <s v="ALIKRO"/>
    <n v="0"/>
    <n v="0"/>
    <m/>
    <m/>
    <x v="2"/>
  </r>
  <r>
    <n v="105"/>
    <s v="KONE AWA"/>
    <x v="0"/>
    <n v="9"/>
    <n v="2.83"/>
    <s v="CPU"/>
    <s v="20è"/>
    <s v="Redouble"/>
    <m/>
    <x v="0"/>
    <s v="ALIKRO"/>
    <n v="0"/>
    <n v="0"/>
    <m/>
    <m/>
    <x v="2"/>
  </r>
  <r>
    <n v="106"/>
    <s v="OUATTARA SOULEMANE"/>
    <x v="1"/>
    <n v="9"/>
    <s v="Absent"/>
    <s v="CPU"/>
    <s v="Absent"/>
    <s v="Absent"/>
    <m/>
    <x v="0"/>
    <s v="ALIKRO"/>
    <n v="0"/>
    <n v="0"/>
    <m/>
    <m/>
    <x v="3"/>
  </r>
  <r>
    <n v="107"/>
    <s v="YAO AHOU SAHARA"/>
    <x v="0"/>
    <n v="9"/>
    <n v="6.83"/>
    <s v="CPU"/>
    <s v="9è"/>
    <s v="Admis"/>
    <m/>
    <x v="0"/>
    <s v="TOUREKRO"/>
    <n v="1"/>
    <n v="0"/>
    <m/>
    <m/>
    <x v="1"/>
  </r>
  <r>
    <n v="108"/>
    <s v="ROI KOUADIO MICHAEL"/>
    <x v="1"/>
    <n v="9"/>
    <n v="7.83"/>
    <s v="CPU"/>
    <s v="5è"/>
    <s v="Admis"/>
    <m/>
    <x v="0"/>
    <s v="TOUREKRO"/>
    <n v="1"/>
    <n v="0"/>
    <m/>
    <m/>
    <x v="1"/>
  </r>
  <r>
    <n v="109"/>
    <s v="N'DRI KOUAME IVANE"/>
    <x v="1"/>
    <n v="9"/>
    <n v="5.83"/>
    <s v="CPU"/>
    <s v="14è"/>
    <s v="Admis"/>
    <m/>
    <x v="0"/>
    <s v="TOUREKRO"/>
    <n v="1"/>
    <n v="0"/>
    <m/>
    <m/>
    <x v="1"/>
  </r>
  <r>
    <n v="110"/>
    <s v="YAO KOUAKOU SALOMON"/>
    <x v="1"/>
    <n v="9"/>
    <n v="5.41"/>
    <s v="CPU"/>
    <s v="16è"/>
    <s v="Admis"/>
    <m/>
    <x v="0"/>
    <s v="TOUREKRO"/>
    <n v="1"/>
    <n v="0"/>
    <m/>
    <m/>
    <x v="1"/>
  </r>
  <r>
    <n v="111"/>
    <s v="KOUAKOU YAO RODRIGUE"/>
    <x v="1"/>
    <n v="9"/>
    <n v="8.83"/>
    <s v="CPU"/>
    <s v="1er"/>
    <s v="Admis"/>
    <m/>
    <x v="0"/>
    <s v="TOUREKRO"/>
    <n v="1"/>
    <n v="0"/>
    <m/>
    <m/>
    <x v="1"/>
  </r>
  <r>
    <n v="112"/>
    <s v="YAO KOUAKOU JEAN BAPTISTE"/>
    <x v="1"/>
    <n v="9"/>
    <n v="7.33"/>
    <s v="CPU"/>
    <s v="5è"/>
    <s v="Admis"/>
    <m/>
    <x v="0"/>
    <s v="TOUREKRO"/>
    <n v="1"/>
    <n v="0"/>
    <m/>
    <m/>
    <x v="1"/>
  </r>
  <r>
    <n v="113"/>
    <s v=" KOUAKOU KONAN DAVID"/>
    <x v="1"/>
    <n v="10"/>
    <n v="8.66"/>
    <s v="CPU"/>
    <s v="2è"/>
    <s v="Admis"/>
    <m/>
    <x v="0"/>
    <s v="TOUREKRO"/>
    <n v="1"/>
    <n v="0"/>
    <m/>
    <m/>
    <x v="1"/>
  </r>
  <r>
    <n v="114"/>
    <s v="ADOU KOUAME EZEKIEL"/>
    <x v="1"/>
    <n v="10"/>
    <n v="7.41"/>
    <s v="CPU"/>
    <s v="6è"/>
    <s v="Admis"/>
    <m/>
    <x v="0"/>
    <s v="TOUREKRO"/>
    <n v="1"/>
    <n v="0"/>
    <m/>
    <m/>
    <x v="1"/>
  </r>
  <r>
    <n v="115"/>
    <s v="KOUASSI AMOIN CHARLOTTE"/>
    <x v="0"/>
    <n v="9"/>
    <n v="5.75"/>
    <s v="CPU"/>
    <s v="15è"/>
    <s v="Admis"/>
    <m/>
    <x v="0"/>
    <s v="TOUREKRO"/>
    <n v="1"/>
    <n v="0"/>
    <m/>
    <m/>
    <x v="1"/>
  </r>
  <r>
    <n v="116"/>
    <s v="KOFFI AYA GRACE"/>
    <x v="0"/>
    <n v="9"/>
    <n v="8.66"/>
    <s v="CPU"/>
    <s v="2è"/>
    <s v="Admis"/>
    <m/>
    <x v="0"/>
    <s v="TOUREKRO"/>
    <n v="1"/>
    <n v="0"/>
    <m/>
    <m/>
    <x v="1"/>
  </r>
  <r>
    <n v="117"/>
    <s v="YAO YAO TRESOR"/>
    <x v="1"/>
    <n v="9"/>
    <n v="8.33"/>
    <s v="CPU"/>
    <s v="4è"/>
    <s v="Admis"/>
    <m/>
    <x v="0"/>
    <s v="TOUREKRO"/>
    <n v="1"/>
    <n v="0"/>
    <m/>
    <m/>
    <x v="1"/>
  </r>
  <r>
    <n v="118"/>
    <s v="KONAN AKISSI PRISCA"/>
    <x v="0"/>
    <n v="9"/>
    <n v="6.91"/>
    <s v="CPU"/>
    <s v="8è"/>
    <s v="Admis"/>
    <m/>
    <x v="0"/>
    <s v="TOUREKRO"/>
    <n v="1"/>
    <n v="0"/>
    <m/>
    <m/>
    <x v="1"/>
  </r>
  <r>
    <n v="119"/>
    <s v="KOFFI AKISSI JESSYCA"/>
    <x v="0"/>
    <n v="9"/>
    <n v="6.83"/>
    <s v="CPU"/>
    <s v="9è"/>
    <s v="Admis"/>
    <m/>
    <x v="0"/>
    <s v="TOUREKRO"/>
    <n v="1"/>
    <n v="0"/>
    <m/>
    <m/>
    <x v="1"/>
  </r>
  <r>
    <n v="120"/>
    <s v="KONAN N'GUESSAN JEAN-MARIE"/>
    <x v="1"/>
    <n v="10"/>
    <n v="6.66"/>
    <s v="CPU"/>
    <s v="13è"/>
    <s v="Admis"/>
    <m/>
    <x v="0"/>
    <s v="TOUREKRO"/>
    <n v="1"/>
    <n v="0"/>
    <m/>
    <m/>
    <x v="1"/>
  </r>
  <r>
    <n v="121"/>
    <s v="N'GUESSAN AKISSI CARENE"/>
    <x v="0"/>
    <n v="9"/>
    <n v="5.25"/>
    <s v="CPU"/>
    <s v="17è"/>
    <s v="Admis"/>
    <m/>
    <x v="0"/>
    <s v="TOUREKRO"/>
    <n v="1"/>
    <n v="0"/>
    <m/>
    <m/>
    <x v="1"/>
  </r>
  <r>
    <n v="122"/>
    <s v="KOFFI KONAN CEDRIC"/>
    <x v="1"/>
    <n v="9"/>
    <n v="6.75"/>
    <s v="CPU"/>
    <s v="12è"/>
    <s v="Admis"/>
    <m/>
    <x v="0"/>
    <s v="TOUREKRO"/>
    <n v="1"/>
    <n v="0"/>
    <m/>
    <m/>
    <x v="1"/>
  </r>
  <r>
    <n v="123"/>
    <s v="KOUADIO AMOIN JULIETTE"/>
    <x v="0"/>
    <n v="9"/>
    <n v="6.83"/>
    <s v="CPU"/>
    <s v="9è"/>
    <s v="Admis"/>
    <m/>
    <x v="0"/>
    <s v="TOUREKRO"/>
    <n v="1"/>
    <n v="0"/>
    <m/>
    <m/>
    <x v="1"/>
  </r>
  <r>
    <n v="124"/>
    <s v="KOUAKOU AKISSI CHRISTELLE ELLA"/>
    <x v="0"/>
    <n v="9"/>
    <n v="4.5"/>
    <s v="CPU"/>
    <s v="18è"/>
    <s v="Redouble"/>
    <m/>
    <x v="0"/>
    <s v="TOUREKRO"/>
    <n v="0"/>
    <n v="0"/>
    <m/>
    <m/>
    <x v="2"/>
  </r>
  <r>
    <n v="125"/>
    <s v="KOUADIO AHOU RACHELLE"/>
    <x v="0"/>
    <n v="9"/>
    <n v="0.33"/>
    <s v="CPU"/>
    <s v="23è"/>
    <s v="Redouble"/>
    <m/>
    <x v="0"/>
    <s v="TOUREKRO"/>
    <n v="0"/>
    <n v="0"/>
    <m/>
    <m/>
    <x v="2"/>
  </r>
  <r>
    <n v="126"/>
    <s v="KOUADIO AHOU SALOME"/>
    <x v="0"/>
    <n v="9"/>
    <n v="3.5"/>
    <s v="CPU"/>
    <s v="20è"/>
    <s v="Redouble"/>
    <m/>
    <x v="0"/>
    <s v="TOUREKRO"/>
    <n v="0"/>
    <n v="0"/>
    <m/>
    <m/>
    <x v="2"/>
  </r>
  <r>
    <n v="127"/>
    <s v="BROU AKISSI VICTOIRE"/>
    <x v="0"/>
    <n v="9"/>
    <n v="3.83"/>
    <s v="CPU"/>
    <s v="19è"/>
    <s v="Redouble"/>
    <m/>
    <x v="0"/>
    <s v="TOUREKRO"/>
    <n v="0"/>
    <n v="0"/>
    <m/>
    <m/>
    <x v="2"/>
  </r>
  <r>
    <n v="128"/>
    <s v="KONAN AFFOUE SAHARA"/>
    <x v="0"/>
    <n v="9"/>
    <n v="2.5"/>
    <s v="CPU"/>
    <s v="21è"/>
    <s v="Redouble"/>
    <m/>
    <x v="0"/>
    <s v="TOUREKRO"/>
    <n v="0"/>
    <n v="0"/>
    <m/>
    <m/>
    <x v="2"/>
  </r>
  <r>
    <n v="129"/>
    <s v="KOFFI AFFOUE CHRISTELLE"/>
    <x v="0"/>
    <n v="9"/>
    <n v="1.5"/>
    <s v="CPU"/>
    <s v="22è"/>
    <s v="Redouble"/>
    <m/>
    <x v="0"/>
    <s v="TOUREKRO"/>
    <n v="0"/>
    <n v="0"/>
    <m/>
    <m/>
    <x v="2"/>
  </r>
  <r>
    <n v="130"/>
    <s v="BAMIBA SALIMANTA"/>
    <x v="0"/>
    <n v="10"/>
    <n v="8.66"/>
    <s v="CPU"/>
    <s v="2è"/>
    <s v="Admis"/>
    <m/>
    <x v="0"/>
    <s v="BOUDOYO-BLOC"/>
    <n v="1"/>
    <n v="0"/>
    <m/>
    <m/>
    <x v="1"/>
  </r>
  <r>
    <n v="131"/>
    <s v="ZABRE ISSIAKA"/>
    <x v="1"/>
    <n v="10"/>
    <n v="6.5"/>
    <s v="CPU"/>
    <s v="7è"/>
    <s v="Admis"/>
    <m/>
    <x v="0"/>
    <s v="BOUDOYO-BLOC"/>
    <n v="1"/>
    <n v="0"/>
    <m/>
    <m/>
    <x v="1"/>
  </r>
  <r>
    <n v="132"/>
    <s v="DOUMBIA ABDOUL KARIM"/>
    <x v="1"/>
    <n v="14"/>
    <n v="8.33"/>
    <s v="CPU"/>
    <s v="4è"/>
    <s v="Admis"/>
    <m/>
    <x v="0"/>
    <s v="BOUDOYO-BLOC"/>
    <n v="1"/>
    <n v="0"/>
    <m/>
    <m/>
    <x v="0"/>
  </r>
  <r>
    <n v="133"/>
    <s v="DOUMBIA MOHAMED"/>
    <x v="1"/>
    <n v="13"/>
    <n v="8.16"/>
    <s v="CPU"/>
    <s v="5è"/>
    <s v="Admis"/>
    <m/>
    <x v="0"/>
    <s v="BOUDOYO-BLOC"/>
    <n v="1"/>
    <n v="0"/>
    <m/>
    <m/>
    <x v="0"/>
  </r>
  <r>
    <n v="134"/>
    <s v="FOFANA FANTA"/>
    <x v="0"/>
    <n v="13"/>
    <n v="8.33"/>
    <s v="CPU"/>
    <s v="1er"/>
    <s v="Admis"/>
    <m/>
    <x v="0"/>
    <s v="BOUDOYO-BLOC"/>
    <n v="1"/>
    <n v="0"/>
    <m/>
    <m/>
    <x v="0"/>
  </r>
  <r>
    <n v="135"/>
    <s v="TRAORE DRISSA"/>
    <x v="1"/>
    <n v="11"/>
    <n v="6.88"/>
    <s v="CPU"/>
    <s v="6è"/>
    <s v="Admis"/>
    <m/>
    <x v="0"/>
    <s v="BOUDOYO-BLOC"/>
    <n v="1"/>
    <n v="0"/>
    <m/>
    <m/>
    <x v="1"/>
  </r>
  <r>
    <n v="136"/>
    <s v="KONE ALASSANE"/>
    <x v="1"/>
    <n v="12"/>
    <n v="5.66"/>
    <s v="CPU"/>
    <s v="9è"/>
    <s v="Admis"/>
    <m/>
    <x v="0"/>
    <s v="BOUDOYO-BLOC"/>
    <n v="1"/>
    <n v="0"/>
    <m/>
    <m/>
    <x v="0"/>
  </r>
  <r>
    <n v="137"/>
    <s v="SANGARE SAFIATOU"/>
    <x v="0"/>
    <n v="12"/>
    <n v="5.83"/>
    <s v="CPU"/>
    <s v="8è"/>
    <s v="Admis"/>
    <m/>
    <x v="0"/>
    <s v="BOUDOYO-BLOC"/>
    <n v="1"/>
    <n v="0"/>
    <m/>
    <m/>
    <x v="0"/>
  </r>
  <r>
    <n v="138"/>
    <s v="OUATTARA KADI"/>
    <x v="0"/>
    <n v="13"/>
    <n v="8.5"/>
    <s v="CPU"/>
    <s v="3è"/>
    <s v="Admis"/>
    <m/>
    <x v="0"/>
    <s v="BOUDOYO-BLOC"/>
    <n v="1"/>
    <n v="0"/>
    <m/>
    <m/>
    <x v="0"/>
  </r>
  <r>
    <n v="139"/>
    <s v="COULIBALY ASSETOU"/>
    <x v="0"/>
    <n v="13"/>
    <n v="2.66"/>
    <s v="CPU"/>
    <s v="15è"/>
    <s v="Redouble"/>
    <m/>
    <x v="0"/>
    <s v="BOUDOYO-BLOC"/>
    <n v="0"/>
    <n v="0"/>
    <m/>
    <m/>
    <x v="1"/>
  </r>
  <r>
    <n v="140"/>
    <s v="SANOGO FATOUMATA"/>
    <x v="0"/>
    <n v="12"/>
    <n v="4.33"/>
    <s v="CPU"/>
    <s v="10è"/>
    <s v="Redouble"/>
    <m/>
    <x v="0"/>
    <s v="BOUDOYO-BLOC"/>
    <n v="0"/>
    <n v="0"/>
    <m/>
    <m/>
    <x v="1"/>
  </r>
  <r>
    <n v="141"/>
    <s v="KOUASSI KOUADIO DANIEL"/>
    <x v="1"/>
    <n v="9"/>
    <n v="3.5"/>
    <s v="CPU"/>
    <s v="11è"/>
    <s v="Redouble"/>
    <m/>
    <x v="0"/>
    <s v="BOUDOYO-BLOC"/>
    <n v="0"/>
    <n v="0"/>
    <m/>
    <m/>
    <x v="2"/>
  </r>
  <r>
    <n v="142"/>
    <s v="FOFANA YAYA"/>
    <x v="1"/>
    <n v="9"/>
    <n v="3"/>
    <s v="CPU"/>
    <s v="14è"/>
    <s v="Redouble"/>
    <m/>
    <x v="0"/>
    <s v="BOUDOYO-BLOC"/>
    <n v="0"/>
    <n v="0"/>
    <m/>
    <m/>
    <x v="2"/>
  </r>
  <r>
    <n v="143"/>
    <s v="KONE FANTA"/>
    <x v="0"/>
    <n v="9"/>
    <n v="3.16"/>
    <s v="CPU"/>
    <s v="13è"/>
    <s v="Redouble"/>
    <m/>
    <x v="0"/>
    <s v="BOUDOYO-BLOC"/>
    <n v="0"/>
    <n v="0"/>
    <m/>
    <m/>
    <x v="2"/>
  </r>
  <r>
    <n v="144"/>
    <s v="KABORE MARGUERITE"/>
    <x v="0"/>
    <n v="9"/>
    <n v="2.66"/>
    <s v="CPU"/>
    <s v="15è"/>
    <s v="Redouble"/>
    <m/>
    <x v="0"/>
    <s v="BOUDOYO-BLOC"/>
    <n v="0"/>
    <n v="0"/>
    <m/>
    <m/>
    <x v="2"/>
  </r>
  <r>
    <n v="145"/>
    <s v="KABORE ADJARA"/>
    <x v="0"/>
    <n v="9"/>
    <n v="1.66"/>
    <s v="CPU"/>
    <s v="17è"/>
    <s v="Redouble"/>
    <m/>
    <x v="0"/>
    <s v="BOUDOYO-BLOC"/>
    <n v="0"/>
    <n v="0"/>
    <m/>
    <m/>
    <x v="2"/>
  </r>
  <r>
    <n v="146"/>
    <s v="ZABRE DRAMANE"/>
    <x v="1"/>
    <n v="9"/>
    <n v="3.5"/>
    <s v="CPU"/>
    <s v="11è"/>
    <s v="Redouble"/>
    <m/>
    <x v="0"/>
    <s v="BOUDOYO-BLOC"/>
    <n v="0"/>
    <n v="0"/>
    <m/>
    <m/>
    <x v="2"/>
  </r>
  <r>
    <n v="147"/>
    <s v="ZOUAMBA KARIDJATOU"/>
    <x v="0"/>
    <n v="9"/>
    <s v="Absent"/>
    <s v="CPU"/>
    <s v="Absent"/>
    <s v="Absent"/>
    <m/>
    <x v="0"/>
    <s v="BOUDOYO-BLOC"/>
    <n v="0"/>
    <n v="0"/>
    <m/>
    <m/>
    <x v="3"/>
  </r>
  <r>
    <n v="148"/>
    <s v="ZOHOURI OLIVIA"/>
    <x v="0"/>
    <n v="9"/>
    <s v="Absent"/>
    <s v="CPU"/>
    <s v="Absent"/>
    <s v="Absent"/>
    <m/>
    <x v="0"/>
    <s v="BOUDOYO-BLOC"/>
    <n v="0"/>
    <n v="0"/>
    <m/>
    <m/>
    <x v="3"/>
  </r>
  <r>
    <n v="149"/>
    <s v="ZABRE RAKIETA"/>
    <x v="0"/>
    <n v="9"/>
    <s v="Absent"/>
    <s v="CPU"/>
    <s v="Absent"/>
    <s v="Absent"/>
    <m/>
    <x v="0"/>
    <s v="BOUDOYO-BLOC"/>
    <n v="0"/>
    <n v="0"/>
    <m/>
    <m/>
    <x v="3"/>
  </r>
  <r>
    <n v="150"/>
    <s v="KAMBOU HENRY"/>
    <x v="1"/>
    <n v="10"/>
    <s v="Absent"/>
    <s v="CPU"/>
    <s v="Absent"/>
    <s v="Absent"/>
    <m/>
    <x v="0"/>
    <s v="BOUDOYO-BLOC"/>
    <n v="0"/>
    <n v="0"/>
    <m/>
    <m/>
    <x v="3"/>
  </r>
  <r>
    <n v="151"/>
    <s v="SAVADOGO SALIMATA"/>
    <x v="0"/>
    <n v="9"/>
    <n v="8.41"/>
    <s v="CPU"/>
    <s v="6è"/>
    <s v="Admis"/>
    <m/>
    <x v="0"/>
    <s v="GUEYO-RESIDENTIEL"/>
    <n v="1"/>
    <n v="0"/>
    <m/>
    <m/>
    <x v="1"/>
  </r>
  <r>
    <n v="152"/>
    <s v="BEUGRE MAJESTE DAVID"/>
    <x v="1"/>
    <n v="9"/>
    <n v="6.17"/>
    <s v="CPU"/>
    <s v="6è"/>
    <s v="Admis"/>
    <m/>
    <x v="0"/>
    <s v="GUEYO-RESIDENTIEL"/>
    <n v="1"/>
    <n v="0"/>
    <m/>
    <m/>
    <x v="1"/>
  </r>
  <r>
    <n v="153"/>
    <s v="DIARRA MARIAM"/>
    <x v="0"/>
    <n v="14"/>
    <n v="5"/>
    <s v="CPU"/>
    <s v="8è"/>
    <s v="Admis"/>
    <m/>
    <x v="0"/>
    <s v="GUEYO-RESIDENTIEL"/>
    <n v="1"/>
    <n v="0"/>
    <m/>
    <m/>
    <x v="0"/>
  </r>
  <r>
    <n v="154"/>
    <s v="KANGBE AMADOU"/>
    <x v="1"/>
    <n v="9"/>
    <n v="8.83"/>
    <s v="CPU"/>
    <s v="1er"/>
    <s v="Admis"/>
    <m/>
    <x v="0"/>
    <s v="GUEYO-RESIDENTIEL"/>
    <n v="1"/>
    <n v="0"/>
    <m/>
    <m/>
    <x v="1"/>
  </r>
  <r>
    <n v="155"/>
    <s v="KANTORO BLANDINE"/>
    <x v="0"/>
    <n v="14"/>
    <n v="9.58"/>
    <s v="CPU"/>
    <s v="3è"/>
    <s v="Admis"/>
    <m/>
    <x v="0"/>
    <s v="GUEYO-RESIDENTIEL"/>
    <n v="1"/>
    <n v="0"/>
    <m/>
    <m/>
    <x v="0"/>
  </r>
  <r>
    <n v="156"/>
    <s v="KONATE TININ"/>
    <x v="0"/>
    <n v="11"/>
    <n v="5.17"/>
    <s v="CPU"/>
    <s v="7è"/>
    <s v="Admis"/>
    <m/>
    <x v="0"/>
    <s v="GUEYO-RESIDENTIEL"/>
    <n v="1"/>
    <n v="0"/>
    <m/>
    <m/>
    <x v="1"/>
  </r>
  <r>
    <n v="157"/>
    <s v="KOUAKOU AFFOUE GHISLAINE"/>
    <x v="0"/>
    <n v="9"/>
    <n v="8.67"/>
    <s v="CPU"/>
    <s v="2è"/>
    <s v="Admis"/>
    <m/>
    <x v="0"/>
    <s v="GUEYO-RESIDENTIEL"/>
    <n v="1"/>
    <n v="0"/>
    <m/>
    <m/>
    <x v="1"/>
  </r>
  <r>
    <n v="158"/>
    <s v="OUEDRAOGO DJENEBOU"/>
    <x v="0"/>
    <n v="9"/>
    <n v="5"/>
    <s v="CPU"/>
    <s v="8è"/>
    <s v="Admis"/>
    <m/>
    <x v="0"/>
    <s v="GUEYO-RESIDENTIEL"/>
    <n v="1"/>
    <n v="0"/>
    <m/>
    <m/>
    <x v="1"/>
  </r>
  <r>
    <n v="159"/>
    <s v="KOUAKOU KOUAME EVRARD"/>
    <x v="1"/>
    <n v="9"/>
    <n v="7.08"/>
    <s v="CPU"/>
    <s v="4è"/>
    <s v="Admis"/>
    <m/>
    <x v="0"/>
    <s v="GUEYO-RESIDENTIEL"/>
    <n v="1"/>
    <n v="0"/>
    <m/>
    <m/>
    <x v="1"/>
  </r>
  <r>
    <n v="160"/>
    <s v="BLEU EDWIGE"/>
    <x v="0"/>
    <n v="11"/>
    <n v="4.5"/>
    <s v="CPU"/>
    <s v="11è"/>
    <s v="Redouble"/>
    <m/>
    <x v="0"/>
    <s v="GUEYO-RESIDENTIEL"/>
    <n v="0"/>
    <n v="0"/>
    <m/>
    <m/>
    <x v="2"/>
  </r>
  <r>
    <n v="161"/>
    <s v="MALLE ILLIASSE"/>
    <x v="1"/>
    <n v="9"/>
    <n v="2.5"/>
    <s v="CPU"/>
    <s v="16è"/>
    <s v="Redouble"/>
    <m/>
    <x v="0"/>
    <s v="GUEYO-RESIDENTIEL"/>
    <n v="0"/>
    <n v="0"/>
    <m/>
    <m/>
    <x v="2"/>
  </r>
  <r>
    <n v="162"/>
    <s v="KOUASSI AFFOUE ESTHER"/>
    <x v="0"/>
    <n v="9"/>
    <n v="3.33"/>
    <s v="CPU"/>
    <s v="14è"/>
    <s v="Redouble"/>
    <m/>
    <x v="0"/>
    <s v="GUEYO-RESIDENTIEL"/>
    <n v="0"/>
    <n v="0"/>
    <m/>
    <m/>
    <x v="2"/>
  </r>
  <r>
    <n v="163"/>
    <s v="KOROKO MARIAM"/>
    <x v="0"/>
    <n v="9"/>
    <n v="4.67"/>
    <s v="CPU"/>
    <s v="10è"/>
    <s v="Redouble"/>
    <m/>
    <x v="0"/>
    <s v="GUEYO-RESIDENTIEL"/>
    <n v="0"/>
    <n v="0"/>
    <m/>
    <m/>
    <x v="2"/>
  </r>
  <r>
    <n v="164"/>
    <s v="KOUAKOU AMOIN REBECCA"/>
    <x v="0"/>
    <n v="9"/>
    <n v="3.05"/>
    <s v="CPU"/>
    <s v="15è"/>
    <s v="Redouble"/>
    <m/>
    <x v="0"/>
    <s v="GUEYO-RESIDENTIEL"/>
    <n v="0"/>
    <n v="0"/>
    <m/>
    <m/>
    <x v="2"/>
  </r>
  <r>
    <n v="165"/>
    <s v="KANTORO MAIMOUNA"/>
    <x v="0"/>
    <n v="9"/>
    <n v="4"/>
    <s v="CPU"/>
    <s v="13è"/>
    <s v="Redouble"/>
    <m/>
    <x v="0"/>
    <s v="GUEYO-RESIDENTIEL"/>
    <n v="0"/>
    <n v="0"/>
    <m/>
    <m/>
    <x v="2"/>
  </r>
  <r>
    <n v="166"/>
    <s v="PAHABELEM CLARISSE"/>
    <x v="0"/>
    <n v="9"/>
    <n v="4.42"/>
    <s v="CPU"/>
    <s v="18è"/>
    <s v="Redouble"/>
    <m/>
    <x v="0"/>
    <s v="GUEYO-RESIDENTIEL"/>
    <n v="0"/>
    <n v="0"/>
    <m/>
    <m/>
    <x v="2"/>
  </r>
  <r>
    <n v="167"/>
    <s v="KOFFI KONAN WILFRIED"/>
    <x v="1"/>
    <n v="9"/>
    <s v="Absent"/>
    <s v="CPU"/>
    <s v="Absent"/>
    <s v="Absent"/>
    <m/>
    <x v="0"/>
    <s v="GUEYO-RESIDENTIEL"/>
    <n v="0"/>
    <n v="0"/>
    <m/>
    <m/>
    <x v="3"/>
  </r>
  <r>
    <n v="168"/>
    <s v="DRAME MARIAM"/>
    <x v="0"/>
    <n v="9"/>
    <s v="Absent"/>
    <s v="CPU"/>
    <s v="Absent"/>
    <s v="Absent"/>
    <m/>
    <x v="0"/>
    <s v="GUEYO-RESIDENTIEL"/>
    <n v="0"/>
    <n v="0"/>
    <m/>
    <m/>
    <x v="3"/>
  </r>
  <r>
    <n v="169"/>
    <s v="KOUASSI KOUAME GEDEON"/>
    <x v="1"/>
    <n v="9"/>
    <s v="Absent"/>
    <s v="CPU"/>
    <s v="Absent"/>
    <s v="Absent"/>
    <m/>
    <x v="0"/>
    <s v="GUEYO-RESIDENTIEL"/>
    <n v="0"/>
    <n v="0"/>
    <m/>
    <m/>
    <x v="3"/>
  </r>
  <r>
    <n v="170"/>
    <s v="BELEM NIMATA"/>
    <x v="0"/>
    <n v="14"/>
    <s v="Absent"/>
    <s v="CPU"/>
    <s v="Absent"/>
    <s v="Absent"/>
    <m/>
    <x v="0"/>
    <s v="GUEYO-RESIDENTIEL"/>
    <n v="0"/>
    <n v="0"/>
    <m/>
    <m/>
    <x v="3"/>
  </r>
  <r>
    <n v="171"/>
    <s v="SOUMAHORO KADI"/>
    <x v="0"/>
    <n v="11"/>
    <s v="Absent"/>
    <s v="CPU"/>
    <s v="Absent"/>
    <s v="Absent"/>
    <m/>
    <x v="0"/>
    <s v="GUEYO-RESIDENTIEL"/>
    <n v="0"/>
    <n v="0"/>
    <m/>
    <m/>
    <x v="3"/>
  </r>
  <r>
    <n v="172"/>
    <s v="BAMBA AMINATA"/>
    <x v="0"/>
    <n v="11"/>
    <s v="Absent"/>
    <s v="CPU"/>
    <s v="Absent"/>
    <s v="Absent"/>
    <m/>
    <x v="0"/>
    <s v="GUEYO-RESIDENTIEL"/>
    <n v="0"/>
    <n v="0"/>
    <m/>
    <m/>
    <x v="3"/>
  </r>
  <r>
    <n v="173"/>
    <s v="KOFFI YAO ULRICH"/>
    <x v="1"/>
    <n v="9"/>
    <n v="7.33"/>
    <s v="CPU"/>
    <s v="5è"/>
    <s v="Admis"/>
    <m/>
    <x v="0"/>
    <s v="N'GUESSANKRO"/>
    <n v="1"/>
    <n v="0"/>
    <m/>
    <m/>
    <x v="1"/>
  </r>
  <r>
    <n v="174"/>
    <s v="YAO KOUAME MICHAEL"/>
    <x v="1"/>
    <n v="13"/>
    <n v="8"/>
    <s v="CPU"/>
    <s v="4è"/>
    <s v="Admis"/>
    <m/>
    <x v="0"/>
    <s v="N'GUESSANKRO"/>
    <n v="1"/>
    <n v="0"/>
    <m/>
    <m/>
    <x v="0"/>
  </r>
  <r>
    <n v="175"/>
    <s v="KOUAKOU AHOU SYNTHICHE"/>
    <x v="0"/>
    <n v="11"/>
    <n v="8.67"/>
    <s v="CPU"/>
    <s v="1ère"/>
    <s v="Admis"/>
    <m/>
    <x v="0"/>
    <s v="N'GUESSANKRO"/>
    <n v="1"/>
    <n v="0"/>
    <m/>
    <m/>
    <x v="1"/>
  </r>
  <r>
    <n v="176"/>
    <s v="KOUASSI KOUAME JUNIOR"/>
    <x v="1"/>
    <n v="12"/>
    <n v="8.58"/>
    <s v="CPU"/>
    <s v="2è"/>
    <s v="Admis"/>
    <m/>
    <x v="0"/>
    <s v="N'GUESSANKRO"/>
    <n v="1"/>
    <n v="0"/>
    <m/>
    <m/>
    <x v="0"/>
  </r>
  <r>
    <n v="177"/>
    <s v="KOUAKOU AHOU MARIE LAURE"/>
    <x v="0"/>
    <n v="11"/>
    <n v="8.33"/>
    <s v="CPU"/>
    <s v="3è"/>
    <s v="Admis"/>
    <m/>
    <x v="0"/>
    <s v="N'GUESSANKRO"/>
    <n v="1"/>
    <n v="0"/>
    <m/>
    <m/>
    <x v="1"/>
  </r>
  <r>
    <n v="178"/>
    <s v="YAO KOUADIO JOSEPH"/>
    <x v="1"/>
    <n v="10"/>
    <n v="5"/>
    <s v="CPU"/>
    <s v="7è"/>
    <s v="Admis"/>
    <m/>
    <x v="0"/>
    <s v="N'GUESSANKRO"/>
    <n v="1"/>
    <n v="0"/>
    <m/>
    <m/>
    <x v="1"/>
  </r>
  <r>
    <n v="179"/>
    <s v="N'GUESSAN KOUADIO CHARLES"/>
    <x v="1"/>
    <n v="13"/>
    <n v="6.33"/>
    <s v="CPU"/>
    <s v="6è"/>
    <s v="Admis"/>
    <m/>
    <x v="0"/>
    <s v="N'GUESSANKRO"/>
    <n v="1"/>
    <n v="0"/>
    <m/>
    <m/>
    <x v="0"/>
  </r>
  <r>
    <n v="180"/>
    <s v="KOUAKOU KOFFI MADOCHE"/>
    <x v="1"/>
    <n v="11"/>
    <n v="2.5"/>
    <s v="CPU"/>
    <s v="9è"/>
    <s v="Redouble"/>
    <m/>
    <x v="0"/>
    <s v="N'GUESSANKRO"/>
    <n v="0"/>
    <n v="0"/>
    <m/>
    <m/>
    <x v="2"/>
  </r>
  <r>
    <n v="181"/>
    <s v="KOUADIO KOUAME EPHREM"/>
    <x v="1"/>
    <n v="9"/>
    <n v="4.5"/>
    <s v="CPU"/>
    <s v="8è"/>
    <s v="Redouble"/>
    <m/>
    <x v="0"/>
    <s v="N'GUESSANKRO"/>
    <n v="0"/>
    <n v="0"/>
    <m/>
    <m/>
    <x v="2"/>
  </r>
  <r>
    <n v="182"/>
    <s v="KOUAKOU KOFFI MARTIAL"/>
    <x v="1"/>
    <n v="9"/>
    <n v="2.5"/>
    <s v="CPU"/>
    <s v="10è"/>
    <s v="Redouble"/>
    <m/>
    <x v="0"/>
    <s v="N'GUESSANKRO"/>
    <n v="0"/>
    <n v="0"/>
    <m/>
    <m/>
    <x v="2"/>
  </r>
  <r>
    <n v="183"/>
    <s v="YAO KOUAME ARIEL"/>
    <x v="1"/>
    <n v="9"/>
    <s v="Absent"/>
    <s v="CPU"/>
    <s v="Absent"/>
    <s v="Absent"/>
    <m/>
    <x v="0"/>
    <s v="N'GUESSANKRO"/>
    <n v="0"/>
    <n v="0"/>
    <m/>
    <m/>
    <x v="3"/>
  </r>
  <r>
    <n v="184"/>
    <s v="KOUAME AYA LYDIE"/>
    <x v="0"/>
    <n v="9"/>
    <s v="Absent"/>
    <s v="CPU"/>
    <s v="Absent"/>
    <s v="Absent"/>
    <m/>
    <x v="0"/>
    <s v="N'GUESSANKRO"/>
    <n v="0"/>
    <n v="0"/>
    <m/>
    <m/>
    <x v="3"/>
  </r>
  <r>
    <n v="185"/>
    <s v="YAO AHOU ROSELYNE"/>
    <x v="0"/>
    <n v="9"/>
    <s v="Absent"/>
    <s v="CPU"/>
    <s v="Absent"/>
    <s v="Absent"/>
    <m/>
    <x v="0"/>
    <s v="N'GUESSANKRO"/>
    <n v="0"/>
    <n v="0"/>
    <m/>
    <m/>
    <x v="3"/>
  </r>
  <r>
    <n v="186"/>
    <s v="COULIBALY ALLASSANE"/>
    <x v="1"/>
    <n v="10"/>
    <n v="8.8699999999999992"/>
    <s v="CPU"/>
    <s v="1ère"/>
    <s v="Admis"/>
    <m/>
    <x v="1"/>
    <s v="KOUAMEKRO"/>
    <n v="1"/>
    <n v="0"/>
    <m/>
    <m/>
    <x v="1"/>
  </r>
  <r>
    <n v="187"/>
    <s v="BAKOUAN MARTINE "/>
    <x v="0"/>
    <n v="10"/>
    <n v="8.5"/>
    <s v="CPU"/>
    <s v="2è"/>
    <s v="Admis"/>
    <m/>
    <x v="1"/>
    <s v="KOUAMEKRO"/>
    <n v="1"/>
    <n v="0"/>
    <m/>
    <m/>
    <x v="1"/>
  </r>
  <r>
    <n v="188"/>
    <s v="WERMAN YAYA"/>
    <x v="1"/>
    <n v="12"/>
    <n v="8.3699999999999992"/>
    <s v="CPU"/>
    <s v="3è"/>
    <s v="Admis"/>
    <m/>
    <x v="1"/>
    <s v="KOUAMEKRO"/>
    <n v="1"/>
    <n v="0"/>
    <m/>
    <m/>
    <x v="0"/>
  </r>
  <r>
    <n v="189"/>
    <s v="OUATTARA MAIMOUNAN"/>
    <x v="0"/>
    <n v="10"/>
    <n v="7.87"/>
    <s v="CPU"/>
    <s v="4è"/>
    <s v="Admis"/>
    <m/>
    <x v="1"/>
    <s v="KOUAMEKRO"/>
    <n v="1"/>
    <n v="0"/>
    <m/>
    <m/>
    <x v="1"/>
  </r>
  <r>
    <n v="190"/>
    <s v="TAORE ALI"/>
    <x v="1"/>
    <n v="10"/>
    <n v="7.75"/>
    <s v="CPU"/>
    <s v="5è"/>
    <s v="Admis"/>
    <m/>
    <x v="1"/>
    <s v="KOUAMEKRO"/>
    <n v="1"/>
    <n v="0"/>
    <m/>
    <m/>
    <x v="1"/>
  </r>
  <r>
    <n v="191"/>
    <s v="BAKO  REBECCA"/>
    <x v="0"/>
    <n v="10"/>
    <n v="7.62"/>
    <s v="CPU"/>
    <s v="6è"/>
    <s v="Admis"/>
    <m/>
    <x v="1"/>
    <s v="KOUAMEKRO"/>
    <n v="1"/>
    <n v="0"/>
    <m/>
    <m/>
    <x v="1"/>
  </r>
  <r>
    <n v="192"/>
    <s v="BADO PRISCA"/>
    <x v="0"/>
    <n v="10"/>
    <n v="7.37"/>
    <s v="CPU"/>
    <s v="7è"/>
    <s v="Admis"/>
    <m/>
    <x v="1"/>
    <s v="KOUAMEKRO"/>
    <n v="1"/>
    <n v="0"/>
    <m/>
    <m/>
    <x v="1"/>
  </r>
  <r>
    <n v="193"/>
    <s v="OUATTARA BINTOU"/>
    <x v="0"/>
    <n v="10"/>
    <n v="7.37"/>
    <s v="CPU"/>
    <s v="8è"/>
    <s v="Admis"/>
    <m/>
    <x v="1"/>
    <s v="KOUAMEKRO"/>
    <n v="1"/>
    <n v="0"/>
    <m/>
    <m/>
    <x v="1"/>
  </r>
  <r>
    <n v="194"/>
    <s v="BAKOUAN ISIDORE"/>
    <x v="1"/>
    <n v="13"/>
    <n v="7.25"/>
    <s v="CPU"/>
    <s v="9è"/>
    <s v="Admis"/>
    <m/>
    <x v="1"/>
    <s v="KOUAMEKRO"/>
    <n v="1"/>
    <n v="0"/>
    <m/>
    <m/>
    <x v="0"/>
  </r>
  <r>
    <n v="195"/>
    <s v="BROU YAO FRANCK"/>
    <x v="1"/>
    <n v="9"/>
    <n v="7.25"/>
    <s v="CPU"/>
    <s v="10è"/>
    <s v="Admis"/>
    <m/>
    <x v="1"/>
    <s v="KOUAMEKRO"/>
    <n v="1"/>
    <n v="0"/>
    <m/>
    <m/>
    <x v="1"/>
  </r>
  <r>
    <n v="196"/>
    <s v="BAKOUAN EDMOND"/>
    <x v="1"/>
    <n v="9"/>
    <n v="7.12"/>
    <s v="CPU"/>
    <s v="11è"/>
    <s v="Admis"/>
    <m/>
    <x v="1"/>
    <s v="KOUAMEKRO"/>
    <n v="1"/>
    <n v="0"/>
    <m/>
    <m/>
    <x v="1"/>
  </r>
  <r>
    <n v="197"/>
    <s v="ZONGO OUMAROU"/>
    <x v="1"/>
    <n v="9"/>
    <n v="6.75"/>
    <s v="CPU"/>
    <s v="12è "/>
    <s v="Admis"/>
    <m/>
    <x v="1"/>
    <s v="KOUAMEKRO"/>
    <n v="1"/>
    <n v="0"/>
    <m/>
    <m/>
    <x v="1"/>
  </r>
  <r>
    <n v="198"/>
    <s v="BAKO ARIELLE"/>
    <x v="0"/>
    <n v="13"/>
    <n v="6.62"/>
    <s v="CPU"/>
    <s v="13è"/>
    <s v="Admis"/>
    <m/>
    <x v="1"/>
    <s v="KOUAMEKRO"/>
    <n v="1"/>
    <n v="0"/>
    <m/>
    <m/>
    <x v="0"/>
  </r>
  <r>
    <n v="199"/>
    <s v="OUATTARA BARAKISSA"/>
    <x v="0"/>
    <n v="9"/>
    <n v="6.62"/>
    <s v="CPU"/>
    <s v="14è "/>
    <s v="Admis"/>
    <m/>
    <x v="1"/>
    <s v="KOUAMEKRO"/>
    <n v="1"/>
    <n v="0"/>
    <m/>
    <m/>
    <x v="1"/>
  </r>
  <r>
    <n v="200"/>
    <s v="BAKO PARFAIT"/>
    <x v="1"/>
    <n v="10"/>
    <n v="6.12"/>
    <s v="CPU"/>
    <s v="15è"/>
    <s v="Admis"/>
    <m/>
    <x v="1"/>
    <s v="KOUAMEKRO"/>
    <n v="1"/>
    <n v="0"/>
    <m/>
    <m/>
    <x v="1"/>
  </r>
  <r>
    <n v="201"/>
    <s v="BAKO CLAVERINE"/>
    <x v="0"/>
    <n v="9"/>
    <n v="6.12"/>
    <s v="CPU"/>
    <s v="16è"/>
    <s v="Admis"/>
    <m/>
    <x v="1"/>
    <s v="KOUAMEKRO"/>
    <n v="1"/>
    <n v="0"/>
    <m/>
    <m/>
    <x v="1"/>
  </r>
  <r>
    <n v="202"/>
    <s v="BAZIE AMELIE"/>
    <x v="0"/>
    <n v="9"/>
    <n v="6"/>
    <s v="CPU"/>
    <s v="17è"/>
    <s v="Admis"/>
    <m/>
    <x v="1"/>
    <s v="KOUAMEKRO"/>
    <n v="1"/>
    <n v="0"/>
    <m/>
    <m/>
    <x v="1"/>
  </r>
  <r>
    <n v="203"/>
    <s v="KAFFANO MAIMOUNA"/>
    <x v="0"/>
    <n v="9"/>
    <n v="5.12"/>
    <s v="CPU"/>
    <s v="18è"/>
    <s v="Admis"/>
    <m/>
    <x v="1"/>
    <s v="KOUAMEKRO"/>
    <n v="1"/>
    <n v="0"/>
    <m/>
    <m/>
    <x v="1"/>
  </r>
  <r>
    <n v="204"/>
    <s v="BADO ANDRE"/>
    <x v="1"/>
    <n v="10"/>
    <n v="4.87"/>
    <s v="CPU"/>
    <s v="19è"/>
    <s v="Redouble"/>
    <m/>
    <x v="1"/>
    <s v="KOUAMEKRO"/>
    <n v="0"/>
    <n v="0"/>
    <m/>
    <m/>
    <x v="2"/>
  </r>
  <r>
    <n v="205"/>
    <s v="NOUFOU FADILA SAIDOU"/>
    <x v="0"/>
    <n v="11"/>
    <n v="4.87"/>
    <s v="CPU"/>
    <s v="20è"/>
    <s v="Redouble"/>
    <m/>
    <x v="1"/>
    <s v="KOUAMEKRO"/>
    <n v="0"/>
    <n v="0"/>
    <m/>
    <m/>
    <x v="2"/>
  </r>
  <r>
    <n v="206"/>
    <s v="TRAORE AWA"/>
    <x v="0"/>
    <n v="10"/>
    <n v="4.87"/>
    <s v="CPU"/>
    <s v="21è"/>
    <s v="Redouble"/>
    <m/>
    <x v="1"/>
    <s v="KOUAMEKRO"/>
    <n v="0"/>
    <n v="0"/>
    <m/>
    <m/>
    <x v="2"/>
  </r>
  <r>
    <n v="207"/>
    <s v="KOFFI KOFFI MARC JETRO"/>
    <x v="1"/>
    <n v="11"/>
    <n v="4.87"/>
    <s v="CPU"/>
    <s v="22è"/>
    <s v="Redouble"/>
    <m/>
    <x v="1"/>
    <s v="KOUAMEKRO"/>
    <n v="0"/>
    <n v="0"/>
    <m/>
    <m/>
    <x v="2"/>
  </r>
  <r>
    <n v="208"/>
    <s v="HIEN BAKARI"/>
    <x v="1"/>
    <n v="9"/>
    <n v="4.87"/>
    <s v="CPU"/>
    <s v="23è"/>
    <s v="Redouble"/>
    <m/>
    <x v="1"/>
    <s v="KOUAMEKRO"/>
    <n v="0"/>
    <n v="0"/>
    <m/>
    <m/>
    <x v="2"/>
  </r>
  <r>
    <n v="209"/>
    <s v="BADO JEANNE"/>
    <x v="0"/>
    <n v="9"/>
    <n v="3.62"/>
    <s v="CPU"/>
    <s v="24è"/>
    <s v="Redouble"/>
    <m/>
    <x v="1"/>
    <s v="KOUAMEKRO"/>
    <n v="0"/>
    <n v="0"/>
    <m/>
    <m/>
    <x v="2"/>
  </r>
  <r>
    <n v="210"/>
    <s v="KOUASSI AHOU ANGE SEPHORA"/>
    <x v="0"/>
    <n v="9"/>
    <n v="3.25"/>
    <s v="CPU"/>
    <s v="25è"/>
    <s v="Redouble"/>
    <m/>
    <x v="1"/>
    <s v="KOUAMEKRO"/>
    <n v="0"/>
    <n v="0"/>
    <m/>
    <m/>
    <x v="2"/>
  </r>
  <r>
    <n v="211"/>
    <s v="BAKO ODETTE"/>
    <x v="0"/>
    <n v="9"/>
    <n v="3"/>
    <s v="CPU"/>
    <s v="26è"/>
    <s v="Redouble"/>
    <m/>
    <x v="1"/>
    <s v="KOUAMEKRO"/>
    <n v="0"/>
    <n v="0"/>
    <m/>
    <m/>
    <x v="2"/>
  </r>
  <r>
    <n v="212"/>
    <s v="ILY WAHABO"/>
    <x v="1"/>
    <n v="9"/>
    <n v="2.75"/>
    <s v="CPU"/>
    <s v="27è"/>
    <s v="Redouble"/>
    <m/>
    <x v="1"/>
    <s v="KOUAMEKRO"/>
    <n v="0"/>
    <n v="0"/>
    <m/>
    <m/>
    <x v="2"/>
  </r>
  <r>
    <n v="213"/>
    <s v="TANGARA AWA"/>
    <x v="0"/>
    <n v="9"/>
    <n v="8.8699999999999992"/>
    <s v="CPU"/>
    <s v="1ére"/>
    <s v="Admis"/>
    <m/>
    <x v="1"/>
    <s v="OKABO"/>
    <n v="1"/>
    <n v="0"/>
    <m/>
    <m/>
    <x v="1"/>
  </r>
  <r>
    <n v="214"/>
    <s v="KABORE NEIMATOU"/>
    <x v="0"/>
    <n v="9"/>
    <n v="8.5"/>
    <s v="CPU"/>
    <s v="2è"/>
    <s v="Admis"/>
    <m/>
    <x v="1"/>
    <s v="OKABO"/>
    <n v="1"/>
    <n v="0"/>
    <m/>
    <m/>
    <x v="1"/>
  </r>
  <r>
    <n v="215"/>
    <s v="KOUASSI KOUAME SAMUEL"/>
    <x v="1"/>
    <n v="9"/>
    <n v="8"/>
    <s v="CPU"/>
    <s v="3è"/>
    <s v="Admis"/>
    <m/>
    <x v="1"/>
    <s v="OKABO"/>
    <n v="1"/>
    <n v="0"/>
    <m/>
    <m/>
    <x v="1"/>
  </r>
  <r>
    <n v="216"/>
    <s v="KABORE FADILATOU"/>
    <x v="0"/>
    <n v="10"/>
    <n v="7.75"/>
    <s v="CPU"/>
    <s v="4è"/>
    <s v="Admis"/>
    <m/>
    <x v="1"/>
    <s v="OKABO"/>
    <n v="1"/>
    <n v="0"/>
    <m/>
    <m/>
    <x v="1"/>
  </r>
  <r>
    <n v="217"/>
    <s v="KOUANDA ROUKIATOU"/>
    <x v="0"/>
    <n v="9"/>
    <n v="7.75"/>
    <s v="CPU"/>
    <s v="5è"/>
    <s v="Admis"/>
    <m/>
    <x v="1"/>
    <s v="OKABO"/>
    <n v="1"/>
    <n v="0"/>
    <m/>
    <m/>
    <x v="1"/>
  </r>
  <r>
    <n v="218"/>
    <s v="SAWADOGO SABANE"/>
    <x v="0"/>
    <n v="11"/>
    <n v="7.62"/>
    <s v="CPU"/>
    <s v="6è"/>
    <s v="Admis"/>
    <m/>
    <x v="1"/>
    <s v="OKABO"/>
    <n v="1"/>
    <n v="0"/>
    <m/>
    <m/>
    <x v="1"/>
  </r>
  <r>
    <n v="219"/>
    <s v="KOUASSI KOUADIO  CHRIST"/>
    <x v="1"/>
    <n v="9"/>
    <n v="7.25"/>
    <s v="CPU"/>
    <s v="7è"/>
    <s v="Admis"/>
    <m/>
    <x v="1"/>
    <s v="OKABO"/>
    <n v="1"/>
    <n v="0"/>
    <m/>
    <m/>
    <x v="1"/>
  </r>
  <r>
    <n v="220"/>
    <s v="KABORE SAODJATOU"/>
    <x v="0"/>
    <n v="9"/>
    <n v="7.12"/>
    <s v="CPU"/>
    <s v="8è"/>
    <s v="Admis"/>
    <m/>
    <x v="1"/>
    <s v="OKABO"/>
    <n v="1"/>
    <n v="0"/>
    <m/>
    <m/>
    <x v="1"/>
  </r>
  <r>
    <n v="221"/>
    <s v="KOUASSI AYA MIENMO"/>
    <x v="0"/>
    <n v="9"/>
    <n v="7"/>
    <s v="CPU"/>
    <s v="9è"/>
    <s v="Admis"/>
    <m/>
    <x v="1"/>
    <s v="OKABO"/>
    <n v="1"/>
    <n v="0"/>
    <m/>
    <m/>
    <x v="1"/>
  </r>
  <r>
    <n v="222"/>
    <s v="SAWADOGO AWA"/>
    <x v="0"/>
    <n v="10"/>
    <n v="6.87"/>
    <s v="CPU"/>
    <s v="10è"/>
    <s v="Admis"/>
    <m/>
    <x v="1"/>
    <s v="OKABO"/>
    <n v="1"/>
    <n v="0"/>
    <m/>
    <m/>
    <x v="1"/>
  </r>
  <r>
    <n v="223"/>
    <s v="OUEDRAOGO NOUFOU"/>
    <x v="1"/>
    <n v="9"/>
    <n v="6.75"/>
    <s v="CPU"/>
    <s v="11è"/>
    <s v="Admis"/>
    <m/>
    <x v="1"/>
    <s v="OKABO"/>
    <n v="1"/>
    <n v="0"/>
    <m/>
    <m/>
    <x v="1"/>
  </r>
  <r>
    <n v="224"/>
    <s v="TANGARA  DJELIKA"/>
    <x v="0"/>
    <n v="9"/>
    <n v="6.37"/>
    <s v="CPU"/>
    <s v="12è"/>
    <s v="Admis"/>
    <m/>
    <x v="1"/>
    <s v="OKABO"/>
    <n v="1"/>
    <n v="0"/>
    <m/>
    <m/>
    <x v="1"/>
  </r>
  <r>
    <n v="225"/>
    <s v="KOUASSI KOUAKOU ORTINIEL"/>
    <x v="1"/>
    <n v="9"/>
    <n v="6.25"/>
    <s v="CPU"/>
    <s v="13è"/>
    <s v="Admis"/>
    <m/>
    <x v="1"/>
    <s v="OKABO"/>
    <n v="1"/>
    <n v="0"/>
    <m/>
    <m/>
    <x v="1"/>
  </r>
  <r>
    <n v="226"/>
    <s v="YAO YAO IVAN TRESOR"/>
    <x v="1"/>
    <n v="9"/>
    <n v="6.25"/>
    <s v="CPU"/>
    <s v="14è"/>
    <s v="Admis"/>
    <m/>
    <x v="1"/>
    <s v="OKABO"/>
    <n v="1"/>
    <n v="0"/>
    <m/>
    <m/>
    <x v="1"/>
  </r>
  <r>
    <n v="227"/>
    <s v="TANGARA AMINATA 2"/>
    <x v="0"/>
    <n v="9"/>
    <n v="6.25"/>
    <s v="CPU"/>
    <s v="15è"/>
    <s v="Admis"/>
    <m/>
    <x v="1"/>
    <s v="OKABO"/>
    <n v="1"/>
    <n v="0"/>
    <m/>
    <m/>
    <x v="1"/>
  </r>
  <r>
    <n v="228"/>
    <s v="KOBORE SEAYOUBA"/>
    <x v="1"/>
    <n v="9"/>
    <n v="6"/>
    <s v="CPU"/>
    <s v="15èX"/>
    <s v="Admis"/>
    <m/>
    <x v="1"/>
    <s v="OKABO"/>
    <n v="1"/>
    <n v="0"/>
    <m/>
    <m/>
    <x v="1"/>
  </r>
  <r>
    <n v="229"/>
    <s v="SAWADOGO NOUROU"/>
    <x v="1"/>
    <n v="9"/>
    <n v="5.87"/>
    <s v="CPU"/>
    <s v="17è"/>
    <s v="Admis"/>
    <m/>
    <x v="1"/>
    <s v="OKABO"/>
    <n v="1"/>
    <n v="0"/>
    <m/>
    <m/>
    <x v="1"/>
  </r>
  <r>
    <n v="230"/>
    <s v="DIARRA KARIDJATOU"/>
    <x v="0"/>
    <n v="9"/>
    <n v="5.37"/>
    <s v="CPU"/>
    <s v="18è"/>
    <s v="Admis"/>
    <m/>
    <x v="1"/>
    <s v="OKABO"/>
    <n v="1"/>
    <n v="0"/>
    <m/>
    <m/>
    <x v="1"/>
  </r>
  <r>
    <n v="231"/>
    <s v="KOUASSI KONAN CHRISTIAN"/>
    <x v="1"/>
    <n v="9"/>
    <n v="4.62"/>
    <s v="CPU"/>
    <s v="19è"/>
    <s v="Redouble"/>
    <m/>
    <x v="1"/>
    <s v="OKABO"/>
    <n v="0"/>
    <n v="0"/>
    <m/>
    <m/>
    <x v="2"/>
  </r>
  <r>
    <n v="232"/>
    <s v="OUEDRAOGO ISSOUF"/>
    <x v="1"/>
    <n v="9"/>
    <n v="4.62"/>
    <s v="CPU"/>
    <s v="20è"/>
    <s v="Redouble"/>
    <m/>
    <x v="1"/>
    <s v="OKABO"/>
    <n v="0"/>
    <n v="0"/>
    <m/>
    <m/>
    <x v="2"/>
  </r>
  <r>
    <n v="233"/>
    <s v="KABORE ZALISSA"/>
    <x v="1"/>
    <n v="9"/>
    <n v="4.25"/>
    <s v="CPU"/>
    <s v="21è"/>
    <s v="Redouble"/>
    <m/>
    <x v="1"/>
    <s v="OKABO"/>
    <n v="0"/>
    <n v="0"/>
    <m/>
    <m/>
    <x v="2"/>
  </r>
  <r>
    <n v="234"/>
    <s v="TANGARA AMINATA 1"/>
    <x v="0"/>
    <n v="9"/>
    <n v="4"/>
    <s v="CPU"/>
    <s v="23è"/>
    <s v="Redouble"/>
    <m/>
    <x v="1"/>
    <s v="OKABO"/>
    <n v="0"/>
    <n v="0"/>
    <m/>
    <m/>
    <x v="2"/>
  </r>
  <r>
    <n v="235"/>
    <s v="ZOUNGANA HAIDARA"/>
    <x v="0"/>
    <n v="9"/>
    <n v="4"/>
    <s v="CPU"/>
    <s v="22èX"/>
    <s v="Redouble"/>
    <m/>
    <x v="1"/>
    <s v="OKABO"/>
    <n v="0"/>
    <n v="0"/>
    <m/>
    <m/>
    <x v="2"/>
  </r>
  <r>
    <n v="236"/>
    <s v="KOBORE RAINATOU"/>
    <x v="0"/>
    <n v="9"/>
    <n v="2.62"/>
    <s v="CPU"/>
    <s v="24è"/>
    <s v="Redouble"/>
    <m/>
    <x v="1"/>
    <s v="OKABO"/>
    <n v="0"/>
    <n v="0"/>
    <m/>
    <m/>
    <x v="2"/>
  </r>
  <r>
    <n v="237"/>
    <s v="KABORE ISSIAKA"/>
    <x v="1"/>
    <n v="9"/>
    <s v="Absent"/>
    <s v="CPU"/>
    <s v="Absent"/>
    <s v="Absent"/>
    <m/>
    <x v="1"/>
    <s v="OKABO"/>
    <n v="0"/>
    <n v="0"/>
    <m/>
    <m/>
    <x v="3"/>
  </r>
  <r>
    <n v="238"/>
    <s v="DIARRA GOURO"/>
    <x v="1"/>
    <n v="10"/>
    <n v="9.25"/>
    <s v="CPU"/>
    <s v="1ére"/>
    <s v="Admis"/>
    <m/>
    <x v="1"/>
    <s v="TOLBA"/>
    <n v="1"/>
    <n v="0"/>
    <m/>
    <m/>
    <x v="1"/>
  </r>
  <r>
    <n v="239"/>
    <s v="YAILCOUE MOUSSA"/>
    <x v="1"/>
    <n v="9"/>
    <n v="9.25"/>
    <s v="CPU"/>
    <s v="2è"/>
    <s v="Admis"/>
    <m/>
    <x v="1"/>
    <s v="TOLBA"/>
    <n v="1"/>
    <n v="0"/>
    <m/>
    <m/>
    <x v="1"/>
  </r>
  <r>
    <n v="240"/>
    <s v="DJANTAO MAMADOU "/>
    <x v="1"/>
    <n v="10"/>
    <n v="8.8699999999999992"/>
    <s v="CPU"/>
    <s v="3è"/>
    <s v="Admis"/>
    <m/>
    <x v="1"/>
    <s v="TOLBA"/>
    <n v="1"/>
    <n v="0"/>
    <m/>
    <m/>
    <x v="1"/>
  </r>
  <r>
    <n v="241"/>
    <s v="COULIBALY OUMOU"/>
    <x v="0"/>
    <n v="10"/>
    <n v="8.3699999999999992"/>
    <s v="CPU"/>
    <s v="4è"/>
    <s v="Admis"/>
    <m/>
    <x v="1"/>
    <s v="TOLBA"/>
    <n v="1"/>
    <n v="0"/>
    <m/>
    <m/>
    <x v="1"/>
  </r>
  <r>
    <n v="242"/>
    <s v="DEMBELE BELCO"/>
    <x v="1"/>
    <n v="9"/>
    <n v="7.87"/>
    <s v="CPU"/>
    <s v="5è"/>
    <s v="Admis"/>
    <m/>
    <x v="1"/>
    <s v="TOLBA"/>
    <n v="1"/>
    <n v="0"/>
    <m/>
    <m/>
    <x v="1"/>
  </r>
  <r>
    <n v="243"/>
    <s v="YANNIN FATOUMATA"/>
    <x v="0"/>
    <n v="10"/>
    <n v="7.87"/>
    <s v="CPU"/>
    <s v="6è"/>
    <s v="Admis"/>
    <m/>
    <x v="1"/>
    <s v="TOLBA"/>
    <n v="1"/>
    <n v="0"/>
    <m/>
    <m/>
    <x v="1"/>
  </r>
  <r>
    <n v="244"/>
    <s v="MAIGA IBRAHIM"/>
    <x v="1"/>
    <n v="9"/>
    <n v="7.5"/>
    <s v="CPU"/>
    <s v="7è"/>
    <s v="Admis"/>
    <m/>
    <x v="1"/>
    <s v="TOLBA"/>
    <n v="1"/>
    <n v="0"/>
    <m/>
    <m/>
    <x v="1"/>
  </r>
  <r>
    <n v="245"/>
    <s v="YANNIN KALIDJA"/>
    <x v="0"/>
    <n v="9"/>
    <n v="7.25"/>
    <s v="CPU"/>
    <s v="8è"/>
    <s v="Admis"/>
    <m/>
    <x v="1"/>
    <s v="TOLBA"/>
    <n v="1"/>
    <n v="0"/>
    <m/>
    <m/>
    <x v="1"/>
  </r>
  <r>
    <n v="246"/>
    <s v="DICKO TOMATA"/>
    <x v="0"/>
    <n v="9"/>
    <n v="7.06"/>
    <s v="CPU"/>
    <s v="9è"/>
    <s v="Admis"/>
    <m/>
    <x v="1"/>
    <s v="TOLBA"/>
    <n v="1"/>
    <n v="0"/>
    <m/>
    <m/>
    <x v="1"/>
  </r>
  <r>
    <n v="247"/>
    <s v="MAIGA AMADI"/>
    <x v="1"/>
    <n v="10"/>
    <n v="6.87"/>
    <s v="CPU"/>
    <s v="10è"/>
    <s v="Admis"/>
    <m/>
    <x v="1"/>
    <s v="TOLBA"/>
    <n v="1"/>
    <n v="0"/>
    <m/>
    <m/>
    <x v="1"/>
  </r>
  <r>
    <n v="248"/>
    <s v="GNANPA RAIMATOU"/>
    <x v="0"/>
    <n v="9"/>
    <n v="6.37"/>
    <s v="CPU"/>
    <s v="11è"/>
    <s v="Admis"/>
    <m/>
    <x v="1"/>
    <s v="TOLBA"/>
    <n v="1"/>
    <n v="0"/>
    <m/>
    <m/>
    <x v="1"/>
  </r>
  <r>
    <n v="249"/>
    <s v="SAO  FATOUMANTA"/>
    <x v="0"/>
    <n v="9"/>
    <n v="6.25"/>
    <s v="CPU"/>
    <s v="12è"/>
    <s v="Admis"/>
    <m/>
    <x v="1"/>
    <s v="TOLBA"/>
    <n v="1"/>
    <n v="0"/>
    <m/>
    <m/>
    <x v="1"/>
  </r>
  <r>
    <n v="250"/>
    <s v="MAIGA AMHED"/>
    <x v="1"/>
    <n v="9"/>
    <n v="5.62"/>
    <s v="CPU"/>
    <s v="13è"/>
    <s v="Admis"/>
    <m/>
    <x v="1"/>
    <s v="TOLBA"/>
    <n v="1"/>
    <n v="0"/>
    <m/>
    <m/>
    <x v="1"/>
  </r>
  <r>
    <n v="251"/>
    <s v="DJINTAO BALIFA"/>
    <x v="1"/>
    <n v="9"/>
    <n v="5.5"/>
    <s v="CPU"/>
    <s v="14è"/>
    <s v="Admis"/>
    <m/>
    <x v="1"/>
    <s v="TOLBA"/>
    <n v="1"/>
    <n v="0"/>
    <m/>
    <m/>
    <x v="1"/>
  </r>
  <r>
    <n v="252"/>
    <s v="DJINTAO OUMOU"/>
    <x v="0"/>
    <n v="10"/>
    <n v="4.87"/>
    <s v="CPU"/>
    <s v="15è"/>
    <s v="Redouble"/>
    <m/>
    <x v="1"/>
    <s v="TOLBA"/>
    <n v="0"/>
    <n v="0"/>
    <m/>
    <m/>
    <x v="2"/>
  </r>
  <r>
    <n v="253"/>
    <s v="SAWADOGO ROKIA"/>
    <x v="0"/>
    <n v="10"/>
    <n v="3.75"/>
    <s v="CPU"/>
    <s v="16è"/>
    <s v="Redouble"/>
    <m/>
    <x v="1"/>
    <s v="TOLBA"/>
    <n v="0"/>
    <n v="0"/>
    <m/>
    <m/>
    <x v="2"/>
  </r>
  <r>
    <n v="254"/>
    <s v="MAIGA GNAMOUE"/>
    <x v="0"/>
    <n v="9"/>
    <s v="Absent"/>
    <s v="CPU"/>
    <s v="Absent"/>
    <s v="Absent"/>
    <m/>
    <x v="1"/>
    <s v="TOLBA"/>
    <n v="0"/>
    <n v="0"/>
    <m/>
    <m/>
    <x v="3"/>
  </r>
  <r>
    <n v="255"/>
    <s v="DJINTAO FAFOURE"/>
    <x v="1"/>
    <n v="9"/>
    <s v="Absent"/>
    <s v="CPU"/>
    <s v="Absent"/>
    <s v="Absent"/>
    <m/>
    <x v="1"/>
    <s v="TOLBA"/>
    <n v="0"/>
    <n v="0"/>
    <m/>
    <m/>
    <x v="3"/>
  </r>
  <r>
    <n v="256"/>
    <s v="OUATTARA BAMBA"/>
    <x v="1"/>
    <n v="11"/>
    <n v="9.3000000000000007"/>
    <s v="CEU"/>
    <s v="1er"/>
    <s v="Admis"/>
    <m/>
    <x v="1"/>
    <s v="KOUAMEKRO"/>
    <n v="0"/>
    <n v="1"/>
    <m/>
    <m/>
    <x v="4"/>
  </r>
  <r>
    <n v="257"/>
    <s v="COULIBALY AFFOU"/>
    <x v="0"/>
    <n v="13"/>
    <n v="8.9"/>
    <s v="CEU"/>
    <s v="2è"/>
    <s v="Admis"/>
    <m/>
    <x v="1"/>
    <s v="KOUAMEKRO"/>
    <n v="0"/>
    <n v="1"/>
    <m/>
    <m/>
    <x v="4"/>
  </r>
  <r>
    <n v="258"/>
    <s v="BAKOUAN SOLO"/>
    <x v="1"/>
    <n v="11"/>
    <n v="8.35"/>
    <s v="CEU"/>
    <s v="3è"/>
    <s v="Admis"/>
    <m/>
    <x v="1"/>
    <s v="KOUAMEKRO"/>
    <n v="0"/>
    <n v="1"/>
    <m/>
    <m/>
    <x v="4"/>
  </r>
  <r>
    <n v="259"/>
    <s v="BAKOUAN ISSA ULRICH"/>
    <x v="1"/>
    <n v="11"/>
    <n v="7.65"/>
    <s v="CEU"/>
    <s v="4è"/>
    <s v="Admis"/>
    <m/>
    <x v="1"/>
    <s v="KOUAMEKRO"/>
    <n v="0"/>
    <n v="1"/>
    <m/>
    <m/>
    <x v="4"/>
  </r>
  <r>
    <n v="260"/>
    <s v="KONAN KOUADIO ELIEZER"/>
    <x v="1"/>
    <n v="10"/>
    <n v="7.45"/>
    <s v="CEU"/>
    <s v="5è"/>
    <s v="Admis"/>
    <m/>
    <x v="1"/>
    <s v="KOUAMEKRO"/>
    <n v="0"/>
    <n v="1"/>
    <m/>
    <m/>
    <x v="4"/>
  </r>
  <r>
    <n v="261"/>
    <s v="WERMAN ZAKARIA"/>
    <x v="1"/>
    <n v="10"/>
    <n v="7.15"/>
    <s v="CEU"/>
    <s v="6è"/>
    <s v="Admis"/>
    <m/>
    <x v="1"/>
    <s v="KOUAMEKRO"/>
    <n v="0"/>
    <n v="1"/>
    <m/>
    <m/>
    <x v="4"/>
  </r>
  <r>
    <n v="262"/>
    <s v="KOFFI ADJOUA BERENICE"/>
    <x v="0"/>
    <n v="9"/>
    <n v="7.05"/>
    <s v="CEU"/>
    <s v="7è"/>
    <s v="Admis"/>
    <m/>
    <x v="1"/>
    <s v="KOUAMEKRO"/>
    <n v="0"/>
    <n v="1"/>
    <m/>
    <m/>
    <x v="4"/>
  </r>
  <r>
    <n v="263"/>
    <s v="TRAORE ZAKARIA"/>
    <x v="1"/>
    <n v="10"/>
    <n v="6.9"/>
    <s v="CEU"/>
    <s v="8è"/>
    <s v="Admis"/>
    <m/>
    <x v="1"/>
    <s v="KOUAMEKRO"/>
    <n v="0"/>
    <n v="1"/>
    <m/>
    <m/>
    <x v="4"/>
  </r>
  <r>
    <n v="264"/>
    <s v="BAKOUAN SANDRINE"/>
    <x v="0"/>
    <n v="10"/>
    <n v="6.35"/>
    <s v="CEU"/>
    <s v="9è"/>
    <s v="Admis"/>
    <m/>
    <x v="1"/>
    <s v="KOUAMEKRO"/>
    <n v="0"/>
    <n v="1"/>
    <m/>
    <m/>
    <x v="4"/>
  </r>
  <r>
    <n v="265"/>
    <s v="OUATTARA ISSOUF"/>
    <x v="1"/>
    <n v="11"/>
    <n v="5.45"/>
    <s v="CEU"/>
    <s v="10è"/>
    <s v="Admis"/>
    <m/>
    <x v="1"/>
    <s v="KOUAMEKRO"/>
    <n v="0"/>
    <n v="1"/>
    <m/>
    <m/>
    <x v="4"/>
  </r>
  <r>
    <n v="266"/>
    <s v="YAO AHOU AIME DAVILLA"/>
    <x v="0"/>
    <n v="11"/>
    <n v="5.3"/>
    <s v="CEU"/>
    <s v="11è"/>
    <s v="Admis"/>
    <m/>
    <x v="1"/>
    <s v="KOUAMEKRO"/>
    <n v="0"/>
    <n v="1"/>
    <m/>
    <m/>
    <x v="4"/>
  </r>
  <r>
    <n v="267"/>
    <s v="OUATTARA MAIMOUNA"/>
    <x v="0"/>
    <n v="9"/>
    <n v="4.8499999999999996"/>
    <s v="CEU"/>
    <s v="12è"/>
    <s v="Redouble"/>
    <m/>
    <x v="1"/>
    <s v="KOUAMEKRO"/>
    <n v="0"/>
    <n v="0"/>
    <m/>
    <m/>
    <x v="4"/>
  </r>
  <r>
    <n v="268"/>
    <s v="KAMBIRE FRANCK"/>
    <x v="1"/>
    <n v="10"/>
    <n v="4.75"/>
    <s v="CEU"/>
    <s v="13è"/>
    <s v="Redouble"/>
    <m/>
    <x v="1"/>
    <s v="KOUAMEKRO"/>
    <n v="0"/>
    <n v="0"/>
    <m/>
    <m/>
    <x v="4"/>
  </r>
  <r>
    <n v="269"/>
    <s v="KAMBIRE JONI"/>
    <x v="1"/>
    <n v="10"/>
    <n v="4.3499999999999996"/>
    <s v="CEU"/>
    <s v="14è"/>
    <s v="Redouble"/>
    <m/>
    <x v="1"/>
    <s v="KOUAMEKRO"/>
    <n v="0"/>
    <n v="0"/>
    <m/>
    <m/>
    <x v="4"/>
  </r>
  <r>
    <n v="270"/>
    <s v="KAFFANO ADJARA"/>
    <x v="0"/>
    <n v="9"/>
    <n v="4.2"/>
    <s v="CEU"/>
    <s v="15è"/>
    <s v="Redouble"/>
    <m/>
    <x v="1"/>
    <s v="KOUAMEKRO"/>
    <n v="0"/>
    <n v="0"/>
    <m/>
    <m/>
    <x v="4"/>
  </r>
  <r>
    <n v="271"/>
    <s v="OUATTARA FATOU"/>
    <x v="0"/>
    <n v="9"/>
    <n v="2.7"/>
    <s v="CEU"/>
    <s v="16è"/>
    <s v="Redouble"/>
    <m/>
    <x v="1"/>
    <s v="KOUAMEKRO"/>
    <n v="0"/>
    <n v="0"/>
    <m/>
    <m/>
    <x v="4"/>
  </r>
  <r>
    <n v="272"/>
    <s v="LAGO YAPI HERMANN"/>
    <x v="1"/>
    <n v="9"/>
    <s v="Absent"/>
    <s v="CEU"/>
    <s v="Absent"/>
    <s v="Absent"/>
    <m/>
    <x v="1"/>
    <s v="KOUAMEKRO"/>
    <n v="0"/>
    <n v="0"/>
    <m/>
    <m/>
    <x v="4"/>
  </r>
  <r>
    <n v="273"/>
    <s v="LEROU ANGE CHIMENE"/>
    <x v="0"/>
    <n v="10"/>
    <s v="Absent"/>
    <s v="CEU"/>
    <s v="Absent"/>
    <s v="Absent"/>
    <m/>
    <x v="1"/>
    <s v="KOUAMEKRO"/>
    <n v="0"/>
    <n v="0"/>
    <m/>
    <m/>
    <x v="4"/>
  </r>
  <r>
    <n v="274"/>
    <s v="ZOUBONGO IBRAHIM"/>
    <x v="1"/>
    <n v="10"/>
    <n v="7.4"/>
    <s v="CEU"/>
    <s v="1er"/>
    <s v="Admis"/>
    <m/>
    <x v="1"/>
    <s v="OKABO"/>
    <n v="0"/>
    <n v="1"/>
    <m/>
    <m/>
    <x v="4"/>
  </r>
  <r>
    <n v="275"/>
    <s v="OUEDRAOGO SOULEYMANE"/>
    <x v="1"/>
    <n v="14"/>
    <n v="7.3"/>
    <s v="CEU"/>
    <s v="2è"/>
    <s v="Admis"/>
    <m/>
    <x v="1"/>
    <s v="OKABO"/>
    <n v="0"/>
    <n v="1"/>
    <m/>
    <m/>
    <x v="4"/>
  </r>
  <r>
    <n v="276"/>
    <s v="OUEDRAOGO ZAKARIA"/>
    <x v="1"/>
    <n v="12"/>
    <n v="7.25"/>
    <s v="CEU"/>
    <s v="3è"/>
    <s v="Admis"/>
    <m/>
    <x v="1"/>
    <s v="OKABO"/>
    <n v="0"/>
    <n v="1"/>
    <m/>
    <m/>
    <x v="4"/>
  </r>
  <r>
    <n v="277"/>
    <s v="KOBORE FADILATOU"/>
    <x v="0"/>
    <n v="9"/>
    <n v="7.2"/>
    <s v="CEU"/>
    <s v="4è"/>
    <s v="Admis"/>
    <m/>
    <x v="1"/>
    <s v="OKABO"/>
    <n v="0"/>
    <n v="1"/>
    <m/>
    <m/>
    <x v="4"/>
  </r>
  <r>
    <n v="278"/>
    <s v="OUEDRAOGO ACHIM"/>
    <x v="1"/>
    <n v="12"/>
    <n v="7.15"/>
    <s v="CEU"/>
    <s v="5è"/>
    <s v="Admis"/>
    <m/>
    <x v="1"/>
    <s v="OKABO"/>
    <n v="0"/>
    <n v="1"/>
    <m/>
    <m/>
    <x v="4"/>
  </r>
  <r>
    <n v="279"/>
    <s v="OUEDRAOGO RIHAMATOU"/>
    <x v="0"/>
    <n v="12"/>
    <n v="7.1"/>
    <s v="CEU"/>
    <s v="6è"/>
    <s v="Admis"/>
    <m/>
    <x v="1"/>
    <s v="OKABO"/>
    <n v="0"/>
    <n v="1"/>
    <m/>
    <m/>
    <x v="4"/>
  </r>
  <r>
    <n v="280"/>
    <s v="KABORE WAHAB"/>
    <x v="1"/>
    <n v="11"/>
    <n v="7.05"/>
    <s v="CEU"/>
    <s v="7è"/>
    <s v="Admis"/>
    <m/>
    <x v="1"/>
    <s v="OKABO"/>
    <n v="0"/>
    <n v="1"/>
    <m/>
    <m/>
    <x v="4"/>
  </r>
  <r>
    <n v="281"/>
    <s v="KOUASSI KOFFI SADOCK"/>
    <x v="1"/>
    <n v="10"/>
    <n v="7.05"/>
    <s v="CEU"/>
    <s v="7èX"/>
    <s v="Admis"/>
    <m/>
    <x v="1"/>
    <s v="OKABO"/>
    <n v="0"/>
    <n v="1"/>
    <m/>
    <m/>
    <x v="4"/>
  </r>
  <r>
    <n v="282"/>
    <s v="KOUASSI AMENAN Noélle"/>
    <x v="0"/>
    <n v="10"/>
    <n v="6.85"/>
    <s v="CEU"/>
    <s v="9è"/>
    <s v="Admis"/>
    <m/>
    <x v="1"/>
    <s v="OKABO"/>
    <n v="0"/>
    <n v="1"/>
    <m/>
    <m/>
    <x v="4"/>
  </r>
  <r>
    <n v="283"/>
    <s v="KOUASSI AYA DOLCAS"/>
    <x v="0"/>
    <n v="13"/>
    <n v="6.85"/>
    <s v="CEU"/>
    <s v="9èX"/>
    <s v="Admis"/>
    <m/>
    <x v="1"/>
    <s v="OKABO"/>
    <n v="0"/>
    <n v="1"/>
    <m/>
    <m/>
    <x v="4"/>
  </r>
  <r>
    <n v="284"/>
    <s v="KABORE ATOU"/>
    <x v="0"/>
    <n v="10"/>
    <n v="6.7"/>
    <s v="CEU"/>
    <s v="11è"/>
    <s v="Admis"/>
    <m/>
    <x v="1"/>
    <s v="OKABO"/>
    <n v="0"/>
    <n v="1"/>
    <m/>
    <m/>
    <x v="4"/>
  </r>
  <r>
    <n v="285"/>
    <s v="KOLLOGO DANIEL"/>
    <x v="1"/>
    <n v="11"/>
    <n v="6.7"/>
    <s v="CEU"/>
    <s v="11èx"/>
    <s v="Admis"/>
    <m/>
    <x v="1"/>
    <s v="OKABO"/>
    <n v="0"/>
    <n v="1"/>
    <m/>
    <m/>
    <x v="4"/>
  </r>
  <r>
    <n v="286"/>
    <s v="KOFFI ADJOUA INESSE"/>
    <x v="0"/>
    <n v="12"/>
    <n v="5.75"/>
    <s v="CEU"/>
    <s v="13è"/>
    <s v="Admis"/>
    <m/>
    <x v="1"/>
    <s v="OKABO"/>
    <n v="0"/>
    <n v="1"/>
    <m/>
    <m/>
    <x v="4"/>
  </r>
  <r>
    <n v="287"/>
    <s v="OUEDRAOGO BARAKISSA"/>
    <x v="0"/>
    <n v="9"/>
    <n v="5.75"/>
    <s v="CEU"/>
    <s v="13èX"/>
    <s v="Admis"/>
    <m/>
    <x v="1"/>
    <s v="OKABO"/>
    <n v="0"/>
    <n v="1"/>
    <m/>
    <m/>
    <x v="4"/>
  </r>
  <r>
    <n v="288"/>
    <s v="OUEDRAOGO DEBORA"/>
    <x v="0"/>
    <n v="11"/>
    <n v="5.7"/>
    <s v="CEU"/>
    <s v="15è"/>
    <s v="Admis"/>
    <m/>
    <x v="1"/>
    <s v="OKABO"/>
    <n v="0"/>
    <n v="1"/>
    <m/>
    <m/>
    <x v="4"/>
  </r>
  <r>
    <n v="289"/>
    <s v="KABORE RAFIATOU"/>
    <x v="0"/>
    <n v="13"/>
    <n v="5.6"/>
    <s v="CEU"/>
    <s v="16è"/>
    <s v="Admis"/>
    <m/>
    <x v="1"/>
    <s v="OKABO"/>
    <n v="0"/>
    <n v="1"/>
    <m/>
    <m/>
    <x v="4"/>
  </r>
  <r>
    <n v="290"/>
    <s v="OUEDRAOGO NASSERATOU"/>
    <x v="0"/>
    <n v="10"/>
    <n v="5.45"/>
    <s v="CEU"/>
    <s v="17è"/>
    <s v="Admis"/>
    <m/>
    <x v="1"/>
    <s v="OKABO"/>
    <n v="0"/>
    <n v="1"/>
    <m/>
    <m/>
    <x v="4"/>
  </r>
  <r>
    <n v="291"/>
    <s v="OUEDRAOGO MAIMOUNATA"/>
    <x v="0"/>
    <n v="10"/>
    <n v="4.4000000000000004"/>
    <s v="CEU"/>
    <s v="18è"/>
    <s v="Redouble"/>
    <m/>
    <x v="1"/>
    <s v="OKABO"/>
    <n v="0"/>
    <n v="0"/>
    <m/>
    <m/>
    <x v="4"/>
  </r>
  <r>
    <n v="292"/>
    <s v="OUEDRAOGO  SAFIATOU"/>
    <x v="0"/>
    <n v="10"/>
    <n v="4.3"/>
    <s v="CEU"/>
    <s v="19è"/>
    <s v="Redouble"/>
    <m/>
    <x v="1"/>
    <s v="OKABO"/>
    <n v="0"/>
    <n v="0"/>
    <m/>
    <m/>
    <x v="4"/>
  </r>
  <r>
    <n v="293"/>
    <s v="FOFFI KOUADIO ONESIME"/>
    <x v="1"/>
    <n v="9"/>
    <s v="Absent"/>
    <s v="CEU"/>
    <s v="Absent"/>
    <s v="Absent"/>
    <m/>
    <x v="1"/>
    <s v="OKABO"/>
    <n v="0"/>
    <n v="0"/>
    <m/>
    <m/>
    <x v="4"/>
  </r>
  <r>
    <n v="294"/>
    <s v="FOFANA BATHIMEE"/>
    <x v="1"/>
    <n v="14"/>
    <n v="9.5"/>
    <s v="CPU"/>
    <s v="1er"/>
    <s v="Admis"/>
    <m/>
    <x v="1"/>
    <s v="YAOBLEKRO"/>
    <n v="1"/>
    <n v="0"/>
    <m/>
    <m/>
    <x v="0"/>
  </r>
  <r>
    <n v="295"/>
    <s v="TIMBO BAYAN"/>
    <x v="1"/>
    <n v="13"/>
    <n v="9.25"/>
    <s v="CPU"/>
    <s v="2è"/>
    <s v="Admis"/>
    <m/>
    <x v="1"/>
    <s v="YAOBLEKRO"/>
    <n v="1"/>
    <n v="0"/>
    <m/>
    <m/>
    <x v="0"/>
  </r>
  <r>
    <n v="296"/>
    <s v="TIMBO FATIMANTA "/>
    <x v="0"/>
    <n v="10"/>
    <n v="8.8699999999999992"/>
    <s v="CPU"/>
    <s v="3è"/>
    <s v="Admis"/>
    <m/>
    <x v="1"/>
    <s v="YAOBLEKRO"/>
    <n v="1"/>
    <n v="0"/>
    <m/>
    <m/>
    <x v="1"/>
  </r>
  <r>
    <n v="297"/>
    <s v="TIMBO MAIMOUNA"/>
    <x v="0"/>
    <n v="10"/>
    <n v="8.8699999999999992"/>
    <s v="CPU"/>
    <s v="3è"/>
    <s v="Admis"/>
    <m/>
    <x v="1"/>
    <s v="YAOBLEKRO"/>
    <n v="1"/>
    <n v="0"/>
    <m/>
    <m/>
    <x v="1"/>
  </r>
  <r>
    <n v="298"/>
    <s v="KISSA NANAN "/>
    <x v="0"/>
    <n v="9"/>
    <n v="8.75"/>
    <s v="CPU"/>
    <s v="5è"/>
    <s v="Admis"/>
    <m/>
    <x v="1"/>
    <s v="YAOBLEKRO"/>
    <n v="1"/>
    <n v="0"/>
    <m/>
    <m/>
    <x v="1"/>
  </r>
  <r>
    <n v="299"/>
    <s v="TRAORE BINTOU"/>
    <x v="0"/>
    <n v="9"/>
    <n v="8.75"/>
    <s v="CPU"/>
    <s v="5è"/>
    <s v="Admis"/>
    <m/>
    <x v="1"/>
    <s v="YAOBLEKRO"/>
    <n v="1"/>
    <n v="0"/>
    <m/>
    <m/>
    <x v="1"/>
  </r>
  <r>
    <n v="300"/>
    <s v="TIMBO SOULEMANE"/>
    <x v="1"/>
    <n v="9"/>
    <n v="8.6199999999999992"/>
    <s v="CPU"/>
    <s v="7è"/>
    <s v="Admis"/>
    <m/>
    <x v="1"/>
    <s v="YAOBLEKRO"/>
    <n v="1"/>
    <n v="0"/>
    <m/>
    <m/>
    <x v="1"/>
  </r>
  <r>
    <n v="301"/>
    <s v="TANGARA ABOULAYE"/>
    <x v="1"/>
    <n v="9"/>
    <n v="7.87"/>
    <s v="CPU"/>
    <s v="8è"/>
    <s v="Admis"/>
    <m/>
    <x v="1"/>
    <s v="YAOBLEKRO"/>
    <n v="1"/>
    <n v="0"/>
    <m/>
    <m/>
    <x v="1"/>
  </r>
  <r>
    <n v="302"/>
    <s v="KOUAME AMENAN ELODIE"/>
    <x v="0"/>
    <n v="10"/>
    <n v="7.5"/>
    <s v="CPU"/>
    <s v="9è"/>
    <s v="Admis"/>
    <m/>
    <x v="1"/>
    <s v="YAOBLEKRO"/>
    <n v="1"/>
    <n v="0"/>
    <m/>
    <m/>
    <x v="1"/>
  </r>
  <r>
    <n v="303"/>
    <s v="TIMBO LACINA"/>
    <x v="1"/>
    <n v="9"/>
    <n v="7.5"/>
    <s v="CPU"/>
    <s v="9èX"/>
    <s v="Admis"/>
    <m/>
    <x v="1"/>
    <s v="YAOBLEKRO"/>
    <n v="1"/>
    <n v="0"/>
    <m/>
    <m/>
    <x v="1"/>
  </r>
  <r>
    <n v="304"/>
    <s v="TIMBO ASSATA"/>
    <x v="0"/>
    <n v="11"/>
    <n v="7.37"/>
    <s v="CPU"/>
    <s v="11è"/>
    <s v="Admis"/>
    <m/>
    <x v="1"/>
    <s v="YAOBLEKRO"/>
    <n v="1"/>
    <n v="0"/>
    <m/>
    <m/>
    <x v="1"/>
  </r>
  <r>
    <n v="305"/>
    <s v="TRAORE SOUNKO"/>
    <x v="0"/>
    <n v="9"/>
    <n v="7.37"/>
    <s v="CPU"/>
    <s v="11èX"/>
    <s v="Admis"/>
    <m/>
    <x v="1"/>
    <s v="YAOBLEKRO"/>
    <n v="1"/>
    <n v="0"/>
    <m/>
    <m/>
    <x v="1"/>
  </r>
  <r>
    <n v="306"/>
    <s v="SEKOU KEMPO"/>
    <x v="1"/>
    <n v="9"/>
    <n v="7.25"/>
    <s v="CPU"/>
    <s v="13è"/>
    <s v="Admis"/>
    <m/>
    <x v="1"/>
    <s v="YAOBLEKRO"/>
    <n v="1"/>
    <n v="0"/>
    <m/>
    <m/>
    <x v="1"/>
  </r>
  <r>
    <n v="307"/>
    <s v="KISSA MADOU 1"/>
    <x v="1"/>
    <n v="9"/>
    <n v="6.37"/>
    <s v="CPU"/>
    <s v="14è"/>
    <s v="Admis"/>
    <m/>
    <x v="1"/>
    <s v="YAOBLEKRO"/>
    <n v="1"/>
    <n v="0"/>
    <m/>
    <m/>
    <x v="1"/>
  </r>
  <r>
    <n v="308"/>
    <s v="KISSA AWA "/>
    <x v="0"/>
    <n v="9"/>
    <n v="5.62"/>
    <s v="CPU"/>
    <s v="15è"/>
    <s v="Admis"/>
    <m/>
    <x v="1"/>
    <s v="YAOBLEKRO"/>
    <n v="1"/>
    <n v="0"/>
    <m/>
    <m/>
    <x v="1"/>
  </r>
  <r>
    <n v="309"/>
    <s v="KISSA KONGO "/>
    <x v="1"/>
    <n v="11"/>
    <n v="5.62"/>
    <s v="CPU"/>
    <s v="15è"/>
    <s v="Admis"/>
    <m/>
    <x v="1"/>
    <s v="YAOBLEKRO"/>
    <n v="1"/>
    <n v="0"/>
    <m/>
    <m/>
    <x v="1"/>
  </r>
  <r>
    <n v="310"/>
    <s v="KISSA ASSATA"/>
    <x v="0"/>
    <n v="9"/>
    <n v="4.75"/>
    <s v="CPU"/>
    <s v="17è"/>
    <s v="Redouble"/>
    <m/>
    <x v="1"/>
    <s v="YAOBLEKRO"/>
    <n v="0"/>
    <n v="0"/>
    <m/>
    <m/>
    <x v="2"/>
  </r>
  <r>
    <n v="311"/>
    <s v="TOURE AMINATA"/>
    <x v="0"/>
    <n v="10"/>
    <n v="4.25"/>
    <s v="CPU"/>
    <s v="18è"/>
    <s v="Redouble"/>
    <m/>
    <x v="1"/>
    <s v="YAOBLEKRO"/>
    <n v="0"/>
    <n v="0"/>
    <m/>
    <m/>
    <x v="2"/>
  </r>
  <r>
    <n v="312"/>
    <s v="KISSA MADOU 2"/>
    <x v="1"/>
    <n v="9"/>
    <n v="4.12"/>
    <s v="CPU"/>
    <s v="19è"/>
    <s v="Redouble"/>
    <m/>
    <x v="1"/>
    <s v="YAOBLEKRO"/>
    <n v="0"/>
    <n v="0"/>
    <m/>
    <m/>
    <x v="2"/>
  </r>
  <r>
    <n v="313"/>
    <s v="GINDO SOLO"/>
    <x v="1"/>
    <n v="10"/>
    <n v="3.75"/>
    <s v="CPU"/>
    <s v="20è"/>
    <s v="Redouble"/>
    <m/>
    <x v="1"/>
    <s v="YAOBLEKRO"/>
    <n v="0"/>
    <n v="0"/>
    <m/>
    <m/>
    <x v="2"/>
  </r>
  <r>
    <n v="314"/>
    <s v="CISSE FATIMATA "/>
    <x v="0"/>
    <n v="10"/>
    <n v="2"/>
    <s v="CPU"/>
    <s v="21è"/>
    <s v="Redouble"/>
    <m/>
    <x v="1"/>
    <s v="YAOBLEKRO"/>
    <n v="0"/>
    <n v="0"/>
    <m/>
    <m/>
    <x v="2"/>
  </r>
  <r>
    <n v="315"/>
    <s v="TANGARA YAYE"/>
    <x v="1"/>
    <n v="12"/>
    <s v="Absent"/>
    <s v="CPU"/>
    <m/>
    <s v="Absent"/>
    <m/>
    <x v="1"/>
    <s v="YAOBLEKRO"/>
    <n v="0"/>
    <n v="0"/>
    <m/>
    <m/>
    <x v="3"/>
  </r>
  <r>
    <n v="316"/>
    <s v="TIMBO MAMA"/>
    <x v="0"/>
    <n v="12"/>
    <s v="Absent"/>
    <s v="CPU"/>
    <m/>
    <s v="Absent"/>
    <m/>
    <x v="1"/>
    <s v="YAOBLEKRO"/>
    <n v="0"/>
    <n v="0"/>
    <m/>
    <m/>
    <x v="3"/>
  </r>
  <r>
    <n v="317"/>
    <s v="KOUADIO KOUASSI SAINT ARMAND"/>
    <x v="1"/>
    <n v="13"/>
    <n v="9.3699999999999992"/>
    <s v="CPU"/>
    <s v="1er"/>
    <s v="Admis"/>
    <m/>
    <x v="1"/>
    <s v="GNABOYA"/>
    <n v="1"/>
    <n v="0"/>
    <m/>
    <m/>
    <x v="0"/>
  </r>
  <r>
    <n v="318"/>
    <s v="KOUADIO AFFOUE ANGE"/>
    <x v="0"/>
    <n v="9"/>
    <n v="9.25"/>
    <s v="CPU"/>
    <s v="2è"/>
    <s v="Admis"/>
    <m/>
    <x v="1"/>
    <s v="GNABOYA"/>
    <n v="1"/>
    <n v="0"/>
    <m/>
    <m/>
    <x v="1"/>
  </r>
  <r>
    <n v="319"/>
    <s v="KOUADIO YAO WILFRID"/>
    <x v="1"/>
    <n v="11"/>
    <n v="9.1199999999999992"/>
    <s v="CPU"/>
    <s v="3è"/>
    <s v="Admis"/>
    <m/>
    <x v="1"/>
    <s v="GNABOYA"/>
    <n v="1"/>
    <n v="0"/>
    <m/>
    <m/>
    <x v="1"/>
  </r>
  <r>
    <n v="320"/>
    <s v="YOUBET KOFFI AIME"/>
    <x v="1"/>
    <n v="11"/>
    <n v="9.1199999999999992"/>
    <s v="CPU"/>
    <s v="4è"/>
    <s v="Admis"/>
    <m/>
    <x v="1"/>
    <s v="GNABOYA"/>
    <n v="1"/>
    <n v="0"/>
    <m/>
    <m/>
    <x v="1"/>
  </r>
  <r>
    <n v="321"/>
    <s v="KOUAKOU KOUASSI LEANDRE"/>
    <x v="1"/>
    <n v="9"/>
    <n v="9"/>
    <s v="CPU"/>
    <s v="5è"/>
    <s v="Admis"/>
    <m/>
    <x v="1"/>
    <s v="GNABOYA"/>
    <n v="1"/>
    <n v="0"/>
    <m/>
    <m/>
    <x v="1"/>
  </r>
  <r>
    <n v="322"/>
    <s v="DAH RACHELLE"/>
    <x v="0"/>
    <n v="14"/>
    <n v="8.3699999999999992"/>
    <s v="CPU"/>
    <s v="6è"/>
    <s v="Admis"/>
    <m/>
    <x v="1"/>
    <s v="GNABOYA"/>
    <n v="1"/>
    <n v="0"/>
    <m/>
    <m/>
    <x v="0"/>
  </r>
  <r>
    <n v="323"/>
    <s v="KOUAME KOUASSI MODESTE "/>
    <x v="1"/>
    <n v="11"/>
    <n v="8.1199999999999992"/>
    <s v="CPU"/>
    <s v="7è"/>
    <s v="Admis"/>
    <m/>
    <x v="1"/>
    <s v="GNABOYA"/>
    <n v="1"/>
    <n v="0"/>
    <m/>
    <m/>
    <x v="1"/>
  </r>
  <r>
    <n v="324"/>
    <s v="YAO KONAN JORESSE"/>
    <x v="1"/>
    <n v="12"/>
    <n v="8.1199999999999992"/>
    <s v="CPU"/>
    <s v="8è"/>
    <s v="Admis"/>
    <m/>
    <x v="1"/>
    <s v="GNABOYA"/>
    <n v="1"/>
    <n v="0"/>
    <m/>
    <m/>
    <x v="0"/>
  </r>
  <r>
    <n v="325"/>
    <s v="ATTOUGBRE AFFOUE KENANIA"/>
    <x v="0"/>
    <n v="11"/>
    <n v="7.62"/>
    <s v="CPU"/>
    <s v="9è"/>
    <s v="Admis"/>
    <m/>
    <x v="1"/>
    <s v="GNABOYA"/>
    <n v="1"/>
    <n v="0"/>
    <m/>
    <m/>
    <x v="1"/>
  </r>
  <r>
    <n v="326"/>
    <s v="KOUAME KOUASSI PACOME"/>
    <x v="1"/>
    <n v="13"/>
    <n v="7.37"/>
    <s v="CPU"/>
    <s v="10è"/>
    <s v="Admis"/>
    <m/>
    <x v="1"/>
    <s v="GNABOYA"/>
    <n v="1"/>
    <n v="0"/>
    <m/>
    <m/>
    <x v="0"/>
  </r>
  <r>
    <n v="327"/>
    <s v="KOUADIO  ADJOUA ELODIE"/>
    <x v="0"/>
    <n v="10"/>
    <n v="7.25"/>
    <s v="CPU"/>
    <s v="11è"/>
    <s v="Admis"/>
    <m/>
    <x v="1"/>
    <s v="GNABOYA"/>
    <n v="1"/>
    <n v="0"/>
    <m/>
    <m/>
    <x v="1"/>
  </r>
  <r>
    <n v="328"/>
    <s v="KOUAME KOFFI PRINCE"/>
    <x v="1"/>
    <n v="10"/>
    <n v="7.25"/>
    <s v="CPU"/>
    <s v="12è"/>
    <s v="Admis"/>
    <m/>
    <x v="1"/>
    <s v="GNABOYA"/>
    <n v="1"/>
    <n v="0"/>
    <m/>
    <m/>
    <x v="1"/>
  </r>
  <r>
    <n v="329"/>
    <s v="KOFFI KOUAKOU NATANAEL"/>
    <x v="1"/>
    <n v="10"/>
    <n v="7.12"/>
    <s v="CPU"/>
    <s v="13è"/>
    <s v="Admis"/>
    <m/>
    <x v="1"/>
    <s v="GNABOYA"/>
    <n v="1"/>
    <n v="0"/>
    <m/>
    <m/>
    <x v="1"/>
  </r>
  <r>
    <n v="330"/>
    <s v="YAO KONAN CHRISTOPHE"/>
    <x v="1"/>
    <n v="10"/>
    <n v="7.12"/>
    <s v="CPU"/>
    <s v="14è"/>
    <s v="Admis"/>
    <m/>
    <x v="1"/>
    <s v="GNABOYA"/>
    <n v="1"/>
    <n v="0"/>
    <m/>
    <m/>
    <x v="1"/>
  </r>
  <r>
    <n v="331"/>
    <s v="KOUAME KOUADIO ROMARIC"/>
    <x v="1"/>
    <n v="9"/>
    <n v="6.12"/>
    <s v="CPU"/>
    <s v="15è"/>
    <s v="Admis"/>
    <m/>
    <x v="1"/>
    <s v="GNABOYA"/>
    <n v="1"/>
    <n v="0"/>
    <m/>
    <m/>
    <x v="1"/>
  </r>
  <r>
    <n v="332"/>
    <s v="KOUADIO AMOIN REBECCA"/>
    <x v="0"/>
    <n v="12"/>
    <n v="5.62"/>
    <s v="CPU"/>
    <s v="16è"/>
    <s v="Admis"/>
    <m/>
    <x v="1"/>
    <s v="GNABOYA"/>
    <n v="1"/>
    <n v="0"/>
    <m/>
    <m/>
    <x v="0"/>
  </r>
  <r>
    <n v="333"/>
    <s v="KOUADIO KOUAKOU ROMARIC"/>
    <x v="1"/>
    <n v="10"/>
    <n v="5.5"/>
    <s v="CPU"/>
    <s v="17è"/>
    <s v="Admis"/>
    <m/>
    <x v="1"/>
    <s v="GNABOYA"/>
    <n v="1"/>
    <n v="0"/>
    <m/>
    <m/>
    <x v="1"/>
  </r>
  <r>
    <n v="334"/>
    <s v="KOFFI AHOU ELODIE"/>
    <x v="0"/>
    <n v="9"/>
    <n v="5.12"/>
    <s v="CPU"/>
    <s v="18è"/>
    <s v="Admis"/>
    <m/>
    <x v="1"/>
    <s v="GNABOYA"/>
    <n v="1"/>
    <n v="0"/>
    <m/>
    <m/>
    <x v="1"/>
  </r>
  <r>
    <n v="335"/>
    <s v="KOFFI AMOIN CHARLENE"/>
    <x v="0"/>
    <n v="11"/>
    <n v="4.62"/>
    <s v="CPU"/>
    <s v="19è"/>
    <s v="Redouble"/>
    <m/>
    <x v="1"/>
    <s v="GNABOYA"/>
    <n v="0"/>
    <n v="0"/>
    <m/>
    <m/>
    <x v="2"/>
  </r>
  <r>
    <n v="336"/>
    <s v="KOUAME KOFFI JEAN LUC"/>
    <x v="1"/>
    <n v="9"/>
    <n v="4.25"/>
    <s v="CPU"/>
    <s v="20è"/>
    <s v="Redouble"/>
    <m/>
    <x v="1"/>
    <s v="GNABOYA"/>
    <n v="0"/>
    <n v="0"/>
    <m/>
    <m/>
    <x v="2"/>
  </r>
  <r>
    <n v="337"/>
    <s v="KOUAME KOUASSI MESAC"/>
    <x v="1"/>
    <n v="12"/>
    <n v="3.5"/>
    <s v="CPU"/>
    <s v="21è"/>
    <s v="Redouble"/>
    <m/>
    <x v="1"/>
    <s v="GNABOYA"/>
    <n v="0"/>
    <n v="0"/>
    <m/>
    <m/>
    <x v="1"/>
  </r>
  <r>
    <n v="338"/>
    <s v="KOUAME KOUAKOU PHILIPPE"/>
    <x v="1"/>
    <n v="9"/>
    <n v="3"/>
    <s v="CPU"/>
    <s v="22è"/>
    <s v="Redouble"/>
    <m/>
    <x v="1"/>
    <s v="GNABOYA"/>
    <n v="0"/>
    <n v="0"/>
    <m/>
    <m/>
    <x v="2"/>
  </r>
  <r>
    <n v="339"/>
    <s v="KOUAME KOFFI FRANCK"/>
    <x v="1"/>
    <n v="10"/>
    <s v="Absent"/>
    <s v="CPU"/>
    <s v="23è"/>
    <s v="Absent"/>
    <m/>
    <x v="1"/>
    <s v="GNABOYA"/>
    <n v="0"/>
    <n v="0"/>
    <m/>
    <m/>
    <x v="3"/>
  </r>
  <r>
    <n v="340"/>
    <s v="KONAN KOFFI FRANCK"/>
    <x v="1"/>
    <n v="13"/>
    <s v="Absent"/>
    <s v="CPU"/>
    <s v="24è"/>
    <s v="Absent"/>
    <m/>
    <x v="1"/>
    <s v="GNABOYA"/>
    <n v="0"/>
    <n v="0"/>
    <m/>
    <m/>
    <x v="3"/>
  </r>
  <r>
    <n v="341"/>
    <s v="N'GUESSAN AMENAN ANNE"/>
    <x v="0"/>
    <n v="14"/>
    <s v="Absent"/>
    <s v="CPU"/>
    <s v="25è"/>
    <s v="Absent"/>
    <m/>
    <x v="1"/>
    <s v="GNABOYA"/>
    <n v="0"/>
    <n v="0"/>
    <m/>
    <m/>
    <x v="3"/>
  </r>
  <r>
    <n v="342"/>
    <s v="KOUADIO AKISSI SOSE BELLE"/>
    <x v="0"/>
    <n v="9"/>
    <n v="9"/>
    <s v="CPU"/>
    <s v="1ére"/>
    <s v="Admis"/>
    <m/>
    <x v="1"/>
    <s v="KOFFIKONANKRO"/>
    <n v="1"/>
    <n v="0"/>
    <m/>
    <m/>
    <x v="1"/>
  </r>
  <r>
    <n v="343"/>
    <s v="KOFFI AMENAN JOELLE"/>
    <x v="0"/>
    <n v="10"/>
    <n v="8.5"/>
    <s v="CPU"/>
    <s v="2è"/>
    <s v="Admis"/>
    <m/>
    <x v="1"/>
    <s v="KOFFIKONANKRO"/>
    <n v="1"/>
    <n v="0"/>
    <m/>
    <m/>
    <x v="1"/>
  </r>
  <r>
    <n v="344"/>
    <s v="N'GUESSAN AHOU BEREKIA"/>
    <x v="0"/>
    <n v="9"/>
    <n v="8.3699999999999992"/>
    <s v="CPU"/>
    <s v="3è"/>
    <s v="Admis"/>
    <m/>
    <x v="1"/>
    <s v="KOFFIKONANKRO"/>
    <n v="1"/>
    <n v="0"/>
    <m/>
    <m/>
    <x v="1"/>
  </r>
  <r>
    <n v="345"/>
    <s v="KANGA KOUAME MARUS"/>
    <x v="1"/>
    <n v="9"/>
    <n v="8"/>
    <s v="CPU"/>
    <s v="4è"/>
    <s v="Admis"/>
    <m/>
    <x v="1"/>
    <s v="KOFFIKONANKRO"/>
    <n v="1"/>
    <n v="0"/>
    <m/>
    <m/>
    <x v="1"/>
  </r>
  <r>
    <n v="346"/>
    <s v="YAO AYA "/>
    <x v="0"/>
    <n v="10"/>
    <n v="7.87"/>
    <s v="CPU"/>
    <s v="5è"/>
    <s v="Admis"/>
    <m/>
    <x v="1"/>
    <s v="KOFFIKONANKRO"/>
    <n v="1"/>
    <n v="0"/>
    <m/>
    <m/>
    <x v="1"/>
  </r>
  <r>
    <n v="347"/>
    <s v="KOUAKOU YAO JEAN MARC"/>
    <x v="1"/>
    <n v="9"/>
    <n v="7.75"/>
    <s v="CPU"/>
    <s v="6è"/>
    <s v="Admis"/>
    <m/>
    <x v="1"/>
    <s v="KOFFIKONANKRO"/>
    <n v="1"/>
    <n v="0"/>
    <m/>
    <m/>
    <x v="1"/>
  </r>
  <r>
    <n v="348"/>
    <s v="KOUAME AKISSI ESTELLE"/>
    <x v="0"/>
    <n v="9"/>
    <n v="7.62"/>
    <s v="CPU"/>
    <s v="7è"/>
    <s v="Admis"/>
    <m/>
    <x v="1"/>
    <s v="KOFFIKONANKRO"/>
    <n v="1"/>
    <n v="0"/>
    <m/>
    <m/>
    <x v="1"/>
  </r>
  <r>
    <n v="349"/>
    <s v="KOUADIO AMENAN EDITTE"/>
    <x v="0"/>
    <n v="10"/>
    <n v="7.62"/>
    <s v="CPU"/>
    <s v="7èX"/>
    <s v="Admis"/>
    <m/>
    <x v="1"/>
    <s v="KOFFIKONANKRO"/>
    <n v="1"/>
    <n v="0"/>
    <m/>
    <m/>
    <x v="1"/>
  </r>
  <r>
    <n v="350"/>
    <s v="KONAN AFFOUE EPIPHANIE"/>
    <x v="0"/>
    <n v="10"/>
    <n v="7.37"/>
    <s v="CPU"/>
    <s v="9è"/>
    <s v="Admis"/>
    <m/>
    <x v="1"/>
    <s v="KOFFIKONANKRO"/>
    <n v="1"/>
    <n v="0"/>
    <m/>
    <m/>
    <x v="1"/>
  </r>
  <r>
    <n v="351"/>
    <s v="KOFFI KONAN JAIRUS "/>
    <x v="1"/>
    <n v="9"/>
    <n v="7.37"/>
    <s v="CPU"/>
    <s v="9èX"/>
    <s v="Admis"/>
    <m/>
    <x v="1"/>
    <s v="KOFFIKONANKRO"/>
    <n v="1"/>
    <n v="0"/>
    <m/>
    <m/>
    <x v="1"/>
  </r>
  <r>
    <n v="352"/>
    <s v="KOUAME AKISSI LUDIE"/>
    <x v="0"/>
    <n v="9"/>
    <n v="7.37"/>
    <s v="CPU"/>
    <s v="9èX"/>
    <s v="Admis"/>
    <m/>
    <x v="1"/>
    <s v="KOFFIKONANKRO"/>
    <n v="1"/>
    <n v="0"/>
    <m/>
    <m/>
    <x v="1"/>
  </r>
  <r>
    <n v="353"/>
    <s v="KOUAME AMENAN MAGUI"/>
    <x v="0"/>
    <n v="9"/>
    <n v="7.25"/>
    <s v="CPU"/>
    <s v="12è"/>
    <s v="Admis"/>
    <m/>
    <x v="1"/>
    <s v="KOFFIKONANKRO"/>
    <n v="1"/>
    <n v="0"/>
    <m/>
    <m/>
    <x v="1"/>
  </r>
  <r>
    <n v="354"/>
    <s v="KOUAKOU AMENAN "/>
    <x v="0"/>
    <n v="9"/>
    <n v="7.12"/>
    <s v="CPU"/>
    <s v="13è"/>
    <s v="Admis"/>
    <m/>
    <x v="1"/>
    <s v="KOFFIKONANKRO"/>
    <n v="1"/>
    <n v="0"/>
    <m/>
    <m/>
    <x v="1"/>
  </r>
  <r>
    <n v="355"/>
    <s v="KONAN AYA EDOXLE"/>
    <x v="0"/>
    <n v="9"/>
    <n v="7.12"/>
    <s v="CPU"/>
    <s v="13èX"/>
    <s v="Admis"/>
    <m/>
    <x v="1"/>
    <s v="KOFFIKONANKRO"/>
    <n v="1"/>
    <n v="0"/>
    <m/>
    <m/>
    <x v="1"/>
  </r>
  <r>
    <n v="356"/>
    <s v="KOUAKOU AMOIN ALISSE"/>
    <x v="0"/>
    <n v="10"/>
    <n v="7.12"/>
    <s v="CPU"/>
    <s v="15è"/>
    <s v="Admis"/>
    <m/>
    <x v="1"/>
    <s v="KOFFIKONANKRO"/>
    <n v="1"/>
    <n v="0"/>
    <m/>
    <m/>
    <x v="1"/>
  </r>
  <r>
    <n v="357"/>
    <s v="KOUASSI AKISSI ABIGAEL"/>
    <x v="0"/>
    <n v="9"/>
    <n v="7"/>
    <s v="CPU"/>
    <s v="16è"/>
    <s v="Admis"/>
    <m/>
    <x v="1"/>
    <s v="KOFFIKONANKRO"/>
    <n v="1"/>
    <n v="0"/>
    <m/>
    <m/>
    <x v="1"/>
  </r>
  <r>
    <n v="358"/>
    <s v="KOUAKOU ADJOUA CHRISTELLE"/>
    <x v="0"/>
    <n v="9"/>
    <n v="6.75"/>
    <s v="CPU"/>
    <s v="17èX"/>
    <s v="Admis"/>
    <m/>
    <x v="1"/>
    <s v="KOFFIKONANKRO"/>
    <n v="1"/>
    <n v="0"/>
    <m/>
    <m/>
    <x v="1"/>
  </r>
  <r>
    <n v="359"/>
    <s v="YOBOUET AKISSI ELLA ENICE"/>
    <x v="0"/>
    <n v="10"/>
    <n v="6.75"/>
    <s v="CPU"/>
    <s v="17Xè"/>
    <s v="Admis"/>
    <m/>
    <x v="1"/>
    <s v="KOFFIKONANKRO"/>
    <n v="1"/>
    <n v="0"/>
    <m/>
    <m/>
    <x v="1"/>
  </r>
  <r>
    <n v="360"/>
    <s v="KOUASSI AKISSI EDWIGE"/>
    <x v="0"/>
    <n v="11"/>
    <n v="6.5"/>
    <s v="CPU"/>
    <s v="19è"/>
    <s v="Admis"/>
    <m/>
    <x v="1"/>
    <s v="KOFFIKONANKRO"/>
    <n v="1"/>
    <n v="0"/>
    <m/>
    <m/>
    <x v="1"/>
  </r>
  <r>
    <n v="361"/>
    <s v="KOFFI KOFFI JEAN CHRIST"/>
    <x v="1"/>
    <n v="9"/>
    <n v="6.37"/>
    <s v="CPU"/>
    <s v="20èx"/>
    <s v="Admis"/>
    <m/>
    <x v="1"/>
    <s v="KOFFIKONANKRO"/>
    <n v="1"/>
    <n v="0"/>
    <m/>
    <m/>
    <x v="1"/>
  </r>
  <r>
    <n v="362"/>
    <s v="KOUAKOU KOUAKIO MADOGE"/>
    <x v="1"/>
    <n v="9"/>
    <n v="6.37"/>
    <s v="CPU"/>
    <s v="20èx"/>
    <s v="Admis"/>
    <m/>
    <x v="1"/>
    <s v="KOFFIKONANKRO"/>
    <n v="1"/>
    <n v="0"/>
    <m/>
    <m/>
    <x v="1"/>
  </r>
  <r>
    <n v="363"/>
    <s v="KOUAKOU YAO ARCHIL"/>
    <x v="1"/>
    <n v="9"/>
    <n v="6.37"/>
    <s v="CPU"/>
    <s v="20èx"/>
    <s v="Admis"/>
    <m/>
    <x v="1"/>
    <s v="KOFFIKONANKRO"/>
    <n v="1"/>
    <n v="0"/>
    <m/>
    <m/>
    <x v="1"/>
  </r>
  <r>
    <n v="364"/>
    <s v="KOUASSI AMOIN GEMIMA"/>
    <x v="0"/>
    <n v="9"/>
    <n v="4.87"/>
    <s v="CPU"/>
    <s v="23è"/>
    <s v="Redouble"/>
    <m/>
    <x v="1"/>
    <s v="KOFFIKONANKRO"/>
    <n v="0"/>
    <n v="0"/>
    <m/>
    <m/>
    <x v="2"/>
  </r>
  <r>
    <n v="365"/>
    <s v="BROU AFFOUE PARFAITE"/>
    <x v="0"/>
    <n v="9"/>
    <n v="4.12"/>
    <s v="CPU"/>
    <s v="24è"/>
    <s v="Redouble"/>
    <m/>
    <x v="1"/>
    <s v="KOFFIKONANKRO"/>
    <n v="0"/>
    <n v="0"/>
    <m/>
    <m/>
    <x v="2"/>
  </r>
  <r>
    <n v="366"/>
    <s v="KOUASSI KONAN CESAR"/>
    <x v="1"/>
    <n v="9"/>
    <n v="3.87"/>
    <s v="CPU"/>
    <s v="25è"/>
    <s v="Redouble"/>
    <m/>
    <x v="1"/>
    <s v="KOFFIKONANKRO"/>
    <n v="0"/>
    <n v="0"/>
    <m/>
    <m/>
    <x v="2"/>
  </r>
  <r>
    <n v="367"/>
    <s v="KOUAME ADJOUA SEPHORA"/>
    <x v="0"/>
    <n v="9"/>
    <n v="8.1199999999999992"/>
    <s v="CPU"/>
    <s v="1ére"/>
    <s v="Admis"/>
    <m/>
    <x v="1"/>
    <s v="MAYAKOFFIKRO"/>
    <n v="1"/>
    <n v="0"/>
    <m/>
    <m/>
    <x v="1"/>
  </r>
  <r>
    <n v="368"/>
    <s v="YAO KOUADIO JEAN NOEL"/>
    <x v="1"/>
    <n v="9"/>
    <n v="8"/>
    <s v="CPU"/>
    <s v="2è"/>
    <s v="Admis"/>
    <m/>
    <x v="1"/>
    <s v="MAYAKOFFIKRO"/>
    <n v="1"/>
    <n v="0"/>
    <m/>
    <m/>
    <x v="1"/>
  </r>
  <r>
    <n v="369"/>
    <s v="BAYALA ODA"/>
    <x v="1"/>
    <n v="10"/>
    <n v="7.62"/>
    <s v="CPU"/>
    <s v="3è"/>
    <s v="Admis"/>
    <m/>
    <x v="1"/>
    <s v="MAYAKOFFIKRO"/>
    <n v="1"/>
    <n v="0"/>
    <m/>
    <m/>
    <x v="1"/>
  </r>
  <r>
    <n v="370"/>
    <s v="KANKO ABOULAYE"/>
    <x v="1"/>
    <n v="9"/>
    <n v="7.62"/>
    <s v="CPU"/>
    <s v="3èX"/>
    <s v="Admis"/>
    <m/>
    <x v="1"/>
    <s v="MAYAKOFFIKRO"/>
    <n v="1"/>
    <n v="0"/>
    <m/>
    <m/>
    <x v="1"/>
  </r>
  <r>
    <n v="371"/>
    <s v="KOUAKOU KONAN MIEN- RAMISSOU"/>
    <x v="1"/>
    <n v="9"/>
    <n v="7.12"/>
    <s v="CPU"/>
    <s v="5è"/>
    <s v="Admis"/>
    <m/>
    <x v="1"/>
    <s v="MAYAKOFFIKRO"/>
    <n v="1"/>
    <n v="0"/>
    <m/>
    <m/>
    <x v="1"/>
  </r>
  <r>
    <n v="372"/>
    <s v="DAH ADAMA"/>
    <x v="1"/>
    <n v="9"/>
    <n v="6"/>
    <s v="CPU"/>
    <s v="6è"/>
    <s v="Admis"/>
    <m/>
    <x v="1"/>
    <s v="MAYAKOFFIKRO"/>
    <n v="1"/>
    <n v="0"/>
    <m/>
    <m/>
    <x v="1"/>
  </r>
  <r>
    <n v="373"/>
    <s v="BADJELA ALI"/>
    <x v="1"/>
    <n v="9"/>
    <n v="5.87"/>
    <s v="CPU"/>
    <s v="7è"/>
    <s v="Admis"/>
    <m/>
    <x v="1"/>
    <s v="MAYAKOFFIKRO"/>
    <n v="1"/>
    <n v="0"/>
    <m/>
    <m/>
    <x v="1"/>
  </r>
  <r>
    <n v="374"/>
    <s v="TCHINTINGA ERNEST"/>
    <x v="1"/>
    <n v="9"/>
    <n v="5.37"/>
    <s v="CPU"/>
    <s v="8è"/>
    <s v="Admis"/>
    <m/>
    <x v="1"/>
    <s v="MAYAKOFFIKRO"/>
    <n v="1"/>
    <n v="0"/>
    <m/>
    <m/>
    <x v="1"/>
  </r>
  <r>
    <n v="375"/>
    <s v="KONAN AYA LARISSA"/>
    <x v="0"/>
    <n v="10"/>
    <n v="5.25"/>
    <s v="CPU"/>
    <s v="9è"/>
    <s v="Admis"/>
    <m/>
    <x v="1"/>
    <s v="MAYAKOFFIKRO"/>
    <n v="1"/>
    <n v="0"/>
    <m/>
    <m/>
    <x v="1"/>
  </r>
  <r>
    <n v="376"/>
    <s v="TCHIENMAN LIMATA"/>
    <x v="0"/>
    <n v="9"/>
    <n v="5.25"/>
    <s v="CPU"/>
    <s v="9èx"/>
    <s v="Admis"/>
    <m/>
    <x v="1"/>
    <s v="MAYAKOFFIKRO"/>
    <n v="1"/>
    <n v="0"/>
    <m/>
    <m/>
    <x v="1"/>
  </r>
  <r>
    <n v="377"/>
    <s v="KONAN YAO SAMUEL"/>
    <x v="1"/>
    <n v="9"/>
    <n v="4.8099999999999996"/>
    <s v="CPU"/>
    <s v="11è"/>
    <s v="Redouble"/>
    <m/>
    <x v="1"/>
    <s v="MAYAKOFFIKRO"/>
    <n v="0"/>
    <n v="0"/>
    <m/>
    <m/>
    <x v="2"/>
  </r>
  <r>
    <n v="378"/>
    <s v="BAKO DANIEL"/>
    <x v="1"/>
    <n v="9"/>
    <n v="4.12"/>
    <s v="CPU"/>
    <s v="12è"/>
    <s v="Redouble"/>
    <m/>
    <x v="1"/>
    <s v="MAYAKOFFIKRO"/>
    <n v="0"/>
    <n v="0"/>
    <m/>
    <m/>
    <x v="2"/>
  </r>
  <r>
    <n v="379"/>
    <s v="BAYALA FRANCOIS"/>
    <x v="1"/>
    <n v="10"/>
    <n v="4"/>
    <s v="CPU"/>
    <s v="13è"/>
    <s v="Redouble"/>
    <m/>
    <x v="1"/>
    <s v="MAYAKOFFIKRO"/>
    <n v="0"/>
    <n v="0"/>
    <m/>
    <m/>
    <x v="2"/>
  </r>
  <r>
    <n v="380"/>
    <s v="DAH TIMBA"/>
    <x v="1"/>
    <n v="9"/>
    <n v="2.75"/>
    <s v="CPU"/>
    <s v="14è"/>
    <s v="Redouble"/>
    <m/>
    <x v="1"/>
    <s v="MAYAKOFFIKRO"/>
    <n v="0"/>
    <n v="0"/>
    <m/>
    <m/>
    <x v="2"/>
  </r>
  <r>
    <n v="381"/>
    <s v="KOUAKOU KOFFI ANGE ONESINE"/>
    <x v="1"/>
    <n v="9"/>
    <n v="2.75"/>
    <s v="CPU"/>
    <s v="14èx"/>
    <s v="Redouble"/>
    <m/>
    <x v="1"/>
    <s v="MAYAKOFFIKRO"/>
    <n v="0"/>
    <n v="0"/>
    <m/>
    <m/>
    <x v="2"/>
  </r>
  <r>
    <n v="382"/>
    <s v="KANYALA IRENE"/>
    <x v="0"/>
    <n v="9"/>
    <n v="2.1800000000000002"/>
    <s v="CPU"/>
    <s v="16è"/>
    <s v="Redouble"/>
    <m/>
    <x v="1"/>
    <s v="MAYAKOFFIKRO"/>
    <n v="0"/>
    <n v="0"/>
    <m/>
    <m/>
    <x v="2"/>
  </r>
  <r>
    <n v="383"/>
    <s v="SAWADOGO SYLIVIE "/>
    <x v="0"/>
    <n v="9"/>
    <n v="2.12"/>
    <s v="CPU"/>
    <s v="17è"/>
    <s v="Redouble"/>
    <m/>
    <x v="1"/>
    <s v="MAYAKOFFIKRO"/>
    <n v="0"/>
    <n v="0"/>
    <m/>
    <m/>
    <x v="2"/>
  </r>
  <r>
    <n v="384"/>
    <s v="TRAORE ADAMA"/>
    <x v="1"/>
    <n v="10"/>
    <n v="2"/>
    <s v="CPU"/>
    <s v="18è"/>
    <s v="Redouble"/>
    <m/>
    <x v="1"/>
    <s v="MAYAKOFFIKRO"/>
    <n v="0"/>
    <n v="0"/>
    <m/>
    <m/>
    <x v="2"/>
  </r>
  <r>
    <n v="385"/>
    <s v="KOFFI YAO JUNIOR "/>
    <x v="1"/>
    <n v="9"/>
    <s v="Absent"/>
    <s v="CPU"/>
    <s v="Absent"/>
    <s v="Absent"/>
    <m/>
    <x v="1"/>
    <s v="MAYAKOFFIKRO"/>
    <n v="0"/>
    <n v="0"/>
    <m/>
    <m/>
    <x v="3"/>
  </r>
  <r>
    <n v="386"/>
    <s v="DAH ABOU"/>
    <x v="1"/>
    <n v="9"/>
    <n v="7.75"/>
    <s v="CPU"/>
    <s v="1er"/>
    <s v="Admis"/>
    <m/>
    <x v="1"/>
    <s v="MAYAKOFFIKRO"/>
    <n v="1"/>
    <n v="0"/>
    <m/>
    <m/>
    <x v="1"/>
  </r>
  <r>
    <n v="387"/>
    <s v="KAOLA  YACOUBA"/>
    <x v="1"/>
    <n v="10"/>
    <n v="7.5"/>
    <s v="CPU"/>
    <s v="2è"/>
    <s v="Admis"/>
    <m/>
    <x v="1"/>
    <s v="MAYAKOFFIKRO"/>
    <n v="1"/>
    <n v="0"/>
    <m/>
    <m/>
    <x v="1"/>
  </r>
  <r>
    <n v="388"/>
    <s v="TCHEMAN FADILA"/>
    <x v="0"/>
    <n v="10"/>
    <n v="7.5"/>
    <s v="CPU"/>
    <s v="2èX"/>
    <s v="Admis"/>
    <m/>
    <x v="1"/>
    <s v="MAYAKOFFIKRO"/>
    <n v="1"/>
    <n v="0"/>
    <m/>
    <m/>
    <x v="1"/>
  </r>
  <r>
    <n v="389"/>
    <s v="KOFFI KOUASSI NARCISSE"/>
    <x v="1"/>
    <n v="10"/>
    <n v="7.12"/>
    <s v="CPU"/>
    <s v="4è"/>
    <s v="Admis"/>
    <m/>
    <x v="1"/>
    <s v="MAYAKOFFIKRO"/>
    <n v="1"/>
    <n v="0"/>
    <m/>
    <m/>
    <x v="1"/>
  </r>
  <r>
    <n v="390"/>
    <s v="KOUADIO AFFOUE EDOXIE"/>
    <x v="0"/>
    <n v="9"/>
    <n v="7.12"/>
    <s v="CPU"/>
    <s v="4èX"/>
    <s v="Admis"/>
    <m/>
    <x v="1"/>
    <s v="MAYAKOFFIKRO"/>
    <n v="1"/>
    <n v="0"/>
    <m/>
    <m/>
    <x v="1"/>
  </r>
  <r>
    <n v="391"/>
    <s v="KOFFI KOUASSI JOEL"/>
    <x v="1"/>
    <n v="9"/>
    <n v="6.5"/>
    <s v="CPU"/>
    <s v="6è"/>
    <s v="Admis"/>
    <m/>
    <x v="1"/>
    <s v="MAYAKOFFIKRO"/>
    <n v="1"/>
    <n v="0"/>
    <m/>
    <m/>
    <x v="1"/>
  </r>
  <r>
    <n v="392"/>
    <s v="DAH NIAMAN"/>
    <x v="0"/>
    <n v="9"/>
    <n v="6.37"/>
    <s v="CPU"/>
    <s v="7è"/>
    <s v="Admis"/>
    <m/>
    <x v="1"/>
    <s v="MAYAKOFFIKRO"/>
    <n v="1"/>
    <n v="0"/>
    <m/>
    <m/>
    <x v="1"/>
  </r>
  <r>
    <n v="393"/>
    <s v="SAWADOGO MOUSSA"/>
    <x v="1"/>
    <n v="10"/>
    <n v="6.37"/>
    <s v="CPU"/>
    <s v="7èX"/>
    <s v="Admis"/>
    <m/>
    <x v="1"/>
    <s v="MAYAKOFFIKRO"/>
    <n v="1"/>
    <n v="0"/>
    <m/>
    <m/>
    <x v="1"/>
  </r>
  <r>
    <n v="394"/>
    <s v="IRIE LOU INES"/>
    <x v="0"/>
    <n v="9"/>
    <n v="6"/>
    <s v="CPU"/>
    <s v="9è"/>
    <s v="Admis"/>
    <m/>
    <x v="1"/>
    <s v="MAYAKOFFIKRO"/>
    <n v="1"/>
    <n v="0"/>
    <m/>
    <m/>
    <x v="1"/>
  </r>
  <r>
    <n v="395"/>
    <s v="KOUAKOU KOFFI CHRIST ROI"/>
    <x v="1"/>
    <n v="9"/>
    <n v="5.75"/>
    <s v="CPU"/>
    <s v="10è"/>
    <s v="Admis"/>
    <m/>
    <x v="1"/>
    <s v="MAYAKOFFIKRO"/>
    <n v="1"/>
    <n v="0"/>
    <m/>
    <m/>
    <x v="1"/>
  </r>
  <r>
    <n v="396"/>
    <s v="DAH ALEXIS"/>
    <x v="1"/>
    <n v="10"/>
    <n v="4.37"/>
    <s v="CPU"/>
    <s v="11è"/>
    <s v="Redouble"/>
    <m/>
    <x v="1"/>
    <s v="MAYAKOFFIKRO"/>
    <n v="0"/>
    <n v="0"/>
    <m/>
    <m/>
    <x v="2"/>
  </r>
  <r>
    <n v="397"/>
    <s v="KANDJELA CATHERINE"/>
    <x v="0"/>
    <n v="9"/>
    <n v="3"/>
    <s v="CPU"/>
    <s v="13è"/>
    <s v="Redouble"/>
    <m/>
    <x v="1"/>
    <s v="MAYAKOFFIKRO"/>
    <n v="0"/>
    <n v="0"/>
    <m/>
    <m/>
    <x v="2"/>
  </r>
  <r>
    <n v="398"/>
    <s v="BAKO HAMED"/>
    <x v="1"/>
    <n v="9"/>
    <n v="2.75"/>
    <s v="CPU"/>
    <s v="14è"/>
    <s v="Redouble"/>
    <m/>
    <x v="1"/>
    <s v="MAYAKOFFIKRO"/>
    <n v="0"/>
    <n v="0"/>
    <m/>
    <m/>
    <x v="2"/>
  </r>
  <r>
    <n v="399"/>
    <s v="BAYALA LYDIE"/>
    <x v="0"/>
    <n v="10"/>
    <n v="2.62"/>
    <s v="CPU"/>
    <s v="15è"/>
    <s v="Redouble"/>
    <m/>
    <x v="1"/>
    <s v="MAYAKOFFIKRO"/>
    <n v="0"/>
    <n v="0"/>
    <m/>
    <m/>
    <x v="2"/>
  </r>
  <r>
    <n v="400"/>
    <s v="N'DRI KONAN MOISE"/>
    <x v="1"/>
    <n v="10"/>
    <n v="3.75"/>
    <s v="CPU"/>
    <s v="15è"/>
    <s v="Redouble"/>
    <m/>
    <x v="1"/>
    <s v="MAYAKOFFIKRO"/>
    <n v="0"/>
    <n v="0"/>
    <m/>
    <m/>
    <x v="2"/>
  </r>
  <r>
    <n v="401"/>
    <s v="KOUADIO ADJOUA MIREILLE "/>
    <x v="0"/>
    <n v="9"/>
    <n v="1.75"/>
    <s v="CPU"/>
    <s v="16è"/>
    <s v="Redouble"/>
    <m/>
    <x v="1"/>
    <s v="MAYAKOFFIKRO"/>
    <n v="0"/>
    <n v="0"/>
    <m/>
    <m/>
    <x v="2"/>
  </r>
  <r>
    <n v="402"/>
    <s v="TCHIENTEKA MARTIN"/>
    <x v="1"/>
    <n v="9"/>
    <n v="1.37"/>
    <s v="CPU"/>
    <s v="17è"/>
    <s v="Redouble"/>
    <m/>
    <x v="1"/>
    <s v="MAYAKOFFIKRO"/>
    <n v="0"/>
    <n v="0"/>
    <m/>
    <m/>
    <x v="2"/>
  </r>
  <r>
    <n v="403"/>
    <s v="KONDOBO ALEXIS"/>
    <x v="1"/>
    <n v="10"/>
    <n v="1.25"/>
    <s v="CPU"/>
    <s v="18è"/>
    <s v="Redouble"/>
    <m/>
    <x v="1"/>
    <s v="MAYAKOFFIKRO"/>
    <n v="0"/>
    <n v="0"/>
    <m/>
    <m/>
    <x v="2"/>
  </r>
  <r>
    <n v="404"/>
    <s v="KOUAKOU KOFFI MOISE "/>
    <x v="1"/>
    <n v="10"/>
    <n v="1.1200000000000001"/>
    <s v="CPU"/>
    <s v="19è"/>
    <s v="Redouble"/>
    <m/>
    <x v="1"/>
    <s v="MAYAKOFFIKRO"/>
    <n v="0"/>
    <n v="0"/>
    <m/>
    <m/>
    <x v="2"/>
  </r>
  <r>
    <n v="405"/>
    <s v="BELEM ABDOULAYE"/>
    <x v="1"/>
    <n v="10"/>
    <n v="9.6199999999999992"/>
    <s v="CPU"/>
    <s v="1er"/>
    <s v="Admis"/>
    <m/>
    <x v="1"/>
    <s v="BINDOUGOU"/>
    <n v="1"/>
    <n v="0"/>
    <m/>
    <m/>
    <x v="1"/>
  </r>
  <r>
    <n v="406"/>
    <s v="BELEM FATOUMATA"/>
    <x v="0"/>
    <n v="9"/>
    <n v="6.25"/>
    <s v="CPU"/>
    <s v="2è"/>
    <s v="Admis"/>
    <m/>
    <x v="1"/>
    <s v="BINDOUGOU"/>
    <n v="1"/>
    <n v="0"/>
    <m/>
    <m/>
    <x v="1"/>
  </r>
  <r>
    <n v="407"/>
    <s v="COULIBALY ASSETOU"/>
    <x v="0"/>
    <n v="10"/>
    <n v="5.5"/>
    <s v="CPU"/>
    <s v="20è"/>
    <s v="Admis"/>
    <m/>
    <x v="1"/>
    <s v="BINDOUGOU"/>
    <n v="1"/>
    <n v="0"/>
    <m/>
    <m/>
    <x v="1"/>
  </r>
  <r>
    <n v="408"/>
    <s v="DAH  SANSAN  BRICE"/>
    <x v="1"/>
    <n v="12"/>
    <n v="9.75"/>
    <s v="CPU"/>
    <s v="11è"/>
    <s v="Admis"/>
    <m/>
    <x v="1"/>
    <s v="BINDOUGOU"/>
    <n v="1"/>
    <n v="0"/>
    <m/>
    <m/>
    <x v="0"/>
  </r>
  <r>
    <n v="409"/>
    <s v="HIEN ALAIN"/>
    <x v="1"/>
    <n v="9"/>
    <n v="8.1199999999999992"/>
    <s v="CPU"/>
    <s v="13è"/>
    <s v="Admis"/>
    <m/>
    <x v="1"/>
    <s v="BINDOUGOU"/>
    <n v="1"/>
    <n v="0"/>
    <m/>
    <m/>
    <x v="1"/>
  </r>
  <r>
    <n v="410"/>
    <s v="HIEN ERNEST"/>
    <x v="1"/>
    <n v="12"/>
    <n v="9.75"/>
    <s v="CPU"/>
    <s v="1er"/>
    <s v="Admis"/>
    <m/>
    <x v="1"/>
    <s v="BINDOUGOU"/>
    <n v="1"/>
    <n v="0"/>
    <m/>
    <m/>
    <x v="0"/>
  </r>
  <r>
    <n v="411"/>
    <s v="IZE TETIALY ENOCK"/>
    <x v="1"/>
    <n v="9"/>
    <n v="7.12"/>
    <s v="CPU"/>
    <s v="11èx"/>
    <s v="Admis"/>
    <m/>
    <x v="1"/>
    <s v="BINDOUGOU"/>
    <n v="1"/>
    <n v="0"/>
    <m/>
    <m/>
    <x v="1"/>
  </r>
  <r>
    <n v="412"/>
    <s v="KAMBOU INI JULIETTE"/>
    <x v="0"/>
    <n v="10"/>
    <n v="9.25"/>
    <s v="CPU"/>
    <s v="16è"/>
    <s v="Admis"/>
    <m/>
    <x v="1"/>
    <s v="BINDOUGOU"/>
    <n v="1"/>
    <n v="0"/>
    <m/>
    <m/>
    <x v="1"/>
  </r>
  <r>
    <n v="413"/>
    <s v="KAMBOU VALENTIN"/>
    <x v="1"/>
    <n v="10"/>
    <n v="8.6199999999999992"/>
    <s v="CPU"/>
    <s v="15è"/>
    <s v="Admis"/>
    <m/>
    <x v="1"/>
    <s v="BINDOUGOU"/>
    <n v="1"/>
    <n v="0"/>
    <m/>
    <m/>
    <x v="1"/>
  </r>
  <r>
    <n v="414"/>
    <s v="KOMBASSERE ELYSE"/>
    <x v="1"/>
    <n v="11"/>
    <n v="9.1199999999999992"/>
    <s v="CPU"/>
    <s v="9è"/>
    <s v="Admis"/>
    <m/>
    <x v="1"/>
    <s v="BINDOUGOU"/>
    <n v="1"/>
    <n v="0"/>
    <m/>
    <m/>
    <x v="1"/>
  </r>
  <r>
    <n v="415"/>
    <s v="MALGOUBRI MATHIAS"/>
    <x v="1"/>
    <n v="10"/>
    <n v="9.3699999999999992"/>
    <s v="CPU"/>
    <s v="7è"/>
    <s v="Admis"/>
    <m/>
    <x v="1"/>
    <s v="BINDOUGOU"/>
    <n v="1"/>
    <n v="0"/>
    <m/>
    <m/>
    <x v="1"/>
  </r>
  <r>
    <n v="416"/>
    <s v="OUATTARA ABIBATOU"/>
    <x v="0"/>
    <n v="11"/>
    <n v="8.25"/>
    <s v="CPU"/>
    <s v="6è"/>
    <s v="Admis"/>
    <m/>
    <x v="1"/>
    <s v="BINDOUGOU"/>
    <n v="1"/>
    <n v="0"/>
    <m/>
    <m/>
    <x v="1"/>
  </r>
  <r>
    <n v="417"/>
    <s v="OUATTARA DRISSA "/>
    <x v="1"/>
    <n v="11"/>
    <n v="6.87"/>
    <s v="CPU"/>
    <s v="5è"/>
    <s v="Admis"/>
    <m/>
    <x v="1"/>
    <s v="BINDOUGOU"/>
    <n v="1"/>
    <n v="0"/>
    <m/>
    <m/>
    <x v="1"/>
  </r>
  <r>
    <n v="418"/>
    <s v="OUATTARA ZAKARI"/>
    <x v="1"/>
    <n v="9"/>
    <n v="9"/>
    <s v="CPU"/>
    <s v="21è"/>
    <s v="Admis"/>
    <m/>
    <x v="1"/>
    <s v="BINDOUGOU"/>
    <n v="1"/>
    <n v="0"/>
    <m/>
    <m/>
    <x v="1"/>
  </r>
  <r>
    <n v="419"/>
    <s v="SAWADOGO HOUNDO"/>
    <x v="1"/>
    <n v="11"/>
    <n v="9"/>
    <s v="CPU"/>
    <s v="14è"/>
    <s v="Admis"/>
    <m/>
    <x v="1"/>
    <s v="BINDOUGOU"/>
    <n v="1"/>
    <n v="0"/>
    <m/>
    <m/>
    <x v="1"/>
  </r>
  <r>
    <n v="420"/>
    <s v="SOGBASSE GRACE"/>
    <x v="0"/>
    <n v="10"/>
    <n v="8.1199999999999992"/>
    <s v="CPU"/>
    <s v="19è"/>
    <s v="Admis"/>
    <m/>
    <x v="1"/>
    <s v="BINDOUGOU"/>
    <n v="1"/>
    <n v="0"/>
    <m/>
    <m/>
    <x v="1"/>
  </r>
  <r>
    <n v="421"/>
    <s v="SOGBASSE ISRAEL"/>
    <x v="1"/>
    <n v="9"/>
    <n v="9.75"/>
    <s v="CPU"/>
    <s v="7è"/>
    <s v="Admis"/>
    <m/>
    <x v="1"/>
    <s v="BINDOUGOU"/>
    <n v="1"/>
    <n v="0"/>
    <m/>
    <m/>
    <x v="1"/>
  </r>
  <r>
    <n v="422"/>
    <s v="SOM PELAGIE"/>
    <x v="0"/>
    <n v="10"/>
    <n v="8.6199999999999992"/>
    <s v="CPU"/>
    <s v="2è"/>
    <s v="Admis"/>
    <m/>
    <x v="1"/>
    <s v="BINDOUGOU"/>
    <n v="1"/>
    <n v="0"/>
    <m/>
    <m/>
    <x v="1"/>
  </r>
  <r>
    <n v="423"/>
    <s v="SOM SIE JEAN BAPTISE"/>
    <x v="1"/>
    <n v="10"/>
    <n v="9.75"/>
    <s v="CPU"/>
    <s v="10è"/>
    <s v="Admis"/>
    <m/>
    <x v="1"/>
    <s v="BINDOUGOU"/>
    <n v="1"/>
    <n v="0"/>
    <m/>
    <m/>
    <x v="1"/>
  </r>
  <r>
    <n v="424"/>
    <s v="OUATTARA AICHATOU"/>
    <x v="0"/>
    <n v="10"/>
    <s v="Absent"/>
    <s v="CPU"/>
    <s v="Absent"/>
    <s v="Absent"/>
    <m/>
    <x v="1"/>
    <s v="BINDOUGOU"/>
    <n v="0"/>
    <n v="0"/>
    <m/>
    <m/>
    <x v="3"/>
  </r>
  <r>
    <n v="425"/>
    <s v="HIEN REBECCA"/>
    <x v="0"/>
    <n v="10"/>
    <s v="Absent"/>
    <s v="CPU"/>
    <s v="Absent"/>
    <s v="Absent"/>
    <m/>
    <x v="1"/>
    <s v="BINDOUGOU"/>
    <n v="0"/>
    <n v="0"/>
    <m/>
    <m/>
    <x v="3"/>
  </r>
  <r>
    <n v="426"/>
    <s v="SOM LAURENT "/>
    <x v="1"/>
    <n v="10"/>
    <s v="Absent"/>
    <s v="CPU"/>
    <s v="Absent"/>
    <s v="Absent"/>
    <m/>
    <x v="1"/>
    <s v="BINDOUGOU"/>
    <n v="0"/>
    <n v="0"/>
    <m/>
    <m/>
    <x v="3"/>
  </r>
  <r>
    <n v="427"/>
    <s v="PALE ELIZABETH"/>
    <x v="0"/>
    <n v="10"/>
    <s v="Absent"/>
    <s v="CPU"/>
    <s v="Absent"/>
    <s v="Absent"/>
    <m/>
    <x v="1"/>
    <s v="BINDOUGOU"/>
    <n v="0"/>
    <n v="0"/>
    <m/>
    <m/>
    <x v="3"/>
  </r>
  <r>
    <n v="428"/>
    <s v="COULIBALY ZAKARIA"/>
    <x v="1"/>
    <n v="9"/>
    <n v="8.75"/>
    <s v="CPU"/>
    <s v="9è"/>
    <s v="Admis"/>
    <m/>
    <x v="1"/>
    <s v="BINDOUGOU"/>
    <n v="1"/>
    <n v="0"/>
    <m/>
    <m/>
    <x v="1"/>
  </r>
  <r>
    <n v="429"/>
    <s v="DAH INI GERMAINE"/>
    <x v="0"/>
    <n v="9"/>
    <n v="7"/>
    <s v="CPU"/>
    <s v="15è"/>
    <s v="Admis"/>
    <m/>
    <x v="1"/>
    <s v="BINDOUGOU"/>
    <n v="1"/>
    <n v="0"/>
    <m/>
    <m/>
    <x v="1"/>
  </r>
  <r>
    <n v="430"/>
    <s v="DAH FLORENT"/>
    <x v="1"/>
    <n v="10"/>
    <n v="8"/>
    <s v="CPU"/>
    <s v="7è"/>
    <s v="Admis"/>
    <m/>
    <x v="1"/>
    <s v="BINDOUGOU"/>
    <n v="1"/>
    <n v="0"/>
    <m/>
    <m/>
    <x v="1"/>
  </r>
  <r>
    <n v="431"/>
    <s v="DAH MARCELIN"/>
    <x v="1"/>
    <n v="10"/>
    <n v="9.5"/>
    <s v="CPU"/>
    <s v="1er"/>
    <s v="Admis"/>
    <m/>
    <x v="1"/>
    <s v="BINDOUGOU"/>
    <n v="1"/>
    <n v="0"/>
    <m/>
    <m/>
    <x v="1"/>
  </r>
  <r>
    <n v="432"/>
    <s v="HIEN AMANDINE"/>
    <x v="0"/>
    <n v="9"/>
    <n v="7.75"/>
    <s v="CPU"/>
    <s v="5è"/>
    <s v="Admis"/>
    <m/>
    <x v="1"/>
    <s v="BINDOUGOU"/>
    <n v="1"/>
    <n v="0"/>
    <m/>
    <m/>
    <x v="1"/>
  </r>
  <r>
    <n v="433"/>
    <s v="HIEN ANGELE"/>
    <x v="0"/>
    <n v="9"/>
    <n v="6.13"/>
    <s v="CPU"/>
    <s v="19è"/>
    <s v="Admis"/>
    <m/>
    <x v="1"/>
    <s v="BINDOUGOU"/>
    <n v="1"/>
    <n v="0"/>
    <m/>
    <m/>
    <x v="1"/>
  </r>
  <r>
    <n v="434"/>
    <s v="HIEN  PAULIN"/>
    <x v="1"/>
    <n v="10"/>
    <n v="4.5"/>
    <s v="CPU"/>
    <s v="22è"/>
    <s v="Redouble"/>
    <m/>
    <x v="1"/>
    <s v="BINDOUGOU"/>
    <n v="0"/>
    <n v="0"/>
    <m/>
    <m/>
    <x v="2"/>
  </r>
  <r>
    <n v="435"/>
    <s v="IZE SEPHORA"/>
    <x v="0"/>
    <n v="9"/>
    <n v="5.5"/>
    <s v="CPU"/>
    <s v="12è"/>
    <s v="Admis"/>
    <m/>
    <x v="1"/>
    <s v="BINDOUGOU"/>
    <n v="1"/>
    <n v="0"/>
    <m/>
    <m/>
    <x v="1"/>
  </r>
  <r>
    <n v="436"/>
    <s v="KAMBOU VICTOIRA"/>
    <x v="0"/>
    <n v="9"/>
    <n v="7.63"/>
    <s v="CPU"/>
    <s v="3è"/>
    <s v="Admis"/>
    <m/>
    <x v="1"/>
    <s v="BINDOUGOU"/>
    <n v="1"/>
    <n v="0"/>
    <m/>
    <m/>
    <x v="1"/>
  </r>
  <r>
    <n v="437"/>
    <s v="KAMBOU JUNIOR"/>
    <x v="1"/>
    <n v="9"/>
    <n v="7.13"/>
    <s v="CPU"/>
    <s v="2è"/>
    <s v="Admis"/>
    <m/>
    <x v="1"/>
    <s v="BINDOUGOU"/>
    <n v="1"/>
    <n v="0"/>
    <m/>
    <m/>
    <x v="1"/>
  </r>
  <r>
    <n v="438"/>
    <s v="KAMBOU SIE HABIB"/>
    <x v="1"/>
    <n v="9"/>
    <n v="6.75"/>
    <s v="CPU"/>
    <s v="14è"/>
    <s v="Admis"/>
    <m/>
    <x v="1"/>
    <s v="BINDOUGOU"/>
    <n v="1"/>
    <n v="0"/>
    <m/>
    <m/>
    <x v="1"/>
  </r>
  <r>
    <n v="439"/>
    <s v="KINDA HOUDA"/>
    <x v="1"/>
    <n v="9"/>
    <n v="7.5"/>
    <s v="CPU"/>
    <s v="12è"/>
    <s v="Admis"/>
    <m/>
    <x v="1"/>
    <s v="BINDOUGOU"/>
    <n v="1"/>
    <n v="0"/>
    <m/>
    <m/>
    <x v="1"/>
  </r>
  <r>
    <n v="440"/>
    <s v="KOMBASSERE  FIDELE"/>
    <x v="1"/>
    <n v="9"/>
    <n v="4.13"/>
    <s v="CPU"/>
    <s v="21è"/>
    <s v="Redouble"/>
    <m/>
    <x v="1"/>
    <s v="BINDOUGOU"/>
    <n v="0"/>
    <n v="0"/>
    <m/>
    <m/>
    <x v="2"/>
  </r>
  <r>
    <n v="441"/>
    <s v="KONE AMARA"/>
    <x v="1"/>
    <n v="9"/>
    <n v="8.6300000000000008"/>
    <s v="CPU"/>
    <s v="5è"/>
    <s v="Admis"/>
    <m/>
    <x v="1"/>
    <s v="BINDOUGOU"/>
    <n v="1"/>
    <n v="0"/>
    <m/>
    <m/>
    <x v="1"/>
  </r>
  <r>
    <n v="442"/>
    <s v="KONE SOUMAILA"/>
    <x v="1"/>
    <n v="9"/>
    <n v="3.13"/>
    <s v="CPU"/>
    <s v="23è"/>
    <s v="Redouble"/>
    <m/>
    <x v="1"/>
    <s v="BINDOUGOU"/>
    <n v="0"/>
    <n v="0"/>
    <m/>
    <m/>
    <x v="2"/>
  </r>
  <r>
    <n v="443"/>
    <s v="KONE YACOUBA"/>
    <x v="1"/>
    <n v="9"/>
    <n v="7.5"/>
    <s v="CPU"/>
    <s v="16è"/>
    <s v="Admis"/>
    <m/>
    <x v="1"/>
    <s v="BINDOUGOU"/>
    <n v="1"/>
    <n v="0"/>
    <m/>
    <m/>
    <x v="1"/>
  </r>
  <r>
    <n v="444"/>
    <s v="OUATTARA ALASSANE"/>
    <x v="1"/>
    <n v="9"/>
    <n v="8.5"/>
    <s v="CPU"/>
    <s v="7è"/>
    <s v="Admis"/>
    <m/>
    <x v="1"/>
    <s v="BINDOUGOU"/>
    <n v="1"/>
    <n v="0"/>
    <m/>
    <m/>
    <x v="1"/>
  </r>
  <r>
    <n v="445"/>
    <s v="SANKARA AMINATA"/>
    <x v="0"/>
    <n v="9"/>
    <n v="8.5"/>
    <s v="CPU"/>
    <s v="3è"/>
    <s v="Admis"/>
    <m/>
    <x v="1"/>
    <s v="BINDOUGOU"/>
    <n v="1"/>
    <n v="0"/>
    <m/>
    <m/>
    <x v="1"/>
  </r>
  <r>
    <n v="446"/>
    <s v="OUATTARA ISSIF"/>
    <x v="1"/>
    <n v="9"/>
    <n v="5.5"/>
    <s v="CPU"/>
    <s v="20è"/>
    <s v="Admis"/>
    <m/>
    <x v="1"/>
    <s v="BINDOUGOU"/>
    <n v="1"/>
    <n v="0"/>
    <m/>
    <m/>
    <x v="1"/>
  </r>
  <r>
    <n v="447"/>
    <s v="OUATTARA ISMAEL"/>
    <x v="1"/>
    <n v="9"/>
    <n v="8.8800000000000008"/>
    <s v="CPU"/>
    <s v="10è"/>
    <s v="Admis"/>
    <m/>
    <x v="1"/>
    <s v="BINDOUGOU"/>
    <n v="1"/>
    <n v="0"/>
    <m/>
    <m/>
    <x v="1"/>
  </r>
  <r>
    <n v="448"/>
    <s v="OUIYA PATRICIA"/>
    <x v="0"/>
    <n v="9"/>
    <n v="6.75"/>
    <s v="CPU"/>
    <s v="18è"/>
    <s v="Admis"/>
    <m/>
    <x v="1"/>
    <s v="BINDOUGOU"/>
    <n v="1"/>
    <n v="0"/>
    <m/>
    <m/>
    <x v="1"/>
  </r>
  <r>
    <n v="449"/>
    <s v="SERY FRANCK"/>
    <x v="1"/>
    <n v="9"/>
    <n v="5.63"/>
    <s v="CPU"/>
    <s v="11è"/>
    <s v="Admis"/>
    <m/>
    <x v="1"/>
    <s v="BINDOUGOU"/>
    <n v="1"/>
    <n v="0"/>
    <m/>
    <m/>
    <x v="1"/>
  </r>
  <r>
    <n v="450"/>
    <s v="SOM BEDY"/>
    <x v="1"/>
    <n v="9"/>
    <n v="8.75"/>
    <s v="CPU"/>
    <s v="16è"/>
    <s v="Admis"/>
    <m/>
    <x v="1"/>
    <s v="BINDOUGOU"/>
    <n v="1"/>
    <n v="0"/>
    <m/>
    <m/>
    <x v="1"/>
  </r>
  <r>
    <n v="451"/>
    <s v="OUATTARA AMINATOU"/>
    <x v="0"/>
    <n v="9"/>
    <s v="Absent"/>
    <s v="CPU"/>
    <s v="Absent"/>
    <s v="Absent"/>
    <m/>
    <x v="1"/>
    <s v="BINDOUGOU"/>
    <n v="0"/>
    <n v="0"/>
    <m/>
    <m/>
    <x v="3"/>
  </r>
  <r>
    <n v="452"/>
    <s v="KAFFANDO ADISSA "/>
    <x v="0"/>
    <n v="10"/>
    <n v="8.75"/>
    <s v="CPU"/>
    <s v="1er"/>
    <s v="Admis"/>
    <m/>
    <x v="1"/>
    <s v="WONSEALY"/>
    <n v="1"/>
    <n v="0"/>
    <m/>
    <m/>
    <x v="1"/>
  </r>
  <r>
    <n v="453"/>
    <s v="N'DRI AMANAN PICHELINE "/>
    <x v="0"/>
    <n v="11"/>
    <n v="8.25"/>
    <s v="CPU"/>
    <s v="2è"/>
    <s v="Admis"/>
    <m/>
    <x v="1"/>
    <s v="WONSEALY"/>
    <n v="1"/>
    <n v="0"/>
    <m/>
    <m/>
    <x v="1"/>
  </r>
  <r>
    <n v="454"/>
    <s v="ROUAMBA ALLASSANE "/>
    <x v="1"/>
    <n v="11"/>
    <n v="7.5"/>
    <s v="CPU"/>
    <s v="3è"/>
    <s v="Admis"/>
    <m/>
    <x v="1"/>
    <s v="WONSEALY"/>
    <n v="1"/>
    <n v="0"/>
    <m/>
    <m/>
    <x v="1"/>
  </r>
  <r>
    <n v="455"/>
    <s v="KAFFANDO ABIBA"/>
    <x v="0"/>
    <n v="9"/>
    <n v="7.37"/>
    <s v="CPU"/>
    <s v="4è"/>
    <s v="Admis"/>
    <m/>
    <x v="1"/>
    <s v="WONSEALY"/>
    <n v="1"/>
    <n v="0"/>
    <m/>
    <m/>
    <x v="1"/>
  </r>
  <r>
    <n v="456"/>
    <s v="RABO ADJERETOU"/>
    <x v="0"/>
    <n v="11"/>
    <n v="7.37"/>
    <s v="CPU"/>
    <s v="4èX"/>
    <s v="Admis"/>
    <m/>
    <x v="1"/>
    <s v="WONSEALY"/>
    <n v="1"/>
    <n v="0"/>
    <m/>
    <m/>
    <x v="1"/>
  </r>
  <r>
    <n v="457"/>
    <s v="MAIGA BRAHIMA"/>
    <x v="1"/>
    <n v="10"/>
    <n v="7"/>
    <s v="CPU"/>
    <s v="6è"/>
    <s v="Admis"/>
    <m/>
    <x v="1"/>
    <s v="WONSEALY"/>
    <n v="1"/>
    <n v="0"/>
    <m/>
    <m/>
    <x v="1"/>
  </r>
  <r>
    <n v="458"/>
    <s v="GANAME LADIE FATOU"/>
    <x v="0"/>
    <n v="12"/>
    <n v="6.87"/>
    <s v="CPU"/>
    <s v="7è"/>
    <s v="Admis"/>
    <m/>
    <x v="1"/>
    <s v="WONSEALY"/>
    <n v="1"/>
    <n v="0"/>
    <m/>
    <m/>
    <x v="0"/>
  </r>
  <r>
    <n v="459"/>
    <s v="RABO ASSAMNI"/>
    <x v="1"/>
    <n v="9"/>
    <n v="6.75"/>
    <s v="CPU"/>
    <s v="8è"/>
    <s v="Admis"/>
    <m/>
    <x v="1"/>
    <s v="WONSEALY"/>
    <n v="1"/>
    <n v="0"/>
    <m/>
    <m/>
    <x v="1"/>
  </r>
  <r>
    <n v="460"/>
    <s v="OUEDRAOGO AZIZ"/>
    <x v="1"/>
    <n v="11"/>
    <n v="6.5"/>
    <s v="CPU"/>
    <s v="9è"/>
    <s v="Admis"/>
    <m/>
    <x v="1"/>
    <s v="WONSEALY"/>
    <n v="1"/>
    <n v="0"/>
    <m/>
    <m/>
    <x v="1"/>
  </r>
  <r>
    <n v="461"/>
    <s v="SCPS SIE JOEL"/>
    <x v="1"/>
    <n v="10"/>
    <n v="6.5"/>
    <s v="CPU"/>
    <s v="9èX"/>
    <s v="Admis"/>
    <m/>
    <x v="1"/>
    <s v="WONSEALY"/>
    <n v="1"/>
    <n v="0"/>
    <m/>
    <m/>
    <x v="1"/>
  </r>
  <r>
    <n v="462"/>
    <s v="KAMBOU JUNIOR"/>
    <x v="1"/>
    <n v="11"/>
    <n v="6.37"/>
    <s v="CPU"/>
    <s v="11è"/>
    <s v="Admis"/>
    <m/>
    <x v="1"/>
    <s v="WONSEALY"/>
    <n v="1"/>
    <n v="0"/>
    <m/>
    <m/>
    <x v="1"/>
  </r>
  <r>
    <n v="463"/>
    <s v="RABO DAOUDA"/>
    <x v="1"/>
    <n v="10"/>
    <n v="6.12"/>
    <s v="CPU"/>
    <s v="12è"/>
    <s v="Admis"/>
    <m/>
    <x v="1"/>
    <s v="WONSEALY"/>
    <n v="1"/>
    <n v="0"/>
    <m/>
    <m/>
    <x v="1"/>
  </r>
  <r>
    <n v="464"/>
    <s v="GANAME SAMATOU"/>
    <x v="0"/>
    <n v="11"/>
    <n v="5.75"/>
    <s v="CPU"/>
    <s v="13è"/>
    <s v="Admis"/>
    <m/>
    <x v="1"/>
    <s v="WONSEALY"/>
    <n v="1"/>
    <n v="0"/>
    <m/>
    <m/>
    <x v="1"/>
  </r>
  <r>
    <n v="465"/>
    <s v="OUATTARA AWA "/>
    <x v="0"/>
    <n v="9"/>
    <n v="5.62"/>
    <s v="CPU"/>
    <s v="14è"/>
    <s v="Admis"/>
    <m/>
    <x v="1"/>
    <s v="WONSEALY"/>
    <n v="1"/>
    <n v="0"/>
    <m/>
    <m/>
    <x v="1"/>
  </r>
  <r>
    <n v="466"/>
    <s v="BADO ASSELE"/>
    <x v="0"/>
    <n v="9"/>
    <n v="5.5"/>
    <s v="CPU"/>
    <s v="15è"/>
    <s v="Admis"/>
    <m/>
    <x v="1"/>
    <s v="WONSEALY"/>
    <n v="1"/>
    <n v="0"/>
    <m/>
    <m/>
    <x v="1"/>
  </r>
  <r>
    <n v="467"/>
    <s v="KOFFI YAO YVANE"/>
    <x v="1"/>
    <n v="9"/>
    <n v="5"/>
    <s v="CPU"/>
    <s v="16è"/>
    <s v="Admis"/>
    <m/>
    <x v="1"/>
    <s v="WONSEALY"/>
    <n v="1"/>
    <n v="0"/>
    <m/>
    <m/>
    <x v="1"/>
  </r>
  <r>
    <n v="468"/>
    <s v="OUATTARA OUSMANE"/>
    <x v="1"/>
    <n v="10"/>
    <n v="3.5"/>
    <s v="CPU"/>
    <s v="17è"/>
    <s v="Redouble"/>
    <m/>
    <x v="1"/>
    <s v="WONSEALY"/>
    <n v="0"/>
    <n v="0"/>
    <m/>
    <m/>
    <x v="2"/>
  </r>
  <r>
    <n v="469"/>
    <s v="DIARRA YOUBA"/>
    <x v="1"/>
    <n v="9"/>
    <n v="2.62"/>
    <s v="CPU"/>
    <s v="18è"/>
    <s v="Redouble"/>
    <m/>
    <x v="1"/>
    <s v="WONSEALY"/>
    <n v="0"/>
    <n v="0"/>
    <m/>
    <m/>
    <x v="2"/>
  </r>
  <r>
    <n v="470"/>
    <s v="DA HO HO"/>
    <x v="0"/>
    <n v="9"/>
    <n v="1.62"/>
    <s v="CPU"/>
    <s v="19è"/>
    <s v="Redouble"/>
    <m/>
    <x v="1"/>
    <s v="WONSEALY"/>
    <n v="0"/>
    <n v="0"/>
    <m/>
    <m/>
    <x v="2"/>
  </r>
  <r>
    <n v="471"/>
    <s v="KAMBOU CHARLENE"/>
    <x v="0"/>
    <n v="9"/>
    <s v="Absent"/>
    <s v="CPU"/>
    <s v="Absent"/>
    <s v="Absent"/>
    <m/>
    <x v="1"/>
    <s v="WONSEALY"/>
    <n v="0"/>
    <n v="0"/>
    <m/>
    <m/>
    <x v="3"/>
  </r>
  <r>
    <n v="472"/>
    <s v="KOUASSI AFFOUE"/>
    <x v="0"/>
    <n v="9"/>
    <s v="Absent"/>
    <s v="CPU"/>
    <s v="Absent"/>
    <s v="Absent"/>
    <m/>
    <x v="1"/>
    <s v="WONSEALY"/>
    <n v="0"/>
    <n v="0"/>
    <m/>
    <m/>
    <x v="3"/>
  </r>
  <r>
    <n v="473"/>
    <s v="SERI LURICHE"/>
    <x v="0"/>
    <n v="9"/>
    <n v="9.6199999999999992"/>
    <s v="CPU"/>
    <s v="1er"/>
    <s v="Admis"/>
    <m/>
    <x v="1"/>
    <s v="WONSEALY"/>
    <n v="1"/>
    <n v="0"/>
    <m/>
    <m/>
    <x v="1"/>
  </r>
  <r>
    <n v="474"/>
    <s v="ZOUZOUA ELI MADOU"/>
    <x v="1"/>
    <n v="12"/>
    <n v="9.5"/>
    <s v="CPU"/>
    <s v="2è"/>
    <s v="Admis"/>
    <m/>
    <x v="1"/>
    <s v="WONSEALY"/>
    <n v="1"/>
    <n v="0"/>
    <m/>
    <m/>
    <x v="0"/>
  </r>
  <r>
    <n v="475"/>
    <s v="TRAORE MARIAM"/>
    <x v="0"/>
    <n v="10"/>
    <n v="9.1199999999999992"/>
    <s v="CPU"/>
    <s v="3è"/>
    <s v="Admis"/>
    <m/>
    <x v="1"/>
    <s v="WONSEALY"/>
    <n v="1"/>
    <n v="0"/>
    <m/>
    <m/>
    <x v="1"/>
  </r>
  <r>
    <n v="476"/>
    <s v="GATTA ZOUZOU JUNIOR"/>
    <x v="1"/>
    <n v="11"/>
    <n v="8.75"/>
    <s v="CPU"/>
    <s v="4è"/>
    <s v="Admis"/>
    <m/>
    <x v="1"/>
    <s v="WONSEALY"/>
    <n v="1"/>
    <n v="0"/>
    <m/>
    <m/>
    <x v="1"/>
  </r>
  <r>
    <n v="477"/>
    <s v="FALLET CEDRIC WILFRID"/>
    <x v="1"/>
    <n v="11"/>
    <n v="7.12"/>
    <s v="CPU"/>
    <s v="5è"/>
    <s v="Admis"/>
    <m/>
    <x v="1"/>
    <s v="WONSEALY"/>
    <n v="1"/>
    <n v="0"/>
    <m/>
    <m/>
    <x v="1"/>
  </r>
  <r>
    <n v="478"/>
    <s v="KEITA AFFOUSSATA"/>
    <x v="0"/>
    <n v="10"/>
    <n v="7"/>
    <s v="CPU"/>
    <s v="6è"/>
    <s v="Admis"/>
    <m/>
    <x v="1"/>
    <s v="WONSEALY"/>
    <n v="1"/>
    <n v="0"/>
    <m/>
    <m/>
    <x v="1"/>
  </r>
  <r>
    <n v="479"/>
    <s v="DIARRA DJENEBOU"/>
    <x v="0"/>
    <n v="10"/>
    <n v="6.87"/>
    <s v="CPU"/>
    <s v="7è"/>
    <s v="Admis"/>
    <m/>
    <x v="1"/>
    <s v="WONSEALY"/>
    <n v="1"/>
    <n v="0"/>
    <m/>
    <m/>
    <x v="1"/>
  </r>
  <r>
    <n v="480"/>
    <s v="KEITA WASSA"/>
    <x v="0"/>
    <n v="10"/>
    <n v="6.87"/>
    <s v="CPU"/>
    <s v="7èX"/>
    <s v="Admis"/>
    <m/>
    <x v="1"/>
    <s v="WONSEALY"/>
    <n v="1"/>
    <n v="0"/>
    <m/>
    <m/>
    <x v="1"/>
  </r>
  <r>
    <n v="481"/>
    <s v="SANGARE ARAMATOU"/>
    <x v="0"/>
    <n v="12"/>
    <n v="6.87"/>
    <s v="CPU"/>
    <s v="7èX"/>
    <s v="Admis"/>
    <m/>
    <x v="1"/>
    <s v="WONSEALY"/>
    <n v="1"/>
    <n v="0"/>
    <m/>
    <m/>
    <x v="0"/>
  </r>
  <r>
    <n v="482"/>
    <s v="KONE AWA"/>
    <x v="0"/>
    <n v="10"/>
    <n v="4.37"/>
    <s v="CPU"/>
    <s v="10è"/>
    <s v="Redouble"/>
    <m/>
    <x v="1"/>
    <s v="WONSEALY"/>
    <n v="0"/>
    <n v="0"/>
    <m/>
    <m/>
    <x v="2"/>
  </r>
  <r>
    <n v="483"/>
    <s v="KEITA BAFININ"/>
    <x v="0"/>
    <n v="9"/>
    <n v="3.5"/>
    <s v="CPU"/>
    <s v="11è"/>
    <s v="Redouble"/>
    <m/>
    <x v="1"/>
    <s v="WONSEALY"/>
    <n v="0"/>
    <n v="0"/>
    <m/>
    <m/>
    <x v="2"/>
  </r>
  <r>
    <n v="484"/>
    <s v="KAMO GRACE EMMANUELLA"/>
    <x v="0"/>
    <n v="11"/>
    <s v="Absent"/>
    <s v="CPU"/>
    <s v="Absent"/>
    <s v="Absent"/>
    <m/>
    <x v="1"/>
    <s v="WONSEALY"/>
    <n v="0"/>
    <n v="0"/>
    <m/>
    <m/>
    <x v="3"/>
  </r>
  <r>
    <n v="485"/>
    <s v="KEITA FATOUMATA"/>
    <x v="0"/>
    <n v="13"/>
    <s v="Absent"/>
    <s v="CPU"/>
    <s v="Absent"/>
    <s v="Absent"/>
    <m/>
    <x v="1"/>
    <s v="WONSEALY"/>
    <n v="0"/>
    <n v="0"/>
    <m/>
    <m/>
    <x v="3"/>
  </r>
  <r>
    <n v="486"/>
    <s v="TOAPLI SOMANGNON ESTELLE "/>
    <x v="0"/>
    <n v="10"/>
    <s v="Absent"/>
    <s v="CPU"/>
    <s v="Absent"/>
    <s v="Absent"/>
    <m/>
    <x v="1"/>
    <s v="WONSEALY"/>
    <n v="0"/>
    <n v="0"/>
    <m/>
    <m/>
    <x v="3"/>
  </r>
  <r>
    <n v="487"/>
    <s v="ZOUZOU CHARLES"/>
    <x v="1"/>
    <n v="11"/>
    <s v="Absent"/>
    <s v="CPU"/>
    <s v="Absent"/>
    <s v="Absent"/>
    <m/>
    <x v="1"/>
    <s v="WONSEALY"/>
    <n v="0"/>
    <n v="0"/>
    <m/>
    <m/>
    <x v="3"/>
  </r>
  <r>
    <n v="488"/>
    <s v="SIEBRI DESIRE"/>
    <x v="1"/>
    <n v="11"/>
    <n v="9.6199999999999992"/>
    <s v="CPU"/>
    <s v="1er"/>
    <s v="Admis"/>
    <m/>
    <x v="1"/>
    <s v="WONSEALY"/>
    <n v="1"/>
    <n v="0"/>
    <m/>
    <m/>
    <x v="1"/>
  </r>
  <r>
    <n v="489"/>
    <s v="BORO EMMA"/>
    <x v="0"/>
    <n v="9"/>
    <n v="9.6199999999999992"/>
    <s v="CPU"/>
    <s v="1ex"/>
    <s v="Admis"/>
    <m/>
    <x v="1"/>
    <s v="WONSEALY"/>
    <n v="1"/>
    <n v="0"/>
    <m/>
    <m/>
    <x v="1"/>
  </r>
  <r>
    <n v="490"/>
    <s v="GUE TAPE FRANCK"/>
    <x v="1"/>
    <n v="12"/>
    <n v="9.3699999999999992"/>
    <s v="CPU"/>
    <s v="3è"/>
    <s v="Admis"/>
    <m/>
    <x v="1"/>
    <s v="WONSEALY"/>
    <n v="1"/>
    <n v="0"/>
    <m/>
    <m/>
    <x v="0"/>
  </r>
  <r>
    <n v="491"/>
    <s v="TAKORE JOEL"/>
    <x v="1"/>
    <n v="10"/>
    <n v="9.3699999999999992"/>
    <s v="CPU"/>
    <s v="3èx"/>
    <s v="Admis"/>
    <m/>
    <x v="1"/>
    <s v="WONSEALY"/>
    <n v="1"/>
    <n v="0"/>
    <m/>
    <m/>
    <x v="1"/>
  </r>
  <r>
    <n v="492"/>
    <s v="DIH JUNIOR "/>
    <x v="1"/>
    <n v="11"/>
    <n v="8.8699999999999992"/>
    <s v="CPU"/>
    <s v="5è"/>
    <s v="Admis"/>
    <m/>
    <x v="1"/>
    <s v="WONSEALY"/>
    <n v="1"/>
    <n v="0"/>
    <m/>
    <m/>
    <x v="1"/>
  </r>
  <r>
    <n v="493"/>
    <s v="YEFFO ANGE CLAVER"/>
    <x v="1"/>
    <n v="9"/>
    <n v="8.8699999999999992"/>
    <s v="CPU"/>
    <s v="5èx"/>
    <s v="Admis"/>
    <m/>
    <x v="1"/>
    <s v="WONSEALY"/>
    <n v="1"/>
    <n v="0"/>
    <m/>
    <m/>
    <x v="1"/>
  </r>
  <r>
    <n v="494"/>
    <s v="KOULAHI PHILIPPE"/>
    <x v="1"/>
    <n v="12"/>
    <n v="8.3699999999999992"/>
    <s v="CPU"/>
    <s v="5èX"/>
    <s v="Admis"/>
    <m/>
    <x v="1"/>
    <s v="WONSEALY"/>
    <n v="1"/>
    <n v="0"/>
    <m/>
    <m/>
    <x v="0"/>
  </r>
  <r>
    <n v="495"/>
    <s v="YALETY ROMEO"/>
    <x v="1"/>
    <n v="10"/>
    <n v="8.6199999999999992"/>
    <s v="CPU"/>
    <s v="8è"/>
    <s v="Admis"/>
    <m/>
    <x v="1"/>
    <s v="WONSEALY"/>
    <n v="1"/>
    <n v="0"/>
    <m/>
    <m/>
    <x v="1"/>
  </r>
  <r>
    <n v="496"/>
    <s v="DIARRA AICHA"/>
    <x v="0"/>
    <n v="12"/>
    <n v="8.5"/>
    <s v="CPU"/>
    <s v="9è"/>
    <s v="Admis"/>
    <m/>
    <x v="1"/>
    <s v="WONSEALY"/>
    <n v="1"/>
    <n v="0"/>
    <m/>
    <m/>
    <x v="0"/>
  </r>
  <r>
    <n v="497"/>
    <s v="DIARRA AWA"/>
    <x v="0"/>
    <n v="9"/>
    <n v="8.25"/>
    <s v="CPU"/>
    <s v="10è"/>
    <s v="Admis"/>
    <m/>
    <x v="1"/>
    <s v="WONSEALY"/>
    <n v="1"/>
    <n v="0"/>
    <m/>
    <m/>
    <x v="1"/>
  </r>
  <r>
    <n v="498"/>
    <s v="GUEHI CEDRIC"/>
    <x v="1"/>
    <n v="10"/>
    <n v="8"/>
    <s v="CPU"/>
    <s v="11è"/>
    <s v="Admis"/>
    <m/>
    <x v="1"/>
    <s v="WONSEALY"/>
    <n v="1"/>
    <n v="0"/>
    <m/>
    <m/>
    <x v="1"/>
  </r>
  <r>
    <n v="499"/>
    <s v="KAMBIRE SARAH"/>
    <x v="0"/>
    <n v="9"/>
    <n v="7.25"/>
    <s v="CPU"/>
    <s v="12è"/>
    <s v="Admis"/>
    <m/>
    <x v="1"/>
    <s v="WONSEALY"/>
    <n v="1"/>
    <n v="0"/>
    <m/>
    <m/>
    <x v="1"/>
  </r>
  <r>
    <n v="500"/>
    <s v="HIONTY  FLAVIEN"/>
    <x v="1"/>
    <n v="9"/>
    <n v="7.25"/>
    <s v="CPU"/>
    <s v="12èX"/>
    <s v="Admis"/>
    <m/>
    <x v="1"/>
    <s v="WONSEALY"/>
    <n v="1"/>
    <n v="0"/>
    <m/>
    <m/>
    <x v="1"/>
  </r>
  <r>
    <n v="501"/>
    <s v="SONOU PIERRE"/>
    <x v="1"/>
    <n v="9"/>
    <n v="7"/>
    <s v="CPU"/>
    <s v="14è"/>
    <s v="Admis"/>
    <m/>
    <x v="1"/>
    <s v="WONSEALY"/>
    <n v="1"/>
    <n v="0"/>
    <m/>
    <m/>
    <x v="1"/>
  </r>
  <r>
    <n v="502"/>
    <s v="TAYOU DORIANE"/>
    <x v="0"/>
    <n v="9"/>
    <n v="6.25"/>
    <s v="CPU"/>
    <s v="15è"/>
    <s v="Admis"/>
    <m/>
    <x v="1"/>
    <s v="WONSEALY"/>
    <n v="1"/>
    <n v="0"/>
    <m/>
    <m/>
    <x v="1"/>
  </r>
  <r>
    <n v="503"/>
    <s v="SERY FREDERIC "/>
    <x v="1"/>
    <n v="9"/>
    <n v="6.37"/>
    <s v="CPU"/>
    <s v="16è"/>
    <s v="Admis"/>
    <m/>
    <x v="1"/>
    <s v="WONSEALY"/>
    <n v="1"/>
    <n v="0"/>
    <m/>
    <m/>
    <x v="1"/>
  </r>
  <r>
    <n v="504"/>
    <s v="DAH MARIE JOELLE"/>
    <x v="0"/>
    <n v="10"/>
    <n v="6.25"/>
    <s v="CPU"/>
    <s v="17è"/>
    <s v="Admis"/>
    <m/>
    <x v="1"/>
    <s v="WONSEALY"/>
    <n v="1"/>
    <n v="0"/>
    <m/>
    <m/>
    <x v="1"/>
  </r>
  <r>
    <n v="505"/>
    <s v="PALE  ABIBA"/>
    <x v="0"/>
    <n v="9"/>
    <n v="6.25"/>
    <s v="CPU"/>
    <s v="17èX"/>
    <s v="Admis"/>
    <m/>
    <x v="1"/>
    <s v="WONSEALY"/>
    <n v="1"/>
    <n v="0"/>
    <m/>
    <m/>
    <x v="1"/>
  </r>
  <r>
    <n v="506"/>
    <s v="LOUE PRINCE"/>
    <x v="1"/>
    <n v="9"/>
    <n v="4.25"/>
    <s v="CPU"/>
    <s v="19è"/>
    <s v="Redouble"/>
    <m/>
    <x v="1"/>
    <s v="WONSEALY"/>
    <n v="0"/>
    <n v="0"/>
    <m/>
    <m/>
    <x v="2"/>
  </r>
  <r>
    <n v="507"/>
    <s v="PALE ESTHER "/>
    <x v="0"/>
    <n v="9"/>
    <n v="4.25"/>
    <s v="CPU"/>
    <s v="19è"/>
    <s v="Redouble"/>
    <m/>
    <x v="1"/>
    <s v="WONSEALY"/>
    <n v="0"/>
    <n v="0"/>
    <m/>
    <m/>
    <x v="2"/>
  </r>
  <r>
    <n v="508"/>
    <s v="FALLET GEMIMA"/>
    <x v="0"/>
    <n v="9"/>
    <n v="4"/>
    <s v="CPU"/>
    <s v="21è"/>
    <s v="Redouble"/>
    <m/>
    <x v="1"/>
    <s v="WONSEALY"/>
    <n v="0"/>
    <n v="0"/>
    <m/>
    <m/>
    <x v="2"/>
  </r>
  <r>
    <n v="509"/>
    <s v="KAMBIRE EVARISTE"/>
    <x v="1"/>
    <n v="9"/>
    <s v="Absent"/>
    <s v="CPU"/>
    <s v="Absent"/>
    <s v="Absent"/>
    <m/>
    <x v="1"/>
    <s v="WONSEALY"/>
    <n v="0"/>
    <n v="0"/>
    <m/>
    <m/>
    <x v="3"/>
  </r>
  <r>
    <n v="510"/>
    <s v="FALLET ACHILE"/>
    <x v="1"/>
    <n v="9"/>
    <s v="Absent"/>
    <s v="CPU"/>
    <s v="Absent"/>
    <s v="Absent"/>
    <m/>
    <x v="1"/>
    <s v="WONSEALY"/>
    <n v="0"/>
    <n v="0"/>
    <m/>
    <m/>
    <x v="3"/>
  </r>
  <r>
    <n v="511"/>
    <s v="KOUAME YAO CEDRIC"/>
    <x v="1"/>
    <n v="11"/>
    <s v="Absent"/>
    <s v="CPU"/>
    <s v="Absent"/>
    <s v="Absent"/>
    <m/>
    <x v="1"/>
    <s v="WONSEALY"/>
    <n v="0"/>
    <n v="0"/>
    <m/>
    <m/>
    <x v="3"/>
  </r>
  <r>
    <n v="512"/>
    <s v="DAH BENEDICTE"/>
    <x v="0"/>
    <n v="9"/>
    <s v="Absent"/>
    <s v="CPU"/>
    <s v="Absent"/>
    <s v="Absent"/>
    <m/>
    <x v="1"/>
    <s v="WONSEALY"/>
    <n v="0"/>
    <n v="0"/>
    <m/>
    <m/>
    <x v="3"/>
  </r>
  <r>
    <n v="513"/>
    <s v="KOUAKOU KONAN JONAS"/>
    <x v="1"/>
    <n v="10"/>
    <n v="8.8699999999999992"/>
    <s v="CPU"/>
    <s v="1er"/>
    <s v="Admis"/>
    <m/>
    <x v="1"/>
    <s v="KOUAKOU N'DRIKRO"/>
    <n v="1"/>
    <n v="0"/>
    <m/>
    <m/>
    <x v="1"/>
  </r>
  <r>
    <n v="514"/>
    <s v="KOUAKOU AYA JULIANA"/>
    <x v="0"/>
    <n v="10"/>
    <n v="8.25"/>
    <s v="CPU"/>
    <s v="2è"/>
    <s v="Admis"/>
    <m/>
    <x v="1"/>
    <s v="KOUAKOU N'DRIKRO"/>
    <n v="1"/>
    <n v="0"/>
    <m/>
    <m/>
    <x v="1"/>
  </r>
  <r>
    <n v="515"/>
    <s v="KOUASSI KONAN CHARLES"/>
    <x v="1"/>
    <n v="11"/>
    <n v="8.1199999999999992"/>
    <s v="CPU"/>
    <s v="3è"/>
    <s v="Admis"/>
    <m/>
    <x v="1"/>
    <s v="KOUAKOU N'DRIKRO"/>
    <n v="1"/>
    <n v="0"/>
    <m/>
    <m/>
    <x v="1"/>
  </r>
  <r>
    <n v="516"/>
    <s v="KOUAKOU KOUAME ARCHIL"/>
    <x v="1"/>
    <n v="9"/>
    <n v="8"/>
    <s v="CPU"/>
    <s v="4è"/>
    <s v="Admis"/>
    <m/>
    <x v="1"/>
    <s v="KOUAKOU N'DRIKRO"/>
    <n v="1"/>
    <n v="0"/>
    <m/>
    <m/>
    <x v="1"/>
  </r>
  <r>
    <n v="517"/>
    <s v="KOUAKOU KONAN ZETRO"/>
    <x v="1"/>
    <n v="9"/>
    <n v="7.37"/>
    <s v="CPU"/>
    <s v="5è"/>
    <s v="Admis"/>
    <m/>
    <x v="1"/>
    <s v="KOUAKOU N'DRIKRO"/>
    <n v="1"/>
    <n v="0"/>
    <m/>
    <m/>
    <x v="1"/>
  </r>
  <r>
    <n v="518"/>
    <s v="YAO AMOIN REINE"/>
    <x v="0"/>
    <n v="9"/>
    <n v="7.12"/>
    <s v="CPU"/>
    <s v="6è"/>
    <s v="Admis"/>
    <m/>
    <x v="1"/>
    <s v="KOUAKOU N'DRIKRO"/>
    <n v="1"/>
    <n v="0"/>
    <m/>
    <m/>
    <x v="1"/>
  </r>
  <r>
    <n v="519"/>
    <s v="KOUAME KAN FRANCK"/>
    <x v="1"/>
    <n v="9"/>
    <n v="6.5"/>
    <s v="CPU"/>
    <s v="7è"/>
    <s v="Admis"/>
    <m/>
    <x v="1"/>
    <s v="KOUAKOU N'DRIKRO"/>
    <n v="1"/>
    <n v="0"/>
    <m/>
    <m/>
    <x v="1"/>
  </r>
  <r>
    <n v="520"/>
    <s v="KOFFI AMENAN ODILLE"/>
    <x v="0"/>
    <n v="9"/>
    <n v="5.75"/>
    <s v="CPU"/>
    <s v="8è"/>
    <s v="Admis"/>
    <m/>
    <x v="1"/>
    <s v="KOUAKOU N'DRIKRO"/>
    <n v="1"/>
    <n v="0"/>
    <m/>
    <m/>
    <x v="1"/>
  </r>
  <r>
    <n v="521"/>
    <s v="KOUAKOU KOUADIO WILIFRED"/>
    <x v="1"/>
    <n v="9"/>
    <n v="5.12"/>
    <s v="CPU"/>
    <s v="9è"/>
    <s v="Admis"/>
    <m/>
    <x v="1"/>
    <s v="KOUAKOU N'DRIKRO"/>
    <n v="1"/>
    <n v="0"/>
    <m/>
    <m/>
    <x v="1"/>
  </r>
  <r>
    <n v="522"/>
    <s v="YAO KOFFI CHRIST"/>
    <x v="1"/>
    <n v="9"/>
    <n v="4.25"/>
    <s v="CPU"/>
    <s v="10è"/>
    <s v="Redouble"/>
    <m/>
    <x v="1"/>
    <s v="KOUAKOU N'DRIKRO"/>
    <n v="0"/>
    <n v="0"/>
    <m/>
    <m/>
    <x v="2"/>
  </r>
  <r>
    <n v="523"/>
    <s v="YAO KOUAME ENOCHE"/>
    <x v="1"/>
    <n v="9"/>
    <n v="3.25"/>
    <s v="CPU"/>
    <s v="11è"/>
    <s v="Redouble"/>
    <m/>
    <x v="1"/>
    <s v="KOUAKOU N'DRIKRO"/>
    <n v="0"/>
    <n v="0"/>
    <m/>
    <m/>
    <x v="2"/>
  </r>
  <r>
    <n v="524"/>
    <s v="KOFFI AYA ONELA"/>
    <x v="0"/>
    <n v="9"/>
    <n v="1.75"/>
    <s v="CPU"/>
    <s v="12è"/>
    <s v="Redouble"/>
    <m/>
    <x v="1"/>
    <s v="KOUAKOU N'DRIKRO"/>
    <n v="0"/>
    <n v="0"/>
    <m/>
    <m/>
    <x v="2"/>
  </r>
  <r>
    <n v="525"/>
    <s v="KOUAME ADJOUA ALEXENDRINE"/>
    <x v="0"/>
    <n v="9"/>
    <n v="1.25"/>
    <s v="CPU"/>
    <s v="13è"/>
    <s v="Redouble"/>
    <m/>
    <x v="1"/>
    <s v="KOUAKOU N'DRIKRO"/>
    <n v="0"/>
    <n v="0"/>
    <m/>
    <m/>
    <x v="2"/>
  </r>
  <r>
    <n v="526"/>
    <s v="KOFFI AMENAN RUTH"/>
    <x v="0"/>
    <n v="9"/>
    <s v="Absent"/>
    <s v="CPU"/>
    <m/>
    <s v="Absent"/>
    <m/>
    <x v="1"/>
    <s v="KOUAKOU N'DRIKRO"/>
    <n v="0"/>
    <n v="0"/>
    <m/>
    <m/>
    <x v="3"/>
  </r>
  <r>
    <n v="527"/>
    <s v="KOFFI KOUAME"/>
    <x v="1"/>
    <n v="9"/>
    <s v="Absent"/>
    <s v="CPU"/>
    <m/>
    <s v="Absent"/>
    <m/>
    <x v="1"/>
    <s v="KOUAKOU N'DRIKRO"/>
    <n v="0"/>
    <n v="0"/>
    <m/>
    <m/>
    <x v="3"/>
  </r>
  <r>
    <n v="528"/>
    <s v="KOUADIO AYA ANNE CHIMELLE"/>
    <x v="0"/>
    <n v="9"/>
    <s v="Absent"/>
    <s v="CPU"/>
    <m/>
    <s v="Absent"/>
    <m/>
    <x v="1"/>
    <s v="KOUAKOU N'DRIKRO"/>
    <n v="0"/>
    <n v="0"/>
    <m/>
    <m/>
    <x v="3"/>
  </r>
  <r>
    <n v="529"/>
    <s v="KOUASSI KOUADIO YOWANE"/>
    <x v="0"/>
    <n v="9"/>
    <s v="Absent"/>
    <s v="CPU"/>
    <m/>
    <s v="Absent"/>
    <m/>
    <x v="1"/>
    <s v="KOUAKOU N'DRIKRO"/>
    <n v="0"/>
    <n v="0"/>
    <m/>
    <m/>
    <x v="3"/>
  </r>
  <r>
    <n v="530"/>
    <s v="MAIGA FATOUMATA"/>
    <x v="0"/>
    <n v="10"/>
    <n v="8.82"/>
    <s v="CEU"/>
    <s v="1ere"/>
    <s v="Admis"/>
    <m/>
    <x v="1"/>
    <s v="COULIBALYKRO (TOLBA)"/>
    <n v="0"/>
    <n v="1"/>
    <m/>
    <m/>
    <x v="4"/>
  </r>
  <r>
    <n v="531"/>
    <s v="DIENTAO FAFOUNIN"/>
    <x v="0"/>
    <n v="11"/>
    <n v="8.6999999999999993"/>
    <s v="CEU"/>
    <s v="2è"/>
    <s v="Admis"/>
    <m/>
    <x v="1"/>
    <s v="COULIBALYKRO (TOLBA)"/>
    <n v="0"/>
    <n v="1"/>
    <m/>
    <m/>
    <x v="4"/>
  </r>
  <r>
    <n v="532"/>
    <s v="DIARRA KALIFA"/>
    <x v="1"/>
    <n v="10"/>
    <n v="8.2899999999999991"/>
    <s v="CEU"/>
    <s v="3è"/>
    <s v="Admis"/>
    <m/>
    <x v="1"/>
    <s v="COULIBALYKRO (TOLBA)"/>
    <n v="0"/>
    <n v="1"/>
    <m/>
    <m/>
    <x v="4"/>
  </r>
  <r>
    <n v="533"/>
    <s v="BOURE FATOUMATA"/>
    <x v="0"/>
    <n v="13"/>
    <n v="8.17"/>
    <s v="CEU"/>
    <s v="4è"/>
    <s v="Admis"/>
    <m/>
    <x v="1"/>
    <s v="COULIBALYKRO (TOLBA)"/>
    <n v="0"/>
    <n v="1"/>
    <m/>
    <m/>
    <x v="4"/>
  </r>
  <r>
    <n v="534"/>
    <s v="SAWADOGO ALI"/>
    <x v="1"/>
    <n v="11"/>
    <n v="8"/>
    <s v="CEU"/>
    <s v="5è"/>
    <s v="Admis"/>
    <m/>
    <x v="1"/>
    <s v="COULIBALYKRO (TOLBA)"/>
    <n v="0"/>
    <n v="1"/>
    <m/>
    <m/>
    <x v="4"/>
  </r>
  <r>
    <n v="535"/>
    <s v="DIENTAO ALI"/>
    <x v="1"/>
    <n v="12"/>
    <n v="7.88"/>
    <s v="CEU"/>
    <s v="6è"/>
    <s v="Admis"/>
    <m/>
    <x v="1"/>
    <s v="COULIBALYKRO (TOLBA)"/>
    <n v="0"/>
    <n v="1"/>
    <m/>
    <m/>
    <x v="4"/>
  </r>
  <r>
    <n v="536"/>
    <s v="DIARA SALA"/>
    <x v="1"/>
    <n v="10"/>
    <n v="7.76"/>
    <s v="CEU"/>
    <s v="7è"/>
    <s v="Admis"/>
    <m/>
    <x v="1"/>
    <s v="COULIBALYKRO (TOLBA)"/>
    <n v="0"/>
    <n v="1"/>
    <m/>
    <m/>
    <x v="4"/>
  </r>
  <r>
    <n v="537"/>
    <s v="OUATTARA DAOOUDA"/>
    <x v="1"/>
    <n v="10"/>
    <n v="7.7"/>
    <s v="CEU"/>
    <s v="8è"/>
    <s v="Admis"/>
    <m/>
    <x v="1"/>
    <s v="COULIBALYKRO (TOLBA)"/>
    <n v="0"/>
    <n v="1"/>
    <m/>
    <m/>
    <x v="4"/>
  </r>
  <r>
    <n v="538"/>
    <s v="SALA OUMAROU"/>
    <x v="1"/>
    <n v="12"/>
    <n v="7.64"/>
    <s v="CEU"/>
    <s v="9è"/>
    <s v="Admis"/>
    <m/>
    <x v="1"/>
    <s v="COULIBALYKRO (TOLBA)"/>
    <n v="0"/>
    <n v="1"/>
    <m/>
    <m/>
    <x v="4"/>
  </r>
  <r>
    <n v="539"/>
    <s v="ARAMAN ALI"/>
    <x v="1"/>
    <n v="9"/>
    <n v="7.35"/>
    <s v="CEU"/>
    <s v="10è"/>
    <s v="Admis"/>
    <m/>
    <x v="1"/>
    <s v="COULIBALYKRO (TOLBA)"/>
    <n v="0"/>
    <n v="1"/>
    <m/>
    <m/>
    <x v="4"/>
  </r>
  <r>
    <n v="540"/>
    <s v="OUMOU TAMBOURA "/>
    <x v="0"/>
    <n v="12"/>
    <n v="7.17"/>
    <s v="CEU"/>
    <s v="11è"/>
    <s v="Admis"/>
    <m/>
    <x v="1"/>
    <s v="COULIBALYKRO (TOLBA)"/>
    <n v="0"/>
    <n v="1"/>
    <m/>
    <m/>
    <x v="4"/>
  </r>
  <r>
    <n v="541"/>
    <s v="DIENTAO FATOUMATA"/>
    <x v="0"/>
    <n v="9"/>
    <n v="7.17"/>
    <s v="CEU"/>
    <s v="12è"/>
    <s v="Admis"/>
    <m/>
    <x v="1"/>
    <s v="COULIBALYKRO (TOLBA)"/>
    <n v="0"/>
    <n v="1"/>
    <m/>
    <m/>
    <x v="4"/>
  </r>
  <r>
    <n v="542"/>
    <s v="ARAMAN OUMAR"/>
    <x v="1"/>
    <n v="11"/>
    <n v="7.05"/>
    <s v="CEU"/>
    <s v="13è"/>
    <s v="Admis"/>
    <m/>
    <x v="1"/>
    <s v="COULIBALYKRO (TOLBA)"/>
    <n v="0"/>
    <n v="1"/>
    <m/>
    <m/>
    <x v="4"/>
  </r>
  <r>
    <n v="543"/>
    <s v="DIARRA AMADOU"/>
    <x v="1"/>
    <n v="12"/>
    <n v="7.03"/>
    <s v="CEU"/>
    <s v="14è"/>
    <s v="Admis"/>
    <m/>
    <x v="1"/>
    <s v="COULIBALYKRO (TOLBA)"/>
    <n v="0"/>
    <n v="1"/>
    <m/>
    <m/>
    <x v="4"/>
  </r>
  <r>
    <n v="544"/>
    <s v="CAMARA MARIAM"/>
    <x v="0"/>
    <n v="10"/>
    <n v="6.58"/>
    <s v="CEU"/>
    <s v="15è"/>
    <s v="Admis"/>
    <m/>
    <x v="1"/>
    <s v="COULIBALYKRO (TOLBA)"/>
    <n v="0"/>
    <n v="1"/>
    <m/>
    <m/>
    <x v="4"/>
  </r>
  <r>
    <n v="545"/>
    <s v="DIARRA OUMOU"/>
    <x v="0"/>
    <n v="10"/>
    <n v="6.41"/>
    <s v="CEU"/>
    <s v="16è"/>
    <s v="Admis"/>
    <m/>
    <x v="1"/>
    <s v="COULIBALYKRO (TOLBA)"/>
    <n v="0"/>
    <n v="1"/>
    <m/>
    <m/>
    <x v="4"/>
  </r>
  <r>
    <n v="546"/>
    <s v="DIENTAO ISSOUF"/>
    <x v="1"/>
    <n v="9"/>
    <n v="6.35"/>
    <s v="CEU"/>
    <s v="17è"/>
    <s v="Admis"/>
    <m/>
    <x v="1"/>
    <s v="COULIBALYKRO (TOLBA)"/>
    <n v="0"/>
    <n v="1"/>
    <m/>
    <m/>
    <x v="4"/>
  </r>
  <r>
    <n v="547"/>
    <s v="SAWADOGO ADAMA"/>
    <x v="1"/>
    <n v="12"/>
    <n v="6.23"/>
    <s v="CEU"/>
    <s v="18è"/>
    <s v="Admis"/>
    <m/>
    <x v="1"/>
    <s v="COULIBALYKRO (TOLBA)"/>
    <n v="0"/>
    <n v="1"/>
    <m/>
    <m/>
    <x v="4"/>
  </r>
  <r>
    <n v="548"/>
    <s v="DICKO ALASSANE"/>
    <x v="1"/>
    <n v="10"/>
    <n v="5.17"/>
    <s v="CEU"/>
    <s v="19è"/>
    <s v="Admis"/>
    <m/>
    <x v="1"/>
    <s v="COULIBALYKRO (TOLBA)"/>
    <n v="0"/>
    <n v="1"/>
    <m/>
    <m/>
    <x v="4"/>
  </r>
  <r>
    <n v="549"/>
    <s v="YANNIN MARIAM"/>
    <x v="0"/>
    <n v="12"/>
    <n v="5.17"/>
    <s v="CEU"/>
    <s v="20è"/>
    <s v="Admis"/>
    <m/>
    <x v="1"/>
    <s v="COULIBALYKRO (TOLBA)"/>
    <n v="0"/>
    <n v="1"/>
    <m/>
    <m/>
    <x v="4"/>
  </r>
  <r>
    <n v="550"/>
    <s v="DIENTAO KALIDJA"/>
    <x v="0"/>
    <n v="9"/>
    <n v="3.52"/>
    <s v="CEU"/>
    <s v="21è"/>
    <s v="Redouble"/>
    <m/>
    <x v="1"/>
    <s v="COULIBALYKRO (TOLBA)"/>
    <n v="0"/>
    <n v="0"/>
    <m/>
    <m/>
    <x v="4"/>
  </r>
  <r>
    <n v="551"/>
    <s v="DICKO BINTOU"/>
    <x v="0"/>
    <n v="11"/>
    <n v="2.7"/>
    <s v="CEU"/>
    <s v="22è"/>
    <s v="Redouble"/>
    <m/>
    <x v="1"/>
    <s v="COULIBALYKRO (TOLBA)"/>
    <n v="0"/>
    <n v="0"/>
    <m/>
    <m/>
    <x v="4"/>
  </r>
  <r>
    <n v="552"/>
    <s v="MAIGA SOULEYMANE"/>
    <x v="1"/>
    <n v="9"/>
    <s v="Absent"/>
    <s v="CEU"/>
    <m/>
    <s v="Absent"/>
    <m/>
    <x v="1"/>
    <s v="COULIBALYKRO (TOLBA)"/>
    <n v="0"/>
    <n v="0"/>
    <m/>
    <m/>
    <x v="4"/>
  </r>
  <r>
    <n v="553"/>
    <s v="MAIGA ANMZA"/>
    <x v="0"/>
    <n v="10"/>
    <s v="Absent"/>
    <s v="CEU"/>
    <m/>
    <s v="Absent"/>
    <m/>
    <x v="1"/>
    <s v="COULIBALYKRO (TOLBA)"/>
    <n v="0"/>
    <n v="0"/>
    <m/>
    <m/>
    <x v="4"/>
  </r>
  <r>
    <n v="554"/>
    <s v="MAIGA IBRAHIM"/>
    <x v="1"/>
    <n v="12"/>
    <s v="Absent"/>
    <s v="CEU"/>
    <m/>
    <s v="Absent"/>
    <m/>
    <x v="1"/>
    <s v="COULIBALYKRO (TOLBA)"/>
    <n v="0"/>
    <n v="0"/>
    <m/>
    <m/>
    <x v="4"/>
  </r>
  <r>
    <n v="555"/>
    <s v="KOUAKOU YAO CEDRIC"/>
    <x v="1"/>
    <n v="10"/>
    <s v="Absent"/>
    <s v="CPU"/>
    <m/>
    <s v="Absent"/>
    <m/>
    <x v="1"/>
    <s v="TANO KOUADIOKRO"/>
    <n v="0"/>
    <n v="0"/>
    <m/>
    <m/>
    <x v="3"/>
  </r>
  <r>
    <n v="556"/>
    <s v="KOUAME AMOIN "/>
    <x v="0"/>
    <n v="9"/>
    <s v="Absent"/>
    <s v="CPU"/>
    <m/>
    <s v="Absent"/>
    <m/>
    <x v="1"/>
    <s v="TANO KOUADIOKRO"/>
    <n v="0"/>
    <n v="0"/>
    <m/>
    <m/>
    <x v="3"/>
  </r>
  <r>
    <n v="557"/>
    <s v="KOUAME KOUAME ERCIC "/>
    <x v="1"/>
    <n v="9"/>
    <s v="Absent"/>
    <s v="CPU"/>
    <m/>
    <s v="Absent"/>
    <m/>
    <x v="1"/>
    <s v="TANO KOUADIOKRO"/>
    <n v="0"/>
    <n v="0"/>
    <m/>
    <m/>
    <x v="3"/>
  </r>
  <r>
    <n v="558"/>
    <s v="KOUAME KOFFI "/>
    <x v="1"/>
    <n v="11"/>
    <s v="Absent"/>
    <s v="CPU"/>
    <m/>
    <s v="Absent"/>
    <m/>
    <x v="1"/>
    <s v="TANO KOUADIOKRO"/>
    <n v="0"/>
    <n v="0"/>
    <m/>
    <m/>
    <x v="3"/>
  </r>
  <r>
    <n v="559"/>
    <s v="KOUAME LOUKOU ANICE"/>
    <x v="1"/>
    <n v="9"/>
    <s v="Absent"/>
    <s v="CPU"/>
    <m/>
    <s v="Absent"/>
    <m/>
    <x v="1"/>
    <s v="TANO KOUADIOKRO"/>
    <n v="0"/>
    <n v="0"/>
    <m/>
    <m/>
    <x v="3"/>
  </r>
  <r>
    <n v="560"/>
    <s v="KOUAME YAO"/>
    <x v="1"/>
    <n v="9"/>
    <s v="Absent"/>
    <s v="CPU"/>
    <m/>
    <s v="Absent"/>
    <m/>
    <x v="1"/>
    <s v="TANO KOUADIOKRO"/>
    <n v="0"/>
    <n v="0"/>
    <m/>
    <m/>
    <x v="3"/>
  </r>
  <r>
    <n v="561"/>
    <s v="KOUASSI AMOIN GRACE EMMANUELLA"/>
    <x v="0"/>
    <n v="10"/>
    <s v="Absent"/>
    <s v="CPU"/>
    <m/>
    <s v="Absent"/>
    <m/>
    <x v="1"/>
    <s v="TANO KOUADIOKRO"/>
    <n v="0"/>
    <n v="0"/>
    <m/>
    <m/>
    <x v="3"/>
  </r>
  <r>
    <n v="562"/>
    <s v="N'GUESSAN KOUAKOU MADOCHE"/>
    <x v="1"/>
    <n v="9"/>
    <s v="Absent"/>
    <s v="CPU"/>
    <m/>
    <s v="Absent"/>
    <m/>
    <x v="1"/>
    <s v="TANO KOUADIOKRO"/>
    <n v="0"/>
    <n v="0"/>
    <m/>
    <m/>
    <x v="3"/>
  </r>
  <r>
    <n v="563"/>
    <s v="N'GUESSAN KOUAKOU ABRAHAM"/>
    <x v="1"/>
    <n v="9"/>
    <s v="Absent"/>
    <s v="CPU"/>
    <m/>
    <s v="Absent"/>
    <m/>
    <x v="1"/>
    <s v="TANO KOUADIOKRO"/>
    <n v="0"/>
    <n v="0"/>
    <m/>
    <m/>
    <x v="3"/>
  </r>
  <r>
    <n v="564"/>
    <s v="N'GUESSAN KOUAKOU"/>
    <x v="1"/>
    <n v="11"/>
    <s v="Absent"/>
    <s v="CPU"/>
    <m/>
    <s v="Absent"/>
    <m/>
    <x v="1"/>
    <s v="TANO KOUADIOKRO"/>
    <n v="0"/>
    <n v="0"/>
    <m/>
    <m/>
    <x v="3"/>
  </r>
  <r>
    <n v="565"/>
    <s v="SERI SAMUEL DELOR"/>
    <x v="1"/>
    <n v="9"/>
    <s v="Absent"/>
    <s v="CPU"/>
    <m/>
    <s v="Absent"/>
    <m/>
    <x v="1"/>
    <s v="TANO KOUADIOKRO"/>
    <n v="0"/>
    <n v="0"/>
    <m/>
    <m/>
    <x v="3"/>
  </r>
  <r>
    <n v="566"/>
    <s v="TANO KOFFI PRINCE"/>
    <x v="1"/>
    <n v="9"/>
    <s v="Absent"/>
    <s v="CPU"/>
    <m/>
    <s v="Absent"/>
    <m/>
    <x v="1"/>
    <s v="TANO KOUADIOKRO"/>
    <n v="0"/>
    <n v="0"/>
    <m/>
    <m/>
    <x v="3"/>
  </r>
  <r>
    <n v="567"/>
    <s v="TODJOU DEBE OSE"/>
    <x v="1"/>
    <n v="9"/>
    <s v="Absent"/>
    <s v="CPU"/>
    <m/>
    <s v="Absent"/>
    <m/>
    <x v="1"/>
    <s v="TANO KOUADIOKRO"/>
    <n v="0"/>
    <n v="0"/>
    <m/>
    <m/>
    <x v="3"/>
  </r>
  <r>
    <n v="568"/>
    <s v="TOUOLE RELENI CHRISTELLE"/>
    <x v="0"/>
    <n v="10"/>
    <s v="Absent"/>
    <s v="CPU"/>
    <m/>
    <s v="Absent"/>
    <m/>
    <x v="1"/>
    <s v="TANO KOUADIOKRO"/>
    <n v="0"/>
    <n v="0"/>
    <m/>
    <m/>
    <x v="3"/>
  </r>
  <r>
    <n v="569"/>
    <s v="TODJOU KOBOU SIMEON"/>
    <x v="1"/>
    <n v="9"/>
    <s v="Absent"/>
    <s v="CPU"/>
    <m/>
    <s v="Absent"/>
    <m/>
    <x v="1"/>
    <s v="TANO KOUADIOKRO"/>
    <n v="0"/>
    <n v="0"/>
    <m/>
    <m/>
    <x v="3"/>
  </r>
  <r>
    <n v="570"/>
    <s v="YAO AMENAN GRACE"/>
    <x v="0"/>
    <n v="9"/>
    <s v="Absent"/>
    <s v="CPU"/>
    <m/>
    <s v="Absent"/>
    <m/>
    <x v="1"/>
    <s v="TANO KOUADIOKRO"/>
    <n v="0"/>
    <n v="0"/>
    <m/>
    <m/>
    <x v="3"/>
  </r>
  <r>
    <n v="571"/>
    <s v="YAO AMOIN MIRABELLE"/>
    <x v="0"/>
    <n v="9"/>
    <s v="Absent"/>
    <s v="CPU"/>
    <m/>
    <s v="Absent"/>
    <m/>
    <x v="1"/>
    <s v="TANO KOUADIOKRO"/>
    <n v="0"/>
    <n v="0"/>
    <m/>
    <m/>
    <x v="3"/>
  </r>
  <r>
    <n v="572"/>
    <s v="YAO ELISE"/>
    <x v="1"/>
    <n v="9"/>
    <s v="Absent"/>
    <s v="CPU"/>
    <m/>
    <s v="Absent"/>
    <m/>
    <x v="1"/>
    <s v="TANO KOUADIOKRO"/>
    <n v="0"/>
    <n v="0"/>
    <m/>
    <m/>
    <x v="3"/>
  </r>
  <r>
    <n v="573"/>
    <s v="YAO KOUAME"/>
    <x v="1"/>
    <n v="10"/>
    <s v="Absent"/>
    <s v="CPU"/>
    <m/>
    <s v="Absent"/>
    <m/>
    <x v="1"/>
    <s v="TANO KOUADIOKRO"/>
    <n v="0"/>
    <n v="0"/>
    <m/>
    <m/>
    <x v="3"/>
  </r>
  <r>
    <n v="574"/>
    <s v="M'BRA KOFFI JURICE"/>
    <x v="1"/>
    <n v="10"/>
    <n v="8.77"/>
    <s v="CPU"/>
    <m/>
    <s v="Admis"/>
    <m/>
    <x v="2"/>
    <s v="LAPOKRO"/>
    <n v="1"/>
    <n v="0"/>
    <m/>
    <m/>
    <x v="1"/>
  </r>
  <r>
    <n v="575"/>
    <s v="KOUAKOU KOUADIO ENOCK"/>
    <x v="1"/>
    <n v="9"/>
    <n v="8.77"/>
    <s v="CPU"/>
    <m/>
    <s v="Admis"/>
    <m/>
    <x v="2"/>
    <s v="LAPOKRO"/>
    <n v="1"/>
    <n v="0"/>
    <m/>
    <m/>
    <x v="1"/>
  </r>
  <r>
    <n v="576"/>
    <s v="KOUASSI KONAN WILFRIED"/>
    <x v="1"/>
    <n v="10"/>
    <n v="7"/>
    <s v="CPU"/>
    <m/>
    <s v="Admis"/>
    <m/>
    <x v="2"/>
    <s v="LAPOKRO"/>
    <n v="1"/>
    <n v="0"/>
    <m/>
    <m/>
    <x v="1"/>
  </r>
  <r>
    <n v="577"/>
    <s v="SAWLE KOUADIO JUNIOR"/>
    <x v="1"/>
    <n v="10"/>
    <n v="9.33"/>
    <s v="CPU"/>
    <m/>
    <s v="Admis"/>
    <m/>
    <x v="2"/>
    <s v="LAPOKRO"/>
    <n v="1"/>
    <n v="0"/>
    <m/>
    <m/>
    <x v="1"/>
  </r>
  <r>
    <n v="578"/>
    <s v="AMANI KOUASSI WILLIAM"/>
    <x v="1"/>
    <n v="9"/>
    <n v="6.77"/>
    <s v="CPU"/>
    <m/>
    <s v="Admis"/>
    <m/>
    <x v="2"/>
    <s v="LAPOKRO"/>
    <n v="1"/>
    <n v="0"/>
    <m/>
    <m/>
    <x v="1"/>
  </r>
  <r>
    <n v="579"/>
    <s v="N'DRI KOUADIO YANE"/>
    <x v="1"/>
    <n v="9"/>
    <n v="2.88"/>
    <s v="CPU"/>
    <m/>
    <s v="Redouble"/>
    <m/>
    <x v="2"/>
    <s v="LAPOKRO"/>
    <n v="0"/>
    <n v="0"/>
    <m/>
    <m/>
    <x v="2"/>
  </r>
  <r>
    <n v="580"/>
    <s v="KONAN AMOIN BENEDICTE"/>
    <x v="0"/>
    <n v="12"/>
    <n v="9.2200000000000006"/>
    <s v="CPU"/>
    <m/>
    <s v="Admis"/>
    <m/>
    <x v="2"/>
    <s v="LAPOKRO"/>
    <n v="1"/>
    <n v="0"/>
    <m/>
    <m/>
    <x v="0"/>
  </r>
  <r>
    <n v="581"/>
    <s v="YAO KOUADIO BINJAMAIN"/>
    <x v="1"/>
    <n v="10"/>
    <n v="8.8800000000000008"/>
    <s v="CPU"/>
    <m/>
    <s v="Admis"/>
    <m/>
    <x v="2"/>
    <s v="LAPOKRO"/>
    <n v="1"/>
    <n v="0"/>
    <m/>
    <m/>
    <x v="1"/>
  </r>
  <r>
    <n v="582"/>
    <s v="N'GUESSAN KOUADIO MARIUS"/>
    <x v="1"/>
    <n v="12"/>
    <n v="8.8800000000000008"/>
    <s v="CPU"/>
    <m/>
    <s v="Admis"/>
    <m/>
    <x v="2"/>
    <s v="LAPOKRO"/>
    <n v="1"/>
    <n v="0"/>
    <m/>
    <m/>
    <x v="0"/>
  </r>
  <r>
    <n v="583"/>
    <s v="KOUADIO AMENAN CARINE"/>
    <x v="0"/>
    <n v="9"/>
    <n v="9"/>
    <s v="CPU"/>
    <m/>
    <s v="Admis"/>
    <m/>
    <x v="2"/>
    <s v="LAPOKRO"/>
    <n v="1"/>
    <n v="0"/>
    <m/>
    <m/>
    <x v="1"/>
  </r>
  <r>
    <n v="584"/>
    <s v="KOFFI KOFFI MOISE"/>
    <x v="1"/>
    <n v="9"/>
    <n v="6.66"/>
    <s v="CPU"/>
    <m/>
    <s v="Admis"/>
    <m/>
    <x v="2"/>
    <s v="LAPOKRO"/>
    <n v="1"/>
    <n v="0"/>
    <m/>
    <m/>
    <x v="1"/>
  </r>
  <r>
    <n v="585"/>
    <s v="YAO N'GUESSAN GISLAIN"/>
    <x v="1"/>
    <n v="9"/>
    <n v="9.44"/>
    <s v="CPU"/>
    <m/>
    <s v="Admis"/>
    <m/>
    <x v="2"/>
    <s v="LAPOKRO"/>
    <n v="1"/>
    <n v="0"/>
    <m/>
    <m/>
    <x v="1"/>
  </r>
  <r>
    <n v="586"/>
    <s v="KOUADIO AHOU REGINA"/>
    <x v="0"/>
    <n v="9"/>
    <n v="9.44"/>
    <s v="CPU"/>
    <m/>
    <s v="Admis"/>
    <m/>
    <x v="2"/>
    <s v="LAPOKRO"/>
    <n v="1"/>
    <n v="0"/>
    <m/>
    <m/>
    <x v="1"/>
  </r>
  <r>
    <n v="587"/>
    <s v="N'GUESSAN YAO CELESTIN"/>
    <x v="1"/>
    <n v="9"/>
    <n v="7.55"/>
    <s v="CPU"/>
    <m/>
    <s v="Admis"/>
    <m/>
    <x v="2"/>
    <s v="LAPOKRO"/>
    <n v="1"/>
    <n v="0"/>
    <m/>
    <m/>
    <x v="1"/>
  </r>
  <r>
    <n v="588"/>
    <s v="AMANI KOUADIO PRINCE"/>
    <x v="1"/>
    <n v="9"/>
    <n v="8.41"/>
    <s v="CPU"/>
    <m/>
    <s v="Admis"/>
    <m/>
    <x v="2"/>
    <s v="LAPOKRO"/>
    <n v="1"/>
    <n v="0"/>
    <m/>
    <m/>
    <x v="1"/>
  </r>
  <r>
    <n v="589"/>
    <s v="KOUASSI AKISSI FLORA"/>
    <x v="0"/>
    <n v="10"/>
    <n v="8.5500000000000007"/>
    <s v="CPU"/>
    <m/>
    <s v="Admis"/>
    <m/>
    <x v="2"/>
    <s v="LAPOKRO"/>
    <n v="1"/>
    <n v="0"/>
    <m/>
    <m/>
    <x v="1"/>
  </r>
  <r>
    <n v="590"/>
    <s v="N'DRI YAO ELVIS"/>
    <x v="1"/>
    <n v="12"/>
    <n v="9.33"/>
    <s v="CPU"/>
    <m/>
    <s v="Admis"/>
    <m/>
    <x v="2"/>
    <s v="LAPOKRO"/>
    <n v="1"/>
    <n v="0"/>
    <m/>
    <m/>
    <x v="0"/>
  </r>
  <r>
    <n v="591"/>
    <s v="KOUAKOU KOUAKOU FRANCK"/>
    <x v="1"/>
    <n v="11"/>
    <n v="5.88"/>
    <s v="CPU"/>
    <m/>
    <s v="Admis"/>
    <m/>
    <x v="2"/>
    <s v="LAPOKRO"/>
    <n v="1"/>
    <n v="0"/>
    <m/>
    <m/>
    <x v="1"/>
  </r>
  <r>
    <n v="592"/>
    <s v="KOUAME AMOIN SANDRINE"/>
    <x v="0"/>
    <n v="9"/>
    <n v="8.66"/>
    <s v="CPU"/>
    <m/>
    <s v="Admis"/>
    <m/>
    <x v="2"/>
    <s v="LAPOKRO"/>
    <n v="1"/>
    <n v="0"/>
    <m/>
    <m/>
    <x v="1"/>
  </r>
  <r>
    <n v="593"/>
    <s v="SIKY ADJOUA CHELA"/>
    <x v="0"/>
    <n v="9"/>
    <n v="3.33"/>
    <s v="CPU"/>
    <m/>
    <s v="Redouble"/>
    <m/>
    <x v="2"/>
    <s v="LAPOKRO"/>
    <n v="0"/>
    <n v="0"/>
    <m/>
    <m/>
    <x v="2"/>
  </r>
  <r>
    <n v="594"/>
    <s v="N'DRI YAO EMERITE"/>
    <x v="1"/>
    <n v="9"/>
    <n v="6"/>
    <s v="CPU"/>
    <m/>
    <s v="Admis"/>
    <m/>
    <x v="2"/>
    <s v="LAPOKRO"/>
    <n v="1"/>
    <n v="0"/>
    <m/>
    <m/>
    <x v="1"/>
  </r>
  <r>
    <n v="595"/>
    <s v="KOUADIO KOFFI CEZA"/>
    <x v="1"/>
    <n v="9"/>
    <n v="5"/>
    <s v="CPU"/>
    <m/>
    <s v="Admis"/>
    <m/>
    <x v="2"/>
    <s v="LAPOKRO"/>
    <n v="1"/>
    <n v="0"/>
    <m/>
    <m/>
    <x v="1"/>
  </r>
  <r>
    <n v="596"/>
    <s v="KONAN AMENAN ANASTHASIE"/>
    <x v="0"/>
    <n v="9"/>
    <n v="2"/>
    <s v="CPU"/>
    <m/>
    <s v="Redouble"/>
    <m/>
    <x v="2"/>
    <s v="LAPOKRO"/>
    <n v="0"/>
    <n v="0"/>
    <m/>
    <m/>
    <x v="2"/>
  </r>
  <r>
    <n v="597"/>
    <s v="KOUASSI AMENAN ORTINIELLE"/>
    <x v="0"/>
    <n v="9"/>
    <n v="2.88"/>
    <s v="CPU"/>
    <m/>
    <s v="Redouble"/>
    <m/>
    <x v="2"/>
    <s v="LAPOKRO"/>
    <n v="0"/>
    <n v="0"/>
    <m/>
    <m/>
    <x v="2"/>
  </r>
  <r>
    <n v="598"/>
    <s v="N'GORAN AMENAN FABIOLA"/>
    <x v="0"/>
    <n v="9"/>
    <n v="3.44"/>
    <s v="CPU"/>
    <m/>
    <s v="Redouble"/>
    <m/>
    <x v="2"/>
    <s v="LAPOKRO"/>
    <n v="0"/>
    <n v="0"/>
    <m/>
    <m/>
    <x v="2"/>
  </r>
  <r>
    <n v="599"/>
    <s v="KONAN N'GUESSAN MICHELINE"/>
    <x v="0"/>
    <n v="10"/>
    <s v="Absent"/>
    <s v="CPU"/>
    <s v="Absent"/>
    <s v="Absent"/>
    <m/>
    <x v="2"/>
    <s v="LAPOKRO"/>
    <n v="0"/>
    <n v="0"/>
    <m/>
    <m/>
    <x v="3"/>
  </r>
  <r>
    <n v="600"/>
    <s v="KONAN KOUADIO EZECHIELLE"/>
    <x v="1"/>
    <n v="10"/>
    <s v="Absent"/>
    <s v="CPU"/>
    <s v="Absent"/>
    <s v="Absent"/>
    <m/>
    <x v="2"/>
    <s v="LAPOKRO"/>
    <n v="0"/>
    <n v="0"/>
    <m/>
    <m/>
    <x v="3"/>
  </r>
  <r>
    <n v="601"/>
    <s v="KONAN KOFFI DOMINIQUE"/>
    <x v="1"/>
    <n v="10"/>
    <n v="7.77"/>
    <s v="CPU"/>
    <s v="7è"/>
    <s v="Admis"/>
    <m/>
    <x v="2"/>
    <s v="BOHOUSSOUKRO"/>
    <n v="1"/>
    <n v="0"/>
    <m/>
    <m/>
    <x v="1"/>
  </r>
  <r>
    <n v="602"/>
    <s v="YAO YAO CEDRIC"/>
    <x v="1"/>
    <n v="14"/>
    <n v="8.8800000000000008"/>
    <s v="CPU"/>
    <s v="2è"/>
    <s v="Admis"/>
    <m/>
    <x v="2"/>
    <s v="BOHOUSSOUKRO"/>
    <n v="1"/>
    <n v="0"/>
    <m/>
    <m/>
    <x v="0"/>
  </r>
  <r>
    <n v="603"/>
    <s v="N'GUESSAN AYA ROSE"/>
    <x v="0"/>
    <n v="13"/>
    <n v="9"/>
    <s v="CPU"/>
    <s v="1ère"/>
    <s v="Admis"/>
    <m/>
    <x v="2"/>
    <s v="BOHOUSSOUKRO"/>
    <n v="1"/>
    <n v="0"/>
    <m/>
    <m/>
    <x v="0"/>
  </r>
  <r>
    <n v="604"/>
    <s v="SAWADOGO BOURAHIMA"/>
    <x v="1"/>
    <n v="10"/>
    <n v="8"/>
    <s v="CPU"/>
    <s v="5è"/>
    <s v="Admis"/>
    <m/>
    <x v="2"/>
    <s v="BOHOUSSOUKRO"/>
    <n v="1"/>
    <n v="0"/>
    <m/>
    <m/>
    <x v="1"/>
  </r>
  <r>
    <n v="605"/>
    <s v="N'DRI AMENAN DORCAS"/>
    <x v="0"/>
    <n v="12"/>
    <n v="7.88"/>
    <s v="CPU"/>
    <s v="6è"/>
    <s v="Admis"/>
    <m/>
    <x v="2"/>
    <s v="BOHOUSSOUKRO"/>
    <n v="1"/>
    <n v="0"/>
    <m/>
    <m/>
    <x v="0"/>
  </r>
  <r>
    <n v="606"/>
    <s v="SAWADOGO RAFIATOU"/>
    <x v="0"/>
    <n v="9"/>
    <n v="7.44"/>
    <s v="CPU"/>
    <s v="8è"/>
    <s v="Admis"/>
    <m/>
    <x v="2"/>
    <s v="BOHOUSSOUKRO"/>
    <n v="1"/>
    <n v="0"/>
    <m/>
    <m/>
    <x v="1"/>
  </r>
  <r>
    <n v="607"/>
    <s v="KONAN KOUADIO MARIUS"/>
    <x v="1"/>
    <n v="10"/>
    <n v="7"/>
    <s v="CPU"/>
    <s v="9è"/>
    <s v="Admis"/>
    <m/>
    <x v="2"/>
    <s v="BOHOUSSOUKRO"/>
    <n v="1"/>
    <n v="0"/>
    <m/>
    <m/>
    <x v="1"/>
  </r>
  <r>
    <n v="608"/>
    <s v="KONAN AYA UGUETTE"/>
    <x v="0"/>
    <n v="13"/>
    <n v="8.77"/>
    <s v="CPU"/>
    <s v="3è"/>
    <s v="Admis"/>
    <m/>
    <x v="2"/>
    <s v="BOHOUSSOUKRO"/>
    <n v="1"/>
    <n v="0"/>
    <m/>
    <m/>
    <x v="0"/>
  </r>
  <r>
    <n v="609"/>
    <s v="TANOH KOFFI MARC"/>
    <x v="1"/>
    <n v="11"/>
    <n v="6.44"/>
    <s v="CPU"/>
    <s v="11è"/>
    <s v="Admis"/>
    <m/>
    <x v="2"/>
    <s v="BOHOUSSOUKRO"/>
    <n v="1"/>
    <n v="0"/>
    <m/>
    <m/>
    <x v="1"/>
  </r>
  <r>
    <n v="610"/>
    <s v="YAO ADJOUA SARA"/>
    <x v="0"/>
    <n v="13"/>
    <n v="8.33"/>
    <s v="CPU"/>
    <s v="4è"/>
    <s v="Admis"/>
    <m/>
    <x v="2"/>
    <s v="BOHOUSSOUKRO"/>
    <n v="1"/>
    <n v="0"/>
    <m/>
    <m/>
    <x v="0"/>
  </r>
  <r>
    <n v="611"/>
    <s v="KOUAKOU AFFOUE ORLANE"/>
    <x v="0"/>
    <n v="9"/>
    <n v="6.44"/>
    <s v="CPU"/>
    <s v="11è"/>
    <s v="Admis"/>
    <m/>
    <x v="2"/>
    <s v="BOHOUSSOUKRO"/>
    <n v="1"/>
    <n v="0"/>
    <m/>
    <m/>
    <x v="1"/>
  </r>
  <r>
    <n v="612"/>
    <s v="KOUAKOU AYA BIENVENUE"/>
    <x v="0"/>
    <n v="9"/>
    <n v="5.22"/>
    <s v="CPU"/>
    <s v="12è"/>
    <s v="Admis"/>
    <m/>
    <x v="2"/>
    <s v="BOHOUSSOUKRO"/>
    <n v="1"/>
    <n v="0"/>
    <m/>
    <m/>
    <x v="1"/>
  </r>
  <r>
    <n v="613"/>
    <s v="YAO AMENAN OCEANE"/>
    <x v="0"/>
    <n v="11"/>
    <n v="2.33"/>
    <s v="CPU"/>
    <s v="15è"/>
    <s v="Redouble"/>
    <m/>
    <x v="2"/>
    <s v="BOHOUSSOUKRO"/>
    <n v="0"/>
    <n v="0"/>
    <m/>
    <m/>
    <x v="2"/>
  </r>
  <r>
    <n v="614"/>
    <s v="YAO AFFOUE GRACE"/>
    <x v="0"/>
    <n v="13"/>
    <n v="4.4400000000000004"/>
    <s v="CPU"/>
    <s v="13è"/>
    <s v="Redouble"/>
    <m/>
    <x v="2"/>
    <s v="BOHOUSSOUKRO"/>
    <n v="0"/>
    <n v="0"/>
    <m/>
    <m/>
    <x v="1"/>
  </r>
  <r>
    <n v="615"/>
    <s v="N'GORAN YAO SIMON"/>
    <x v="1"/>
    <n v="10"/>
    <n v="3.33"/>
    <s v="CPU"/>
    <s v="14è"/>
    <s v="Redouble"/>
    <m/>
    <x v="2"/>
    <s v="BOHOUSSOUKRO"/>
    <n v="0"/>
    <n v="0"/>
    <m/>
    <m/>
    <x v="2"/>
  </r>
  <r>
    <n v="616"/>
    <s v="LOUKOU YAO ARSENE"/>
    <x v="1"/>
    <n v="9"/>
    <s v="Absent"/>
    <s v="CPU"/>
    <s v="Absent"/>
    <s v="Absent"/>
    <m/>
    <x v="2"/>
    <s v="BOHOUSSOUKRO"/>
    <n v="0"/>
    <n v="0"/>
    <m/>
    <m/>
    <x v="3"/>
  </r>
  <r>
    <n v="617"/>
    <s v="KOFFI AMENAN DONATIEN "/>
    <x v="1"/>
    <n v="10"/>
    <s v="Absent"/>
    <s v="CPU"/>
    <s v="Absent"/>
    <s v="Absent"/>
    <m/>
    <x v="2"/>
    <s v="BOHOUSSOUKRO"/>
    <n v="0"/>
    <n v="0"/>
    <m/>
    <m/>
    <x v="3"/>
  </r>
  <r>
    <n v="618"/>
    <s v="MAKOUNDE PARFAIT"/>
    <x v="1"/>
    <n v="10"/>
    <s v="Absent"/>
    <s v="CPU"/>
    <s v="Absent"/>
    <s v="Absent"/>
    <m/>
    <x v="2"/>
    <s v="BOHOUSSOUKRO"/>
    <n v="0"/>
    <n v="0"/>
    <m/>
    <m/>
    <x v="3"/>
  </r>
  <r>
    <n v="619"/>
    <s v="KOUADIO KOUAKOU FELIX"/>
    <x v="1"/>
    <n v="10"/>
    <s v="Absent"/>
    <s v="CPU"/>
    <s v="Absent"/>
    <s v="Absent"/>
    <m/>
    <x v="2"/>
    <s v="BOHOUSSOUKRO"/>
    <n v="0"/>
    <n v="0"/>
    <m/>
    <m/>
    <x v="3"/>
  </r>
  <r>
    <n v="620"/>
    <s v="N'GUESSAN AYA ROSE"/>
    <x v="0"/>
    <n v="13"/>
    <s v="Absent"/>
    <s v="CPU"/>
    <s v="Absent"/>
    <s v="Absent"/>
    <m/>
    <x v="2"/>
    <s v="BOHOUSSOUKRO"/>
    <n v="0"/>
    <n v="0"/>
    <m/>
    <m/>
    <x v="3"/>
  </r>
  <r>
    <n v="621"/>
    <s v="KOUAME AYA BENEDICTE"/>
    <x v="0"/>
    <n v="13"/>
    <s v="Absent"/>
    <s v="CPU"/>
    <s v="Absent"/>
    <s v="Absent"/>
    <m/>
    <x v="2"/>
    <s v="BOHOUSSOUKRO"/>
    <n v="0"/>
    <n v="0"/>
    <m/>
    <m/>
    <x v="3"/>
  </r>
  <r>
    <n v="622"/>
    <s v="KOUAME AHOU RACHELLE"/>
    <x v="0"/>
    <n v="10"/>
    <s v="Absent"/>
    <s v="CPU"/>
    <s v="Absent"/>
    <s v="Absent"/>
    <m/>
    <x v="2"/>
    <s v="BOHOUSSOUKRO"/>
    <n v="0"/>
    <n v="0"/>
    <m/>
    <m/>
    <x v="3"/>
  </r>
  <r>
    <n v="623"/>
    <s v="BONKOUNGOU  BOUKARY"/>
    <x v="1"/>
    <n v="14"/>
    <n v="8.3699999999999992"/>
    <s v="CPU"/>
    <s v="6è"/>
    <s v="Admis"/>
    <m/>
    <x v="3"/>
    <s v="GBALEVILLE"/>
    <n v="1"/>
    <n v="0"/>
    <m/>
    <m/>
    <x v="0"/>
  </r>
  <r>
    <n v="624"/>
    <s v="CONVOLBO AICHA"/>
    <x v="0"/>
    <n v="9"/>
    <n v="7.37"/>
    <s v="CPU"/>
    <s v="13è"/>
    <s v="Admis"/>
    <m/>
    <x v="3"/>
    <s v="GBALEVILLE"/>
    <n v="1"/>
    <n v="0"/>
    <m/>
    <m/>
    <x v="1"/>
  </r>
  <r>
    <n v="625"/>
    <s v="CONVOLBO FADILA"/>
    <x v="0"/>
    <n v="9"/>
    <s v="Absent"/>
    <s v="CPU"/>
    <s v="Absent"/>
    <s v="Absent"/>
    <m/>
    <x v="3"/>
    <s v="GBALEVILLE"/>
    <n v="0"/>
    <n v="0"/>
    <m/>
    <m/>
    <x v="3"/>
  </r>
  <r>
    <n v="626"/>
    <s v="KAMBOU SEHE"/>
    <x v="1"/>
    <n v="9"/>
    <n v="4.37"/>
    <s v="CPU"/>
    <s v="19è"/>
    <s v="Redouble"/>
    <m/>
    <x v="3"/>
    <s v="GBALEVILLE"/>
    <n v="0"/>
    <n v="0"/>
    <m/>
    <m/>
    <x v="2"/>
  </r>
  <r>
    <n v="627"/>
    <s v="KEITA SARAH"/>
    <x v="0"/>
    <n v="14"/>
    <n v="7.43"/>
    <s v="CPU"/>
    <s v="12è"/>
    <s v="Admis"/>
    <m/>
    <x v="3"/>
    <s v="GBALEVILLE"/>
    <n v="1"/>
    <n v="0"/>
    <m/>
    <m/>
    <x v="0"/>
  </r>
  <r>
    <n v="628"/>
    <s v="KIEBRE JULIETTE"/>
    <x v="0"/>
    <n v="9"/>
    <n v="6.5"/>
    <s v="CPU"/>
    <s v="15è"/>
    <s v="Admis"/>
    <m/>
    <x v="3"/>
    <s v="GBALEVILLE"/>
    <n v="1"/>
    <n v="0"/>
    <m/>
    <m/>
    <x v="1"/>
  </r>
  <r>
    <n v="629"/>
    <s v="OUEDRAOGO FRANCOIS"/>
    <x v="1"/>
    <n v="14"/>
    <n v="4.12"/>
    <s v="CPU"/>
    <s v="20è"/>
    <s v="Redouble"/>
    <m/>
    <x v="3"/>
    <s v="GBALEVILLE"/>
    <n v="0"/>
    <n v="0"/>
    <m/>
    <m/>
    <x v="1"/>
  </r>
  <r>
    <n v="630"/>
    <s v="OUEDRAOGO ISSA"/>
    <x v="1"/>
    <n v="12"/>
    <n v="9.6199999999999992"/>
    <s v="CPU"/>
    <s v="2è"/>
    <s v="Admis"/>
    <m/>
    <x v="3"/>
    <s v="GBALEVILLE"/>
    <n v="1"/>
    <n v="0"/>
    <m/>
    <m/>
    <x v="0"/>
  </r>
  <r>
    <n v="631"/>
    <s v="OUEDRAOGO LEA"/>
    <x v="0"/>
    <n v="9"/>
    <n v="7.37"/>
    <s v="CPU"/>
    <s v="13è"/>
    <s v="Admis"/>
    <m/>
    <x v="3"/>
    <s v="GBALEVILLE"/>
    <n v="1"/>
    <n v="0"/>
    <m/>
    <m/>
    <x v="1"/>
  </r>
  <r>
    <n v="632"/>
    <s v="OUEDRAOGO SAORATA"/>
    <x v="0"/>
    <n v="9"/>
    <n v="7.5"/>
    <s v="CPU"/>
    <s v="11è"/>
    <s v="Admis"/>
    <m/>
    <x v="3"/>
    <s v="GBALEVILLE"/>
    <n v="1"/>
    <n v="0"/>
    <m/>
    <m/>
    <x v="1"/>
  </r>
  <r>
    <n v="633"/>
    <s v="OUEDRAOGO ZALISSA"/>
    <x v="0"/>
    <n v="12"/>
    <n v="9.81"/>
    <s v="CPU"/>
    <s v="1ère"/>
    <s v="Admis"/>
    <m/>
    <x v="3"/>
    <s v="GBALEVILLE"/>
    <n v="1"/>
    <n v="0"/>
    <m/>
    <m/>
    <x v="0"/>
  </r>
  <r>
    <n v="634"/>
    <s v="SARBA ABDOUL GAWI"/>
    <x v="1"/>
    <n v="9"/>
    <n v="4.75"/>
    <s v="CPU"/>
    <s v="18è"/>
    <s v="Redouble"/>
    <m/>
    <x v="3"/>
    <s v="GBALEVILLE"/>
    <n v="0"/>
    <n v="0"/>
    <m/>
    <m/>
    <x v="2"/>
  </r>
  <r>
    <n v="635"/>
    <s v="SARBA KOUDOU"/>
    <x v="1"/>
    <n v="10"/>
    <n v="9.1199999999999992"/>
    <s v="CPU"/>
    <s v="7è"/>
    <s v="Admis"/>
    <m/>
    <x v="3"/>
    <s v="GBALEVILLE"/>
    <n v="1"/>
    <n v="0"/>
    <m/>
    <m/>
    <x v="1"/>
  </r>
  <r>
    <n v="636"/>
    <s v="SAWADOGO ALI"/>
    <x v="1"/>
    <n v="11"/>
    <n v="7.87"/>
    <s v="CPU"/>
    <s v="9è"/>
    <s v="Admis"/>
    <m/>
    <x v="3"/>
    <s v="GBALEVILLE"/>
    <n v="1"/>
    <n v="0"/>
    <m/>
    <m/>
    <x v="1"/>
  </r>
  <r>
    <n v="637"/>
    <s v="SAWADOGO ZAKARY"/>
    <x v="1"/>
    <n v="14"/>
    <n v="8"/>
    <s v="CPU"/>
    <s v="8è"/>
    <s v="Admis"/>
    <m/>
    <x v="3"/>
    <s v="GBALEVILLE"/>
    <n v="1"/>
    <n v="0"/>
    <m/>
    <m/>
    <x v="0"/>
  </r>
  <r>
    <n v="638"/>
    <s v="TENON DEBORA"/>
    <x v="0"/>
    <n v="10"/>
    <n v="8.8699999999999992"/>
    <s v="CPU"/>
    <s v="5è"/>
    <s v="Admis"/>
    <m/>
    <x v="3"/>
    <s v="GBALEVILLE"/>
    <n v="1"/>
    <n v="0"/>
    <m/>
    <m/>
    <x v="1"/>
  </r>
  <r>
    <n v="639"/>
    <s v="TENKODOGO PAULIN"/>
    <x v="1"/>
    <n v="9"/>
    <n v="5.37"/>
    <s v="CPU"/>
    <s v="16è"/>
    <s v="Admis"/>
    <m/>
    <x v="3"/>
    <s v="GBALEVILLE"/>
    <n v="1"/>
    <n v="0"/>
    <m/>
    <m/>
    <x v="1"/>
  </r>
  <r>
    <n v="640"/>
    <s v="YAMEOGO SALIMATA"/>
    <x v="0"/>
    <n v="13"/>
    <n v="5.25"/>
    <s v="CPU"/>
    <s v="17è"/>
    <s v="Admis"/>
    <m/>
    <x v="3"/>
    <s v="GBALEVILLE"/>
    <n v="1"/>
    <n v="0"/>
    <m/>
    <m/>
    <x v="0"/>
  </r>
  <r>
    <n v="641"/>
    <s v="ZOROME ABDOUL AMIDOU"/>
    <x v="1"/>
    <n v="11"/>
    <n v="9.3699999999999992"/>
    <s v="CPU"/>
    <s v="4è"/>
    <s v="Admis"/>
    <m/>
    <x v="3"/>
    <s v="GBALEVILLE"/>
    <n v="1"/>
    <n v="0"/>
    <m/>
    <m/>
    <x v="1"/>
  </r>
  <r>
    <n v="642"/>
    <s v="ZOROME ABDOUL BACHIROU"/>
    <x v="1"/>
    <n v="10"/>
    <n v="7.87"/>
    <s v="CPU"/>
    <s v="9è"/>
    <s v="Admis"/>
    <m/>
    <x v="3"/>
    <s v="GBALEVILLE"/>
    <n v="1"/>
    <n v="0"/>
    <m/>
    <m/>
    <x v="1"/>
  </r>
  <r>
    <n v="643"/>
    <s v="ZOROME MOUSSA"/>
    <x v="1"/>
    <n v="11"/>
    <n v="9.5"/>
    <s v="CPU"/>
    <s v="3è"/>
    <s v="Admis"/>
    <m/>
    <x v="3"/>
    <s v="GBALEVILLE"/>
    <n v="1"/>
    <n v="0"/>
    <m/>
    <m/>
    <x v="1"/>
  </r>
  <r>
    <n v="644"/>
    <s v="AMANI SAMIRA"/>
    <x v="0"/>
    <n v="9"/>
    <n v="4.5"/>
    <s v="CPU"/>
    <s v="14è"/>
    <s v="Redouble"/>
    <m/>
    <x v="3"/>
    <s v="GBALEVILLE"/>
    <n v="0"/>
    <n v="0"/>
    <m/>
    <m/>
    <x v="2"/>
  </r>
  <r>
    <n v="645"/>
    <s v="BAMOGO KOUDOUS"/>
    <x v="1"/>
    <n v="10"/>
    <n v="8.1199999999999992"/>
    <s v="CPU"/>
    <s v="9ex"/>
    <s v="Admis"/>
    <m/>
    <x v="3"/>
    <s v="GBALEVILLE"/>
    <n v="1"/>
    <n v="0"/>
    <m/>
    <m/>
    <x v="1"/>
  </r>
  <r>
    <n v="646"/>
    <s v="BARRY BARAKISSA"/>
    <x v="0"/>
    <n v="13"/>
    <n v="10"/>
    <s v="CPU"/>
    <s v="1ère"/>
    <s v="Admis"/>
    <m/>
    <x v="3"/>
    <s v="GBALEVILLE"/>
    <n v="1"/>
    <n v="0"/>
    <m/>
    <m/>
    <x v="0"/>
  </r>
  <r>
    <n v="647"/>
    <s v="BELEM GUENEBA"/>
    <x v="0"/>
    <n v="12"/>
    <n v="9.25"/>
    <s v="CPU"/>
    <s v="6è"/>
    <s v="Admis"/>
    <m/>
    <x v="3"/>
    <s v="GBALEVILLE"/>
    <n v="1"/>
    <n v="0"/>
    <m/>
    <m/>
    <x v="0"/>
  </r>
  <r>
    <n v="648"/>
    <s v="BAGAYA ADAMA"/>
    <x v="1"/>
    <n v="12"/>
    <n v="8.5"/>
    <s v="CPU"/>
    <s v="9è"/>
    <s v="Admis"/>
    <m/>
    <x v="3"/>
    <s v="GBALEVILLE"/>
    <n v="1"/>
    <n v="0"/>
    <m/>
    <m/>
    <x v="0"/>
  </r>
  <r>
    <n v="649"/>
    <s v="KABORE  TOUSSAINE"/>
    <x v="0"/>
    <n v="10"/>
    <n v="5.62"/>
    <s v="CPU"/>
    <s v="16è"/>
    <s v="Admis"/>
    <m/>
    <x v="3"/>
    <s v="GBALEVILLE"/>
    <n v="1"/>
    <n v="0"/>
    <m/>
    <m/>
    <x v="1"/>
  </r>
  <r>
    <n v="650"/>
    <s v="KIEBRE PAULINE"/>
    <x v="0"/>
    <n v="11"/>
    <n v="5"/>
    <s v="CPU"/>
    <s v="17è"/>
    <s v="Admis"/>
    <m/>
    <x v="3"/>
    <s v="GBALEVILLE"/>
    <n v="1"/>
    <n v="0"/>
    <m/>
    <m/>
    <x v="1"/>
  </r>
  <r>
    <n v="651"/>
    <s v="KIEBRE STEPHANIE"/>
    <x v="0"/>
    <n v="14"/>
    <n v="9.8699999999999992"/>
    <s v="CPU"/>
    <s v="2è"/>
    <s v="Admis"/>
    <m/>
    <x v="3"/>
    <s v="GBALEVILLE"/>
    <n v="1"/>
    <n v="0"/>
    <m/>
    <m/>
    <x v="0"/>
  </r>
  <r>
    <n v="652"/>
    <s v="KIENDREBEOGO SEPHORA"/>
    <x v="0"/>
    <n v="9"/>
    <n v="8.1199999999999992"/>
    <s v="CPU"/>
    <s v="10è"/>
    <s v="Admis"/>
    <m/>
    <x v="3"/>
    <s v="GBALEVILLE"/>
    <n v="1"/>
    <n v="0"/>
    <m/>
    <m/>
    <x v="1"/>
  </r>
  <r>
    <n v="653"/>
    <s v="OUEDRAOGO SEYDOU"/>
    <x v="1"/>
    <n v="9"/>
    <n v="5.12"/>
    <s v="CPU"/>
    <s v="15è"/>
    <s v="Admis"/>
    <m/>
    <x v="3"/>
    <s v="GBALEVILLE"/>
    <n v="1"/>
    <n v="0"/>
    <m/>
    <m/>
    <x v="1"/>
  </r>
  <r>
    <n v="654"/>
    <s v="OUEDRAOGO LADIFATOU"/>
    <x v="0"/>
    <n v="13"/>
    <n v="9.25"/>
    <s v="CPU"/>
    <s v="7è"/>
    <s v="Admis"/>
    <m/>
    <x v="3"/>
    <s v="GBALEVILLE"/>
    <n v="1"/>
    <n v="0"/>
    <m/>
    <m/>
    <x v="0"/>
  </r>
  <r>
    <n v="655"/>
    <s v="OUEDRAOGO MAMOUNATOU"/>
    <x v="0"/>
    <n v="14"/>
    <n v="8.6199999999999992"/>
    <s v="CPU"/>
    <s v="8è"/>
    <s v="Admis"/>
    <m/>
    <x v="3"/>
    <s v="GBALEVILLE"/>
    <n v="1"/>
    <n v="0"/>
    <m/>
    <m/>
    <x v="0"/>
  </r>
  <r>
    <n v="656"/>
    <s v="OUEDRAOGO MINATA"/>
    <x v="0"/>
    <n v="12"/>
    <n v="9.75"/>
    <s v="CPU"/>
    <s v="3è"/>
    <s v="Admis"/>
    <m/>
    <x v="3"/>
    <s v="GBALEVILLE"/>
    <n v="1"/>
    <n v="0"/>
    <m/>
    <m/>
    <x v="0"/>
  </r>
  <r>
    <n v="657"/>
    <s v="PORGO ASSA"/>
    <x v="0"/>
    <n v="9"/>
    <n v="7.87"/>
    <s v="CPU"/>
    <s v="10è"/>
    <s v="Admis"/>
    <m/>
    <x v="3"/>
    <s v="GBALEVILLE"/>
    <n v="1"/>
    <n v="0"/>
    <m/>
    <m/>
    <x v="1"/>
  </r>
  <r>
    <n v="658"/>
    <s v="SAWADOGO KARIDJATOU"/>
    <x v="0"/>
    <n v="13"/>
    <n v="9.5"/>
    <s v="CPU"/>
    <s v="5è"/>
    <s v="Admis"/>
    <m/>
    <x v="3"/>
    <s v="GBALEVILLE"/>
    <n v="1"/>
    <n v="0"/>
    <m/>
    <m/>
    <x v="0"/>
  </r>
  <r>
    <n v="659"/>
    <s v="ZONGO ABDOUL"/>
    <x v="1"/>
    <n v="13"/>
    <n v="9.75"/>
    <s v="CPU"/>
    <s v="3è"/>
    <s v="Admis"/>
    <m/>
    <x v="3"/>
    <s v="GBALEVILLE"/>
    <n v="1"/>
    <n v="0"/>
    <m/>
    <m/>
    <x v="0"/>
  </r>
  <r>
    <n v="660"/>
    <s v="ZONGO ANDRE"/>
    <x v="1"/>
    <n v="9"/>
    <n v="5.75"/>
    <s v="CPU"/>
    <s v="13è"/>
    <s v="Admis"/>
    <m/>
    <x v="3"/>
    <s v="GBALEVILLE"/>
    <n v="1"/>
    <n v="0"/>
    <m/>
    <m/>
    <x v="1"/>
  </r>
  <r>
    <n v="661"/>
    <s v="OUREMY ISSAKA"/>
    <x v="1"/>
    <n v="9"/>
    <n v="6.75"/>
    <s v="CPU"/>
    <s v="11è"/>
    <s v="Admis"/>
    <m/>
    <x v="3"/>
    <s v="GBALEVILLE"/>
    <n v="1"/>
    <n v="0"/>
    <m/>
    <m/>
    <x v="1"/>
  </r>
  <r>
    <n v="662"/>
    <s v="ZONGO SABINE"/>
    <x v="0"/>
    <n v="9"/>
    <n v="3"/>
    <s v="CPU"/>
    <s v="19è"/>
    <s v="Redouble"/>
    <m/>
    <x v="3"/>
    <s v="GBALEVILLE"/>
    <n v="0"/>
    <n v="0"/>
    <m/>
    <m/>
    <x v="2"/>
  </r>
  <r>
    <n v="663"/>
    <s v="ZOROME AMADO"/>
    <x v="1"/>
    <n v="13"/>
    <n v="9.6199999999999992"/>
    <s v="CPU"/>
    <s v="4è"/>
    <s v="Admis"/>
    <m/>
    <x v="3"/>
    <s v="GBALEVILLE"/>
    <n v="1"/>
    <n v="0"/>
    <m/>
    <m/>
    <x v="0"/>
  </r>
  <r>
    <n v="664"/>
    <s v="ZOROME MARIAM"/>
    <x v="0"/>
    <n v="9"/>
    <n v="6.37"/>
    <s v="CPU"/>
    <s v="12è"/>
    <s v="Admis"/>
    <m/>
    <x v="3"/>
    <s v="GBALEVILLE"/>
    <n v="1"/>
    <n v="0"/>
    <m/>
    <m/>
    <x v="1"/>
  </r>
  <r>
    <n v="665"/>
    <s v="BOLOGO FATIM"/>
    <x v="0"/>
    <n v="11"/>
    <n v="6"/>
    <s v="CPU"/>
    <s v="15è"/>
    <s v="Admis"/>
    <m/>
    <x v="3"/>
    <s v="ROA"/>
    <n v="1"/>
    <n v="0"/>
    <m/>
    <m/>
    <x v="1"/>
  </r>
  <r>
    <n v="666"/>
    <s v="BEDI ZOHOUNON GRACE"/>
    <x v="0"/>
    <n v="12"/>
    <n v="4.25"/>
    <s v="CPU"/>
    <s v="21è"/>
    <s v="Redouble"/>
    <m/>
    <x v="3"/>
    <s v="ROA"/>
    <n v="0"/>
    <n v="0"/>
    <m/>
    <m/>
    <x v="1"/>
  </r>
  <r>
    <n v="667"/>
    <s v="BLE ESTHER"/>
    <x v="0"/>
    <n v="13"/>
    <n v="9"/>
    <s v="CPU"/>
    <s v="1er"/>
    <s v="Admis"/>
    <m/>
    <x v="3"/>
    <s v="ROA"/>
    <n v="1"/>
    <n v="0"/>
    <m/>
    <m/>
    <x v="0"/>
  </r>
  <r>
    <n v="668"/>
    <s v="DOUDOU ELYSEE"/>
    <x v="1"/>
    <n v="10"/>
    <n v="5.87"/>
    <s v="CPU"/>
    <s v="16è"/>
    <s v="Admis"/>
    <m/>
    <x v="3"/>
    <s v="ROA"/>
    <n v="1"/>
    <n v="0"/>
    <m/>
    <m/>
    <x v="1"/>
  </r>
  <r>
    <n v="669"/>
    <s v="DJEBRE SALIF"/>
    <x v="1"/>
    <n v="10"/>
    <n v="7.5"/>
    <s v="CPU"/>
    <s v="7ex"/>
    <s v="Admis"/>
    <m/>
    <x v="3"/>
    <s v="ROA"/>
    <n v="1"/>
    <n v="0"/>
    <m/>
    <m/>
    <x v="1"/>
  </r>
  <r>
    <n v="670"/>
    <s v="GBAHI EDWIGE"/>
    <x v="0"/>
    <n v="10"/>
    <s v="Absent"/>
    <s v="CPU"/>
    <s v="Absent"/>
    <s v="Absent"/>
    <m/>
    <x v="3"/>
    <s v="ROA"/>
    <n v="0"/>
    <n v="0"/>
    <m/>
    <m/>
    <x v="3"/>
  </r>
  <r>
    <n v="671"/>
    <s v="GBAHI SAMUEL"/>
    <x v="1"/>
    <n v="12"/>
    <n v="7.5"/>
    <s v="CPU"/>
    <s v="7è"/>
    <s v="Admis"/>
    <m/>
    <x v="3"/>
    <s v="ROA"/>
    <n v="1"/>
    <n v="0"/>
    <m/>
    <m/>
    <x v="0"/>
  </r>
  <r>
    <n v="672"/>
    <s v="GBALE LAGO MARCEL"/>
    <x v="1"/>
    <n v="10"/>
    <s v="Absent"/>
    <s v="CPU"/>
    <s v="Absent"/>
    <s v="Absent"/>
    <m/>
    <x v="3"/>
    <s v="ROA"/>
    <n v="0"/>
    <n v="0"/>
    <m/>
    <m/>
    <x v="3"/>
  </r>
  <r>
    <n v="673"/>
    <s v="GBALE JEAN-BAPTISTE"/>
    <x v="1"/>
    <n v="10"/>
    <s v="Absent"/>
    <s v="CPU"/>
    <s v="Absent"/>
    <s v="Absent"/>
    <m/>
    <x v="3"/>
    <s v="ROA"/>
    <n v="0"/>
    <n v="0"/>
    <m/>
    <m/>
    <x v="3"/>
  </r>
  <r>
    <n v="674"/>
    <s v="GBALE GUEDE AMOS"/>
    <x v="1"/>
    <n v="12"/>
    <s v="Absent"/>
    <s v="CPU"/>
    <s v="Absent"/>
    <s v="Absent"/>
    <m/>
    <x v="3"/>
    <s v="ROA"/>
    <n v="0"/>
    <n v="0"/>
    <m/>
    <m/>
    <x v="3"/>
  </r>
  <r>
    <n v="675"/>
    <s v="NAKANABO AWA"/>
    <x v="0"/>
    <n v="12"/>
    <n v="6.62"/>
    <s v="CPU"/>
    <s v="11è"/>
    <s v="Admis"/>
    <m/>
    <x v="3"/>
    <s v="ROA"/>
    <n v="1"/>
    <n v="0"/>
    <m/>
    <m/>
    <x v="0"/>
  </r>
  <r>
    <n v="676"/>
    <s v="N'GUESSAN AMANI M"/>
    <x v="1"/>
    <n v="11"/>
    <n v="7.5"/>
    <s v="CPU"/>
    <s v="7ex"/>
    <s v="Admis"/>
    <m/>
    <x v="3"/>
    <s v="ROA"/>
    <n v="1"/>
    <n v="0"/>
    <m/>
    <m/>
    <x v="1"/>
  </r>
  <r>
    <n v="677"/>
    <s v="N'GUESSAN KOUADIO J-L"/>
    <x v="1"/>
    <n v="10"/>
    <n v="7.12"/>
    <s v="CPU"/>
    <s v="12è"/>
    <s v="Admis"/>
    <m/>
    <x v="3"/>
    <s v="ROA"/>
    <n v="1"/>
    <n v="0"/>
    <m/>
    <m/>
    <x v="1"/>
  </r>
  <r>
    <n v="678"/>
    <s v="N'GUESSAN YAO VALENTIN"/>
    <x v="1"/>
    <n v="12"/>
    <n v="7.87"/>
    <s v="CPU"/>
    <s v="5è"/>
    <s v="Admis"/>
    <m/>
    <x v="3"/>
    <s v="ROA"/>
    <n v="1"/>
    <n v="0"/>
    <m/>
    <m/>
    <x v="0"/>
  </r>
  <r>
    <n v="679"/>
    <s v="N'GUESSAN AYA DAVILLA"/>
    <x v="0"/>
    <n v="13"/>
    <n v="9.75"/>
    <s v="CPU"/>
    <s v="1ère"/>
    <s v="Admis"/>
    <m/>
    <x v="3"/>
    <s v="ROA"/>
    <n v="1"/>
    <n v="0"/>
    <m/>
    <m/>
    <x v="0"/>
  </r>
  <r>
    <n v="680"/>
    <s v="OUEDRAOGO KARIM"/>
    <x v="1"/>
    <n v="10"/>
    <n v="6.25"/>
    <s v="CPU"/>
    <s v="12è"/>
    <s v="Admis"/>
    <m/>
    <x v="3"/>
    <s v="ROA"/>
    <n v="1"/>
    <n v="0"/>
    <m/>
    <m/>
    <x v="1"/>
  </r>
  <r>
    <n v="681"/>
    <s v="PORGO RASIM"/>
    <x v="0"/>
    <n v="10"/>
    <s v="Absent"/>
    <s v="CPU"/>
    <m/>
    <s v="Absent"/>
    <m/>
    <x v="3"/>
    <s v="ROA"/>
    <n v="0"/>
    <n v="0"/>
    <m/>
    <m/>
    <x v="3"/>
  </r>
  <r>
    <n v="682"/>
    <s v="PORGO SAFIATA"/>
    <x v="0"/>
    <n v="10"/>
    <s v="Absent"/>
    <s v="CPU"/>
    <m/>
    <s v="Absent"/>
    <m/>
    <x v="3"/>
    <s v="ROA"/>
    <n v="0"/>
    <n v="0"/>
    <m/>
    <m/>
    <x v="3"/>
  </r>
  <r>
    <n v="683"/>
    <s v="PORGO AINATOU"/>
    <x v="0"/>
    <n v="9"/>
    <s v="Absent"/>
    <s v="CPU"/>
    <m/>
    <s v="Absent"/>
    <m/>
    <x v="3"/>
    <s v="ROA"/>
    <n v="0"/>
    <n v="0"/>
    <m/>
    <m/>
    <x v="3"/>
  </r>
  <r>
    <n v="684"/>
    <s v="SEBOGO MATOU"/>
    <x v="0"/>
    <n v="11"/>
    <s v="Absent"/>
    <s v="CPU"/>
    <m/>
    <s v="Absent"/>
    <m/>
    <x v="3"/>
    <s v="ROA"/>
    <n v="0"/>
    <n v="0"/>
    <m/>
    <m/>
    <x v="3"/>
  </r>
  <r>
    <n v="685"/>
    <s v="SERY DROGBA ELYSEE"/>
    <x v="1"/>
    <n v="13"/>
    <n v="8.75"/>
    <s v="CPU"/>
    <s v="4è"/>
    <s v="Admis"/>
    <m/>
    <x v="3"/>
    <s v="ROA"/>
    <n v="1"/>
    <n v="0"/>
    <m/>
    <m/>
    <x v="0"/>
  </r>
  <r>
    <n v="686"/>
    <s v="SERY LAGO GAEL"/>
    <x v="1"/>
    <n v="9"/>
    <s v="Absent"/>
    <s v="CPU"/>
    <m/>
    <s v="Absent"/>
    <m/>
    <x v="3"/>
    <s v="ROA"/>
    <n v="0"/>
    <n v="0"/>
    <m/>
    <m/>
    <x v="3"/>
  </r>
  <r>
    <n v="687"/>
    <s v="SOULEY ANGELE"/>
    <x v="0"/>
    <n v="11"/>
    <n v="7.75"/>
    <s v="CPU"/>
    <s v="6ex"/>
    <s v="Admis"/>
    <m/>
    <x v="3"/>
    <s v="ROA"/>
    <n v="1"/>
    <n v="0"/>
    <m/>
    <m/>
    <x v="1"/>
  </r>
  <r>
    <n v="688"/>
    <s v="SAWADOGO NASSIRATOU"/>
    <x v="0"/>
    <n v="9"/>
    <s v="Absent"/>
    <s v="CPU"/>
    <m/>
    <s v="Absent"/>
    <m/>
    <x v="3"/>
    <s v="ROA"/>
    <n v="0"/>
    <n v="0"/>
    <m/>
    <m/>
    <x v="3"/>
  </r>
  <r>
    <n v="689"/>
    <s v="TRIFO JONAS"/>
    <x v="1"/>
    <n v="13"/>
    <n v="9.1199999999999992"/>
    <s v="CPU"/>
    <s v="3ex"/>
    <s v="Admis"/>
    <m/>
    <x v="3"/>
    <s v="ROA"/>
    <n v="1"/>
    <n v="0"/>
    <m/>
    <m/>
    <x v="0"/>
  </r>
  <r>
    <n v="690"/>
    <s v="ZADI YOHOU SONIA-I"/>
    <x v="0"/>
    <n v="9"/>
    <s v="Absent"/>
    <s v="CPU"/>
    <m/>
    <s v="Absent"/>
    <m/>
    <x v="3"/>
    <s v="ROA"/>
    <n v="0"/>
    <n v="0"/>
    <m/>
    <m/>
    <x v="3"/>
  </r>
  <r>
    <n v="691"/>
    <s v="ZOUZOUA JEAN-HERVE"/>
    <x v="1"/>
    <n v="12"/>
    <n v="5.75"/>
    <s v="CPU"/>
    <s v="13è"/>
    <s v="Admis"/>
    <m/>
    <x v="3"/>
    <s v="ROA"/>
    <n v="1"/>
    <n v="0"/>
    <m/>
    <m/>
    <x v="0"/>
  </r>
  <r>
    <n v="692"/>
    <s v="ZAHIBO RUTH"/>
    <x v="0"/>
    <n v="13"/>
    <s v="Absent"/>
    <s v="CPU"/>
    <m/>
    <s v="Absent"/>
    <m/>
    <x v="3"/>
    <s v="ROA"/>
    <n v="0"/>
    <n v="0"/>
    <m/>
    <m/>
    <x v="3"/>
  </r>
  <r>
    <n v="693"/>
    <s v="GABA MAHE ARTHUR"/>
    <x v="1"/>
    <n v="11"/>
    <n v="4.24"/>
    <s v="CPU"/>
    <s v="10è"/>
    <s v="Redouble"/>
    <m/>
    <x v="3"/>
    <s v="GADAGO"/>
    <n v="0"/>
    <n v="0"/>
    <m/>
    <m/>
    <x v="2"/>
  </r>
  <r>
    <n v="694"/>
    <s v="DJEMIA AZIZ"/>
    <x v="1"/>
    <n v="9"/>
    <n v="1.31"/>
    <s v="CPU"/>
    <s v="17è"/>
    <s v="Redouble"/>
    <m/>
    <x v="3"/>
    <s v="GADAGO"/>
    <n v="0"/>
    <n v="0"/>
    <m/>
    <m/>
    <x v="2"/>
  </r>
  <r>
    <n v="695"/>
    <s v="GNIPRE GUEDE MIRACLE"/>
    <x v="1"/>
    <n v="9"/>
    <n v="5"/>
    <s v="CPU"/>
    <s v="7è"/>
    <s v="Admis"/>
    <m/>
    <x v="3"/>
    <s v="GADAGO"/>
    <n v="1"/>
    <n v="0"/>
    <m/>
    <m/>
    <x v="1"/>
  </r>
  <r>
    <n v="696"/>
    <s v="GNIPRE SERI TRESOR"/>
    <x v="1"/>
    <n v="11"/>
    <n v="6.56"/>
    <s v="CPU"/>
    <s v="4è"/>
    <s v="Admis"/>
    <m/>
    <x v="3"/>
    <s v="GADAGO"/>
    <n v="1"/>
    <n v="0"/>
    <m/>
    <m/>
    <x v="1"/>
  </r>
  <r>
    <n v="697"/>
    <s v="GOKOU JEAN FRANCOIS E"/>
    <x v="1"/>
    <n v="9"/>
    <s v="Absent"/>
    <s v="CPU"/>
    <s v="Absent"/>
    <s v="Absent"/>
    <m/>
    <x v="3"/>
    <s v="GADAGO"/>
    <n v="0"/>
    <n v="0"/>
    <m/>
    <m/>
    <x v="3"/>
  </r>
  <r>
    <n v="698"/>
    <s v="KI AWA"/>
    <x v="0"/>
    <n v="13"/>
    <n v="4.8099999999999996"/>
    <s v="CPU"/>
    <s v="9è"/>
    <s v="Redouble"/>
    <m/>
    <x v="3"/>
    <s v="GADAGO"/>
    <n v="0"/>
    <n v="0"/>
    <m/>
    <m/>
    <x v="1"/>
  </r>
  <r>
    <n v="699"/>
    <s v="KUEGBO ZOUA NAOMI"/>
    <x v="0"/>
    <n v="13"/>
    <n v="5.12"/>
    <s v="CPU"/>
    <s v="6è"/>
    <s v="Admis"/>
    <m/>
    <x v="3"/>
    <s v="GADAGO"/>
    <n v="1"/>
    <n v="0"/>
    <m/>
    <m/>
    <x v="0"/>
  </r>
  <r>
    <n v="700"/>
    <s v="LOUO KEHIA AMOS"/>
    <x v="1"/>
    <n v="14"/>
    <n v="8.49"/>
    <s v="CPU"/>
    <s v="1er"/>
    <s v="Admis"/>
    <m/>
    <x v="3"/>
    <s v="GADAGO"/>
    <n v="1"/>
    <n v="0"/>
    <m/>
    <m/>
    <x v="0"/>
  </r>
  <r>
    <n v="701"/>
    <s v="ONE GBA DAVID"/>
    <x v="1"/>
    <n v="14"/>
    <n v="7.24"/>
    <s v="CPU"/>
    <s v="2è"/>
    <s v="Admis"/>
    <m/>
    <x v="3"/>
    <s v="GADAGO"/>
    <n v="1"/>
    <n v="0"/>
    <m/>
    <m/>
    <x v="0"/>
  </r>
  <r>
    <n v="702"/>
    <s v="OUEDRAOGO KRITA"/>
    <x v="0"/>
    <n v="13"/>
    <n v="3.62"/>
    <s v="CPU"/>
    <s v="12è"/>
    <s v="Redouble"/>
    <m/>
    <x v="3"/>
    <s v="GADAGO"/>
    <n v="0"/>
    <n v="0"/>
    <m/>
    <m/>
    <x v="1"/>
  </r>
  <r>
    <n v="703"/>
    <s v="OUEDRAOGO  KRITO"/>
    <x v="1"/>
    <n v="12"/>
    <n v="2.75"/>
    <s v="CPU"/>
    <s v="15è"/>
    <s v="Redouble"/>
    <m/>
    <x v="3"/>
    <s v="GADAGO"/>
    <n v="0"/>
    <n v="0"/>
    <m/>
    <m/>
    <x v="1"/>
  </r>
  <r>
    <n v="704"/>
    <s v="SALOUA JUNIOR"/>
    <x v="1"/>
    <n v="12"/>
    <n v="5.84"/>
    <s v="CPU"/>
    <s v="5è"/>
    <s v="Admis"/>
    <m/>
    <x v="3"/>
    <s v="GADAGO"/>
    <n v="1"/>
    <n v="0"/>
    <m/>
    <m/>
    <x v="0"/>
  </r>
  <r>
    <n v="705"/>
    <s v="SAWADOGO CEDRIC"/>
    <x v="1"/>
    <n v="12"/>
    <n v="7.12"/>
    <s v="CPU"/>
    <s v="3è"/>
    <s v="Admis"/>
    <m/>
    <x v="3"/>
    <s v="GADAGO"/>
    <n v="1"/>
    <n v="0"/>
    <m/>
    <m/>
    <x v="0"/>
  </r>
  <r>
    <n v="706"/>
    <s v="SIMPORE KRITO"/>
    <x v="1"/>
    <n v="9"/>
    <n v="1.87"/>
    <s v="CPU"/>
    <s v="16è"/>
    <s v="Redouble"/>
    <m/>
    <x v="3"/>
    <s v="GADAGO"/>
    <n v="0"/>
    <n v="0"/>
    <m/>
    <m/>
    <x v="2"/>
  </r>
  <r>
    <n v="707"/>
    <s v="TONY ISMAEL"/>
    <x v="1"/>
    <n v="9"/>
    <n v="4.87"/>
    <s v="CPU"/>
    <s v="8è"/>
    <s v="Redouble"/>
    <m/>
    <x v="3"/>
    <s v="GADAGO"/>
    <n v="0"/>
    <n v="0"/>
    <m/>
    <m/>
    <x v="2"/>
  </r>
  <r>
    <n v="708"/>
    <s v="TONY NATACHA"/>
    <x v="0"/>
    <n v="13"/>
    <n v="3.65"/>
    <s v="CPU"/>
    <s v="13è"/>
    <s v="Redouble"/>
    <m/>
    <x v="3"/>
    <s v="GADAGO"/>
    <n v="0"/>
    <n v="0"/>
    <m/>
    <m/>
    <x v="1"/>
  </r>
  <r>
    <n v="709"/>
    <s v="ZONGO ANNICIET"/>
    <x v="1"/>
    <n v="13"/>
    <n v="3.43"/>
    <s v="CPU"/>
    <s v="14è"/>
    <s v="Redouble"/>
    <m/>
    <x v="3"/>
    <s v="GADAGO"/>
    <n v="0"/>
    <n v="0"/>
    <m/>
    <m/>
    <x v="1"/>
  </r>
  <r>
    <n v="710"/>
    <s v="ZONGO INNOCENT"/>
    <x v="1"/>
    <n v="11"/>
    <n v="3.75"/>
    <s v="CPU"/>
    <s v="11è"/>
    <s v="Redouble"/>
    <m/>
    <x v="3"/>
    <s v="GADAGO"/>
    <n v="0"/>
    <n v="0"/>
    <m/>
    <m/>
    <x v="2"/>
  </r>
  <r>
    <n v="711"/>
    <s v="BAHI BOUABRE PRINCE"/>
    <x v="1"/>
    <n v="14"/>
    <s v="Absent"/>
    <s v="CPU"/>
    <s v="Absent"/>
    <s v="Absent"/>
    <m/>
    <x v="3"/>
    <s v="KIPIRI"/>
    <n v="0"/>
    <n v="0"/>
    <m/>
    <m/>
    <x v="3"/>
  </r>
  <r>
    <n v="712"/>
    <s v="DOME DIDIER"/>
    <x v="1"/>
    <n v="13"/>
    <n v="4.57"/>
    <s v="CPU"/>
    <s v="6è"/>
    <s v="Redouble"/>
    <m/>
    <x v="3"/>
    <s v="KIPIRI"/>
    <n v="0"/>
    <n v="0"/>
    <m/>
    <m/>
    <x v="1"/>
  </r>
  <r>
    <n v="713"/>
    <s v="GOZE SOROKOHI DEBORA"/>
    <x v="0"/>
    <n v="10"/>
    <n v="4.75"/>
    <s v="CPU"/>
    <s v="17è"/>
    <s v="Redouble"/>
    <m/>
    <x v="3"/>
    <s v="KIPIRI"/>
    <n v="0"/>
    <n v="0"/>
    <m/>
    <m/>
    <x v="2"/>
  </r>
  <r>
    <n v="714"/>
    <s v="KAHOU ESTHER"/>
    <x v="0"/>
    <n v="9"/>
    <n v="5.07"/>
    <s v="CPU"/>
    <s v="5è"/>
    <s v="Admis"/>
    <m/>
    <x v="3"/>
    <s v="KIPIRI"/>
    <n v="1"/>
    <n v="0"/>
    <m/>
    <m/>
    <x v="1"/>
  </r>
  <r>
    <n v="715"/>
    <s v="NANA PASCAL"/>
    <x v="1"/>
    <n v="14"/>
    <n v="7.35"/>
    <s v="CPU"/>
    <s v="2è"/>
    <s v="Admis"/>
    <m/>
    <x v="3"/>
    <s v="KIPIRI"/>
    <n v="1"/>
    <n v="0"/>
    <m/>
    <m/>
    <x v="0"/>
  </r>
  <r>
    <n v="716"/>
    <s v="OUEDRAOGO ABDOUL DRAMANE"/>
    <x v="1"/>
    <n v="10"/>
    <n v="4.57"/>
    <s v="CPU"/>
    <s v="6è"/>
    <s v="Redouble"/>
    <m/>
    <x v="3"/>
    <s v="KIPIRI"/>
    <n v="0"/>
    <n v="0"/>
    <m/>
    <m/>
    <x v="2"/>
  </r>
  <r>
    <n v="717"/>
    <s v="OUEDRAOGO DJENEBA"/>
    <x v="0"/>
    <n v="14"/>
    <n v="5.78"/>
    <s v="CPU"/>
    <s v="4è"/>
    <s v="Admis"/>
    <m/>
    <x v="3"/>
    <s v="KIPIRI"/>
    <n v="1"/>
    <n v="0"/>
    <m/>
    <m/>
    <x v="0"/>
  </r>
  <r>
    <n v="718"/>
    <s v="OUEDRAOGO DJEWAYARATOU"/>
    <x v="0"/>
    <n v="9"/>
    <n v="3.57"/>
    <s v="CPU"/>
    <s v="9è"/>
    <s v="Redouble"/>
    <m/>
    <x v="3"/>
    <s v="KIPIRI"/>
    <n v="0"/>
    <n v="0"/>
    <m/>
    <m/>
    <x v="2"/>
  </r>
  <r>
    <n v="719"/>
    <s v="OUEDRAOGO INOUSSA"/>
    <x v="1"/>
    <n v="9"/>
    <n v="3"/>
    <s v="CPU"/>
    <s v="11è"/>
    <s v="Redouble"/>
    <m/>
    <x v="3"/>
    <s v="KIPIRI"/>
    <n v="0"/>
    <n v="0"/>
    <m/>
    <m/>
    <x v="2"/>
  </r>
  <r>
    <n v="720"/>
    <s v="OUEDRAOGO RACHID"/>
    <x v="1"/>
    <n v="12"/>
    <n v="3.42"/>
    <s v="CPU"/>
    <s v="10è"/>
    <s v="Redouble"/>
    <m/>
    <x v="3"/>
    <s v="KIPIRI"/>
    <n v="0"/>
    <n v="0"/>
    <m/>
    <m/>
    <x v="1"/>
  </r>
  <r>
    <n v="721"/>
    <s v="OUEDRAOGO YASSIA"/>
    <x v="1"/>
    <n v="14"/>
    <n v="6.71"/>
    <s v="CPU"/>
    <s v="3è"/>
    <s v="Admis"/>
    <m/>
    <x v="3"/>
    <s v="KIPIRI"/>
    <n v="1"/>
    <n v="0"/>
    <m/>
    <m/>
    <x v="0"/>
  </r>
  <r>
    <n v="722"/>
    <s v="SANGA ALASSANE"/>
    <x v="1"/>
    <n v="9"/>
    <n v="3.71"/>
    <s v="CPU"/>
    <s v="8è"/>
    <s v="Redouble"/>
    <m/>
    <x v="3"/>
    <s v="KIPIRI"/>
    <n v="0"/>
    <n v="0"/>
    <m/>
    <m/>
    <x v="2"/>
  </r>
  <r>
    <n v="723"/>
    <s v="SAWADOGO SOULEYMANE"/>
    <x v="1"/>
    <n v="9"/>
    <n v="2.2799999999999998"/>
    <s v="CPU"/>
    <s v="14è"/>
    <s v="Redouble"/>
    <m/>
    <x v="3"/>
    <s v="KIPIRI"/>
    <n v="0"/>
    <n v="0"/>
    <m/>
    <m/>
    <x v="2"/>
  </r>
  <r>
    <n v="724"/>
    <s v="SIB AIME"/>
    <x v="1"/>
    <n v="10"/>
    <n v="1.42"/>
    <s v="CPU"/>
    <s v="15è"/>
    <s v="Redouble"/>
    <m/>
    <x v="3"/>
    <s v="KIPIRI"/>
    <n v="0"/>
    <n v="0"/>
    <m/>
    <m/>
    <x v="2"/>
  </r>
  <r>
    <n v="725"/>
    <s v="SIB DENIS"/>
    <x v="1"/>
    <n v="10"/>
    <n v="2.4700000000000002"/>
    <s v="CPU"/>
    <s v="13è"/>
    <s v="Redouble"/>
    <m/>
    <x v="3"/>
    <s v="KIPIRI"/>
    <n v="0"/>
    <n v="0"/>
    <m/>
    <m/>
    <x v="2"/>
  </r>
  <r>
    <n v="726"/>
    <s v="YAMEOGO PASCAL"/>
    <x v="1"/>
    <n v="9"/>
    <n v="3"/>
    <s v="CPU"/>
    <s v="11è"/>
    <s v="Redouble"/>
    <m/>
    <x v="3"/>
    <s v="KIPIRI"/>
    <n v="0"/>
    <n v="0"/>
    <m/>
    <m/>
    <x v="2"/>
  </r>
  <r>
    <n v="727"/>
    <s v="ZIDA WIMBA MAIMOUNATA"/>
    <x v="0"/>
    <n v="11"/>
    <n v="8"/>
    <s v="CPU"/>
    <s v="1ère"/>
    <s v="Admis"/>
    <m/>
    <x v="3"/>
    <s v="KIPIRI"/>
    <n v="1"/>
    <n v="0"/>
    <m/>
    <m/>
    <x v="1"/>
  </r>
  <r>
    <n v="728"/>
    <s v="BANISSI ABBAS"/>
    <x v="1"/>
    <n v="9"/>
    <n v="9.6199999999999992"/>
    <s v="CPU"/>
    <s v="7è"/>
    <s v="Admis"/>
    <m/>
    <x v="3"/>
    <s v="BLESSEOUA"/>
    <n v="1"/>
    <n v="0"/>
    <m/>
    <m/>
    <x v="1"/>
  </r>
  <r>
    <n v="729"/>
    <s v="BANISSI FAISSAL"/>
    <x v="1"/>
    <n v="9"/>
    <n v="9.5"/>
    <s v="CPU"/>
    <s v="8è"/>
    <s v="Admis"/>
    <m/>
    <x v="3"/>
    <s v="BLESSEOUA"/>
    <n v="1"/>
    <n v="0"/>
    <m/>
    <m/>
    <x v="1"/>
  </r>
  <r>
    <n v="730"/>
    <s v="ZADI ZADI ALEX"/>
    <x v="1"/>
    <n v="9"/>
    <n v="5"/>
    <s v="CPU"/>
    <s v="19è"/>
    <s v="Admis"/>
    <m/>
    <x v="3"/>
    <s v="BLESSEOUA"/>
    <n v="1"/>
    <n v="0"/>
    <m/>
    <m/>
    <x v="1"/>
  </r>
  <r>
    <n v="731"/>
    <s v="SAWADOGO SAFIATA"/>
    <x v="0"/>
    <n v="10"/>
    <n v="7.75"/>
    <s v="CPU"/>
    <s v="13è"/>
    <s v="Admis"/>
    <m/>
    <x v="3"/>
    <s v="BLESSEOUA"/>
    <n v="1"/>
    <n v="0"/>
    <m/>
    <m/>
    <x v="1"/>
  </r>
  <r>
    <n v="732"/>
    <s v="KOUAME AMENAN CHIMELLE"/>
    <x v="0"/>
    <n v="13"/>
    <n v="8.8699999999999992"/>
    <s v="CPU"/>
    <s v="10è"/>
    <s v="Admis"/>
    <m/>
    <x v="3"/>
    <s v="BLESSEOUA"/>
    <n v="1"/>
    <n v="0"/>
    <m/>
    <m/>
    <x v="0"/>
  </r>
  <r>
    <n v="733"/>
    <s v="GUIPOH SAFIATA"/>
    <x v="0"/>
    <n v="10"/>
    <n v="9.1199999999999992"/>
    <s v="CPU"/>
    <s v="9è"/>
    <s v="Admis"/>
    <m/>
    <x v="3"/>
    <s v="BLESSEOUA"/>
    <n v="1"/>
    <n v="0"/>
    <m/>
    <m/>
    <x v="1"/>
  </r>
  <r>
    <n v="734"/>
    <s v="TINTO NAFISSATA"/>
    <x v="0"/>
    <n v="11"/>
    <n v="9.75"/>
    <s v="CPU"/>
    <s v="6è"/>
    <s v="Admis"/>
    <m/>
    <x v="3"/>
    <s v="BLESSEOUA"/>
    <n v="1"/>
    <n v="0"/>
    <m/>
    <m/>
    <x v="1"/>
  </r>
  <r>
    <n v="735"/>
    <s v="ZAGRE SETOU"/>
    <x v="0"/>
    <n v="12"/>
    <n v="8.25"/>
    <s v="CPU"/>
    <s v="11è"/>
    <s v="Admis"/>
    <m/>
    <x v="3"/>
    <s v="BLESSEOUA"/>
    <n v="1"/>
    <n v="0"/>
    <m/>
    <m/>
    <x v="0"/>
  </r>
  <r>
    <n v="736"/>
    <s v="KORE MICHAELLE"/>
    <x v="0"/>
    <n v="10"/>
    <s v="Absent"/>
    <s v="CPU"/>
    <s v="Absent"/>
    <s v="Absent"/>
    <m/>
    <x v="3"/>
    <s v="BLESSEOUA"/>
    <n v="0"/>
    <n v="0"/>
    <m/>
    <m/>
    <x v="3"/>
  </r>
  <r>
    <n v="737"/>
    <s v="ZADI ZOHONON DEBORAH"/>
    <x v="0"/>
    <n v="9"/>
    <n v="5.37"/>
    <s v="CPU"/>
    <s v="17è"/>
    <s v="Admis"/>
    <m/>
    <x v="3"/>
    <s v="BLESSEOUA"/>
    <n v="1"/>
    <n v="0"/>
    <m/>
    <m/>
    <x v="1"/>
  </r>
  <r>
    <n v="738"/>
    <s v="BANISSI AMALYSE "/>
    <x v="1"/>
    <n v="9"/>
    <n v="1.37"/>
    <s v="CPU"/>
    <s v="23è"/>
    <s v="Redouble"/>
    <m/>
    <x v="3"/>
    <s v="BLESSEOUA"/>
    <n v="0"/>
    <n v="0"/>
    <m/>
    <m/>
    <x v="2"/>
  </r>
  <r>
    <n v="739"/>
    <s v="BELEM SAKINATOU"/>
    <x v="0"/>
    <n v="9"/>
    <n v="2.25"/>
    <s v="CPU"/>
    <s v="22è"/>
    <s v="Redouble"/>
    <m/>
    <x v="3"/>
    <s v="BLESSEOUA"/>
    <n v="0"/>
    <n v="0"/>
    <m/>
    <m/>
    <x v="2"/>
  </r>
  <r>
    <n v="740"/>
    <s v="DALY NADJE TIANE JUDITH"/>
    <x v="0"/>
    <n v="9"/>
    <s v="Absent"/>
    <s v="CPU"/>
    <s v="Absent"/>
    <s v="Absent"/>
    <m/>
    <x v="3"/>
    <s v="BLESSEOUA"/>
    <n v="0"/>
    <n v="0"/>
    <m/>
    <m/>
    <x v="3"/>
  </r>
  <r>
    <n v="741"/>
    <s v="YAO AFFOUE SYNTHICHE"/>
    <x v="0"/>
    <n v="12"/>
    <n v="10"/>
    <s v="CPU"/>
    <s v="1èrex"/>
    <s v="Admis"/>
    <m/>
    <x v="3"/>
    <s v="BLESSEOUA"/>
    <n v="1"/>
    <n v="0"/>
    <m/>
    <m/>
    <x v="0"/>
  </r>
  <r>
    <n v="742"/>
    <s v="SAWADOGO MAMOUNATA"/>
    <x v="0"/>
    <n v="12"/>
    <n v="7.5"/>
    <s v="CPU"/>
    <s v="15è"/>
    <s v="Admis"/>
    <m/>
    <x v="3"/>
    <s v="BLESSEOUA"/>
    <n v="1"/>
    <n v="0"/>
    <m/>
    <m/>
    <x v="0"/>
  </r>
  <r>
    <n v="743"/>
    <s v="SAWADOGO SALIMATA"/>
    <x v="0"/>
    <n v="13"/>
    <n v="7.75"/>
    <s v="CPU"/>
    <s v="13ex"/>
    <s v="Admis"/>
    <m/>
    <x v="3"/>
    <s v="BLESSEOUA"/>
    <n v="1"/>
    <n v="0"/>
    <m/>
    <m/>
    <x v="0"/>
  </r>
  <r>
    <n v="744"/>
    <s v="SAWADOGO ASSEMI"/>
    <x v="1"/>
    <n v="12"/>
    <n v="9.8699999999999992"/>
    <s v="CPU"/>
    <s v="4è"/>
    <s v="Admis"/>
    <m/>
    <x v="3"/>
    <s v="BLESSEOUA"/>
    <n v="1"/>
    <n v="0"/>
    <m/>
    <m/>
    <x v="0"/>
  </r>
  <r>
    <n v="745"/>
    <s v="TINTO APHANE"/>
    <x v="1"/>
    <n v="9"/>
    <n v="1.37"/>
    <s v="CPU"/>
    <s v="23è"/>
    <s v="Redouble"/>
    <m/>
    <x v="3"/>
    <s v="BLESSEOUA"/>
    <n v="0"/>
    <n v="0"/>
    <m/>
    <m/>
    <x v="2"/>
  </r>
  <r>
    <n v="746"/>
    <s v="DAGROU DOUDOU JEAN JAURES"/>
    <x v="1"/>
    <n v="11"/>
    <s v="Absent"/>
    <s v="CPU"/>
    <s v="Absent"/>
    <s v="Absent"/>
    <m/>
    <x v="3"/>
    <s v="BLESSEOUA"/>
    <n v="0"/>
    <n v="0"/>
    <m/>
    <m/>
    <x v="3"/>
  </r>
  <r>
    <n v="747"/>
    <s v="TINTO RASMATA "/>
    <x v="0"/>
    <n v="9"/>
    <s v="Absent"/>
    <s v="CPU"/>
    <s v="Absent"/>
    <s v="Absent"/>
    <m/>
    <x v="3"/>
    <s v="BLESSEOUA"/>
    <n v="0"/>
    <n v="0"/>
    <m/>
    <m/>
    <x v="3"/>
  </r>
  <r>
    <n v="748"/>
    <s v="SAWADOGO ADJARA"/>
    <x v="0"/>
    <n v="10"/>
    <n v="5.25"/>
    <s v="CPU"/>
    <s v="18è"/>
    <s v="Admis"/>
    <m/>
    <x v="3"/>
    <s v="BLESSEOUA"/>
    <n v="1"/>
    <n v="0"/>
    <m/>
    <m/>
    <x v="1"/>
  </r>
  <r>
    <n v="749"/>
    <s v="KOUAM2 AYA GRACE "/>
    <x v="0"/>
    <n v="9"/>
    <n v="1.25"/>
    <s v="CPU"/>
    <s v="25è"/>
    <s v="Redouble"/>
    <m/>
    <x v="3"/>
    <s v="BLESSEOUA"/>
    <n v="0"/>
    <n v="0"/>
    <m/>
    <m/>
    <x v="2"/>
  </r>
  <r>
    <n v="750"/>
    <s v="DIPAMA MAMATA "/>
    <x v="0"/>
    <n v="10"/>
    <n v="7.87"/>
    <s v="CPU"/>
    <s v="12è"/>
    <s v="Admis"/>
    <m/>
    <x v="3"/>
    <s v="BLESSEOUA"/>
    <n v="1"/>
    <n v="0"/>
    <m/>
    <m/>
    <x v="1"/>
  </r>
  <r>
    <n v="751"/>
    <s v="SAWADOGO RAMATA "/>
    <x v="0"/>
    <n v="9"/>
    <n v="5.62"/>
    <s v="CPU"/>
    <s v="16è"/>
    <s v="Admis"/>
    <m/>
    <x v="3"/>
    <s v="BLESSEOUA"/>
    <n v="1"/>
    <n v="0"/>
    <m/>
    <m/>
    <x v="1"/>
  </r>
  <r>
    <n v="752"/>
    <s v="BANISSI AOUD"/>
    <x v="1"/>
    <n v="9"/>
    <n v="5"/>
    <s v="CPU"/>
    <s v="19è"/>
    <s v="Admis"/>
    <m/>
    <x v="3"/>
    <s v="BLESSEOUA"/>
    <n v="1"/>
    <n v="0"/>
    <m/>
    <m/>
    <x v="1"/>
  </r>
  <r>
    <n v="753"/>
    <s v="GNAHUI JULES"/>
    <x v="1"/>
    <n v="12"/>
    <n v="10"/>
    <s v="CPU"/>
    <s v="1er"/>
    <s v="Admis"/>
    <m/>
    <x v="3"/>
    <s v="BLESSEOUA"/>
    <n v="1"/>
    <n v="0"/>
    <m/>
    <m/>
    <x v="0"/>
  </r>
  <r>
    <n v="754"/>
    <s v="ZAGRE ILIASSE"/>
    <x v="1"/>
    <n v="12"/>
    <n v="2.37"/>
    <s v="CPU"/>
    <s v="21è"/>
    <s v="Redouble"/>
    <m/>
    <x v="3"/>
    <s v="BLESSEOUA"/>
    <n v="0"/>
    <n v="0"/>
    <m/>
    <m/>
    <x v="1"/>
  </r>
  <r>
    <n v="755"/>
    <s v="KIEMTORE ABDOULAYE"/>
    <x v="1"/>
    <n v="10"/>
    <n v="10"/>
    <s v="CPU"/>
    <s v="1ex"/>
    <s v="Admis"/>
    <m/>
    <x v="3"/>
    <s v="BLESSEOUA"/>
    <n v="1"/>
    <n v="0"/>
    <m/>
    <m/>
    <x v="1"/>
  </r>
  <r>
    <n v="756"/>
    <s v="SAWADOGO LATIFA"/>
    <x v="0"/>
    <n v="9"/>
    <n v="9.8699999999999992"/>
    <s v="CPU"/>
    <s v="4èEX"/>
    <s v="Admis"/>
    <m/>
    <x v="3"/>
    <s v="BLESSEOUA"/>
    <n v="1"/>
    <n v="0"/>
    <m/>
    <m/>
    <x v="1"/>
  </r>
  <r>
    <n v="757"/>
    <s v="YAO KOUAME KABILA"/>
    <x v="1"/>
    <n v="9"/>
    <n v="0.75"/>
    <s v="CPU"/>
    <s v="26è"/>
    <s v="Redouble"/>
    <m/>
    <x v="3"/>
    <s v="BLESSEOUA"/>
    <n v="0"/>
    <n v="0"/>
    <m/>
    <m/>
    <x v="2"/>
  </r>
  <r>
    <n v="758"/>
    <s v="MAHAN MARDOCHE"/>
    <x v="1"/>
    <n v="13"/>
    <n v="9.6199999999999992"/>
    <s v="CPU"/>
    <s v="1erx"/>
    <s v="Admis"/>
    <m/>
    <x v="3"/>
    <s v="PETIT GOA(LAZOUA)"/>
    <n v="1"/>
    <n v="0"/>
    <m/>
    <m/>
    <x v="0"/>
  </r>
  <r>
    <n v="759"/>
    <s v="COULIBALY FOUSSENI"/>
    <x v="1"/>
    <n v="9"/>
    <n v="9.3699999999999992"/>
    <s v="CPU"/>
    <s v="4è"/>
    <s v="Admis"/>
    <m/>
    <x v="3"/>
    <s v="PETIT GOA(LAZOUA)"/>
    <n v="1"/>
    <n v="0"/>
    <m/>
    <m/>
    <x v="1"/>
  </r>
  <r>
    <n v="760"/>
    <s v="BELEM ADJARA "/>
    <x v="0"/>
    <n v="9"/>
    <n v="9.1199999999999992"/>
    <s v="CPU"/>
    <s v="6è"/>
    <s v="Admis"/>
    <m/>
    <x v="3"/>
    <s v="PETIT GOA(LAZOUA)"/>
    <n v="1"/>
    <n v="0"/>
    <m/>
    <m/>
    <x v="1"/>
  </r>
  <r>
    <n v="761"/>
    <s v="KOUASSI KOUADIO CEDRIC"/>
    <x v="1"/>
    <n v="10"/>
    <n v="9.6199999999999992"/>
    <s v="CPU"/>
    <s v="1erx"/>
    <s v="Admis"/>
    <m/>
    <x v="3"/>
    <s v="PETIT GOA(LAZOUA)"/>
    <n v="1"/>
    <n v="0"/>
    <m/>
    <m/>
    <x v="1"/>
  </r>
  <r>
    <n v="762"/>
    <s v="KOUAKOU KOFFI DANIEL"/>
    <x v="1"/>
    <n v="9"/>
    <n v="9"/>
    <s v="CPU"/>
    <s v="7è"/>
    <s v="Admis"/>
    <m/>
    <x v="3"/>
    <s v="PETIT GOA(LAZOUA)"/>
    <n v="1"/>
    <n v="0"/>
    <m/>
    <m/>
    <x v="1"/>
  </r>
  <r>
    <n v="763"/>
    <s v="N'GUESSAN KOUADIO RAMA"/>
    <x v="1"/>
    <n v="10"/>
    <n v="8.75"/>
    <s v="CPU"/>
    <s v="6è"/>
    <s v="Admis"/>
    <m/>
    <x v="3"/>
    <s v="PETIT GOA(LAZOUA)"/>
    <n v="1"/>
    <n v="0"/>
    <m/>
    <m/>
    <x v="1"/>
  </r>
  <r>
    <n v="764"/>
    <s v="KONAN KOUASSI OLIVIER"/>
    <x v="1"/>
    <n v="12"/>
    <n v="8.8699999999999992"/>
    <s v="CPU"/>
    <s v="8è"/>
    <s v="Admis"/>
    <m/>
    <x v="3"/>
    <s v="PETIT GOA(LAZOUA)"/>
    <n v="1"/>
    <n v="0"/>
    <m/>
    <m/>
    <x v="0"/>
  </r>
  <r>
    <n v="765"/>
    <s v="KOUAME AHOU BERNICE"/>
    <x v="0"/>
    <n v="9"/>
    <n v="7.25"/>
    <s v="CPU"/>
    <s v="14è"/>
    <s v="Admis"/>
    <m/>
    <x v="3"/>
    <s v="PETIT GOA(LAZOUA)"/>
    <n v="1"/>
    <n v="0"/>
    <m/>
    <m/>
    <x v="1"/>
  </r>
  <r>
    <n v="766"/>
    <s v="KOFFI ADJOUA JULIANA"/>
    <x v="0"/>
    <n v="10"/>
    <n v="9.25"/>
    <s v="CPU"/>
    <s v="5è"/>
    <s v="Admis"/>
    <m/>
    <x v="3"/>
    <s v="PETIT GOA(LAZOUA)"/>
    <n v="1"/>
    <n v="0"/>
    <m/>
    <m/>
    <x v="1"/>
  </r>
  <r>
    <n v="767"/>
    <s v="KORE DIEUDONNE"/>
    <x v="1"/>
    <n v="11"/>
    <n v="5.5"/>
    <s v="CPU"/>
    <s v="18è"/>
    <s v="Admis"/>
    <m/>
    <x v="3"/>
    <s v="PETIT GOA(LAZOUA)"/>
    <n v="1"/>
    <n v="0"/>
    <m/>
    <m/>
    <x v="1"/>
  </r>
  <r>
    <n v="768"/>
    <s v="YOFFO SAMUEL "/>
    <x v="1"/>
    <n v="9"/>
    <n v="7.87"/>
    <s v="CPU"/>
    <s v="11è"/>
    <s v="Admis"/>
    <m/>
    <x v="3"/>
    <s v="PETIT GOA(LAZOUA)"/>
    <n v="1"/>
    <n v="0"/>
    <m/>
    <m/>
    <x v="1"/>
  </r>
  <r>
    <n v="769"/>
    <s v="GONDE INOUSSA"/>
    <x v="1"/>
    <n v="9"/>
    <n v="7.5"/>
    <s v="CPU"/>
    <s v="12è"/>
    <s v="Admis"/>
    <m/>
    <x v="3"/>
    <s v="PETIT GOA(LAZOUA)"/>
    <n v="1"/>
    <n v="0"/>
    <m/>
    <m/>
    <x v="1"/>
  </r>
  <r>
    <n v="770"/>
    <s v="LOUKOU AYA CELINE"/>
    <x v="0"/>
    <n v="9"/>
    <n v="8.75"/>
    <s v="CPU"/>
    <s v="9è"/>
    <s v="Admis"/>
    <m/>
    <x v="3"/>
    <s v="PETIT GOA(LAZOUA)"/>
    <n v="1"/>
    <n v="0"/>
    <m/>
    <m/>
    <x v="1"/>
  </r>
  <r>
    <n v="771"/>
    <s v="SAWADOGO ALASSANE"/>
    <x v="1"/>
    <n v="13"/>
    <n v="8.6199999999999992"/>
    <s v="CPU"/>
    <s v="10è"/>
    <s v="Admis"/>
    <m/>
    <x v="3"/>
    <s v="PETIT GOA(LAZOUA)"/>
    <n v="1"/>
    <n v="0"/>
    <m/>
    <m/>
    <x v="0"/>
  </r>
  <r>
    <n v="772"/>
    <s v="YAO YAO JEAN"/>
    <x v="1"/>
    <n v="12"/>
    <n v="7"/>
    <s v="CPU"/>
    <s v="15è"/>
    <s v="Admis"/>
    <m/>
    <x v="3"/>
    <s v="PETIT GOA(LAZOUA)"/>
    <n v="1"/>
    <n v="0"/>
    <m/>
    <m/>
    <x v="0"/>
  </r>
  <r>
    <n v="773"/>
    <s v="TAKORE AHMED"/>
    <x v="1"/>
    <n v="11"/>
    <n v="6.31"/>
    <s v="CPU"/>
    <s v="11è"/>
    <s v="Admis"/>
    <m/>
    <x v="3"/>
    <s v="PETIT GOA(LAZOUA)"/>
    <n v="1"/>
    <n v="0"/>
    <m/>
    <m/>
    <x v="1"/>
  </r>
  <r>
    <n v="774"/>
    <s v="OUPOH DJIMI SAMUEL"/>
    <x v="1"/>
    <n v="14"/>
    <n v="5"/>
    <s v="CPU"/>
    <s v="20ex"/>
    <s v="Admis"/>
    <m/>
    <x v="3"/>
    <s v="PETIT GOA(LAZOUA)"/>
    <n v="1"/>
    <n v="0"/>
    <m/>
    <m/>
    <x v="0"/>
  </r>
  <r>
    <n v="775"/>
    <s v="N'GUESSAN AYA GRACE"/>
    <x v="0"/>
    <n v="10"/>
    <n v="3.37"/>
    <s v="CPU"/>
    <s v="23è"/>
    <s v="Redouble"/>
    <m/>
    <x v="3"/>
    <s v="PETIT GOA(LAZOUA)"/>
    <n v="0"/>
    <n v="0"/>
    <m/>
    <m/>
    <x v="2"/>
  </r>
  <r>
    <n v="776"/>
    <s v="N'DRI AYA CHRISTELLE"/>
    <x v="0"/>
    <n v="10"/>
    <n v="5"/>
    <s v="CPU"/>
    <s v="20è"/>
    <s v="Admis"/>
    <m/>
    <x v="3"/>
    <s v="PETIT GOA(LAZOUA)"/>
    <n v="1"/>
    <n v="0"/>
    <m/>
    <m/>
    <x v="1"/>
  </r>
  <r>
    <n v="777"/>
    <s v="KOUAKOU KOUASSI JETAIME"/>
    <x v="1"/>
    <n v="11"/>
    <n v="5.68"/>
    <s v="CPU"/>
    <s v="17è"/>
    <s v="Admis"/>
    <m/>
    <x v="3"/>
    <s v="PETIT GOA(LAZOUA)"/>
    <n v="1"/>
    <n v="0"/>
    <m/>
    <m/>
    <x v="1"/>
  </r>
  <r>
    <n v="778"/>
    <s v="KOUAKOU AMENAN VICTOIRE"/>
    <x v="0"/>
    <n v="9"/>
    <n v="4.25"/>
    <s v="CPU"/>
    <s v="22è"/>
    <s v="Redouble"/>
    <m/>
    <x v="3"/>
    <s v="PETIT GOA(LAZOUA)"/>
    <n v="0"/>
    <n v="0"/>
    <m/>
    <m/>
    <x v="2"/>
  </r>
  <r>
    <n v="779"/>
    <s v="KOFFI AHOU CHRISTELLE"/>
    <x v="0"/>
    <n v="9"/>
    <n v="7.5"/>
    <s v="CPU"/>
    <s v="12èx"/>
    <s v="Admis"/>
    <m/>
    <x v="3"/>
    <s v="PETIT GOA(LAZOUA)"/>
    <n v="1"/>
    <n v="0"/>
    <m/>
    <m/>
    <x v="1"/>
  </r>
  <r>
    <n v="780"/>
    <s v="SAWADOGO AMIDOU"/>
    <x v="1"/>
    <n v="13"/>
    <n v="4.37"/>
    <s v="CPU"/>
    <s v="23è"/>
    <s v="Redouble"/>
    <m/>
    <x v="3"/>
    <s v="PETIT GOA(LAZOUA)"/>
    <n v="0"/>
    <n v="0"/>
    <m/>
    <m/>
    <x v="1"/>
  </r>
  <r>
    <n v="781"/>
    <s v="KONAN KOUADIO RAMAEL"/>
    <x v="1"/>
    <n v="9"/>
    <n v="9.5"/>
    <s v="CPU"/>
    <s v="3è"/>
    <s v="Admis"/>
    <m/>
    <x v="3"/>
    <s v="PETIT GOA(LAZOUA)"/>
    <n v="1"/>
    <n v="0"/>
    <m/>
    <m/>
    <x v="1"/>
  </r>
  <r>
    <n v="782"/>
    <s v="KOUADIO AMENAN NAOMI"/>
    <x v="0"/>
    <n v="9"/>
    <n v="5.25"/>
    <s v="CPU"/>
    <s v="19è"/>
    <s v="Admis"/>
    <m/>
    <x v="3"/>
    <s v="PETIT GOA(LAZOUA)"/>
    <n v="1"/>
    <n v="0"/>
    <m/>
    <m/>
    <x v="1"/>
  </r>
  <r>
    <n v="783"/>
    <s v="KOUASSI KOUADIO STEPHANE"/>
    <x v="1"/>
    <n v="9"/>
    <n v="9.75"/>
    <s v="CPU"/>
    <s v="1erx"/>
    <s v="Admis"/>
    <m/>
    <x v="3"/>
    <s v="PETIT GOA(LAZOUA)"/>
    <n v="1"/>
    <n v="0"/>
    <m/>
    <m/>
    <x v="1"/>
  </r>
  <r>
    <n v="784"/>
    <s v="KOUAME KOUASSI MONDESIR"/>
    <x v="1"/>
    <n v="11"/>
    <n v="9.3699999999999992"/>
    <s v="CPU"/>
    <s v="4è"/>
    <s v="Admis"/>
    <m/>
    <x v="3"/>
    <s v="PETIT GOA(LAZOUA)"/>
    <n v="1"/>
    <n v="0"/>
    <m/>
    <m/>
    <x v="1"/>
  </r>
  <r>
    <n v="785"/>
    <s v="KOUADIO KOUASSI F JUNIOR"/>
    <x v="1"/>
    <n v="13"/>
    <n v="9.25"/>
    <s v="CPU"/>
    <s v="5è"/>
    <s v="Admis"/>
    <m/>
    <x v="3"/>
    <s v="PETIT GOA(LAZOUA)"/>
    <n v="1"/>
    <n v="0"/>
    <m/>
    <m/>
    <x v="0"/>
  </r>
  <r>
    <n v="786"/>
    <s v="KOUAKOU AAFFOUE LIMINA"/>
    <x v="0"/>
    <n v="12"/>
    <n v="9.75"/>
    <s v="CPU"/>
    <s v="1ère"/>
    <s v="Admis"/>
    <m/>
    <x v="3"/>
    <s v="PETIT GOA(LAZOUA)"/>
    <n v="1"/>
    <n v="0"/>
    <m/>
    <m/>
    <x v="0"/>
  </r>
  <r>
    <n v="787"/>
    <s v="PORGO SAYOUBA"/>
    <x v="1"/>
    <n v="11"/>
    <n v="9.5"/>
    <s v="CPU"/>
    <s v="3è"/>
    <s v="Admis"/>
    <m/>
    <x v="3"/>
    <s v="PETIT GOA(LAZOUA)"/>
    <n v="1"/>
    <n v="0"/>
    <m/>
    <m/>
    <x v="1"/>
  </r>
  <r>
    <n v="788"/>
    <s v="KOFFI KONAN ANICET"/>
    <x v="1"/>
    <n v="10"/>
    <n v="8"/>
    <s v="CPU"/>
    <s v="7è"/>
    <s v="Admis"/>
    <m/>
    <x v="3"/>
    <s v="PETIT GOA(LAZOUA)"/>
    <n v="1"/>
    <n v="0"/>
    <m/>
    <m/>
    <x v="1"/>
  </r>
  <r>
    <n v="789"/>
    <s v="KONAN AMENAN SYNTICHE"/>
    <x v="0"/>
    <n v="10"/>
    <n v="7.87"/>
    <s v="CPU"/>
    <s v="8è"/>
    <s v="Admis"/>
    <m/>
    <x v="3"/>
    <s v="PETIT GOA(LAZOUA)"/>
    <n v="1"/>
    <n v="0"/>
    <m/>
    <m/>
    <x v="1"/>
  </r>
  <r>
    <n v="790"/>
    <s v="LOUKOU KOUAME GAIS"/>
    <x v="1"/>
    <n v="9"/>
    <n v="8.1199999999999992"/>
    <s v="CPU"/>
    <s v="6è"/>
    <s v="Admis"/>
    <m/>
    <x v="3"/>
    <s v="PETIT GOA(LAZOUA)"/>
    <n v="1"/>
    <n v="0"/>
    <m/>
    <m/>
    <x v="1"/>
  </r>
  <r>
    <n v="791"/>
    <s v="DJARAME G EDWIGE"/>
    <x v="0"/>
    <n v="11"/>
    <n v="6.87"/>
    <s v="CPU"/>
    <s v="14è"/>
    <s v="Admis"/>
    <m/>
    <x v="3"/>
    <s v="PETIT GOA(LAZOUA)"/>
    <n v="1"/>
    <n v="0"/>
    <m/>
    <m/>
    <x v="1"/>
  </r>
  <r>
    <n v="792"/>
    <s v="YARBANGA KALIZETA"/>
    <x v="0"/>
    <n v="9"/>
    <n v="7"/>
    <s v="CPU"/>
    <s v="13è"/>
    <s v="Admis"/>
    <m/>
    <x v="3"/>
    <s v="PETIT GOA(LAZOUA)"/>
    <n v="1"/>
    <n v="0"/>
    <m/>
    <m/>
    <x v="1"/>
  </r>
  <r>
    <n v="793"/>
    <s v="COULIBALY SARAH"/>
    <x v="0"/>
    <n v="9"/>
    <n v="6"/>
    <s v="CPU"/>
    <s v="18è"/>
    <s v="Admis"/>
    <m/>
    <x v="3"/>
    <s v="PETIT GOA(LAZOUA)"/>
    <n v="1"/>
    <n v="0"/>
    <m/>
    <m/>
    <x v="1"/>
  </r>
  <r>
    <n v="794"/>
    <s v="KOUAME AMOIN VICTOIRE"/>
    <x v="0"/>
    <n v="12"/>
    <n v="6.12"/>
    <s v="CPU"/>
    <s v="16è"/>
    <s v="Admis"/>
    <m/>
    <x v="3"/>
    <s v="PETIT GOA(LAZOUA)"/>
    <n v="1"/>
    <n v="0"/>
    <m/>
    <m/>
    <x v="0"/>
  </r>
  <r>
    <n v="795"/>
    <s v="MAHAN ELIE"/>
    <x v="1"/>
    <n v="9"/>
    <n v="7.62"/>
    <s v="CPU"/>
    <s v="9è"/>
    <s v="Admis"/>
    <m/>
    <x v="3"/>
    <s v="PETIT GOA(LAZOUA)"/>
    <n v="1"/>
    <n v="0"/>
    <m/>
    <m/>
    <x v="1"/>
  </r>
  <r>
    <n v="796"/>
    <s v="KOFFI AKISSI ANGE "/>
    <x v="0"/>
    <n v="11"/>
    <n v="6.25"/>
    <s v="CPU"/>
    <s v="15è"/>
    <s v="Admis"/>
    <m/>
    <x v="3"/>
    <s v="PETIT GOA(LAZOUA)"/>
    <n v="1"/>
    <n v="0"/>
    <m/>
    <m/>
    <x v="1"/>
  </r>
  <r>
    <n v="797"/>
    <s v="N'DRI KOUADIO  SCHADRAC"/>
    <x v="1"/>
    <n v="9"/>
    <n v="6.12"/>
    <s v="CPU"/>
    <s v="16è"/>
    <s v="Admis"/>
    <m/>
    <x v="3"/>
    <s v="PETIT GOA(LAZOUA)"/>
    <n v="1"/>
    <n v="0"/>
    <m/>
    <m/>
    <x v="1"/>
  </r>
  <r>
    <n v="798"/>
    <s v="YAO AKISSI AICHA"/>
    <x v="0"/>
    <n v="9"/>
    <n v="7.37"/>
    <s v="CPU"/>
    <s v="11è"/>
    <s v="Admis"/>
    <m/>
    <x v="3"/>
    <s v="PETIT GOA(LAZOUA)"/>
    <n v="1"/>
    <n v="0"/>
    <m/>
    <m/>
    <x v="1"/>
  </r>
  <r>
    <n v="799"/>
    <s v="KOUADIO KOUASSI THIERY"/>
    <x v="1"/>
    <n v="11"/>
    <n v="5.37"/>
    <s v="CPU"/>
    <s v="20è"/>
    <s v="Admis"/>
    <m/>
    <x v="3"/>
    <s v="PETIT GOA(LAZOUA)"/>
    <n v="1"/>
    <n v="0"/>
    <m/>
    <m/>
    <x v="1"/>
  </r>
  <r>
    <n v="800"/>
    <s v="SAWADOGO RAMADANE"/>
    <x v="1"/>
    <n v="13"/>
    <n v="5"/>
    <s v="CPU"/>
    <s v="21è"/>
    <s v="Admis"/>
    <m/>
    <x v="3"/>
    <s v="PETIT GOA(LAZOUA)"/>
    <n v="1"/>
    <n v="0"/>
    <m/>
    <m/>
    <x v="0"/>
  </r>
  <r>
    <n v="801"/>
    <s v="N'GORAN AMOIN LILIANE "/>
    <x v="0"/>
    <n v="9"/>
    <n v="7.5"/>
    <s v="CPU"/>
    <s v="10è"/>
    <s v="Admis"/>
    <m/>
    <x v="3"/>
    <s v="PETIT GOA(LAZOUA)"/>
    <n v="1"/>
    <n v="0"/>
    <m/>
    <m/>
    <x v="1"/>
  </r>
  <r>
    <n v="802"/>
    <s v="N'GUESSAN AKISSI DORIANE"/>
    <x v="0"/>
    <n v="9"/>
    <n v="4.12"/>
    <s v="CPU"/>
    <s v="23è"/>
    <s v="Redouble"/>
    <m/>
    <x v="3"/>
    <s v="PETIT GOA(LAZOUA)"/>
    <n v="0"/>
    <n v="0"/>
    <m/>
    <m/>
    <x v="2"/>
  </r>
  <r>
    <n v="803"/>
    <s v="SERI JONAS"/>
    <x v="1"/>
    <n v="9"/>
    <n v="5.75"/>
    <s v="CPU"/>
    <s v="19è"/>
    <s v="Admis"/>
    <m/>
    <x v="3"/>
    <s v="PETIT GOA(LAZOUA)"/>
    <n v="1"/>
    <n v="0"/>
    <m/>
    <m/>
    <x v="1"/>
  </r>
  <r>
    <n v="804"/>
    <s v="KONAN KOUADIO FRANCK"/>
    <x v="1"/>
    <n v="9"/>
    <n v="1.62"/>
    <s v="CPU"/>
    <s v="24è"/>
    <s v="Redouble"/>
    <m/>
    <x v="3"/>
    <s v="PETIT GOA(LAZOUA)"/>
    <n v="0"/>
    <n v="0"/>
    <m/>
    <m/>
    <x v="2"/>
  </r>
  <r>
    <n v="805"/>
    <s v="GNAZE NAHI CHRISTELLE"/>
    <x v="0"/>
    <n v="9"/>
    <n v="4.37"/>
    <s v="CPU"/>
    <s v="22è"/>
    <s v="Redouble"/>
    <m/>
    <x v="3"/>
    <s v="PETIT GOA(LAZOUA)"/>
    <n v="0"/>
    <n v="0"/>
    <m/>
    <m/>
    <x v="2"/>
  </r>
  <r>
    <n v="806"/>
    <s v="KOUAKOU KOUAKOU JUNIOR"/>
    <x v="1"/>
    <n v="9"/>
    <n v="7.12"/>
    <s v="CPU"/>
    <s v="12è"/>
    <s v="Admis"/>
    <m/>
    <x v="3"/>
    <s v="PETIT GOA(LAZOUA)"/>
    <n v="1"/>
    <n v="0"/>
    <m/>
    <m/>
    <x v="1"/>
  </r>
  <r>
    <n v="807"/>
    <s v="SAWADOGO ABDOUL FATAO"/>
    <x v="1"/>
    <n v="10"/>
    <n v="4.37"/>
    <s v="CPU"/>
    <n v="8"/>
    <s v="Redouble"/>
    <m/>
    <x v="3"/>
    <s v="MAHEOUA"/>
    <n v="0"/>
    <n v="0"/>
    <m/>
    <m/>
    <x v="2"/>
  </r>
  <r>
    <n v="808"/>
    <s v="BADA YOKORE BERNARD"/>
    <x v="1"/>
    <n v="13"/>
    <n v="4.37"/>
    <s v="CPU"/>
    <s v="8è"/>
    <s v="Redouble"/>
    <m/>
    <x v="3"/>
    <s v="MAHEOUA"/>
    <n v="0"/>
    <n v="0"/>
    <m/>
    <m/>
    <x v="1"/>
  </r>
  <r>
    <n v="809"/>
    <s v="BADA BLE CEDRIC"/>
    <x v="1"/>
    <n v="11"/>
    <n v="6.75"/>
    <s v="CPU"/>
    <s v="2è"/>
    <s v="Admis"/>
    <m/>
    <x v="3"/>
    <s v="MAHEOUA"/>
    <n v="1"/>
    <n v="0"/>
    <m/>
    <m/>
    <x v="1"/>
  </r>
  <r>
    <n v="810"/>
    <s v="TAONSA ROMAIN"/>
    <x v="1"/>
    <n v="14"/>
    <s v="Absent"/>
    <s v="CPU"/>
    <s v="Absent"/>
    <s v="Absent"/>
    <m/>
    <x v="3"/>
    <s v="MAHEOUA"/>
    <n v="0"/>
    <n v="0"/>
    <m/>
    <m/>
    <x v="3"/>
  </r>
  <r>
    <n v="811"/>
    <s v="KAMBOU CHARLENE"/>
    <x v="0"/>
    <n v="10"/>
    <n v="3.87"/>
    <s v="CPU"/>
    <s v="10è"/>
    <s v="Redouble"/>
    <m/>
    <x v="3"/>
    <s v="MAHEOUA"/>
    <n v="0"/>
    <n v="0"/>
    <m/>
    <m/>
    <x v="2"/>
  </r>
  <r>
    <n v="812"/>
    <s v="TAONSA AIMEE"/>
    <x v="0"/>
    <n v="14"/>
    <n v="8"/>
    <s v="CPU"/>
    <s v="1ere"/>
    <s v="Admis"/>
    <m/>
    <x v="3"/>
    <s v="MAHEOUA"/>
    <n v="1"/>
    <n v="0"/>
    <m/>
    <m/>
    <x v="0"/>
  </r>
  <r>
    <n v="813"/>
    <s v="OUEDRAOGO BARTHELEMY"/>
    <x v="1"/>
    <n v="12"/>
    <n v="6.37"/>
    <s v="CPU"/>
    <s v="3è"/>
    <s v="Admis"/>
    <m/>
    <x v="3"/>
    <s v="MAHEOUA"/>
    <n v="1"/>
    <n v="0"/>
    <m/>
    <m/>
    <x v="0"/>
  </r>
  <r>
    <n v="814"/>
    <s v="ZOUZOUA BAHI ELISEE"/>
    <x v="0"/>
    <n v="14"/>
    <s v="Absent"/>
    <s v="CPU"/>
    <s v="Absent"/>
    <s v="Absent"/>
    <m/>
    <x v="3"/>
    <s v="MAHEOUA"/>
    <n v="0"/>
    <n v="0"/>
    <m/>
    <m/>
    <x v="3"/>
  </r>
  <r>
    <n v="815"/>
    <s v="OUEDRAOGO PAULIN"/>
    <x v="1"/>
    <n v="10"/>
    <n v="3.75"/>
    <s v="CPU"/>
    <s v="11è"/>
    <s v="Redouble"/>
    <m/>
    <x v="3"/>
    <s v="MAHEOUA"/>
    <n v="0"/>
    <n v="0"/>
    <m/>
    <m/>
    <x v="2"/>
  </r>
  <r>
    <n v="816"/>
    <s v="DAGO LOGOS GERVAIS"/>
    <x v="1"/>
    <n v="10"/>
    <s v="Absent"/>
    <s v="CPU"/>
    <s v="Absent"/>
    <s v="Absent"/>
    <m/>
    <x v="3"/>
    <s v="MAHEOUA"/>
    <n v="0"/>
    <n v="0"/>
    <m/>
    <m/>
    <x v="3"/>
  </r>
  <r>
    <n v="817"/>
    <s v="DAGO SADIO DAVID"/>
    <x v="1"/>
    <n v="12"/>
    <s v="Absent"/>
    <s v="CPU"/>
    <s v="Absent"/>
    <s v="Absent"/>
    <m/>
    <x v="3"/>
    <s v="MAHEOUA"/>
    <n v="0"/>
    <n v="0"/>
    <m/>
    <m/>
    <x v="3"/>
  </r>
  <r>
    <n v="818"/>
    <s v="DOMBA SALAM"/>
    <x v="1"/>
    <n v="9"/>
    <s v="Absent"/>
    <s v="CPU"/>
    <s v="Absent"/>
    <s v="Absent"/>
    <m/>
    <x v="3"/>
    <s v="MAHEOUA"/>
    <n v="0"/>
    <n v="0"/>
    <m/>
    <m/>
    <x v="3"/>
  </r>
  <r>
    <n v="819"/>
    <s v="TAO ALASSANE"/>
    <x v="1"/>
    <n v="14"/>
    <n v="6.12"/>
    <s v="CPU"/>
    <s v="4è"/>
    <s v="Admis"/>
    <m/>
    <x v="3"/>
    <s v="MAHEOUA"/>
    <n v="1"/>
    <n v="0"/>
    <m/>
    <m/>
    <x v="0"/>
  </r>
  <r>
    <n v="820"/>
    <s v="TAONSA THOMAS"/>
    <x v="1"/>
    <n v="13"/>
    <n v="5.5"/>
    <s v="CPU"/>
    <s v="5è"/>
    <s v="Admis"/>
    <m/>
    <x v="3"/>
    <s v="MAHEOUA"/>
    <n v="1"/>
    <n v="0"/>
    <m/>
    <m/>
    <x v="0"/>
  </r>
  <r>
    <n v="821"/>
    <s v="KOMBASERE WALILAYE"/>
    <x v="1"/>
    <n v="9"/>
    <n v="5"/>
    <s v="CPU"/>
    <s v="7è"/>
    <s v="Admis"/>
    <m/>
    <x v="3"/>
    <s v="MAHEOUA"/>
    <n v="1"/>
    <n v="0"/>
    <m/>
    <m/>
    <x v="1"/>
  </r>
  <r>
    <n v="822"/>
    <s v="TAONSA THEOPHILE"/>
    <x v="1"/>
    <n v="13"/>
    <s v="Absent"/>
    <s v="CPU"/>
    <s v="Absent"/>
    <s v="Absent"/>
    <m/>
    <x v="3"/>
    <s v="MAHEOUA"/>
    <n v="0"/>
    <n v="0"/>
    <m/>
    <m/>
    <x v="3"/>
  </r>
  <r>
    <n v="823"/>
    <s v="SEBOGO RAHAMATA"/>
    <x v="0"/>
    <n v="12"/>
    <s v="Absent"/>
    <s v="CPU"/>
    <s v="Absent"/>
    <s v="Absent"/>
    <m/>
    <x v="3"/>
    <s v="MAHEOUA"/>
    <n v="0"/>
    <n v="0"/>
    <m/>
    <m/>
    <x v="3"/>
  </r>
  <r>
    <n v="824"/>
    <s v="ZONGO NATA"/>
    <x v="0"/>
    <n v="9"/>
    <n v="5.37"/>
    <s v="CPU"/>
    <s v="6è"/>
    <s v="Admis"/>
    <m/>
    <x v="3"/>
    <s v="MAHEOUA"/>
    <n v="1"/>
    <n v="0"/>
    <m/>
    <m/>
    <x v="1"/>
  </r>
  <r>
    <n v="825"/>
    <s v="KAMBOU SUZANBE"/>
    <x v="0"/>
    <n v="10"/>
    <s v="Absent"/>
    <s v="CPU"/>
    <s v="Absent"/>
    <s v="Absent"/>
    <m/>
    <x v="3"/>
    <s v="MAHEOUA"/>
    <n v="0"/>
    <n v="0"/>
    <m/>
    <m/>
    <x v="3"/>
  </r>
  <r>
    <n v="826"/>
    <s v="SAWADOGO JULES"/>
    <x v="1"/>
    <n v="9"/>
    <s v="Absent"/>
    <s v="CPU"/>
    <s v="Absent"/>
    <s v="Absent"/>
    <m/>
    <x v="3"/>
    <s v="MAHEOUA"/>
    <n v="0"/>
    <n v="0"/>
    <m/>
    <m/>
    <x v="3"/>
  </r>
  <r>
    <n v="827"/>
    <s v="N'GUESSAN  SIEMOH"/>
    <x v="1"/>
    <n v="11"/>
    <s v="Absent"/>
    <s v="CPU"/>
    <s v="Absent"/>
    <s v="Absent"/>
    <m/>
    <x v="3"/>
    <s v="MAHEOUA"/>
    <n v="0"/>
    <n v="0"/>
    <m/>
    <m/>
    <x v="3"/>
  </r>
  <r>
    <n v="828"/>
    <s v="DAHIRI K ARIEL"/>
    <x v="1"/>
    <n v="9"/>
    <s v="Absent"/>
    <s v="CPU"/>
    <s v="Absent"/>
    <s v="Absent"/>
    <m/>
    <x v="3"/>
    <s v="MAHEOUA"/>
    <n v="0"/>
    <n v="0"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235A-711D-4525-805E-60CACDAF7C49}" name="Tableau croisé dynamique6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7" indent="0" outline="1" outlineData="1" multipleFieldFilters="0">
  <location ref="A38:D59" firstHeaderRow="1" firstDataRow="2" firstDataCol="1" rowPageCount="1" colPageCount="1"/>
  <pivotFields count="17"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Row" dataField="1" showAll="0">
      <items count="39">
        <item x="0"/>
        <item x="3"/>
        <item x="5"/>
        <item m="1" x="37"/>
        <item x="11"/>
        <item x="1"/>
        <item x="8"/>
        <item x="6"/>
        <item x="4"/>
        <item m="1" x="36"/>
        <item x="7"/>
        <item x="13"/>
        <item x="12"/>
        <item x="2"/>
        <item x="9"/>
        <item x="1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m="1" x="3"/>
        <item m="1" x="4"/>
        <item x="1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11"/>
  </colFields>
  <colItems count="3">
    <i>
      <x/>
    </i>
    <i>
      <x v="3"/>
    </i>
    <i t="grand">
      <x/>
    </i>
  </colItems>
  <pageFields count="1">
    <pageField fld="2" hier="-1"/>
  </pageFields>
  <dataFields count="1">
    <dataField name="Nombre de NOM DE  l’AVEC " fld="3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84220B-BF15-4AC2-B0E4-45CCC53EBF7B}" name="Tableau croisé dynamique1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7:D30" firstHeaderRow="1" firstDataRow="2" firstDataCol="1"/>
  <pivotFields count="16">
    <pivotField showAll="0"/>
    <pivotField showAll="0"/>
    <pivotField axis="axisCol" showAll="0">
      <items count="8">
        <item x="0"/>
        <item x="1"/>
        <item m="1" x="6"/>
        <item m="1" x="3"/>
        <item m="1" x="4"/>
        <item m="1" x="5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3"/>
        <item x="0"/>
        <item x="2"/>
        <item m="1" x="4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x="3"/>
        <item x="1"/>
        <item x="0"/>
        <item x="2"/>
        <item x="4"/>
        <item t="default"/>
      </items>
    </pivotField>
  </pivotFields>
  <rowFields count="2">
    <field x="9"/>
    <field x="15"/>
  </rowFields>
  <rowItems count="22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Nombre de Colonne1" fld="15" subtotal="count" showDataAs="percentOfRow" baseField="15" baseItem="2" numFmtId="10"/>
  </dataFields>
  <formats count="2">
    <format dxfId="54">
      <pivotArea collapsedLevelsAreSubtotals="1" fieldPosition="0">
        <references count="3">
          <reference field="2" count="1" selected="0">
            <x v="0"/>
          </reference>
          <reference field="9" count="1" selected="0">
            <x v="0"/>
          </reference>
          <reference field="15" count="1">
            <x v="2"/>
          </reference>
        </references>
      </pivotArea>
    </format>
    <format dxfId="53">
      <pivotArea grandCol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AD7FE6-2C1A-4FF2-B217-D25B214DD2A3}" name="Tableau croisé dynamique16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J10:M16" firstHeaderRow="1" firstDataRow="2" firstDataCol="1" rowPageCount="1" colPageCount="1"/>
  <pivotFields count="16">
    <pivotField showAll="0"/>
    <pivotField showAll="0"/>
    <pivotField axis="axisCol" showAll="0">
      <items count="8">
        <item m="1" x="3"/>
        <item x="0"/>
        <item x="1"/>
        <item m="1" x="4"/>
        <item m="1" x="5"/>
        <item m="1" x="6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6">
        <item x="1"/>
        <item x="3"/>
        <item x="0"/>
        <item x="2"/>
        <item m="1" x="4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x="3"/>
        <item x="1"/>
        <item x="0"/>
        <item x="2"/>
        <item x="4"/>
        <item t="default"/>
      </items>
    </pivotField>
  </pivotFields>
  <rowFields count="1">
    <field x="1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 v="1"/>
    </i>
    <i>
      <x v="2"/>
    </i>
    <i t="grand">
      <x/>
    </i>
  </colItems>
  <pageFields count="1">
    <pageField fld="9" item="1" hier="-1"/>
  </pageFields>
  <dataFields count="1">
    <dataField name="Nombre de Colonne1" fld="15" subtotal="count" showDataAs="percentOfRow" baseField="15" baseItem="1" numFmtId="10"/>
  </dataFields>
  <chartFormats count="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A72CEA-E50F-448D-8326-D5F573D5833A}" name="Tableau2" displayName="Tableau2" ref="A1:P856" totalsRowShown="0" headerRowDxfId="75" dataDxfId="73" headerRowBorderDxfId="74" tableBorderDxfId="72" totalsRowBorderDxfId="71">
  <autoFilter ref="A1:P856" xr:uid="{BDA72CEA-E50F-448D-8326-D5F573D5833A}"/>
  <sortState xmlns:xlrd2="http://schemas.microsoft.com/office/spreadsheetml/2017/richdata2" ref="A2:P829">
    <sortCondition descending="1" ref="A1:A829"/>
  </sortState>
  <tableColumns count="16">
    <tableColumn id="1" xr3:uid="{C7DD75FF-8BFE-45A4-883E-246F4CD7F3A1}" name="N°" dataDxfId="70"/>
    <tableColumn id="2" xr3:uid="{1830A2EA-16B8-46D4-A91B-DCFA30C1E066}" name="Nom &amp;Prénoms" dataDxfId="69"/>
    <tableColumn id="3" xr3:uid="{006521D7-3E83-4BA5-8C4B-29FF7B398933}" name="Sexes" dataDxfId="68"/>
    <tableColumn id="4" xr3:uid="{858434AA-32E4-4F8D-BDF5-88467EFB432B}" name="Ages" dataDxfId="67"/>
    <tableColumn id="5" xr3:uid="{52509306-3613-4C54-9EE1-4B77BC6049E9}" name="Moyennes" dataDxfId="66"/>
    <tableColumn id="6" xr3:uid="{25C21623-47B5-47E8-9D5E-E1A830767928}" name="CLASSE" dataDxfId="65"/>
    <tableColumn id="7" xr3:uid="{6DF1743D-BC21-40A2-9F98-92B971971880}" name="RANG" dataDxfId="64"/>
    <tableColumn id="8" xr3:uid="{8A1B4119-0C70-4C99-904D-853203FC8577}" name="STATUT " dataDxfId="63"/>
    <tableColumn id="9" xr3:uid="{64FD8335-5211-4C5F-B2FE-050128183A8B}" name="Colonne2" dataDxfId="62"/>
    <tableColumn id="10" xr3:uid="{7F2F8298-B262-4612-880D-AADA46759DAC}" name="DEPARTEMENT" dataDxfId="61"/>
    <tableColumn id="11" xr3:uid="{E165FED7-ED62-450E-83AD-6BCF8E3BD5A5}" name="VILLAGE" dataDxfId="60"/>
    <tableColumn id="17" xr3:uid="{7A4CD4C4-1F12-4500-97E2-2A68936B5BD4}" name="CE1-CE2" dataDxfId="59">
      <calculatedColumnFormula>IF(AND(Tableau2[[#This Row],[CLASSE]]="CPU",Tableau2[[#This Row],[STATUT ]]="Admis"),1,0)</calculatedColumnFormula>
    </tableColumn>
    <tableColumn id="14" xr3:uid="{6E89C316-9EAF-4263-847F-03C230CC3AA9}" name="CM1-CM2" dataDxfId="58">
      <calculatedColumnFormula>IF(AND(Tableau2[[#This Row],[CLASSE]]="CEU",Tableau2[[#This Row],[STATUT ]]="Admis"),1,0)</calculatedColumnFormula>
    </tableColumn>
    <tableColumn id="15" xr3:uid="{291EDCD4-CD60-4386-852C-6519A88DE858}" name="Observations" dataDxfId="57"/>
    <tableColumn id="16" xr3:uid="{164280ED-2739-4288-B4D5-8E250DC03585}" name="Recommandations" dataDxfId="56"/>
    <tableColumn id="12" xr3:uid="{E40A13E1-1E6E-4F4D-8926-E50EE68482B1}" name="Colonne1" dataDxfId="55">
      <calculatedColumnFormula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F5804A-AA10-44B9-99FE-8BB5FBC1F4F0}" name="Tableau32" displayName="Tableau32" ref="A1:Q1588" totalsRowCount="1" tableBorderDxfId="52">
  <autoFilter ref="A1:Q1587" xr:uid="{1AF5804A-AA10-44B9-99FE-8BB5FBC1F4F0}">
    <filterColumn colId="2">
      <filters>
        <filter val="GUEYO"/>
      </filters>
    </filterColumn>
  </autoFilter>
  <tableColumns count="17">
    <tableColumn id="1" xr3:uid="{99A19175-B012-4121-9858-C1AC3ABCAA4C}" name="N°" totalsRowLabel="Total" dataDxfId="51" totalsRowDxfId="50"/>
    <tableColumn id="2" xr3:uid="{FA393FD1-9A84-483B-B3E6-08F63FF98E02}" name="NOM &amp; PRENOMS DES MEMBRES D'AVEC " dataDxfId="49" totalsRowDxfId="48"/>
    <tableColumn id="3" xr3:uid="{4BAD45E5-C149-4C24-AF0E-9504F3130067}" name=" DEPARTEMANT" dataDxfId="47" totalsRowDxfId="46"/>
    <tableColumn id="4" xr3:uid="{E76F07FC-A9C3-45EE-A8AD-B14BB72AC578}" name="NOM DE  l’AVEC " dataDxfId="45" totalsRowDxfId="44"/>
    <tableColumn id="5" xr3:uid="{AF7DAAF4-11E1-4A2F-BC80-64F032E04FD8}" name="VILLAGE/QUARTIER " dataDxfId="43" totalsRowDxfId="42"/>
    <tableColumn id="6" xr3:uid="{BD14442A-C2C1-4836-A379-CF230A619EC9}" name="Numéro AVEC"/>
    <tableColumn id="7" xr3:uid="{0B6B9C33-3647-4D32-97C0-ED423220E74E}" name="NOM &amp; PRENOMS DU FACILITATEUR"/>
    <tableColumn id="8" xr3:uid="{DA5743EF-EEDD-4E09-AFE5-4D48CABFC5AD}" name="CONTACT DU FACILITATEUR AVEC" dataDxfId="41" totalsRowDxfId="40"/>
    <tableColumn id="9" xr3:uid="{2B225799-9E91-4420-A636-A124C1A501C3}" name="NOM SUPERVISEUR " dataDxfId="39" totalsRowDxfId="38"/>
    <tableColumn id="10" xr3:uid="{8676F59B-3314-4298-B686-263C5506CCD6}" name="CONTACT MEMBRE AVEC" dataDxfId="37" totalsRowDxfId="36"/>
    <tableColumn id="11" xr3:uid="{4FB091B8-5AB3-42C1-AE11-8374941025D2}" name="AGE MEMBRE AVEC"/>
    <tableColumn id="12" xr3:uid="{65080B5A-16EF-4ABB-A2D2-63DC84AF3B8A}" name="SEXE MEMBRE AVEC" dataDxfId="35" totalsRowDxfId="34"/>
    <tableColumn id="13" xr3:uid="{B51E0BF4-A751-4A98-A69A-3ECA89499AC4}" name="SITUATION MATRIMONIALE MEMBRE AVEC" dataDxfId="33" totalsRowDxfId="32"/>
    <tableColumn id="14" xr3:uid="{E1BB353F-997C-488A-99B3-2054841A53A3}" name="ACTIVITE  MENEE MEMBRE AVEC"/>
    <tableColumn id="15" xr3:uid="{3A5916B0-FEDC-496C-B645-94E165666268}" name="G" totalsRowFunction="count" dataDxfId="31" totalsRowDxfId="30"/>
    <tableColumn id="16" xr3:uid="{64FD0111-9CCC-4A8A-9FBA-22CEA3103D7A}" name="F" totalsRowFunction="count" dataDxfId="29" totalsRowDxfId="28"/>
    <tableColumn id="17" xr3:uid="{DD665430-E78B-4020-9C81-DA2D7DBA5AAB}" name="T" totalsRowFunction="sum" dataDxfId="27" totalsRowDxfId="26">
      <calculatedColumnFormula>SUM(M2:P2)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916CD1-E653-48BA-B4AE-9AB132B3D361}" name="Tableau3" displayName="Tableau3" ref="A1:R1099" totalsRowCount="1" tableBorderDxfId="25">
  <tableColumns count="18">
    <tableColumn id="1" xr3:uid="{4BE8BA0C-DBD8-45A6-AE84-956A630E6565}" name="N°" totalsRowLabel="Total" dataDxfId="24" totalsRowDxfId="23"/>
    <tableColumn id="2" xr3:uid="{C6D1F804-1480-45CC-8954-5B7D8576F855}" name="NOM &amp; PRENOMS DES MEMBRES D'AVEC " totalsRowFunction="count" dataDxfId="22" totalsRowDxfId="21"/>
    <tableColumn id="3" xr3:uid="{806F7F20-DEBC-462F-BE58-90EFF6993249}" name=" DEPARTEMANT" totalsRowFunction="count" dataDxfId="20" totalsRowDxfId="19"/>
    <tableColumn id="4" xr3:uid="{2B138C90-711C-41E1-8CC9-85C3C455B719}" name="NOM DE  l’AVEC " totalsRowFunction="count"/>
    <tableColumn id="5" xr3:uid="{02604FCD-A97C-4837-A54A-9E28B8850BCC}" name="VILLAGE/QUARTIER " dataDxfId="18" totalsRowDxfId="17"/>
    <tableColumn id="6" xr3:uid="{D06A3A50-078E-4AE2-A8AC-3CD2BCF67309}" name="Numéro AVEC"/>
    <tableColumn id="7" xr3:uid="{2D5B166A-E017-4979-A10F-3324E45DE4BA}" name="NOM &amp; PRENOMS DU FACILITATEUR"/>
    <tableColumn id="8" xr3:uid="{AA39BE7E-88F7-4904-BD6E-DB62DAD2264A}" name="CONTACT DU FACILITATEUR AVEC" dataDxfId="16" totalsRowDxfId="15"/>
    <tableColumn id="9" xr3:uid="{5A977673-D0DB-479D-A25D-44A160E63479}" name="NOM SUPERVISEUR " dataDxfId="14" totalsRowDxfId="13"/>
    <tableColumn id="10" xr3:uid="{1843B5B9-D493-4D55-9D17-3C80F7D87494}" name="CONTACT MEMBRE AVEC" dataDxfId="12" totalsRowDxfId="11"/>
    <tableColumn id="11" xr3:uid="{79BDEB15-E144-4EF0-A8E2-B34E557709BA}" name="AGE MEMBRE AVEC"/>
    <tableColumn id="12" xr3:uid="{F2CD7A58-7583-4CE9-A8CB-83A86DB9F9D7}" name="SEXE MEMBRE AVEC" totalsRowFunction="count" dataDxfId="10" totalsRowDxfId="9"/>
    <tableColumn id="13" xr3:uid="{1A74A783-6EC8-4F45-A2B1-89D2200932A1}" name="SITUATION MATRIMONIALE MEMBRE AVEC" dataDxfId="8" totalsRowDxfId="7"/>
    <tableColumn id="14" xr3:uid="{AACD407E-2696-4B07-AD83-63EAE4EFB6A7}" name="ACTIVITE  MENEE MEMBRE AVEC"/>
    <tableColumn id="15" xr3:uid="{D89E34A7-EF2B-4581-B09A-B270A228D2F9}" name="G" totalsRowFunction="sum" dataDxfId="6" totalsRowDxfId="5"/>
    <tableColumn id="16" xr3:uid="{2B0D0F01-E9CF-432D-9871-EEE1CF98258F}" name="F" totalsRowFunction="sum" dataDxfId="4" totalsRowDxfId="3"/>
    <tableColumn id="17" xr3:uid="{CABF4040-B215-4043-95EE-0924D824ECF4}" name="T" totalsRowFunction="sum" dataDxfId="2" totalsRowDxfId="1">
      <calculatedColumnFormula>SUM(M2:P2)</calculatedColumnFormula>
    </tableColumn>
    <tableColumn id="18" xr3:uid="{2BAF0678-48F9-4AD2-ABF7-DF79CBDAE61F}" name="RECHERCHE " totalsRowFunction="count" dataDxfId="0">
      <calculatedColumnFormula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E5792-9249-4BCF-9D4E-880454141F0C}">
  <sheetPr codeName="Feuil7"/>
  <dimension ref="A1:J87"/>
  <sheetViews>
    <sheetView zoomScale="98" zoomScaleNormal="98" workbookViewId="0">
      <selection activeCell="H5" sqref="H5"/>
    </sheetView>
  </sheetViews>
  <sheetFormatPr baseColWidth="10" defaultColWidth="10.90625" defaultRowHeight="14.5" x14ac:dyDescent="0.35"/>
  <cols>
    <col min="1" max="1" width="25.26953125" bestFit="1" customWidth="1"/>
    <col min="2" max="2" width="22.7265625" bestFit="1" customWidth="1"/>
    <col min="3" max="3" width="7" bestFit="1" customWidth="1"/>
    <col min="4" max="4" width="12" bestFit="1" customWidth="1"/>
    <col min="6" max="6" width="23.81640625" customWidth="1"/>
    <col min="7" max="7" width="11.81640625" style="17" customWidth="1"/>
    <col min="12" max="12" width="10.90625" customWidth="1"/>
    <col min="14" max="14" width="17.6328125" customWidth="1"/>
    <col min="15" max="18" width="18.7265625" customWidth="1"/>
  </cols>
  <sheetData>
    <row r="1" spans="1:10" ht="15.5" x14ac:dyDescent="0.35">
      <c r="A1" s="206" t="s">
        <v>1970</v>
      </c>
      <c r="B1" s="22" t="s">
        <v>665</v>
      </c>
      <c r="C1" s="22" t="s">
        <v>664</v>
      </c>
      <c r="G1"/>
    </row>
    <row r="2" spans="1:10" x14ac:dyDescent="0.35">
      <c r="A2" s="204" t="s">
        <v>44</v>
      </c>
      <c r="B2" s="205">
        <f>(B8)/D8</f>
        <v>0.49889380530973454</v>
      </c>
      <c r="C2" s="205">
        <f>(C8)/D8</f>
        <v>0.50165929203539827</v>
      </c>
      <c r="G2" s="51"/>
      <c r="H2" s="55"/>
      <c r="I2" s="55"/>
      <c r="J2" s="55"/>
    </row>
    <row r="3" spans="1:10" x14ac:dyDescent="0.35">
      <c r="A3" s="204" t="s">
        <v>663</v>
      </c>
      <c r="B3" s="205">
        <f>(B9)/D9</f>
        <v>0.49936895246108542</v>
      </c>
      <c r="C3" s="205">
        <f>(C9)/D9</f>
        <v>0.50105174589819101</v>
      </c>
      <c r="J3" s="55"/>
    </row>
    <row r="4" spans="1:10" x14ac:dyDescent="0.35">
      <c r="A4" s="204" t="s">
        <v>656</v>
      </c>
      <c r="B4" s="205">
        <f>(B10)/D10</f>
        <v>0.49916367980884108</v>
      </c>
      <c r="C4" s="205">
        <f>(C10)/D10</f>
        <v>0.50131421744324967</v>
      </c>
      <c r="J4" s="55"/>
    </row>
    <row r="5" spans="1:10" x14ac:dyDescent="0.35">
      <c r="J5" s="55"/>
    </row>
    <row r="6" spans="1:10" x14ac:dyDescent="0.35">
      <c r="A6" s="51"/>
      <c r="D6" s="17"/>
    </row>
    <row r="7" spans="1:10" x14ac:dyDescent="0.35">
      <c r="A7" s="204" t="s">
        <v>1970</v>
      </c>
      <c r="B7" s="22" t="s">
        <v>665</v>
      </c>
      <c r="C7" s="22" t="s">
        <v>664</v>
      </c>
      <c r="D7" s="22" t="s">
        <v>658</v>
      </c>
    </row>
    <row r="8" spans="1:10" x14ac:dyDescent="0.35">
      <c r="A8" s="204" t="s">
        <v>44</v>
      </c>
      <c r="B8" s="22">
        <v>902</v>
      </c>
      <c r="C8" s="22">
        <v>907</v>
      </c>
      <c r="D8" s="22">
        <v>1808</v>
      </c>
    </row>
    <row r="9" spans="1:10" x14ac:dyDescent="0.35">
      <c r="A9" s="204" t="s">
        <v>663</v>
      </c>
      <c r="B9" s="22">
        <v>1187</v>
      </c>
      <c r="C9" s="22">
        <v>1191</v>
      </c>
      <c r="D9" s="22">
        <v>2377</v>
      </c>
    </row>
    <row r="10" spans="1:10" x14ac:dyDescent="0.35">
      <c r="A10" s="204" t="s">
        <v>656</v>
      </c>
      <c r="B10" s="22">
        <v>2089</v>
      </c>
      <c r="C10" s="22">
        <v>2098</v>
      </c>
      <c r="D10" s="22">
        <v>4185</v>
      </c>
    </row>
    <row r="11" spans="1:10" x14ac:dyDescent="0.35">
      <c r="A11" s="51"/>
      <c r="B11" s="51"/>
      <c r="C11" s="51"/>
    </row>
    <row r="12" spans="1:10" x14ac:dyDescent="0.35">
      <c r="A12" s="51"/>
      <c r="B12" s="51"/>
      <c r="C12" s="51"/>
    </row>
    <row r="13" spans="1:10" x14ac:dyDescent="0.35">
      <c r="A13" s="51"/>
      <c r="B13" s="51"/>
      <c r="C13" s="51"/>
    </row>
    <row r="14" spans="1:10" x14ac:dyDescent="0.35">
      <c r="A14" s="198" t="s">
        <v>43</v>
      </c>
      <c r="B14" s="50" t="s">
        <v>44</v>
      </c>
      <c r="D14" s="55"/>
      <c r="E14" s="55"/>
      <c r="G14"/>
    </row>
    <row r="15" spans="1:10" x14ac:dyDescent="0.35">
      <c r="B15" s="55"/>
      <c r="C15" s="51"/>
      <c r="D15" s="55"/>
    </row>
    <row r="16" spans="1:10" x14ac:dyDescent="0.35">
      <c r="A16" s="197" t="s">
        <v>657</v>
      </c>
      <c r="B16" s="197" t="s">
        <v>2</v>
      </c>
      <c r="C16" s="197" t="s">
        <v>9</v>
      </c>
      <c r="D16" s="202" t="s">
        <v>656</v>
      </c>
    </row>
    <row r="17" spans="1:7" x14ac:dyDescent="0.35">
      <c r="A17" s="199" t="s">
        <v>39</v>
      </c>
      <c r="B17" s="199">
        <v>0.76923076923076927</v>
      </c>
      <c r="C17" s="199">
        <v>0.23076923076923078</v>
      </c>
      <c r="D17" s="203">
        <v>1</v>
      </c>
    </row>
    <row r="18" spans="1:7" x14ac:dyDescent="0.35">
      <c r="A18" s="199" t="s">
        <v>161</v>
      </c>
      <c r="B18" s="199">
        <v>0.8</v>
      </c>
      <c r="C18" s="199">
        <v>0.2</v>
      </c>
      <c r="D18" s="203">
        <v>1</v>
      </c>
    </row>
    <row r="19" spans="1:7" x14ac:dyDescent="0.35">
      <c r="A19" s="199" t="s">
        <v>222</v>
      </c>
      <c r="B19" s="199">
        <v>0.98333333333333328</v>
      </c>
      <c r="C19" s="199">
        <v>1.6666666666666666E-2</v>
      </c>
      <c r="D19" s="199">
        <v>1</v>
      </c>
      <c r="G19"/>
    </row>
    <row r="20" spans="1:7" x14ac:dyDescent="0.35">
      <c r="A20" s="199" t="s">
        <v>564</v>
      </c>
      <c r="B20" s="199">
        <v>0.8125</v>
      </c>
      <c r="C20" s="199">
        <v>0.1875</v>
      </c>
      <c r="D20" s="199">
        <v>1</v>
      </c>
      <c r="F20" s="55"/>
      <c r="G20"/>
    </row>
    <row r="21" spans="1:7" x14ac:dyDescent="0.35">
      <c r="A21" s="199" t="s">
        <v>103</v>
      </c>
      <c r="B21" s="199">
        <v>0.8</v>
      </c>
      <c r="C21" s="199">
        <v>0.2</v>
      </c>
      <c r="D21" s="199">
        <v>1</v>
      </c>
      <c r="G21"/>
    </row>
    <row r="22" spans="1:7" x14ac:dyDescent="0.35">
      <c r="A22" s="199" t="s">
        <v>354</v>
      </c>
      <c r="B22" s="199">
        <v>0.73333333333333328</v>
      </c>
      <c r="C22" s="199">
        <v>0.26666666666666666</v>
      </c>
      <c r="D22" s="199">
        <v>1</v>
      </c>
      <c r="G22"/>
    </row>
    <row r="23" spans="1:7" x14ac:dyDescent="0.35">
      <c r="A23" s="199" t="s">
        <v>253</v>
      </c>
      <c r="B23" s="199">
        <v>0.6</v>
      </c>
      <c r="C23" s="199">
        <v>0.4</v>
      </c>
      <c r="D23" s="199">
        <v>1</v>
      </c>
      <c r="G23"/>
    </row>
    <row r="24" spans="1:7" x14ac:dyDescent="0.35">
      <c r="A24" s="199" t="s">
        <v>191</v>
      </c>
      <c r="B24" s="199">
        <v>0.8571428571428571</v>
      </c>
      <c r="C24" s="199">
        <v>0.14285714285714285</v>
      </c>
      <c r="D24" s="199">
        <v>1</v>
      </c>
      <c r="G24"/>
    </row>
    <row r="25" spans="1:7" x14ac:dyDescent="0.35">
      <c r="A25" s="199" t="s">
        <v>312</v>
      </c>
      <c r="B25" s="199">
        <v>0.56666666666666665</v>
      </c>
      <c r="C25" s="199">
        <v>0.43333333333333335</v>
      </c>
      <c r="D25" s="199">
        <v>1</v>
      </c>
      <c r="G25"/>
    </row>
    <row r="26" spans="1:7" x14ac:dyDescent="0.35">
      <c r="A26" s="199" t="s">
        <v>604</v>
      </c>
      <c r="B26" s="199">
        <v>1</v>
      </c>
      <c r="C26" s="199">
        <v>0</v>
      </c>
      <c r="D26" s="199">
        <v>1</v>
      </c>
      <c r="G26"/>
    </row>
    <row r="27" spans="1:7" x14ac:dyDescent="0.35">
      <c r="A27" s="199" t="s">
        <v>562</v>
      </c>
      <c r="B27" s="199">
        <v>0.8</v>
      </c>
      <c r="C27" s="199">
        <v>0.2</v>
      </c>
      <c r="D27" s="199">
        <v>1</v>
      </c>
      <c r="G27"/>
    </row>
    <row r="28" spans="1:7" x14ac:dyDescent="0.35">
      <c r="A28" s="199" t="s">
        <v>139</v>
      </c>
      <c r="B28" s="199">
        <v>0.95833333333333337</v>
      </c>
      <c r="C28" s="199">
        <v>4.1666666666666664E-2</v>
      </c>
      <c r="D28" s="199">
        <v>1</v>
      </c>
      <c r="G28"/>
    </row>
    <row r="29" spans="1:7" x14ac:dyDescent="0.35">
      <c r="A29" s="199" t="s">
        <v>389</v>
      </c>
      <c r="B29" s="199">
        <v>0.6</v>
      </c>
      <c r="C29" s="199">
        <v>0.4</v>
      </c>
      <c r="D29" s="199">
        <v>1</v>
      </c>
      <c r="G29"/>
    </row>
    <row r="30" spans="1:7" x14ac:dyDescent="0.35">
      <c r="A30" s="199" t="s">
        <v>443</v>
      </c>
      <c r="B30" s="199">
        <v>0.93333333333333335</v>
      </c>
      <c r="C30" s="199">
        <v>6.6666666666666666E-2</v>
      </c>
      <c r="D30" s="199">
        <v>1</v>
      </c>
      <c r="G30"/>
    </row>
    <row r="31" spans="1:7" x14ac:dyDescent="0.35">
      <c r="A31" s="199" t="s">
        <v>897</v>
      </c>
      <c r="B31" s="199">
        <v>0.89473684210526316</v>
      </c>
      <c r="C31" s="199">
        <v>0.10526315789473684</v>
      </c>
      <c r="D31" s="199">
        <v>1</v>
      </c>
      <c r="G31"/>
    </row>
    <row r="32" spans="1:7" x14ac:dyDescent="0.35">
      <c r="A32" s="199" t="s">
        <v>925</v>
      </c>
      <c r="B32" s="199">
        <v>0.80952380952380953</v>
      </c>
      <c r="C32" s="199">
        <v>0.19047619047619047</v>
      </c>
      <c r="D32" s="199">
        <v>1</v>
      </c>
      <c r="G32"/>
    </row>
    <row r="33" spans="1:7" x14ac:dyDescent="0.35">
      <c r="A33" s="199" t="s">
        <v>975</v>
      </c>
      <c r="B33" s="199">
        <v>0.8666666666666667</v>
      </c>
      <c r="C33" s="199">
        <v>0.13333333333333333</v>
      </c>
      <c r="D33" s="199">
        <v>1</v>
      </c>
      <c r="G33"/>
    </row>
    <row r="34" spans="1:7" x14ac:dyDescent="0.35">
      <c r="A34" s="201" t="s">
        <v>656</v>
      </c>
      <c r="B34" s="200">
        <v>0.82470119521912355</v>
      </c>
      <c r="C34" s="200">
        <v>0.1752988047808765</v>
      </c>
      <c r="D34" s="200">
        <v>1</v>
      </c>
      <c r="G34"/>
    </row>
    <row r="35" spans="1:7" x14ac:dyDescent="0.35">
      <c r="G35"/>
    </row>
    <row r="36" spans="1:7" x14ac:dyDescent="0.35">
      <c r="A36" s="40" t="s">
        <v>43</v>
      </c>
      <c r="B36" t="s">
        <v>663</v>
      </c>
      <c r="G36"/>
    </row>
    <row r="37" spans="1:7" x14ac:dyDescent="0.35">
      <c r="G37"/>
    </row>
    <row r="38" spans="1:7" x14ac:dyDescent="0.35">
      <c r="A38" s="40" t="s">
        <v>1968</v>
      </c>
      <c r="B38" s="40" t="s">
        <v>1967</v>
      </c>
      <c r="G38"/>
    </row>
    <row r="39" spans="1:7" x14ac:dyDescent="0.35">
      <c r="A39" s="40" t="s">
        <v>655</v>
      </c>
      <c r="B39" t="s">
        <v>2</v>
      </c>
      <c r="C39" t="s">
        <v>9</v>
      </c>
      <c r="D39" t="s">
        <v>656</v>
      </c>
      <c r="G39"/>
    </row>
    <row r="40" spans="1:7" x14ac:dyDescent="0.35">
      <c r="A40" s="41" t="s">
        <v>1065</v>
      </c>
      <c r="B40" s="196">
        <v>0.77777777777777779</v>
      </c>
      <c r="C40" s="196">
        <v>0.22222222222222221</v>
      </c>
      <c r="D40" s="196">
        <v>1</v>
      </c>
      <c r="G40"/>
    </row>
    <row r="41" spans="1:7" x14ac:dyDescent="0.35">
      <c r="A41" s="41" t="s">
        <v>1094</v>
      </c>
      <c r="B41" s="196">
        <v>0.6428571428571429</v>
      </c>
      <c r="C41" s="196">
        <v>0.35714285714285715</v>
      </c>
      <c r="D41" s="196">
        <v>1</v>
      </c>
      <c r="G41"/>
    </row>
    <row r="42" spans="1:7" x14ac:dyDescent="0.35">
      <c r="A42" s="41" t="s">
        <v>1120</v>
      </c>
      <c r="B42" s="196">
        <v>0.46153846153846156</v>
      </c>
      <c r="C42" s="196">
        <v>0.53846153846153844</v>
      </c>
      <c r="D42" s="196">
        <v>1</v>
      </c>
      <c r="G42"/>
    </row>
    <row r="43" spans="1:7" x14ac:dyDescent="0.35">
      <c r="A43" s="41" t="s">
        <v>1183</v>
      </c>
      <c r="B43" s="196">
        <v>0.8</v>
      </c>
      <c r="C43" s="196">
        <v>0.2</v>
      </c>
      <c r="D43" s="196">
        <v>1</v>
      </c>
      <c r="G43"/>
    </row>
    <row r="44" spans="1:7" x14ac:dyDescent="0.35">
      <c r="A44" s="41" t="s">
        <v>1211</v>
      </c>
      <c r="B44" s="196">
        <v>0.48148148148148145</v>
      </c>
      <c r="C44" s="196">
        <v>0.51851851851851849</v>
      </c>
      <c r="D44" s="196">
        <v>1</v>
      </c>
      <c r="G44"/>
    </row>
    <row r="45" spans="1:7" x14ac:dyDescent="0.35">
      <c r="A45" s="41" t="s">
        <v>1257</v>
      </c>
      <c r="B45" s="196">
        <v>0.68</v>
      </c>
      <c r="C45" s="196">
        <v>0.32</v>
      </c>
      <c r="D45" s="196">
        <v>1</v>
      </c>
    </row>
    <row r="46" spans="1:7" x14ac:dyDescent="0.35">
      <c r="A46" s="41" t="s">
        <v>1306</v>
      </c>
      <c r="B46" s="196">
        <v>0.95</v>
      </c>
      <c r="C46" s="196">
        <v>0.05</v>
      </c>
      <c r="D46" s="196">
        <v>1</v>
      </c>
    </row>
    <row r="47" spans="1:7" x14ac:dyDescent="0.35">
      <c r="A47" s="41" t="s">
        <v>1365</v>
      </c>
      <c r="B47" s="196">
        <v>0.55172413793103448</v>
      </c>
      <c r="C47" s="196">
        <v>0.44827586206896552</v>
      </c>
      <c r="D47" s="196">
        <v>1</v>
      </c>
    </row>
    <row r="48" spans="1:7" x14ac:dyDescent="0.35">
      <c r="A48" s="41" t="s">
        <v>1423</v>
      </c>
      <c r="B48" s="196">
        <v>1</v>
      </c>
      <c r="C48" s="196">
        <v>0</v>
      </c>
      <c r="D48" s="196">
        <v>1</v>
      </c>
    </row>
    <row r="49" spans="1:4" x14ac:dyDescent="0.35">
      <c r="A49" s="41" t="s">
        <v>1480</v>
      </c>
      <c r="B49" s="196">
        <v>0.10344827586206896</v>
      </c>
      <c r="C49" s="196">
        <v>0.89655172413793105</v>
      </c>
      <c r="D49" s="196">
        <v>1</v>
      </c>
    </row>
    <row r="50" spans="1:4" x14ac:dyDescent="0.35">
      <c r="A50" s="41" t="s">
        <v>1529</v>
      </c>
      <c r="B50" s="196">
        <v>0.8</v>
      </c>
      <c r="C50" s="196">
        <v>0.2</v>
      </c>
      <c r="D50" s="196">
        <v>1</v>
      </c>
    </row>
    <row r="51" spans="1:4" x14ac:dyDescent="0.35">
      <c r="A51" s="41" t="s">
        <v>1589</v>
      </c>
      <c r="B51" s="196">
        <v>0.8666666666666667</v>
      </c>
      <c r="C51" s="196">
        <v>0.13333333333333333</v>
      </c>
      <c r="D51" s="196">
        <v>1</v>
      </c>
    </row>
    <row r="52" spans="1:4" x14ac:dyDescent="0.35">
      <c r="A52" s="41" t="s">
        <v>1637</v>
      </c>
      <c r="B52" s="196">
        <v>0.8</v>
      </c>
      <c r="C52" s="196">
        <v>0.2</v>
      </c>
      <c r="D52" s="196">
        <v>1</v>
      </c>
    </row>
    <row r="53" spans="1:4" x14ac:dyDescent="0.35">
      <c r="A53" s="41" t="s">
        <v>1679</v>
      </c>
      <c r="B53" s="196">
        <v>0.93333333333333335</v>
      </c>
      <c r="C53" s="196">
        <v>6.6666666666666666E-2</v>
      </c>
      <c r="D53" s="196">
        <v>1</v>
      </c>
    </row>
    <row r="54" spans="1:4" x14ac:dyDescent="0.35">
      <c r="A54" s="41" t="s">
        <v>1796</v>
      </c>
      <c r="B54" s="196">
        <v>0.73333333333333328</v>
      </c>
      <c r="C54" s="196">
        <v>0.26666666666666666</v>
      </c>
      <c r="D54" s="196">
        <v>1</v>
      </c>
    </row>
    <row r="55" spans="1:4" x14ac:dyDescent="0.35">
      <c r="A55" s="41" t="s">
        <v>1854</v>
      </c>
      <c r="B55" s="196">
        <v>0.9</v>
      </c>
      <c r="C55" s="196">
        <v>0.1</v>
      </c>
      <c r="D55" s="196">
        <v>1</v>
      </c>
    </row>
    <row r="56" spans="1:4" x14ac:dyDescent="0.35">
      <c r="A56" s="41" t="s">
        <v>1894</v>
      </c>
      <c r="B56" s="196">
        <v>0.72</v>
      </c>
      <c r="C56" s="196">
        <v>0.28000000000000003</v>
      </c>
      <c r="D56" s="196">
        <v>1</v>
      </c>
    </row>
    <row r="57" spans="1:4" x14ac:dyDescent="0.35">
      <c r="A57" s="41" t="s">
        <v>1934</v>
      </c>
      <c r="B57" s="196">
        <v>0.6071428571428571</v>
      </c>
      <c r="C57" s="196">
        <v>0.39285714285714285</v>
      </c>
      <c r="D57" s="196">
        <v>1</v>
      </c>
    </row>
    <row r="58" spans="1:4" x14ac:dyDescent="0.35">
      <c r="A58" s="41" t="s">
        <v>1966</v>
      </c>
      <c r="B58" s="196">
        <v>0.77777777777777779</v>
      </c>
      <c r="C58" s="196">
        <v>0.22222222222222221</v>
      </c>
      <c r="D58" s="196">
        <v>1</v>
      </c>
    </row>
    <row r="59" spans="1:4" x14ac:dyDescent="0.35">
      <c r="A59" s="41" t="s">
        <v>656</v>
      </c>
      <c r="B59" s="196">
        <v>0.72941176470588232</v>
      </c>
      <c r="C59" s="196">
        <v>0.27058823529411763</v>
      </c>
      <c r="D59" s="196">
        <v>1</v>
      </c>
    </row>
    <row r="62" spans="1:4" x14ac:dyDescent="0.35">
      <c r="A62" s="287" t="s">
        <v>1184</v>
      </c>
    </row>
    <row r="63" spans="1:4" x14ac:dyDescent="0.35">
      <c r="A63" s="287" t="s">
        <v>1935</v>
      </c>
    </row>
    <row r="64" spans="1:4" x14ac:dyDescent="0.35">
      <c r="A64" s="287" t="s">
        <v>1590</v>
      </c>
    </row>
    <row r="65" spans="1:1" x14ac:dyDescent="0.35">
      <c r="A65" s="287" t="s">
        <v>1307</v>
      </c>
    </row>
    <row r="66" spans="1:1" x14ac:dyDescent="0.35">
      <c r="A66" s="287" t="s">
        <v>1530</v>
      </c>
    </row>
    <row r="67" spans="1:1" x14ac:dyDescent="0.35">
      <c r="A67" s="287" t="s">
        <v>1064</v>
      </c>
    </row>
    <row r="68" spans="1:1" x14ac:dyDescent="0.35">
      <c r="A68" s="287" t="s">
        <v>1424</v>
      </c>
    </row>
    <row r="69" spans="1:1" x14ac:dyDescent="0.35">
      <c r="A69" s="287" t="s">
        <v>1895</v>
      </c>
    </row>
    <row r="70" spans="1:1" x14ac:dyDescent="0.35">
      <c r="A70" s="287" t="s">
        <v>1738</v>
      </c>
    </row>
    <row r="71" spans="1:1" x14ac:dyDescent="0.35">
      <c r="A71" s="287"/>
    </row>
    <row r="72" spans="1:1" x14ac:dyDescent="0.35">
      <c r="A72" s="287"/>
    </row>
    <row r="73" spans="1:1" x14ac:dyDescent="0.35">
      <c r="A73" s="287" t="s">
        <v>41</v>
      </c>
    </row>
    <row r="74" spans="1:1" x14ac:dyDescent="0.35">
      <c r="A74" s="287" t="s">
        <v>162</v>
      </c>
    </row>
    <row r="75" spans="1:1" x14ac:dyDescent="0.35">
      <c r="A75" s="287" t="s">
        <v>896</v>
      </c>
    </row>
    <row r="76" spans="1:1" x14ac:dyDescent="0.35">
      <c r="A76" s="287" t="s">
        <v>974</v>
      </c>
    </row>
    <row r="77" spans="1:1" x14ac:dyDescent="0.35">
      <c r="A77" s="287" t="s">
        <v>444</v>
      </c>
    </row>
    <row r="78" spans="1:1" x14ac:dyDescent="0.35">
      <c r="A78" s="287" t="s">
        <v>563</v>
      </c>
    </row>
    <row r="79" spans="1:1" x14ac:dyDescent="0.35">
      <c r="A79" s="287" t="s">
        <v>313</v>
      </c>
    </row>
    <row r="80" spans="1:1" x14ac:dyDescent="0.35">
      <c r="A80" s="287" t="s">
        <v>104</v>
      </c>
    </row>
    <row r="81" spans="1:1" x14ac:dyDescent="0.35">
      <c r="A81" s="287" t="s">
        <v>355</v>
      </c>
    </row>
    <row r="82" spans="1:1" x14ac:dyDescent="0.35">
      <c r="A82" s="287" t="s">
        <v>565</v>
      </c>
    </row>
    <row r="83" spans="1:1" x14ac:dyDescent="0.35">
      <c r="A83" s="287" t="s">
        <v>390</v>
      </c>
    </row>
    <row r="84" spans="1:1" x14ac:dyDescent="0.35">
      <c r="A84" s="287" t="s">
        <v>140</v>
      </c>
    </row>
    <row r="85" spans="1:1" x14ac:dyDescent="0.35">
      <c r="A85" s="287" t="s">
        <v>221</v>
      </c>
    </row>
    <row r="86" spans="1:1" x14ac:dyDescent="0.35">
      <c r="A86" s="287" t="s">
        <v>190</v>
      </c>
    </row>
    <row r="87" spans="1:1" x14ac:dyDescent="0.35">
      <c r="A87" s="287" t="s">
        <v>254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5257C-21A8-4D45-972E-905BBD5643D2}">
  <sheetPr codeName="Feuil2"/>
  <dimension ref="A1:W870"/>
  <sheetViews>
    <sheetView topLeftCell="A841" zoomScale="55" zoomScaleNormal="55" workbookViewId="0">
      <selection activeCell="L828" sqref="L828"/>
    </sheetView>
  </sheetViews>
  <sheetFormatPr baseColWidth="10" defaultColWidth="10.90625" defaultRowHeight="14.5" x14ac:dyDescent="0.35"/>
  <cols>
    <col min="1" max="1" width="10.90625" style="17"/>
    <col min="2" max="2" width="29.453125" customWidth="1"/>
    <col min="5" max="5" width="15.6328125" customWidth="1"/>
    <col min="8" max="8" width="11.7265625" customWidth="1"/>
    <col min="10" max="10" width="16.453125" customWidth="1"/>
    <col min="11" max="11" width="20.54296875" customWidth="1"/>
    <col min="13" max="13" width="14.54296875" customWidth="1"/>
    <col min="14" max="14" width="14.7265625" customWidth="1"/>
    <col min="15" max="15" width="18.6328125" customWidth="1"/>
    <col min="16" max="16" width="14.1796875" customWidth="1"/>
    <col min="17" max="17" width="17.453125" customWidth="1"/>
  </cols>
  <sheetData>
    <row r="1" spans="1:16" ht="39.5" hidden="1" customHeight="1" x14ac:dyDescent="0.35">
      <c r="A1" s="311" t="s">
        <v>0</v>
      </c>
      <c r="B1" s="312" t="s">
        <v>1997</v>
      </c>
      <c r="C1" s="312" t="s">
        <v>1998</v>
      </c>
      <c r="D1" s="312" t="s">
        <v>1999</v>
      </c>
      <c r="E1" s="312" t="s">
        <v>2000</v>
      </c>
      <c r="F1" s="312" t="s">
        <v>2001</v>
      </c>
      <c r="G1" s="312" t="s">
        <v>2006</v>
      </c>
      <c r="H1" s="312" t="s">
        <v>2007</v>
      </c>
      <c r="I1" s="312" t="s">
        <v>3507</v>
      </c>
      <c r="J1" s="313" t="s">
        <v>2002</v>
      </c>
      <c r="K1" s="314" t="s">
        <v>2003</v>
      </c>
      <c r="L1" s="312" t="s">
        <v>2696</v>
      </c>
      <c r="M1" s="312" t="s">
        <v>2697</v>
      </c>
      <c r="N1" s="313" t="s">
        <v>2004</v>
      </c>
      <c r="O1" s="315" t="s">
        <v>2005</v>
      </c>
      <c r="P1" s="312" t="s">
        <v>3375</v>
      </c>
    </row>
    <row r="2" spans="1:16" ht="17" x14ac:dyDescent="0.35">
      <c r="A2" s="310">
        <v>1</v>
      </c>
      <c r="B2" s="396" t="s">
        <v>2008</v>
      </c>
      <c r="C2" s="64" t="s">
        <v>2</v>
      </c>
      <c r="D2" s="295">
        <v>12</v>
      </c>
      <c r="E2" s="406">
        <v>6.28</v>
      </c>
      <c r="F2" s="470" t="s">
        <v>2009</v>
      </c>
      <c r="G2" s="402" t="s">
        <v>2027</v>
      </c>
      <c r="H2" s="402" t="str">
        <f>IF(Tableau2[[#This Row],[Moyennes]]="Absent","Absent",IF(Tableau2[[#This Row],[Moyennes]]&lt;5,"Redouble",IF(Tableau2[[#This Row],[Moyennes]]&gt;=5,"Admis"," ")))</f>
        <v>Admis</v>
      </c>
      <c r="I2" s="486"/>
      <c r="J2" t="s">
        <v>662</v>
      </c>
      <c r="K2" t="s">
        <v>714</v>
      </c>
      <c r="L2" s="64">
        <f>IF(AND(Tableau2[[#This Row],[CLASSE]]="CPU",Tableau2[[#This Row],[STATUT ]]="Admis"),1,0)</f>
        <v>1</v>
      </c>
      <c r="M2" s="64">
        <f>IF(AND(Tableau2[[#This Row],[CLASSE]]="CEU",Tableau2[[#This Row],[STATUT ]]="Admis"),1,0)</f>
        <v>0</v>
      </c>
      <c r="N2" s="64"/>
      <c r="O2" s="296"/>
      <c r="P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" spans="1:16" ht="17" x14ac:dyDescent="0.35">
      <c r="A3" s="310">
        <v>2</v>
      </c>
      <c r="B3" s="396" t="s">
        <v>2011</v>
      </c>
      <c r="C3" s="64" t="s">
        <v>2</v>
      </c>
      <c r="D3" s="295">
        <v>10</v>
      </c>
      <c r="E3" s="406">
        <v>6.07</v>
      </c>
      <c r="F3" s="470" t="s">
        <v>2009</v>
      </c>
      <c r="G3" s="402" t="s">
        <v>2089</v>
      </c>
      <c r="H3" s="402" t="str">
        <f>IF(Tableau2[[#This Row],[Moyennes]]="Absent","Absent",IF(Tableau2[[#This Row],[Moyennes]]&lt;5,"Redouble",IF(Tableau2[[#This Row],[Moyennes]]&gt;=5,"Admis"," ")))</f>
        <v>Admis</v>
      </c>
      <c r="I3" s="486"/>
      <c r="J3" t="s">
        <v>662</v>
      </c>
      <c r="K3" t="s">
        <v>714</v>
      </c>
      <c r="L3" s="64">
        <f>IF(AND(Tableau2[[#This Row],[CLASSE]]="CPU",Tableau2[[#This Row],[STATUT ]]="Admis"),1,0)</f>
        <v>1</v>
      </c>
      <c r="M3" s="64">
        <f>IF(AND(Tableau2[[#This Row],[CLASSE]]="CEU",Tableau2[[#This Row],[STATUT ]]="Admis"),1,0)</f>
        <v>0</v>
      </c>
      <c r="N3" s="64"/>
      <c r="O3" s="296"/>
      <c r="P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" spans="1:16" ht="17" x14ac:dyDescent="0.35">
      <c r="A4" s="310">
        <v>3</v>
      </c>
      <c r="B4" s="396" t="s">
        <v>2013</v>
      </c>
      <c r="C4" s="64" t="s">
        <v>1</v>
      </c>
      <c r="D4" s="295">
        <v>10</v>
      </c>
      <c r="E4" s="406">
        <v>5</v>
      </c>
      <c r="F4" s="470" t="s">
        <v>2009</v>
      </c>
      <c r="G4" s="402" t="s">
        <v>2042</v>
      </c>
      <c r="H4" s="402" t="str">
        <f>IF(Tableau2[[#This Row],[Moyennes]]="Absent","Absent",IF(Tableau2[[#This Row],[Moyennes]]&lt;5,"Redouble",IF(Tableau2[[#This Row],[Moyennes]]&gt;=5,"Admis"," ")))</f>
        <v>Admis</v>
      </c>
      <c r="I4" s="486"/>
      <c r="J4" t="s">
        <v>662</v>
      </c>
      <c r="K4" t="s">
        <v>714</v>
      </c>
      <c r="L4" s="64">
        <f>IF(AND(Tableau2[[#This Row],[CLASSE]]="CPU",Tableau2[[#This Row],[STATUT ]]="Admis"),1,0)</f>
        <v>1</v>
      </c>
      <c r="M4" s="64">
        <f>IF(AND(Tableau2[[#This Row],[CLASSE]]="CEU",Tableau2[[#This Row],[STATUT ]]="Admis"),1,0)</f>
        <v>0</v>
      </c>
      <c r="N4" s="64"/>
      <c r="O4" s="296"/>
      <c r="P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" spans="1:16" ht="17" x14ac:dyDescent="0.35">
      <c r="A5" s="310">
        <v>4</v>
      </c>
      <c r="B5" s="396" t="s">
        <v>2015</v>
      </c>
      <c r="C5" s="64" t="s">
        <v>2</v>
      </c>
      <c r="D5" s="295">
        <v>10</v>
      </c>
      <c r="E5" s="406">
        <v>6.42</v>
      </c>
      <c r="F5" s="470" t="s">
        <v>2009</v>
      </c>
      <c r="G5" s="402" t="s">
        <v>2044</v>
      </c>
      <c r="H5" s="402" t="str">
        <f>IF(Tableau2[[#This Row],[Moyennes]]="Absent","Absent",IF(Tableau2[[#This Row],[Moyennes]]&lt;5,"Redouble",IF(Tableau2[[#This Row],[Moyennes]]&gt;=5,"Admis"," ")))</f>
        <v>Admis</v>
      </c>
      <c r="I5" s="486"/>
      <c r="J5" t="s">
        <v>662</v>
      </c>
      <c r="K5" t="s">
        <v>714</v>
      </c>
      <c r="L5" s="64">
        <f>IF(AND(Tableau2[[#This Row],[CLASSE]]="CPU",Tableau2[[#This Row],[STATUT ]]="Admis"),1,0)</f>
        <v>1</v>
      </c>
      <c r="M5" s="64">
        <f>IF(AND(Tableau2[[#This Row],[CLASSE]]="CEU",Tableau2[[#This Row],[STATUT ]]="Admis"),1,0)</f>
        <v>0</v>
      </c>
      <c r="N5" s="64"/>
      <c r="O5" s="296"/>
      <c r="P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" spans="1:16" ht="17" x14ac:dyDescent="0.35">
      <c r="A6" s="310">
        <v>5</v>
      </c>
      <c r="B6" s="403" t="s">
        <v>2017</v>
      </c>
      <c r="C6" s="411" t="s">
        <v>2</v>
      </c>
      <c r="D6" s="295">
        <v>10</v>
      </c>
      <c r="E6" s="406">
        <v>5.5</v>
      </c>
      <c r="F6" s="470" t="s">
        <v>2009</v>
      </c>
      <c r="G6" s="402" t="s">
        <v>2033</v>
      </c>
      <c r="H6" s="402" t="str">
        <f>IF(Tableau2[[#This Row],[Moyennes]]="Absent","Absent",IF(Tableau2[[#This Row],[Moyennes]]&lt;5,"Redouble",IF(Tableau2[[#This Row],[Moyennes]]&gt;=5,"Admis"," ")))</f>
        <v>Admis</v>
      </c>
      <c r="I6" s="486"/>
      <c r="J6" t="s">
        <v>662</v>
      </c>
      <c r="K6" t="s">
        <v>714</v>
      </c>
      <c r="L6" s="64">
        <f>IF(AND(Tableau2[[#This Row],[CLASSE]]="CPU",Tableau2[[#This Row],[STATUT ]]="Admis"),1,0)</f>
        <v>1</v>
      </c>
      <c r="M6" s="64">
        <f>IF(AND(Tableau2[[#This Row],[CLASSE]]="CEU",Tableau2[[#This Row],[STATUT ]]="Admis"),1,0)</f>
        <v>0</v>
      </c>
      <c r="N6" s="64"/>
      <c r="O6" s="296"/>
      <c r="P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" spans="1:16" ht="17" x14ac:dyDescent="0.35">
      <c r="A7" s="310">
        <v>6</v>
      </c>
      <c r="B7" s="396" t="s">
        <v>2019</v>
      </c>
      <c r="C7" s="64" t="s">
        <v>1</v>
      </c>
      <c r="D7" s="295">
        <v>11</v>
      </c>
      <c r="E7" s="406">
        <v>8.2799999999999994</v>
      </c>
      <c r="F7" s="470" t="s">
        <v>2009</v>
      </c>
      <c r="G7" s="402" t="s">
        <v>3390</v>
      </c>
      <c r="H7" s="402" t="str">
        <f>IF(Tableau2[[#This Row],[Moyennes]]="Absent","Absent",IF(Tableau2[[#This Row],[Moyennes]]&lt;5,"Redouble",IF(Tableau2[[#This Row],[Moyennes]]&gt;=5,"Admis"," ")))</f>
        <v>Admis</v>
      </c>
      <c r="I7" s="486"/>
      <c r="J7" t="s">
        <v>662</v>
      </c>
      <c r="K7" t="s">
        <v>714</v>
      </c>
      <c r="L7" s="64">
        <f>IF(AND(Tableau2[[#This Row],[CLASSE]]="CPU",Tableau2[[#This Row],[STATUT ]]="Admis"),1,0)</f>
        <v>1</v>
      </c>
      <c r="M7" s="64">
        <f>IF(AND(Tableau2[[#This Row],[CLASSE]]="CEU",Tableau2[[#This Row],[STATUT ]]="Admis"),1,0)</f>
        <v>0</v>
      </c>
      <c r="N7" s="64"/>
      <c r="O7" s="296"/>
      <c r="P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" spans="1:16" ht="17" x14ac:dyDescent="0.35">
      <c r="A8" s="310">
        <v>7</v>
      </c>
      <c r="B8" s="396" t="s">
        <v>2020</v>
      </c>
      <c r="C8" s="64" t="s">
        <v>2</v>
      </c>
      <c r="D8" s="295">
        <v>11</v>
      </c>
      <c r="E8" s="406">
        <v>7.14</v>
      </c>
      <c r="F8" s="398" t="s">
        <v>2009</v>
      </c>
      <c r="G8" s="396" t="s">
        <v>815</v>
      </c>
      <c r="H8" s="402" t="str">
        <f>IF(Tableau2[[#This Row],[Moyennes]]="Absent","Absent",IF(Tableau2[[#This Row],[Moyennes]]&lt;5,"Redouble",IF(Tableau2[[#This Row],[Moyennes]]&gt;=5,"Admis"," ")))</f>
        <v>Admis</v>
      </c>
      <c r="J8" t="s">
        <v>662</v>
      </c>
      <c r="K8" t="s">
        <v>714</v>
      </c>
      <c r="L8" s="64">
        <f>IF(AND(Tableau2[[#This Row],[CLASSE]]="CPU",Tableau2[[#This Row],[STATUT ]]="Admis"),1,0)</f>
        <v>1</v>
      </c>
      <c r="M8" s="64">
        <f>IF(AND(Tableau2[[#This Row],[CLASSE]]="CEU",Tableau2[[#This Row],[STATUT ]]="Admis"),1,0)</f>
        <v>0</v>
      </c>
      <c r="N8" s="64"/>
      <c r="O8" s="296"/>
      <c r="P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" spans="1:16" ht="17" x14ac:dyDescent="0.35">
      <c r="A9" s="310">
        <v>8</v>
      </c>
      <c r="B9" s="396" t="s">
        <v>2047</v>
      </c>
      <c r="C9" s="64" t="s">
        <v>2</v>
      </c>
      <c r="D9" s="295">
        <v>12</v>
      </c>
      <c r="E9" s="406">
        <v>7.14</v>
      </c>
      <c r="F9" s="400" t="s">
        <v>2009</v>
      </c>
      <c r="G9" s="396" t="s">
        <v>815</v>
      </c>
      <c r="H9" s="402" t="str">
        <f>IF(Tableau2[[#This Row],[Moyennes]]="Absent","Absent",IF(Tableau2[[#This Row],[Moyennes]]&lt;5,"Redouble",IF(Tableau2[[#This Row],[Moyennes]]&gt;=5,"Admis"," ")))</f>
        <v>Admis</v>
      </c>
      <c r="J9" t="s">
        <v>662</v>
      </c>
      <c r="K9" t="s">
        <v>714</v>
      </c>
      <c r="L9" s="64">
        <f>IF(AND(Tableau2[[#This Row],[CLASSE]]="CPU",Tableau2[[#This Row],[STATUT ]]="Admis"),1,0)</f>
        <v>1</v>
      </c>
      <c r="M9" s="64">
        <f>IF(AND(Tableau2[[#This Row],[CLASSE]]="CEU",Tableau2[[#This Row],[STATUT ]]="Admis"),1,0)</f>
        <v>0</v>
      </c>
      <c r="N9" s="64"/>
      <c r="O9" s="296"/>
      <c r="P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0" spans="1:16" ht="17" x14ac:dyDescent="0.35">
      <c r="A10" s="310">
        <v>9</v>
      </c>
      <c r="B10" s="396" t="s">
        <v>2045</v>
      </c>
      <c r="C10" s="64" t="s">
        <v>1</v>
      </c>
      <c r="D10" s="295">
        <v>9</v>
      </c>
      <c r="E10" s="406">
        <v>5.42</v>
      </c>
      <c r="F10" s="398" t="s">
        <v>2009</v>
      </c>
      <c r="G10" s="396" t="s">
        <v>2016</v>
      </c>
      <c r="H10" s="402" t="str">
        <f>IF(Tableau2[[#This Row],[Moyennes]]="Absent","Absent",IF(Tableau2[[#This Row],[Moyennes]]&lt;5,"Redouble",IF(Tableau2[[#This Row],[Moyennes]]&gt;=5,"Admis"," ")))</f>
        <v>Admis</v>
      </c>
      <c r="J10" t="s">
        <v>662</v>
      </c>
      <c r="K10" t="s">
        <v>714</v>
      </c>
      <c r="L10" s="64">
        <f>IF(AND(Tableau2[[#This Row],[CLASSE]]="CPU",Tableau2[[#This Row],[STATUT ]]="Admis"),1,0)</f>
        <v>1</v>
      </c>
      <c r="M10" s="64">
        <f>IF(AND(Tableau2[[#This Row],[CLASSE]]="CEU",Tableau2[[#This Row],[STATUT ]]="Admis"),1,0)</f>
        <v>0</v>
      </c>
      <c r="N10" s="64"/>
      <c r="O10" s="296"/>
      <c r="P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" spans="1:16" ht="17" x14ac:dyDescent="0.35">
      <c r="A11" s="310">
        <v>10</v>
      </c>
      <c r="B11" s="396" t="s">
        <v>2026</v>
      </c>
      <c r="C11" s="64" t="s">
        <v>2</v>
      </c>
      <c r="D11" s="295">
        <v>10</v>
      </c>
      <c r="E11" s="406">
        <v>5.21</v>
      </c>
      <c r="F11" s="398" t="s">
        <v>2009</v>
      </c>
      <c r="G11" s="396" t="s">
        <v>2062</v>
      </c>
      <c r="H11" s="402" t="str">
        <f>IF(Tableau2[[#This Row],[Moyennes]]="Absent","Absent",IF(Tableau2[[#This Row],[Moyennes]]&lt;5,"Redouble",IF(Tableau2[[#This Row],[Moyennes]]&gt;=5,"Admis"," ")))</f>
        <v>Admis</v>
      </c>
      <c r="J11" t="s">
        <v>662</v>
      </c>
      <c r="K11" t="s">
        <v>714</v>
      </c>
      <c r="L11" s="64">
        <f>IF(AND(Tableau2[[#This Row],[CLASSE]]="CPU",Tableau2[[#This Row],[STATUT ]]="Admis"),1,0)</f>
        <v>1</v>
      </c>
      <c r="M11" s="64">
        <f>IF(AND(Tableau2[[#This Row],[CLASSE]]="CEU",Tableau2[[#This Row],[STATUT ]]="Admis"),1,0)</f>
        <v>0</v>
      </c>
      <c r="N11" s="64"/>
      <c r="O11" s="296"/>
      <c r="P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" spans="1:16" ht="17" x14ac:dyDescent="0.35">
      <c r="A12" s="310">
        <v>11</v>
      </c>
      <c r="B12" s="396" t="s">
        <v>2028</v>
      </c>
      <c r="C12" s="64" t="s">
        <v>2</v>
      </c>
      <c r="D12" s="295">
        <v>12</v>
      </c>
      <c r="E12" s="406">
        <v>6.57</v>
      </c>
      <c r="F12" s="398" t="s">
        <v>2009</v>
      </c>
      <c r="G12" s="396" t="s">
        <v>2018</v>
      </c>
      <c r="H12" s="402" t="str">
        <f>IF(Tableau2[[#This Row],[Moyennes]]="Absent","Absent",IF(Tableau2[[#This Row],[Moyennes]]&lt;5,"Redouble",IF(Tableau2[[#This Row],[Moyennes]]&gt;=5,"Admis"," ")))</f>
        <v>Admis</v>
      </c>
      <c r="J12" t="s">
        <v>662</v>
      </c>
      <c r="K12" t="s">
        <v>714</v>
      </c>
      <c r="L12" s="64">
        <f>IF(AND(Tableau2[[#This Row],[CLASSE]]="CPU",Tableau2[[#This Row],[STATUT ]]="Admis"),1,0)</f>
        <v>1</v>
      </c>
      <c r="M12" s="64">
        <f>IF(AND(Tableau2[[#This Row],[CLASSE]]="CEU",Tableau2[[#This Row],[STATUT ]]="Admis"),1,0)</f>
        <v>0</v>
      </c>
      <c r="N12" s="64"/>
      <c r="O12" s="296"/>
      <c r="P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3" spans="1:16" ht="17" x14ac:dyDescent="0.35">
      <c r="A13" s="310">
        <v>12</v>
      </c>
      <c r="B13" s="396" t="s">
        <v>2043</v>
      </c>
      <c r="C13" s="64" t="s">
        <v>2</v>
      </c>
      <c r="D13" s="295">
        <v>11</v>
      </c>
      <c r="E13" s="406">
        <v>5.21</v>
      </c>
      <c r="F13" s="398" t="s">
        <v>2009</v>
      </c>
      <c r="G13" s="396" t="s">
        <v>2062</v>
      </c>
      <c r="H13" s="402" t="str">
        <f>IF(Tableau2[[#This Row],[Moyennes]]="Absent","Absent",IF(Tableau2[[#This Row],[Moyennes]]&lt;5,"Redouble",IF(Tableau2[[#This Row],[Moyennes]]&gt;=5,"Admis"," ")))</f>
        <v>Admis</v>
      </c>
      <c r="J13" t="s">
        <v>662</v>
      </c>
      <c r="K13" t="s">
        <v>714</v>
      </c>
      <c r="L13" s="64">
        <f>IF(AND(Tableau2[[#This Row],[CLASSE]]="CPU",Tableau2[[#This Row],[STATUT ]]="Admis"),1,0)</f>
        <v>1</v>
      </c>
      <c r="M13" s="64">
        <f>IF(AND(Tableau2[[#This Row],[CLASSE]]="CEU",Tableau2[[#This Row],[STATUT ]]="Admis"),1,0)</f>
        <v>0</v>
      </c>
      <c r="N13" s="64"/>
      <c r="O13" s="296"/>
      <c r="P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4" spans="1:16" ht="17" x14ac:dyDescent="0.35">
      <c r="A14" s="310">
        <v>13</v>
      </c>
      <c r="B14" s="396" t="s">
        <v>2038</v>
      </c>
      <c r="C14" s="64" t="s">
        <v>1</v>
      </c>
      <c r="D14" s="295">
        <v>10</v>
      </c>
      <c r="E14" s="406">
        <v>6.42</v>
      </c>
      <c r="F14" s="398" t="s">
        <v>2009</v>
      </c>
      <c r="G14" s="396" t="s">
        <v>2044</v>
      </c>
      <c r="H14" s="402" t="str">
        <f>IF(Tableau2[[#This Row],[Moyennes]]="Absent","Absent",IF(Tableau2[[#This Row],[Moyennes]]&lt;5,"Redouble",IF(Tableau2[[#This Row],[Moyennes]]&gt;=5,"Admis"," ")))</f>
        <v>Admis</v>
      </c>
      <c r="J14" t="s">
        <v>662</v>
      </c>
      <c r="K14" t="s">
        <v>714</v>
      </c>
      <c r="L14" s="64">
        <f>IF(AND(Tableau2[[#This Row],[CLASSE]]="CPU",Tableau2[[#This Row],[STATUT ]]="Admis"),1,0)</f>
        <v>1</v>
      </c>
      <c r="M14" s="64">
        <f>IF(AND(Tableau2[[#This Row],[CLASSE]]="CEU",Tableau2[[#This Row],[STATUT ]]="Admis"),1,0)</f>
        <v>0</v>
      </c>
      <c r="N14" s="64"/>
      <c r="O14" s="296"/>
      <c r="P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5" spans="1:16" ht="17" x14ac:dyDescent="0.35">
      <c r="A15" s="310">
        <v>14</v>
      </c>
      <c r="B15" s="396" t="s">
        <v>2032</v>
      </c>
      <c r="C15" s="64" t="s">
        <v>1</v>
      </c>
      <c r="D15" s="295">
        <v>10</v>
      </c>
      <c r="E15" s="406">
        <v>5.71</v>
      </c>
      <c r="F15" s="398" t="s">
        <v>2009</v>
      </c>
      <c r="G15" s="396" t="s">
        <v>2021</v>
      </c>
      <c r="H15" s="402" t="str">
        <f>IF(Tableau2[[#This Row],[Moyennes]]="Absent","Absent",IF(Tableau2[[#This Row],[Moyennes]]&lt;5,"Redouble",IF(Tableau2[[#This Row],[Moyennes]]&gt;=5,"Admis"," ")))</f>
        <v>Admis</v>
      </c>
      <c r="J15" t="s">
        <v>662</v>
      </c>
      <c r="K15" t="s">
        <v>714</v>
      </c>
      <c r="L15" s="64">
        <f>IF(AND(Tableau2[[#This Row],[CLASSE]]="CPU",Tableau2[[#This Row],[STATUT ]]="Admis"),1,0)</f>
        <v>1</v>
      </c>
      <c r="M15" s="64">
        <f>IF(AND(Tableau2[[#This Row],[CLASSE]]="CEU",Tableau2[[#This Row],[STATUT ]]="Admis"),1,0)</f>
        <v>0</v>
      </c>
      <c r="N15" s="64"/>
      <c r="O15" s="296"/>
      <c r="P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6" spans="1:16" ht="17" x14ac:dyDescent="0.35">
      <c r="A16" s="310">
        <v>15</v>
      </c>
      <c r="B16" s="396" t="s">
        <v>2034</v>
      </c>
      <c r="C16" s="64" t="s">
        <v>1</v>
      </c>
      <c r="D16" s="295">
        <v>13</v>
      </c>
      <c r="E16" s="406">
        <v>9</v>
      </c>
      <c r="F16" s="398" t="s">
        <v>2009</v>
      </c>
      <c r="G16" s="396" t="s">
        <v>2035</v>
      </c>
      <c r="H16" s="402" t="str">
        <f>IF(Tableau2[[#This Row],[Moyennes]]="Absent","Absent",IF(Tableau2[[#This Row],[Moyennes]]&lt;5,"Redouble",IF(Tableau2[[#This Row],[Moyennes]]&gt;=5,"Admis"," ")))</f>
        <v>Admis</v>
      </c>
      <c r="J16" t="s">
        <v>662</v>
      </c>
      <c r="K16" t="s">
        <v>714</v>
      </c>
      <c r="L16" s="64">
        <f>IF(AND(Tableau2[[#This Row],[CLASSE]]="CPU",Tableau2[[#This Row],[STATUT ]]="Admis"),1,0)</f>
        <v>1</v>
      </c>
      <c r="M16" s="64">
        <f>IF(AND(Tableau2[[#This Row],[CLASSE]]="CEU",Tableau2[[#This Row],[STATUT ]]="Admis"),1,0)</f>
        <v>0</v>
      </c>
      <c r="N16" s="64"/>
      <c r="O16" s="296"/>
      <c r="P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7" spans="1:16" ht="17" x14ac:dyDescent="0.35">
      <c r="A17" s="310">
        <v>16</v>
      </c>
      <c r="B17" s="415" t="s">
        <v>2036</v>
      </c>
      <c r="C17" s="64" t="s">
        <v>1</v>
      </c>
      <c r="D17" s="295">
        <v>11</v>
      </c>
      <c r="E17" s="406">
        <v>4</v>
      </c>
      <c r="F17" s="398" t="s">
        <v>2009</v>
      </c>
      <c r="G17" s="396" t="s">
        <v>2030</v>
      </c>
      <c r="H17" s="402" t="str">
        <f>IF(Tableau2[[#This Row],[Moyennes]]="Absent","Absent",IF(Tableau2[[#This Row],[Moyennes]]&lt;5,"Redouble",IF(Tableau2[[#This Row],[Moyennes]]&gt;=5,"Admis"," ")))</f>
        <v>Redouble</v>
      </c>
      <c r="J17" t="s">
        <v>662</v>
      </c>
      <c r="K17" t="s">
        <v>714</v>
      </c>
      <c r="L17" s="64">
        <f>IF(AND(Tableau2[[#This Row],[CLASSE]]="CPU",Tableau2[[#This Row],[STATUT ]]="Admis"),1,0)</f>
        <v>0</v>
      </c>
      <c r="M17" s="64">
        <f>IF(AND(Tableau2[[#This Row],[CLASSE]]="CEU",Tableau2[[#This Row],[STATUT ]]="Admis"),1,0)</f>
        <v>0</v>
      </c>
      <c r="N17" s="64"/>
      <c r="O17" s="296"/>
      <c r="P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8" spans="1:16" ht="17" x14ac:dyDescent="0.35">
      <c r="A18" s="310">
        <v>17</v>
      </c>
      <c r="B18" s="415" t="s">
        <v>2039</v>
      </c>
      <c r="C18" s="64" t="s">
        <v>2</v>
      </c>
      <c r="D18" s="295">
        <v>9</v>
      </c>
      <c r="E18" s="406">
        <v>1.28</v>
      </c>
      <c r="F18" s="398" t="s">
        <v>2009</v>
      </c>
      <c r="G18" s="396" t="s">
        <v>2214</v>
      </c>
      <c r="H18" s="402" t="str">
        <f>IF(Tableau2[[#This Row],[Moyennes]]="Absent","Absent",IF(Tableau2[[#This Row],[Moyennes]]&lt;5,"Redouble",IF(Tableau2[[#This Row],[Moyennes]]&gt;=5,"Admis"," ")))</f>
        <v>Redouble</v>
      </c>
      <c r="J18" t="s">
        <v>662</v>
      </c>
      <c r="K18" t="s">
        <v>714</v>
      </c>
      <c r="L18" s="64">
        <f>IF(AND(Tableau2[[#This Row],[CLASSE]]="CPU",Tableau2[[#This Row],[STATUT ]]="Admis"),1,0)</f>
        <v>0</v>
      </c>
      <c r="M18" s="64">
        <f>IF(AND(Tableau2[[#This Row],[CLASSE]]="CEU",Tableau2[[#This Row],[STATUT ]]="Admis"),1,0)</f>
        <v>0</v>
      </c>
      <c r="N18" s="64"/>
      <c r="O18" s="296"/>
      <c r="P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9" spans="1:16" ht="17" x14ac:dyDescent="0.35">
      <c r="A19" s="310">
        <v>18</v>
      </c>
      <c r="B19" s="415" t="s">
        <v>2041</v>
      </c>
      <c r="C19" s="64" t="s">
        <v>1</v>
      </c>
      <c r="D19" s="295">
        <v>9</v>
      </c>
      <c r="E19" s="406">
        <v>4.78</v>
      </c>
      <c r="F19" s="398" t="s">
        <v>2009</v>
      </c>
      <c r="G19" s="396" t="s">
        <v>2025</v>
      </c>
      <c r="H19" s="402" t="str">
        <f>IF(Tableau2[[#This Row],[Moyennes]]="Absent","Absent",IF(Tableau2[[#This Row],[Moyennes]]&lt;5,"Redouble",IF(Tableau2[[#This Row],[Moyennes]]&gt;=5,"Admis"," ")))</f>
        <v>Redouble</v>
      </c>
      <c r="J19" t="s">
        <v>662</v>
      </c>
      <c r="K19" t="s">
        <v>714</v>
      </c>
      <c r="L19" s="64">
        <f>IF(AND(Tableau2[[#This Row],[CLASSE]]="CPU",Tableau2[[#This Row],[STATUT ]]="Admis"),1,0)</f>
        <v>0</v>
      </c>
      <c r="M19" s="64">
        <f>IF(AND(Tableau2[[#This Row],[CLASSE]]="CEU",Tableau2[[#This Row],[STATUT ]]="Admis"),1,0)</f>
        <v>0</v>
      </c>
      <c r="N19" s="64"/>
      <c r="O19" s="296"/>
      <c r="P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0" spans="1:16" ht="17" x14ac:dyDescent="0.35">
      <c r="A20" s="310">
        <v>19</v>
      </c>
      <c r="B20" s="415" t="s">
        <v>2031</v>
      </c>
      <c r="C20" s="64" t="s">
        <v>1</v>
      </c>
      <c r="D20" s="295">
        <v>9</v>
      </c>
      <c r="E20" s="406">
        <v>2.0699999999999998</v>
      </c>
      <c r="F20" s="398" t="s">
        <v>2009</v>
      </c>
      <c r="G20" s="396" t="s">
        <v>2037</v>
      </c>
      <c r="H20" s="402" t="str">
        <f>IF(Tableau2[[#This Row],[Moyennes]]="Absent","Absent",IF(Tableau2[[#This Row],[Moyennes]]&lt;5,"Redouble",IF(Tableau2[[#This Row],[Moyennes]]&gt;=5,"Admis"," ")))</f>
        <v>Redouble</v>
      </c>
      <c r="J20" t="s">
        <v>662</v>
      </c>
      <c r="K20" t="s">
        <v>714</v>
      </c>
      <c r="L20" s="64">
        <f>IF(AND(Tableau2[[#This Row],[CLASSE]]="CPU",Tableau2[[#This Row],[STATUT ]]="Admis"),1,0)</f>
        <v>0</v>
      </c>
      <c r="M20" s="64">
        <f>IF(AND(Tableau2[[#This Row],[CLASSE]]="CEU",Tableau2[[#This Row],[STATUT ]]="Admis"),1,0)</f>
        <v>0</v>
      </c>
      <c r="N20" s="64"/>
      <c r="O20" s="296"/>
      <c r="P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1" spans="1:16" ht="17" x14ac:dyDescent="0.35">
      <c r="A21" s="310">
        <v>20</v>
      </c>
      <c r="B21" s="415" t="s">
        <v>930</v>
      </c>
      <c r="C21" s="64" t="s">
        <v>2</v>
      </c>
      <c r="D21" s="295">
        <v>9</v>
      </c>
      <c r="E21" s="406">
        <v>2.14</v>
      </c>
      <c r="F21" s="398" t="s">
        <v>2009</v>
      </c>
      <c r="G21" s="396" t="s">
        <v>2078</v>
      </c>
      <c r="H21" s="402" t="str">
        <f>IF(Tableau2[[#This Row],[Moyennes]]="Absent","Absent",IF(Tableau2[[#This Row],[Moyennes]]&lt;5,"Redouble",IF(Tableau2[[#This Row],[Moyennes]]&gt;=5,"Admis"," ")))</f>
        <v>Redouble</v>
      </c>
      <c r="J21" t="s">
        <v>662</v>
      </c>
      <c r="K21" t="s">
        <v>714</v>
      </c>
      <c r="L21" s="64">
        <f>IF(AND(Tableau2[[#This Row],[CLASSE]]="CPU",Tableau2[[#This Row],[STATUT ]]="Admis"),1,0)</f>
        <v>0</v>
      </c>
      <c r="M21" s="64">
        <f>IF(AND(Tableau2[[#This Row],[CLASSE]]="CEU",Tableau2[[#This Row],[STATUT ]]="Admis"),1,0)</f>
        <v>0</v>
      </c>
      <c r="N21" s="64"/>
      <c r="O21" s="296"/>
      <c r="P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2" spans="1:16" ht="17" x14ac:dyDescent="0.35">
      <c r="A22" s="310">
        <v>21</v>
      </c>
      <c r="B22" s="415" t="s">
        <v>2029</v>
      </c>
      <c r="C22" s="64" t="s">
        <v>2</v>
      </c>
      <c r="D22" s="295">
        <v>9</v>
      </c>
      <c r="E22" s="406">
        <v>1.85</v>
      </c>
      <c r="F22" s="398" t="s">
        <v>2009</v>
      </c>
      <c r="G22" s="396" t="s">
        <v>2040</v>
      </c>
      <c r="H22" s="402" t="str">
        <f>IF(Tableau2[[#This Row],[Moyennes]]="Absent","Absent",IF(Tableau2[[#This Row],[Moyennes]]&lt;5,"Redouble",IF(Tableau2[[#This Row],[Moyennes]]&gt;=5,"Admis"," ")))</f>
        <v>Redouble</v>
      </c>
      <c r="J22" t="s">
        <v>662</v>
      </c>
      <c r="K22" t="s">
        <v>714</v>
      </c>
      <c r="L22" s="64">
        <f>IF(AND(Tableau2[[#This Row],[CLASSE]]="CPU",Tableau2[[#This Row],[STATUT ]]="Admis"),1,0)</f>
        <v>0</v>
      </c>
      <c r="M22" s="64">
        <f>IF(AND(Tableau2[[#This Row],[CLASSE]]="CEU",Tableau2[[#This Row],[STATUT ]]="Admis"),1,0)</f>
        <v>0</v>
      </c>
      <c r="N22" s="64"/>
      <c r="O22" s="296"/>
      <c r="P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" spans="1:16" ht="17" x14ac:dyDescent="0.35">
      <c r="A23" s="310">
        <v>22</v>
      </c>
      <c r="B23" s="415" t="s">
        <v>2022</v>
      </c>
      <c r="C23" s="64" t="s">
        <v>2</v>
      </c>
      <c r="D23" s="295">
        <v>10</v>
      </c>
      <c r="E23" s="406">
        <v>2</v>
      </c>
      <c r="F23" s="398" t="s">
        <v>2009</v>
      </c>
      <c r="G23" s="396" t="s">
        <v>2014</v>
      </c>
      <c r="H23" s="402" t="str">
        <f>IF(Tableau2[[#This Row],[Moyennes]]="Absent","Absent",IF(Tableau2[[#This Row],[Moyennes]]&lt;5,"Redouble",IF(Tableau2[[#This Row],[Moyennes]]&gt;=5,"Admis"," ")))</f>
        <v>Redouble</v>
      </c>
      <c r="J23" t="s">
        <v>662</v>
      </c>
      <c r="K23" t="s">
        <v>714</v>
      </c>
      <c r="L23" s="64">
        <f>IF(AND(Tableau2[[#This Row],[CLASSE]]="CPU",Tableau2[[#This Row],[STATUT ]]="Admis"),1,0)</f>
        <v>0</v>
      </c>
      <c r="M23" s="64">
        <f>IF(AND(Tableau2[[#This Row],[CLASSE]]="CEU",Tableau2[[#This Row],[STATUT ]]="Admis"),1,0)</f>
        <v>0</v>
      </c>
      <c r="N23" s="64"/>
      <c r="O23" s="296"/>
      <c r="P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4" spans="1:16" ht="17" x14ac:dyDescent="0.35">
      <c r="A24" s="310">
        <v>23</v>
      </c>
      <c r="B24" s="415" t="s">
        <v>2024</v>
      </c>
      <c r="C24" s="64" t="s">
        <v>1</v>
      </c>
      <c r="D24" s="295">
        <v>10</v>
      </c>
      <c r="E24" s="406">
        <v>4.71</v>
      </c>
      <c r="F24" s="398" t="s">
        <v>2009</v>
      </c>
      <c r="G24" s="396" t="s">
        <v>2046</v>
      </c>
      <c r="H24" s="402" t="str">
        <f>IF(Tableau2[[#This Row],[Moyennes]]="Absent","Absent",IF(Tableau2[[#This Row],[Moyennes]]&lt;5,"Redouble",IF(Tableau2[[#This Row],[Moyennes]]&gt;=5,"Admis"," ")))</f>
        <v>Redouble</v>
      </c>
      <c r="J24" t="s">
        <v>662</v>
      </c>
      <c r="K24" t="s">
        <v>714</v>
      </c>
      <c r="L24" s="64">
        <f>IF(AND(Tableau2[[#This Row],[CLASSE]]="CPU",Tableau2[[#This Row],[STATUT ]]="Admis"),1,0)</f>
        <v>0</v>
      </c>
      <c r="M24" s="64">
        <f>IF(AND(Tableau2[[#This Row],[CLASSE]]="CEU",Tableau2[[#This Row],[STATUT ]]="Admis"),1,0)</f>
        <v>0</v>
      </c>
      <c r="N24" s="64"/>
      <c r="O24" s="296"/>
      <c r="P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5" spans="1:16" ht="17" x14ac:dyDescent="0.35">
      <c r="A25" s="310">
        <v>24</v>
      </c>
      <c r="B25" s="415" t="s">
        <v>2049</v>
      </c>
      <c r="C25" s="64" t="s">
        <v>1</v>
      </c>
      <c r="D25" s="295">
        <v>10</v>
      </c>
      <c r="E25" s="406">
        <v>3.14</v>
      </c>
      <c r="F25" s="400" t="s">
        <v>2009</v>
      </c>
      <c r="G25" s="396" t="s">
        <v>2066</v>
      </c>
      <c r="H25" s="402" t="str">
        <f>IF(Tableau2[[#This Row],[Moyennes]]="Absent","Absent",IF(Tableau2[[#This Row],[Moyennes]]&lt;5,"Redouble",IF(Tableau2[[#This Row],[Moyennes]]&gt;=5,"Admis"," ")))</f>
        <v>Redouble</v>
      </c>
      <c r="J25" t="s">
        <v>662</v>
      </c>
      <c r="K25" t="s">
        <v>714</v>
      </c>
      <c r="L25" s="64">
        <f>IF(AND(Tableau2[[#This Row],[CLASSE]]="CPU",Tableau2[[#This Row],[STATUT ]]="Admis"),1,0)</f>
        <v>0</v>
      </c>
      <c r="M25" s="64">
        <f>IF(AND(Tableau2[[#This Row],[CLASSE]]="CEU",Tableau2[[#This Row],[STATUT ]]="Admis"),1,0)</f>
        <v>0</v>
      </c>
      <c r="N25" s="64"/>
      <c r="O25" s="296"/>
      <c r="P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6" spans="1:16" ht="17" x14ac:dyDescent="0.35">
      <c r="A26" s="310">
        <v>25</v>
      </c>
      <c r="B26" s="396" t="s">
        <v>2050</v>
      </c>
      <c r="C26" s="64" t="s">
        <v>2</v>
      </c>
      <c r="D26" s="295">
        <v>9</v>
      </c>
      <c r="E26" s="406">
        <v>1.1399999999999999</v>
      </c>
      <c r="F26" s="400" t="s">
        <v>2009</v>
      </c>
      <c r="G26" s="396" t="s">
        <v>2053</v>
      </c>
      <c r="H26" s="402" t="str">
        <f>IF(Tableau2[[#This Row],[Moyennes]]="Absent","Absent",IF(Tableau2[[#This Row],[Moyennes]]&lt;5,"Redouble",IF(Tableau2[[#This Row],[Moyennes]]&gt;=5,"Admis"," ")))</f>
        <v>Redouble</v>
      </c>
      <c r="J26" t="s">
        <v>662</v>
      </c>
      <c r="K26" t="s">
        <v>714</v>
      </c>
      <c r="L26" s="64">
        <f>IF(AND(Tableau2[[#This Row],[CLASSE]]="CPU",Tableau2[[#This Row],[STATUT ]]="Admis"),1,0)</f>
        <v>0</v>
      </c>
      <c r="M26" s="64">
        <f>IF(AND(Tableau2[[#This Row],[CLASSE]]="CEU",Tableau2[[#This Row],[STATUT ]]="Admis"),1,0)</f>
        <v>0</v>
      </c>
      <c r="N26" s="64"/>
      <c r="O26" s="296"/>
      <c r="P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7" spans="1:16" ht="17" x14ac:dyDescent="0.35">
      <c r="A27" s="310">
        <v>26</v>
      </c>
      <c r="B27" s="396" t="s">
        <v>2052</v>
      </c>
      <c r="C27" s="64" t="s">
        <v>2</v>
      </c>
      <c r="D27" s="295">
        <v>9</v>
      </c>
      <c r="E27" s="406">
        <v>0.71</v>
      </c>
      <c r="F27" s="400" t="s">
        <v>2009</v>
      </c>
      <c r="G27" s="396" t="s">
        <v>2051</v>
      </c>
      <c r="H27" s="402" t="str">
        <f>IF(Tableau2[[#This Row],[Moyennes]]="Absent","Absent",IF(Tableau2[[#This Row],[Moyennes]]&lt;5,"Redouble",IF(Tableau2[[#This Row],[Moyennes]]&gt;=5,"Admis"," ")))</f>
        <v>Redouble</v>
      </c>
      <c r="J27" t="s">
        <v>662</v>
      </c>
      <c r="K27" t="s">
        <v>714</v>
      </c>
      <c r="L27" s="64">
        <f>IF(AND(Tableau2[[#This Row],[CLASSE]]="CPU",Tableau2[[#This Row],[STATUT ]]="Admis"),1,0)</f>
        <v>0</v>
      </c>
      <c r="M27" s="64">
        <f>IF(AND(Tableau2[[#This Row],[CLASSE]]="CEU",Tableau2[[#This Row],[STATUT ]]="Admis"),1,0)</f>
        <v>0</v>
      </c>
      <c r="N27" s="64"/>
      <c r="O27" s="296"/>
      <c r="P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8" spans="1:16" ht="15.5" x14ac:dyDescent="0.35">
      <c r="A28" s="310">
        <v>27</v>
      </c>
      <c r="B28" s="396" t="s">
        <v>2055</v>
      </c>
      <c r="C28" s="296" t="s">
        <v>2</v>
      </c>
      <c r="D28" s="389">
        <v>10</v>
      </c>
      <c r="E28" s="408">
        <v>6.57</v>
      </c>
      <c r="F28" s="471" t="s">
        <v>2009</v>
      </c>
      <c r="G28" s="396" t="s">
        <v>2089</v>
      </c>
      <c r="H28" s="402" t="str">
        <f>IF(Tableau2[[#This Row],[Moyennes]]="Absent","Absent",IF(Tableau2[[#This Row],[Moyennes]]&lt;5,"Redouble",IF(Tableau2[[#This Row],[Moyennes]]&gt;=5,"Admis"," ")))</f>
        <v>Admis</v>
      </c>
      <c r="J28" t="s">
        <v>662</v>
      </c>
      <c r="K28" t="s">
        <v>714</v>
      </c>
      <c r="L28" s="64">
        <f>IF(AND(Tableau2[[#This Row],[CLASSE]]="CPU",Tableau2[[#This Row],[STATUT ]]="Admis"),1,0)</f>
        <v>1</v>
      </c>
      <c r="M28" s="64">
        <f>IF(AND(Tableau2[[#This Row],[CLASSE]]="CEU",Tableau2[[#This Row],[STATUT ]]="Admis"),1,0)</f>
        <v>0</v>
      </c>
      <c r="N28" s="64"/>
      <c r="O28" s="296"/>
      <c r="P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9" spans="1:16" ht="15.5" x14ac:dyDescent="0.35">
      <c r="A29" s="310">
        <v>28</v>
      </c>
      <c r="B29" s="396" t="s">
        <v>2056</v>
      </c>
      <c r="C29" s="296" t="s">
        <v>2</v>
      </c>
      <c r="D29" s="389">
        <v>12</v>
      </c>
      <c r="E29" s="408">
        <v>8.14</v>
      </c>
      <c r="F29" s="471" t="s">
        <v>2009</v>
      </c>
      <c r="G29" s="396" t="s">
        <v>2010</v>
      </c>
      <c r="H29" s="402" t="str">
        <f>IF(Tableau2[[#This Row],[Moyennes]]="Absent","Absent",IF(Tableau2[[#This Row],[Moyennes]]&lt;5,"Redouble",IF(Tableau2[[#This Row],[Moyennes]]&gt;=5,"Admis"," ")))</f>
        <v>Admis</v>
      </c>
      <c r="J29" t="s">
        <v>662</v>
      </c>
      <c r="K29" t="s">
        <v>714</v>
      </c>
      <c r="L29" s="64">
        <f>IF(AND(Tableau2[[#This Row],[CLASSE]]="CPU",Tableau2[[#This Row],[STATUT ]]="Admis"),1,0)</f>
        <v>1</v>
      </c>
      <c r="M29" s="64">
        <f>IF(AND(Tableau2[[#This Row],[CLASSE]]="CEU",Tableau2[[#This Row],[STATUT ]]="Admis"),1,0)</f>
        <v>0</v>
      </c>
      <c r="N29" s="64"/>
      <c r="O29" s="296"/>
      <c r="P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0" spans="1:16" ht="17" x14ac:dyDescent="0.35">
      <c r="A30" s="310">
        <v>29</v>
      </c>
      <c r="B30" s="396" t="s">
        <v>2057</v>
      </c>
      <c r="C30" s="296" t="s">
        <v>2</v>
      </c>
      <c r="D30" s="389">
        <v>9</v>
      </c>
      <c r="E30" s="472">
        <v>6.85</v>
      </c>
      <c r="F30" s="471" t="s">
        <v>2009</v>
      </c>
      <c r="G30" s="396" t="s">
        <v>2044</v>
      </c>
      <c r="H30" s="402" t="str">
        <f>IF(Tableau2[[#This Row],[Moyennes]]="Absent","Absent",IF(Tableau2[[#This Row],[Moyennes]]&lt;5,"Redouble",IF(Tableau2[[#This Row],[Moyennes]]&gt;=5,"Admis"," ")))</f>
        <v>Admis</v>
      </c>
      <c r="J30" t="s">
        <v>662</v>
      </c>
      <c r="K30" t="s">
        <v>714</v>
      </c>
      <c r="L30" s="64">
        <f>IF(AND(Tableau2[[#This Row],[CLASSE]]="CPU",Tableau2[[#This Row],[STATUT ]]="Admis"),1,0)</f>
        <v>1</v>
      </c>
      <c r="M30" s="64">
        <f>IF(AND(Tableau2[[#This Row],[CLASSE]]="CEU",Tableau2[[#This Row],[STATUT ]]="Admis"),1,0)</f>
        <v>0</v>
      </c>
      <c r="N30" s="64"/>
      <c r="O30" s="296"/>
      <c r="P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1" spans="1:16" ht="15.5" x14ac:dyDescent="0.35">
      <c r="A31" s="310">
        <v>30</v>
      </c>
      <c r="B31" s="396" t="s">
        <v>2058</v>
      </c>
      <c r="C31" s="296" t="s">
        <v>2</v>
      </c>
      <c r="D31" s="389">
        <v>10</v>
      </c>
      <c r="E31" s="408">
        <v>6.14</v>
      </c>
      <c r="F31" s="471" t="s">
        <v>2009</v>
      </c>
      <c r="G31" s="396" t="s">
        <v>2021</v>
      </c>
      <c r="H31" s="402" t="str">
        <f>IF(Tableau2[[#This Row],[Moyennes]]="Absent","Absent",IF(Tableau2[[#This Row],[Moyennes]]&lt;5,"Redouble",IF(Tableau2[[#This Row],[Moyennes]]&gt;=5,"Admis"," ")))</f>
        <v>Admis</v>
      </c>
      <c r="J31" t="s">
        <v>662</v>
      </c>
      <c r="K31" t="s">
        <v>714</v>
      </c>
      <c r="L31" s="64">
        <f>IF(AND(Tableau2[[#This Row],[CLASSE]]="CPU",Tableau2[[#This Row],[STATUT ]]="Admis"),1,0)</f>
        <v>1</v>
      </c>
      <c r="M31" s="64">
        <f>IF(AND(Tableau2[[#This Row],[CLASSE]]="CEU",Tableau2[[#This Row],[STATUT ]]="Admis"),1,0)</f>
        <v>0</v>
      </c>
      <c r="N31" s="64"/>
      <c r="O31" s="296"/>
      <c r="P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" spans="1:16" ht="15.5" x14ac:dyDescent="0.35">
      <c r="A32" s="310">
        <v>31</v>
      </c>
      <c r="B32" s="396" t="s">
        <v>2059</v>
      </c>
      <c r="C32" s="64" t="s">
        <v>1</v>
      </c>
      <c r="D32" s="389">
        <v>9</v>
      </c>
      <c r="E32" s="408">
        <v>5.78</v>
      </c>
      <c r="F32" s="471" t="s">
        <v>2009</v>
      </c>
      <c r="G32" s="396" t="s">
        <v>2062</v>
      </c>
      <c r="H32" s="402" t="str">
        <f>IF(Tableau2[[#This Row],[Moyennes]]="Absent","Absent",IF(Tableau2[[#This Row],[Moyennes]]&lt;5,"Redouble",IF(Tableau2[[#This Row],[Moyennes]]&gt;=5,"Admis"," ")))</f>
        <v>Admis</v>
      </c>
      <c r="J32" t="s">
        <v>662</v>
      </c>
      <c r="K32" t="s">
        <v>714</v>
      </c>
      <c r="L32" s="64">
        <f>IF(AND(Tableau2[[#This Row],[CLASSE]]="CPU",Tableau2[[#This Row],[STATUT ]]="Admis"),1,0)</f>
        <v>1</v>
      </c>
      <c r="M32" s="64">
        <f>IF(AND(Tableau2[[#This Row],[CLASSE]]="CEU",Tableau2[[#This Row],[STATUT ]]="Admis"),1,0)</f>
        <v>0</v>
      </c>
      <c r="N32" s="64"/>
      <c r="O32" s="296"/>
      <c r="P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" spans="1:16" ht="15.5" x14ac:dyDescent="0.35">
      <c r="A33" s="310">
        <v>32</v>
      </c>
      <c r="B33" s="396" t="s">
        <v>2060</v>
      </c>
      <c r="C33" s="64" t="s">
        <v>1</v>
      </c>
      <c r="D33" s="389">
        <v>12</v>
      </c>
      <c r="E33" s="408">
        <v>7.71</v>
      </c>
      <c r="F33" s="471" t="s">
        <v>2009</v>
      </c>
      <c r="G33" s="396" t="s">
        <v>815</v>
      </c>
      <c r="H33" s="402" t="str">
        <f>IF(Tableau2[[#This Row],[Moyennes]]="Absent","Absent",IF(Tableau2[[#This Row],[Moyennes]]&lt;5,"Redouble",IF(Tableau2[[#This Row],[Moyennes]]&gt;=5,"Admis"," ")))</f>
        <v>Admis</v>
      </c>
      <c r="J33" t="s">
        <v>662</v>
      </c>
      <c r="K33" t="s">
        <v>714</v>
      </c>
      <c r="L33" s="64">
        <f>IF(AND(Tableau2[[#This Row],[CLASSE]]="CPU",Tableau2[[#This Row],[STATUT ]]="Admis"),1,0)</f>
        <v>1</v>
      </c>
      <c r="M33" s="64">
        <f>IF(AND(Tableau2[[#This Row],[CLASSE]]="CEU",Tableau2[[#This Row],[STATUT ]]="Admis"),1,0)</f>
        <v>0</v>
      </c>
      <c r="N33" s="64"/>
      <c r="O33" s="296"/>
      <c r="P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4" spans="1:16" ht="15.5" x14ac:dyDescent="0.35">
      <c r="A34" s="310">
        <v>33</v>
      </c>
      <c r="B34" s="396" t="s">
        <v>2061</v>
      </c>
      <c r="C34" s="296" t="s">
        <v>2</v>
      </c>
      <c r="D34" s="389">
        <v>12</v>
      </c>
      <c r="E34" s="408">
        <v>7.42</v>
      </c>
      <c r="F34" s="471" t="s">
        <v>2009</v>
      </c>
      <c r="G34" s="396" t="s">
        <v>2018</v>
      </c>
      <c r="H34" s="402" t="str">
        <f>IF(Tableau2[[#This Row],[Moyennes]]="Absent","Absent",IF(Tableau2[[#This Row],[Moyennes]]&lt;5,"Redouble",IF(Tableau2[[#This Row],[Moyennes]]&gt;=5,"Admis"," ")))</f>
        <v>Admis</v>
      </c>
      <c r="J34" t="s">
        <v>662</v>
      </c>
      <c r="K34" t="s">
        <v>714</v>
      </c>
      <c r="L34" s="64">
        <f>IF(AND(Tableau2[[#This Row],[CLASSE]]="CPU",Tableau2[[#This Row],[STATUT ]]="Admis"),1,0)</f>
        <v>1</v>
      </c>
      <c r="M34" s="64">
        <f>IF(AND(Tableau2[[#This Row],[CLASSE]]="CEU",Tableau2[[#This Row],[STATUT ]]="Admis"),1,0)</f>
        <v>0</v>
      </c>
      <c r="N34" s="64"/>
      <c r="O34" s="296"/>
      <c r="P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5" spans="1:16" ht="15.5" x14ac:dyDescent="0.35">
      <c r="A35" s="310">
        <v>34</v>
      </c>
      <c r="B35" s="396" t="s">
        <v>2063</v>
      </c>
      <c r="C35" s="64" t="s">
        <v>1</v>
      </c>
      <c r="D35" s="389">
        <v>11</v>
      </c>
      <c r="E35" s="408">
        <v>6.78</v>
      </c>
      <c r="F35" s="471" t="s">
        <v>2009</v>
      </c>
      <c r="G35" s="396" t="s">
        <v>2027</v>
      </c>
      <c r="H35" s="402" t="str">
        <f>IF(Tableau2[[#This Row],[Moyennes]]="Absent","Absent",IF(Tableau2[[#This Row],[Moyennes]]&lt;5,"Redouble",IF(Tableau2[[#This Row],[Moyennes]]&gt;=5,"Admis"," ")))</f>
        <v>Admis</v>
      </c>
      <c r="J35" t="s">
        <v>662</v>
      </c>
      <c r="K35" t="s">
        <v>714</v>
      </c>
      <c r="L35" s="64">
        <f>IF(AND(Tableau2[[#This Row],[CLASSE]]="CPU",Tableau2[[#This Row],[STATUT ]]="Admis"),1,0)</f>
        <v>1</v>
      </c>
      <c r="M35" s="64">
        <f>IF(AND(Tableau2[[#This Row],[CLASSE]]="CEU",Tableau2[[#This Row],[STATUT ]]="Admis"),1,0)</f>
        <v>0</v>
      </c>
      <c r="N35" s="64"/>
      <c r="O35" s="296"/>
      <c r="P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" spans="1:16" ht="15.5" x14ac:dyDescent="0.35">
      <c r="A36" s="310">
        <v>35</v>
      </c>
      <c r="B36" s="396" t="s">
        <v>2064</v>
      </c>
      <c r="C36" s="296" t="s">
        <v>2</v>
      </c>
      <c r="D36" s="389">
        <v>10</v>
      </c>
      <c r="E36" s="408">
        <v>5.57</v>
      </c>
      <c r="F36" s="471" t="s">
        <v>2009</v>
      </c>
      <c r="G36" s="396" t="s">
        <v>2023</v>
      </c>
      <c r="H36" s="402" t="str">
        <f>IF(Tableau2[[#This Row],[Moyennes]]="Absent","Absent",IF(Tableau2[[#This Row],[Moyennes]]&lt;5,"Redouble",IF(Tableau2[[#This Row],[Moyennes]]&gt;=5,"Admis"," ")))</f>
        <v>Admis</v>
      </c>
      <c r="J36" t="s">
        <v>662</v>
      </c>
      <c r="K36" t="s">
        <v>714</v>
      </c>
      <c r="L36" s="64">
        <f>IF(AND(Tableau2[[#This Row],[CLASSE]]="CPU",Tableau2[[#This Row],[STATUT ]]="Admis"),1,0)</f>
        <v>1</v>
      </c>
      <c r="M36" s="64">
        <f>IF(AND(Tableau2[[#This Row],[CLASSE]]="CEU",Tableau2[[#This Row],[STATUT ]]="Admis"),1,0)</f>
        <v>0</v>
      </c>
      <c r="N36" s="64"/>
      <c r="O36" s="296"/>
      <c r="P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" spans="1:16" ht="15.5" x14ac:dyDescent="0.35">
      <c r="A37" s="310">
        <v>36</v>
      </c>
      <c r="B37" s="397" t="s">
        <v>2079</v>
      </c>
      <c r="C37" s="297" t="s">
        <v>2</v>
      </c>
      <c r="D37" s="391">
        <v>10</v>
      </c>
      <c r="E37" s="473">
        <v>7.71</v>
      </c>
      <c r="F37" s="471" t="s">
        <v>2009</v>
      </c>
      <c r="G37" s="397" t="s">
        <v>815</v>
      </c>
      <c r="H37" s="402" t="str">
        <f>IF(Tableau2[[#This Row],[Moyennes]]="Absent","Absent",IF(Tableau2[[#This Row],[Moyennes]]&lt;5,"Redouble",IF(Tableau2[[#This Row],[Moyennes]]&gt;=5,"Admis"," ")))</f>
        <v>Admis</v>
      </c>
      <c r="J37" t="s">
        <v>662</v>
      </c>
      <c r="K37" t="s">
        <v>714</v>
      </c>
      <c r="L37" s="64">
        <f>IF(AND(Tableau2[[#This Row],[CLASSE]]="CPU",Tableau2[[#This Row],[STATUT ]]="Admis"),1,0)</f>
        <v>1</v>
      </c>
      <c r="M37" s="64">
        <f>IF(AND(Tableau2[[#This Row],[CLASSE]]="CEU",Tableau2[[#This Row],[STATUT ]]="Admis"),1,0)</f>
        <v>0</v>
      </c>
      <c r="N37" s="64"/>
      <c r="O37" s="296"/>
      <c r="P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8" spans="1:16" ht="15.5" x14ac:dyDescent="0.35">
      <c r="A38" s="310">
        <v>37</v>
      </c>
      <c r="B38" s="396" t="s">
        <v>2067</v>
      </c>
      <c r="C38" s="296" t="s">
        <v>2</v>
      </c>
      <c r="D38" s="389">
        <v>10</v>
      </c>
      <c r="E38" s="408">
        <v>5</v>
      </c>
      <c r="F38" s="471" t="s">
        <v>2009</v>
      </c>
      <c r="G38" s="396" t="s">
        <v>2042</v>
      </c>
      <c r="H38" s="402" t="str">
        <f>IF(Tableau2[[#This Row],[Moyennes]]="Absent","Absent",IF(Tableau2[[#This Row],[Moyennes]]&lt;5,"Redouble",IF(Tableau2[[#This Row],[Moyennes]]&gt;=5,"Admis"," ")))</f>
        <v>Admis</v>
      </c>
      <c r="J38" t="s">
        <v>662</v>
      </c>
      <c r="K38" t="s">
        <v>714</v>
      </c>
      <c r="L38" s="64">
        <f>IF(AND(Tableau2[[#This Row],[CLASSE]]="CPU",Tableau2[[#This Row],[STATUT ]]="Admis"),1,0)</f>
        <v>1</v>
      </c>
      <c r="M38" s="64">
        <f>IF(AND(Tableau2[[#This Row],[CLASSE]]="CEU",Tableau2[[#This Row],[STATUT ]]="Admis"),1,0)</f>
        <v>0</v>
      </c>
      <c r="N38" s="64"/>
      <c r="O38" s="296"/>
      <c r="P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" spans="1:16" ht="15.5" x14ac:dyDescent="0.35">
      <c r="A39" s="310">
        <v>38</v>
      </c>
      <c r="B39" s="396" t="s">
        <v>2068</v>
      </c>
      <c r="C39" s="296" t="s">
        <v>2</v>
      </c>
      <c r="D39" s="389">
        <v>9</v>
      </c>
      <c r="E39" s="408">
        <v>6</v>
      </c>
      <c r="F39" s="471" t="s">
        <v>2009</v>
      </c>
      <c r="G39" s="396" t="s">
        <v>2033</v>
      </c>
      <c r="H39" s="402" t="str">
        <f>IF(Tableau2[[#This Row],[Moyennes]]="Absent","Absent",IF(Tableau2[[#This Row],[Moyennes]]&lt;5,"Redouble",IF(Tableau2[[#This Row],[Moyennes]]&gt;=5,"Admis"," ")))</f>
        <v>Admis</v>
      </c>
      <c r="J39" t="s">
        <v>662</v>
      </c>
      <c r="K39" t="s">
        <v>714</v>
      </c>
      <c r="L39" s="64">
        <f>IF(AND(Tableau2[[#This Row],[CLASSE]]="CPU",Tableau2[[#This Row],[STATUT ]]="Admis"),1,0)</f>
        <v>1</v>
      </c>
      <c r="M39" s="64">
        <f>IF(AND(Tableau2[[#This Row],[CLASSE]]="CEU",Tableau2[[#This Row],[STATUT ]]="Admis"),1,0)</f>
        <v>0</v>
      </c>
      <c r="N39" s="64"/>
      <c r="O39" s="296"/>
      <c r="P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0" spans="1:16" ht="15.5" x14ac:dyDescent="0.35">
      <c r="A40" s="310">
        <v>39</v>
      </c>
      <c r="B40" s="396" t="s">
        <v>2073</v>
      </c>
      <c r="C40" s="64" t="s">
        <v>1</v>
      </c>
      <c r="D40" s="389">
        <v>11</v>
      </c>
      <c r="E40" s="408">
        <v>8.2799999999999994</v>
      </c>
      <c r="F40" s="471" t="s">
        <v>2009</v>
      </c>
      <c r="G40" s="396" t="s">
        <v>2035</v>
      </c>
      <c r="H40" s="402" t="str">
        <f>IF(Tableau2[[#This Row],[Moyennes]]="Absent","Absent",IF(Tableau2[[#This Row],[Moyennes]]&lt;5,"Redouble",IF(Tableau2[[#This Row],[Moyennes]]&gt;=5,"Admis"," ")))</f>
        <v>Admis</v>
      </c>
      <c r="I40" t="s">
        <v>3508</v>
      </c>
      <c r="J40" t="s">
        <v>662</v>
      </c>
      <c r="K40" t="s">
        <v>714</v>
      </c>
      <c r="L40" s="64">
        <f>IF(AND(Tableau2[[#This Row],[CLASSE]]="CPU",Tableau2[[#This Row],[STATUT ]]="Admis"),1,0)</f>
        <v>1</v>
      </c>
      <c r="M40" s="64">
        <f>IF(AND(Tableau2[[#This Row],[CLASSE]]="CEU",Tableau2[[#This Row],[STATUT ]]="Admis"),1,0)</f>
        <v>0</v>
      </c>
      <c r="N40" s="64"/>
      <c r="O40" s="296"/>
      <c r="P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" spans="1:16" ht="15.5" x14ac:dyDescent="0.35">
      <c r="A41" s="310">
        <v>40</v>
      </c>
      <c r="B41" s="397" t="s">
        <v>2075</v>
      </c>
      <c r="C41" s="64" t="s">
        <v>1</v>
      </c>
      <c r="D41" s="391">
        <v>10</v>
      </c>
      <c r="E41" s="473">
        <v>6</v>
      </c>
      <c r="F41" s="471" t="s">
        <v>2009</v>
      </c>
      <c r="G41" s="397" t="s">
        <v>2033</v>
      </c>
      <c r="H41" s="402" t="str">
        <f>IF(Tableau2[[#This Row],[Moyennes]]="Absent","Absent",IF(Tableau2[[#This Row],[Moyennes]]&lt;5,"Redouble",IF(Tableau2[[#This Row],[Moyennes]]&gt;=5,"Admis"," ")))</f>
        <v>Admis</v>
      </c>
      <c r="J41" t="s">
        <v>662</v>
      </c>
      <c r="K41" t="s">
        <v>714</v>
      </c>
      <c r="L41" s="64">
        <f>IF(AND(Tableau2[[#This Row],[CLASSE]]="CPU",Tableau2[[#This Row],[STATUT ]]="Admis"),1,0)</f>
        <v>1</v>
      </c>
      <c r="M41" s="64">
        <f>IF(AND(Tableau2[[#This Row],[CLASSE]]="CEU",Tableau2[[#This Row],[STATUT ]]="Admis"),1,0)</f>
        <v>0</v>
      </c>
      <c r="N41" s="64"/>
      <c r="O41" s="296"/>
      <c r="P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" spans="1:16" ht="15.5" x14ac:dyDescent="0.35">
      <c r="A42" s="310">
        <v>41</v>
      </c>
      <c r="B42" s="397" t="s">
        <v>2076</v>
      </c>
      <c r="C42" s="64" t="s">
        <v>1</v>
      </c>
      <c r="D42" s="391">
        <v>12</v>
      </c>
      <c r="E42" s="473">
        <v>6.85</v>
      </c>
      <c r="F42" s="471" t="s">
        <v>2009</v>
      </c>
      <c r="G42" s="397" t="s">
        <v>2044</v>
      </c>
      <c r="H42" s="402" t="str">
        <f>IF(Tableau2[[#This Row],[Moyennes]]="Absent","Absent",IF(Tableau2[[#This Row],[Moyennes]]&lt;5,"Redouble",IF(Tableau2[[#This Row],[Moyennes]]&gt;=5,"Admis"," ")))</f>
        <v>Admis</v>
      </c>
      <c r="J42" t="s">
        <v>662</v>
      </c>
      <c r="K42" t="s">
        <v>714</v>
      </c>
      <c r="L42" s="64">
        <f>IF(AND(Tableau2[[#This Row],[CLASSE]]="CPU",Tableau2[[#This Row],[STATUT ]]="Admis"),1,0)</f>
        <v>1</v>
      </c>
      <c r="M42" s="64">
        <f>IF(AND(Tableau2[[#This Row],[CLASSE]]="CEU",Tableau2[[#This Row],[STATUT ]]="Admis"),1,0)</f>
        <v>0</v>
      </c>
      <c r="N42" s="64"/>
      <c r="O42" s="296"/>
      <c r="P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3" spans="1:16" ht="16" thickBot="1" x14ac:dyDescent="0.4">
      <c r="A43" s="310">
        <v>42</v>
      </c>
      <c r="B43" s="397" t="s">
        <v>2077</v>
      </c>
      <c r="C43" s="64" t="s">
        <v>1</v>
      </c>
      <c r="D43" s="391">
        <v>10</v>
      </c>
      <c r="E43" s="473">
        <v>4.71</v>
      </c>
      <c r="F43" s="471" t="s">
        <v>2009</v>
      </c>
      <c r="G43" s="397" t="s">
        <v>2046</v>
      </c>
      <c r="H43" s="402" t="str">
        <f>IF(Tableau2[[#This Row],[Moyennes]]="Absent","Absent",IF(Tableau2[[#This Row],[Moyennes]]&lt;5,"Redouble",IF(Tableau2[[#This Row],[Moyennes]]&gt;=5,"Admis"," ")))</f>
        <v>Redouble</v>
      </c>
      <c r="J43" t="s">
        <v>662</v>
      </c>
      <c r="K43" t="s">
        <v>714</v>
      </c>
      <c r="L43" s="64">
        <f>IF(AND(Tableau2[[#This Row],[CLASSE]]="CPU",Tableau2[[#This Row],[STATUT ]]="Admis"),1,0)</f>
        <v>0</v>
      </c>
      <c r="M43" s="64">
        <f>IF(AND(Tableau2[[#This Row],[CLASSE]]="CEU",Tableau2[[#This Row],[STATUT ]]="Admis"),1,0)</f>
        <v>0</v>
      </c>
      <c r="N43" s="64"/>
      <c r="O43" s="296"/>
      <c r="P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4" spans="1:16" ht="17" x14ac:dyDescent="0.35">
      <c r="A44" s="310">
        <v>43</v>
      </c>
      <c r="B44" s="396" t="s">
        <v>2054</v>
      </c>
      <c r="C44" s="64" t="s">
        <v>1</v>
      </c>
      <c r="D44" s="388">
        <v>9</v>
      </c>
      <c r="E44" s="474">
        <v>2.2799999999999998</v>
      </c>
      <c r="F44" s="471" t="s">
        <v>2009</v>
      </c>
      <c r="G44" s="396" t="s">
        <v>2040</v>
      </c>
      <c r="H44" s="402" t="str">
        <f>IF(Tableau2[[#This Row],[Moyennes]]="Absent","Absent",IF(Tableau2[[#This Row],[Moyennes]]&lt;5,"Redouble",IF(Tableau2[[#This Row],[Moyennes]]&gt;=5,"Admis"," ")))</f>
        <v>Redouble</v>
      </c>
      <c r="J44" t="s">
        <v>662</v>
      </c>
      <c r="K44" t="s">
        <v>714</v>
      </c>
      <c r="L44" s="64">
        <f>IF(AND(Tableau2[[#This Row],[CLASSE]]="CPU",Tableau2[[#This Row],[STATUT ]]="Admis"),1,0)</f>
        <v>0</v>
      </c>
      <c r="M44" s="64">
        <f>IF(AND(Tableau2[[#This Row],[CLASSE]]="CEU",Tableau2[[#This Row],[STATUT ]]="Admis"),1,0)</f>
        <v>0</v>
      </c>
      <c r="N44" s="64"/>
      <c r="O44" s="296"/>
      <c r="P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5" spans="1:16" ht="15.5" x14ac:dyDescent="0.35">
      <c r="A45" s="310">
        <v>44</v>
      </c>
      <c r="B45" s="396" t="s">
        <v>2065</v>
      </c>
      <c r="C45" s="296" t="s">
        <v>2</v>
      </c>
      <c r="D45" s="389">
        <v>10</v>
      </c>
      <c r="E45" s="408">
        <v>4.8499999999999996</v>
      </c>
      <c r="F45" s="471" t="s">
        <v>2009</v>
      </c>
      <c r="G45" s="396" t="s">
        <v>2025</v>
      </c>
      <c r="H45" s="402" t="str">
        <f>IF(Tableau2[[#This Row],[Moyennes]]="Absent","Absent",IF(Tableau2[[#This Row],[Moyennes]]&lt;5,"Redouble",IF(Tableau2[[#This Row],[Moyennes]]&gt;=5,"Admis"," ")))</f>
        <v>Redouble</v>
      </c>
      <c r="J45" t="s">
        <v>662</v>
      </c>
      <c r="K45" t="s">
        <v>714</v>
      </c>
      <c r="L45" s="64">
        <f>IF(AND(Tableau2[[#This Row],[CLASSE]]="CPU",Tableau2[[#This Row],[STATUT ]]="Admis"),1,0)</f>
        <v>0</v>
      </c>
      <c r="M45" s="64">
        <f>IF(AND(Tableau2[[#This Row],[CLASSE]]="CEU",Tableau2[[#This Row],[STATUT ]]="Admis"),1,0)</f>
        <v>0</v>
      </c>
      <c r="N45" s="64"/>
      <c r="O45" s="296"/>
      <c r="P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6" spans="1:16" ht="15.5" x14ac:dyDescent="0.35">
      <c r="A46" s="310">
        <v>45</v>
      </c>
      <c r="B46" s="396" t="s">
        <v>2069</v>
      </c>
      <c r="C46" s="296" t="s">
        <v>2</v>
      </c>
      <c r="D46" s="389">
        <v>9</v>
      </c>
      <c r="E46" s="408">
        <v>4.42</v>
      </c>
      <c r="F46" s="471" t="s">
        <v>2009</v>
      </c>
      <c r="G46" s="396" t="s">
        <v>2066</v>
      </c>
      <c r="H46" s="402" t="str">
        <f>IF(Tableau2[[#This Row],[Moyennes]]="Absent","Absent",IF(Tableau2[[#This Row],[Moyennes]]&lt;5,"Redouble",IF(Tableau2[[#This Row],[Moyennes]]&gt;=5,"Admis"," ")))</f>
        <v>Redouble</v>
      </c>
      <c r="J46" t="s">
        <v>662</v>
      </c>
      <c r="K46" t="s">
        <v>714</v>
      </c>
      <c r="L46" s="64">
        <f>IF(AND(Tableau2[[#This Row],[CLASSE]]="CPU",Tableau2[[#This Row],[STATUT ]]="Admis"),1,0)</f>
        <v>0</v>
      </c>
      <c r="M46" s="64">
        <f>IF(AND(Tableau2[[#This Row],[CLASSE]]="CEU",Tableau2[[#This Row],[STATUT ]]="Admis"),1,0)</f>
        <v>0</v>
      </c>
      <c r="N46" s="64"/>
      <c r="O46" s="296"/>
      <c r="P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7" spans="1:16" ht="15.5" x14ac:dyDescent="0.35">
      <c r="A47" s="310">
        <v>46</v>
      </c>
      <c r="B47" s="396" t="s">
        <v>2070</v>
      </c>
      <c r="C47" s="64" t="s">
        <v>1</v>
      </c>
      <c r="D47" s="389">
        <v>9</v>
      </c>
      <c r="E47" s="408">
        <v>4.71</v>
      </c>
      <c r="F47" s="471" t="s">
        <v>2009</v>
      </c>
      <c r="G47" s="396" t="s">
        <v>2046</v>
      </c>
      <c r="H47" s="402" t="str">
        <f>IF(Tableau2[[#This Row],[Moyennes]]="Absent","Absent",IF(Tableau2[[#This Row],[Moyennes]]&lt;5,"Redouble",IF(Tableau2[[#This Row],[Moyennes]]&gt;=5,"Admis"," ")))</f>
        <v>Redouble</v>
      </c>
      <c r="J47" t="s">
        <v>662</v>
      </c>
      <c r="K47" t="s">
        <v>714</v>
      </c>
      <c r="L47" s="64">
        <f>IF(AND(Tableau2[[#This Row],[CLASSE]]="CPU",Tableau2[[#This Row],[STATUT ]]="Admis"),1,0)</f>
        <v>0</v>
      </c>
      <c r="M47" s="64">
        <f>IF(AND(Tableau2[[#This Row],[CLASSE]]="CEU",Tableau2[[#This Row],[STATUT ]]="Admis"),1,0)</f>
        <v>0</v>
      </c>
      <c r="N47" s="64"/>
      <c r="O47" s="296"/>
      <c r="P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8" spans="1:16" ht="15.5" x14ac:dyDescent="0.35">
      <c r="A48" s="310">
        <v>47</v>
      </c>
      <c r="B48" s="397" t="s">
        <v>2074</v>
      </c>
      <c r="C48" s="297" t="s">
        <v>2</v>
      </c>
      <c r="D48" s="391">
        <v>9</v>
      </c>
      <c r="E48" s="473">
        <v>4.28</v>
      </c>
      <c r="F48" s="471" t="s">
        <v>2009</v>
      </c>
      <c r="G48" s="397" t="s">
        <v>2078</v>
      </c>
      <c r="H48" s="402" t="str">
        <f>IF(Tableau2[[#This Row],[Moyennes]]="Absent","Absent",IF(Tableau2[[#This Row],[Moyennes]]&lt;5,"Redouble",IF(Tableau2[[#This Row],[Moyennes]]&gt;=5,"Admis"," ")))</f>
        <v>Redouble</v>
      </c>
      <c r="J48" t="s">
        <v>662</v>
      </c>
      <c r="K48" t="s">
        <v>714</v>
      </c>
      <c r="L48" s="64">
        <f>IF(AND(Tableau2[[#This Row],[CLASSE]]="CPU",Tableau2[[#This Row],[STATUT ]]="Admis"),1,0)</f>
        <v>0</v>
      </c>
      <c r="M48" s="64">
        <f>IF(AND(Tableau2[[#This Row],[CLASSE]]="CEU",Tableau2[[#This Row],[STATUT ]]="Admis"),1,0)</f>
        <v>0</v>
      </c>
      <c r="N48" s="64"/>
      <c r="O48" s="296"/>
      <c r="P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9" spans="1:16" ht="15.5" x14ac:dyDescent="0.35">
      <c r="A49" s="310">
        <v>48</v>
      </c>
      <c r="B49" s="396" t="s">
        <v>2072</v>
      </c>
      <c r="C49" s="64" t="s">
        <v>1</v>
      </c>
      <c r="D49" s="389">
        <v>10</v>
      </c>
      <c r="E49" s="408">
        <v>3.07</v>
      </c>
      <c r="F49" s="471" t="s">
        <v>2009</v>
      </c>
      <c r="G49" s="396" t="s">
        <v>2037</v>
      </c>
      <c r="H49" s="402" t="str">
        <f>IF(Tableau2[[#This Row],[Moyennes]]="Absent","Absent",IF(Tableau2[[#This Row],[Moyennes]]&lt;5,"Redouble",IF(Tableau2[[#This Row],[Moyennes]]&gt;=5,"Admis"," ")))</f>
        <v>Redouble</v>
      </c>
      <c r="J49" t="s">
        <v>662</v>
      </c>
      <c r="K49" t="s">
        <v>714</v>
      </c>
      <c r="L49" s="64">
        <f>IF(AND(Tableau2[[#This Row],[CLASSE]]="CPU",Tableau2[[#This Row],[STATUT ]]="Admis"),1,0)</f>
        <v>0</v>
      </c>
      <c r="M49" s="64">
        <f>IF(AND(Tableau2[[#This Row],[CLASSE]]="CEU",Tableau2[[#This Row],[STATUT ]]="Admis"),1,0)</f>
        <v>0</v>
      </c>
      <c r="N49" s="64"/>
      <c r="O49" s="296"/>
      <c r="P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0" spans="1:16" ht="16" thickBot="1" x14ac:dyDescent="0.4">
      <c r="A50" s="310">
        <v>49</v>
      </c>
      <c r="B50" s="403" t="s">
        <v>2071</v>
      </c>
      <c r="C50" s="407" t="s">
        <v>2</v>
      </c>
      <c r="D50" s="390">
        <v>10</v>
      </c>
      <c r="E50" s="408">
        <v>2.92</v>
      </c>
      <c r="F50" s="471" t="s">
        <v>2009</v>
      </c>
      <c r="G50" s="396" t="s">
        <v>2014</v>
      </c>
      <c r="H50" s="402" t="str">
        <f>IF(Tableau2[[#This Row],[Moyennes]]="Absent","Absent",IF(Tableau2[[#This Row],[Moyennes]]&lt;5,"Redouble",IF(Tableau2[[#This Row],[Moyennes]]&gt;=5,"Admis"," ")))</f>
        <v>Redouble</v>
      </c>
      <c r="J50" t="s">
        <v>662</v>
      </c>
      <c r="K50" t="s">
        <v>714</v>
      </c>
      <c r="L50" s="64">
        <f>IF(AND(Tableau2[[#This Row],[CLASSE]]="CPU",Tableau2[[#This Row],[STATUT ]]="Admis"),1,0)</f>
        <v>0</v>
      </c>
      <c r="M50" s="64">
        <f>IF(AND(Tableau2[[#This Row],[CLASSE]]="CEU",Tableau2[[#This Row],[STATUT ]]="Admis"),1,0)</f>
        <v>0</v>
      </c>
      <c r="N50" s="64"/>
      <c r="O50" s="296"/>
      <c r="P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1" spans="1:16" ht="16" thickBot="1" x14ac:dyDescent="0.4">
      <c r="A51" s="310">
        <v>50</v>
      </c>
      <c r="B51" s="396" t="s">
        <v>2095</v>
      </c>
      <c r="C51" s="64" t="s">
        <v>1</v>
      </c>
      <c r="D51" s="394">
        <v>9</v>
      </c>
      <c r="E51" s="475">
        <v>7.83</v>
      </c>
      <c r="F51" s="476" t="s">
        <v>2009</v>
      </c>
      <c r="G51" s="477" t="s">
        <v>2048</v>
      </c>
      <c r="H51" s="402" t="str">
        <f>IF(Tableau2[[#This Row],[Moyennes]]="Absent","Absent",IF(Tableau2[[#This Row],[Moyennes]]&lt;5,"Redouble",IF(Tableau2[[#This Row],[Moyennes]]&gt;=5,"Admis"," ")))</f>
        <v>Admis</v>
      </c>
      <c r="J51" t="s">
        <v>662</v>
      </c>
      <c r="K51" t="s">
        <v>2096</v>
      </c>
      <c r="L51" s="64">
        <f>IF(AND(Tableau2[[#This Row],[CLASSE]]="CPU",Tableau2[[#This Row],[STATUT ]]="Admis"),1,0)</f>
        <v>1</v>
      </c>
      <c r="M51" s="64">
        <f>IF(AND(Tableau2[[#This Row],[CLASSE]]="CEU",Tableau2[[#This Row],[STATUT ]]="Admis"),1,0)</f>
        <v>0</v>
      </c>
      <c r="N51" s="64"/>
      <c r="O51" s="296"/>
      <c r="P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2" spans="1:16" ht="16" thickBot="1" x14ac:dyDescent="0.4">
      <c r="A52" s="310">
        <v>51</v>
      </c>
      <c r="B52" s="396" t="s">
        <v>2081</v>
      </c>
      <c r="C52" s="64" t="s">
        <v>1</v>
      </c>
      <c r="D52" s="393">
        <v>10</v>
      </c>
      <c r="E52" s="478">
        <v>5.83</v>
      </c>
      <c r="F52" s="476" t="s">
        <v>2009</v>
      </c>
      <c r="G52" s="479" t="s">
        <v>2016</v>
      </c>
      <c r="H52" s="402" t="str">
        <f>IF(Tableau2[[#This Row],[Moyennes]]="Absent","Absent",IF(Tableau2[[#This Row],[Moyennes]]&lt;5,"Redouble",IF(Tableau2[[#This Row],[Moyennes]]&gt;=5,"Admis"," ")))</f>
        <v>Admis</v>
      </c>
      <c r="J52" t="s">
        <v>662</v>
      </c>
      <c r="K52" t="s">
        <v>2096</v>
      </c>
      <c r="L52" s="64">
        <f>IF(AND(Tableau2[[#This Row],[CLASSE]]="CPU",Tableau2[[#This Row],[STATUT ]]="Admis"),1,0)</f>
        <v>1</v>
      </c>
      <c r="M52" s="64">
        <f>IF(AND(Tableau2[[#This Row],[CLASSE]]="CEU",Tableau2[[#This Row],[STATUT ]]="Admis"),1,0)</f>
        <v>0</v>
      </c>
      <c r="N52" s="64"/>
      <c r="O52" s="296"/>
      <c r="P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3" spans="1:16" ht="16" thickBot="1" x14ac:dyDescent="0.4">
      <c r="A53" s="310">
        <v>52</v>
      </c>
      <c r="B53" s="396" t="s">
        <v>2082</v>
      </c>
      <c r="C53" s="64" t="s">
        <v>1</v>
      </c>
      <c r="D53" s="393">
        <v>13</v>
      </c>
      <c r="E53" s="478">
        <v>9.5</v>
      </c>
      <c r="F53" s="476" t="s">
        <v>2009</v>
      </c>
      <c r="G53" s="479" t="s">
        <v>2035</v>
      </c>
      <c r="H53" s="402" t="str">
        <f>IF(Tableau2[[#This Row],[Moyennes]]="Absent","Absent",IF(Tableau2[[#This Row],[Moyennes]]&lt;5,"Redouble",IF(Tableau2[[#This Row],[Moyennes]]&gt;=5,"Admis"," ")))</f>
        <v>Admis</v>
      </c>
      <c r="J53" t="s">
        <v>662</v>
      </c>
      <c r="K53" t="s">
        <v>2096</v>
      </c>
      <c r="L53" s="64">
        <f>IF(AND(Tableau2[[#This Row],[CLASSE]]="CPU",Tableau2[[#This Row],[STATUT ]]="Admis"),1,0)</f>
        <v>1</v>
      </c>
      <c r="M53" s="64">
        <f>IF(AND(Tableau2[[#This Row],[CLASSE]]="CEU",Tableau2[[#This Row],[STATUT ]]="Admis"),1,0)</f>
        <v>0</v>
      </c>
      <c r="N53" s="64"/>
      <c r="O53" s="296"/>
      <c r="P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54" spans="1:16" ht="16" thickBot="1" x14ac:dyDescent="0.4">
      <c r="A54" s="310">
        <v>53</v>
      </c>
      <c r="B54" s="396" t="s">
        <v>2083</v>
      </c>
      <c r="C54" s="64" t="s">
        <v>1</v>
      </c>
      <c r="D54" s="393">
        <v>11</v>
      </c>
      <c r="E54" s="478">
        <v>8.16</v>
      </c>
      <c r="F54" s="476" t="s">
        <v>2009</v>
      </c>
      <c r="G54" s="479" t="s">
        <v>2044</v>
      </c>
      <c r="H54" s="402" t="str">
        <f>IF(Tableau2[[#This Row],[Moyennes]]="Absent","Absent",IF(Tableau2[[#This Row],[Moyennes]]&lt;5,"Redouble",IF(Tableau2[[#This Row],[Moyennes]]&gt;=5,"Admis"," ")))</f>
        <v>Admis</v>
      </c>
      <c r="J54" t="s">
        <v>662</v>
      </c>
      <c r="K54" t="s">
        <v>2096</v>
      </c>
      <c r="L54" s="64">
        <f>IF(AND(Tableau2[[#This Row],[CLASSE]]="CPU",Tableau2[[#This Row],[STATUT ]]="Admis"),1,0)</f>
        <v>1</v>
      </c>
      <c r="M54" s="64">
        <f>IF(AND(Tableau2[[#This Row],[CLASSE]]="CEU",Tableau2[[#This Row],[STATUT ]]="Admis"),1,0)</f>
        <v>0</v>
      </c>
      <c r="N54" s="64"/>
      <c r="O54" s="296"/>
      <c r="P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5" spans="1:16" ht="16" thickBot="1" x14ac:dyDescent="0.4">
      <c r="A55" s="310">
        <v>54</v>
      </c>
      <c r="B55" s="396" t="s">
        <v>2084</v>
      </c>
      <c r="C55" s="296" t="s">
        <v>2</v>
      </c>
      <c r="D55" s="393">
        <v>10</v>
      </c>
      <c r="E55" s="478">
        <v>6.66</v>
      </c>
      <c r="F55" s="476" t="s">
        <v>2009</v>
      </c>
      <c r="G55" s="479" t="s">
        <v>2089</v>
      </c>
      <c r="H55" s="402" t="str">
        <f>IF(Tableau2[[#This Row],[Moyennes]]="Absent","Absent",IF(Tableau2[[#This Row],[Moyennes]]&lt;5,"Redouble",IF(Tableau2[[#This Row],[Moyennes]]&gt;=5,"Admis"," ")))</f>
        <v>Admis</v>
      </c>
      <c r="J55" t="s">
        <v>662</v>
      </c>
      <c r="K55" t="s">
        <v>2096</v>
      </c>
      <c r="L55" s="64">
        <f>IF(AND(Tableau2[[#This Row],[CLASSE]]="CPU",Tableau2[[#This Row],[STATUT ]]="Admis"),1,0)</f>
        <v>1</v>
      </c>
      <c r="M55" s="64">
        <f>IF(AND(Tableau2[[#This Row],[CLASSE]]="CEU",Tableau2[[#This Row],[STATUT ]]="Admis"),1,0)</f>
        <v>0</v>
      </c>
      <c r="N55" s="64"/>
      <c r="O55" s="296"/>
      <c r="P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6" spans="1:16" ht="16" thickBot="1" x14ac:dyDescent="0.4">
      <c r="A56" s="310">
        <v>55</v>
      </c>
      <c r="B56" s="396" t="s">
        <v>2085</v>
      </c>
      <c r="C56" s="64" t="s">
        <v>1</v>
      </c>
      <c r="D56" s="393">
        <v>11</v>
      </c>
      <c r="E56" s="478">
        <v>5.33</v>
      </c>
      <c r="F56" s="476" t="s">
        <v>2009</v>
      </c>
      <c r="G56" s="479" t="s">
        <v>2062</v>
      </c>
      <c r="H56" s="402" t="str">
        <f>IF(Tableau2[[#This Row],[Moyennes]]="Absent","Absent",IF(Tableau2[[#This Row],[Moyennes]]&lt;5,"Redouble",IF(Tableau2[[#This Row],[Moyennes]]&gt;=5,"Admis"," ")))</f>
        <v>Admis</v>
      </c>
      <c r="J56" t="s">
        <v>662</v>
      </c>
      <c r="K56" t="s">
        <v>2096</v>
      </c>
      <c r="L56" s="64">
        <f>IF(AND(Tableau2[[#This Row],[CLASSE]]="CPU",Tableau2[[#This Row],[STATUT ]]="Admis"),1,0)</f>
        <v>1</v>
      </c>
      <c r="M56" s="64">
        <f>IF(AND(Tableau2[[#This Row],[CLASSE]]="CEU",Tableau2[[#This Row],[STATUT ]]="Admis"),1,0)</f>
        <v>0</v>
      </c>
      <c r="N56" s="64"/>
      <c r="O56" s="296"/>
      <c r="P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7" spans="1:16" ht="16" thickBot="1" x14ac:dyDescent="0.4">
      <c r="A57" s="310">
        <v>56</v>
      </c>
      <c r="B57" s="396" t="s">
        <v>2086</v>
      </c>
      <c r="C57" s="296" t="s">
        <v>2</v>
      </c>
      <c r="D57" s="393">
        <v>9</v>
      </c>
      <c r="E57" s="478">
        <v>8.33</v>
      </c>
      <c r="F57" s="476" t="s">
        <v>2009</v>
      </c>
      <c r="G57" s="479" t="s">
        <v>2018</v>
      </c>
      <c r="H57" s="402" t="str">
        <f>IF(Tableau2[[#This Row],[Moyennes]]="Absent","Absent",IF(Tableau2[[#This Row],[Moyennes]]&lt;5,"Redouble",IF(Tableau2[[#This Row],[Moyennes]]&gt;=5,"Admis"," ")))</f>
        <v>Admis</v>
      </c>
      <c r="J57" t="s">
        <v>662</v>
      </c>
      <c r="K57" t="s">
        <v>2096</v>
      </c>
      <c r="L57" s="64">
        <f>IF(AND(Tableau2[[#This Row],[CLASSE]]="CPU",Tableau2[[#This Row],[STATUT ]]="Admis"),1,0)</f>
        <v>1</v>
      </c>
      <c r="M57" s="64">
        <f>IF(AND(Tableau2[[#This Row],[CLASSE]]="CEU",Tableau2[[#This Row],[STATUT ]]="Admis"),1,0)</f>
        <v>0</v>
      </c>
      <c r="N57" s="64"/>
      <c r="O57" s="296"/>
      <c r="P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" spans="1:16" ht="16" thickBot="1" x14ac:dyDescent="0.4">
      <c r="A58" s="310">
        <v>57</v>
      </c>
      <c r="B58" s="396" t="s">
        <v>2087</v>
      </c>
      <c r="C58" s="296" t="s">
        <v>2</v>
      </c>
      <c r="D58" s="393">
        <v>12</v>
      </c>
      <c r="E58" s="478">
        <v>7.66</v>
      </c>
      <c r="F58" s="476" t="s">
        <v>2009</v>
      </c>
      <c r="G58" s="479" t="s">
        <v>2027</v>
      </c>
      <c r="H58" s="402" t="str">
        <f>IF(Tableau2[[#This Row],[Moyennes]]="Absent","Absent",IF(Tableau2[[#This Row],[Moyennes]]&lt;5,"Redouble",IF(Tableau2[[#This Row],[Moyennes]]&gt;=5,"Admis"," ")))</f>
        <v>Admis</v>
      </c>
      <c r="J58" t="s">
        <v>662</v>
      </c>
      <c r="K58" t="s">
        <v>2096</v>
      </c>
      <c r="L58" s="64">
        <f>IF(AND(Tableau2[[#This Row],[CLASSE]]="CPU",Tableau2[[#This Row],[STATUT ]]="Admis"),1,0)</f>
        <v>1</v>
      </c>
      <c r="M58" s="64">
        <f>IF(AND(Tableau2[[#This Row],[CLASSE]]="CEU",Tableau2[[#This Row],[STATUT ]]="Admis"),1,0)</f>
        <v>0</v>
      </c>
      <c r="N58" s="64"/>
      <c r="O58" s="296"/>
      <c r="P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59" spans="1:16" ht="16" thickBot="1" x14ac:dyDescent="0.4">
      <c r="A59" s="310">
        <v>58</v>
      </c>
      <c r="B59" s="396" t="s">
        <v>2088</v>
      </c>
      <c r="C59" s="64" t="s">
        <v>1</v>
      </c>
      <c r="D59" s="393">
        <v>10</v>
      </c>
      <c r="E59" s="478">
        <v>6.66</v>
      </c>
      <c r="F59" s="476" t="s">
        <v>2009</v>
      </c>
      <c r="G59" s="479" t="s">
        <v>2021</v>
      </c>
      <c r="H59" s="402" t="str">
        <f>IF(Tableau2[[#This Row],[Moyennes]]="Absent","Absent",IF(Tableau2[[#This Row],[Moyennes]]&lt;5,"Redouble",IF(Tableau2[[#This Row],[Moyennes]]&gt;=5,"Admis"," ")))</f>
        <v>Admis</v>
      </c>
      <c r="J59" t="s">
        <v>662</v>
      </c>
      <c r="K59" t="s">
        <v>2096</v>
      </c>
      <c r="L59" s="64">
        <f>IF(AND(Tableau2[[#This Row],[CLASSE]]="CPU",Tableau2[[#This Row],[STATUT ]]="Admis"),1,0)</f>
        <v>1</v>
      </c>
      <c r="M59" s="64">
        <f>IF(AND(Tableau2[[#This Row],[CLASSE]]="CEU",Tableau2[[#This Row],[STATUT ]]="Admis"),1,0)</f>
        <v>0</v>
      </c>
      <c r="N59" s="64"/>
      <c r="O59" s="296"/>
      <c r="P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0" spans="1:16" ht="16" thickBot="1" x14ac:dyDescent="0.4">
      <c r="A60" s="310">
        <v>59</v>
      </c>
      <c r="B60" s="396" t="s">
        <v>2090</v>
      </c>
      <c r="C60" s="64" t="s">
        <v>1</v>
      </c>
      <c r="D60" s="393">
        <v>13</v>
      </c>
      <c r="E60" s="478">
        <v>6.66</v>
      </c>
      <c r="F60" s="476" t="s">
        <v>2009</v>
      </c>
      <c r="G60" s="479" t="s">
        <v>2021</v>
      </c>
      <c r="H60" s="402" t="str">
        <f>IF(Tableau2[[#This Row],[Moyennes]]="Absent","Absent",IF(Tableau2[[#This Row],[Moyennes]]&lt;5,"Redouble",IF(Tableau2[[#This Row],[Moyennes]]&gt;=5,"Admis"," ")))</f>
        <v>Admis</v>
      </c>
      <c r="J60" t="s">
        <v>662</v>
      </c>
      <c r="K60" t="s">
        <v>2096</v>
      </c>
      <c r="L60" s="64">
        <f>IF(AND(Tableau2[[#This Row],[CLASSE]]="CPU",Tableau2[[#This Row],[STATUT ]]="Admis"),1,0)</f>
        <v>1</v>
      </c>
      <c r="M60" s="64">
        <f>IF(AND(Tableau2[[#This Row],[CLASSE]]="CEU",Tableau2[[#This Row],[STATUT ]]="Admis"),1,0)</f>
        <v>0</v>
      </c>
      <c r="N60" s="64"/>
      <c r="O60" s="296"/>
      <c r="P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1" spans="1:16" ht="16" thickBot="1" x14ac:dyDescent="0.4">
      <c r="A61" s="310">
        <v>60</v>
      </c>
      <c r="B61" s="396" t="s">
        <v>2091</v>
      </c>
      <c r="C61" s="64" t="s">
        <v>1</v>
      </c>
      <c r="D61" s="393">
        <v>13</v>
      </c>
      <c r="E61" s="478">
        <v>9.16</v>
      </c>
      <c r="F61" s="476" t="s">
        <v>2009</v>
      </c>
      <c r="G61" s="479" t="s">
        <v>815</v>
      </c>
      <c r="H61" s="402" t="str">
        <f>IF(Tableau2[[#This Row],[Moyennes]]="Absent","Absent",IF(Tableau2[[#This Row],[Moyennes]]&lt;5,"Redouble",IF(Tableau2[[#This Row],[Moyennes]]&gt;=5,"Admis"," ")))</f>
        <v>Admis</v>
      </c>
      <c r="J61" t="s">
        <v>662</v>
      </c>
      <c r="K61" t="s">
        <v>2096</v>
      </c>
      <c r="L61" s="64">
        <f>IF(AND(Tableau2[[#This Row],[CLASSE]]="CPU",Tableau2[[#This Row],[STATUT ]]="Admis"),1,0)</f>
        <v>1</v>
      </c>
      <c r="M61" s="64">
        <f>IF(AND(Tableau2[[#This Row],[CLASSE]]="CEU",Tableau2[[#This Row],[STATUT ]]="Admis"),1,0)</f>
        <v>0</v>
      </c>
      <c r="N61" s="64"/>
      <c r="O61" s="296"/>
      <c r="P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2" spans="1:16" ht="16" thickBot="1" x14ac:dyDescent="0.4">
      <c r="A62" s="310">
        <v>61</v>
      </c>
      <c r="B62" s="396" t="s">
        <v>2092</v>
      </c>
      <c r="C62" s="64" t="s">
        <v>1</v>
      </c>
      <c r="D62" s="393">
        <v>10</v>
      </c>
      <c r="E62" s="478">
        <v>8.66</v>
      </c>
      <c r="F62" s="476" t="s">
        <v>2009</v>
      </c>
      <c r="G62" s="479" t="s">
        <v>815</v>
      </c>
      <c r="H62" s="402" t="str">
        <f>IF(Tableau2[[#This Row],[Moyennes]]="Absent","Absent",IF(Tableau2[[#This Row],[Moyennes]]&lt;5,"Redouble",IF(Tableau2[[#This Row],[Moyennes]]&gt;=5,"Admis"," ")))</f>
        <v>Admis</v>
      </c>
      <c r="J62" t="s">
        <v>662</v>
      </c>
      <c r="K62" t="s">
        <v>2096</v>
      </c>
      <c r="L62" s="64">
        <f>IF(AND(Tableau2[[#This Row],[CLASSE]]="CPU",Tableau2[[#This Row],[STATUT ]]="Admis"),1,0)</f>
        <v>1</v>
      </c>
      <c r="M62" s="64">
        <f>IF(AND(Tableau2[[#This Row],[CLASSE]]="CEU",Tableau2[[#This Row],[STATUT ]]="Admis"),1,0)</f>
        <v>0</v>
      </c>
      <c r="N62" s="64"/>
      <c r="O62" s="296"/>
      <c r="P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" spans="1:16" ht="16" thickBot="1" x14ac:dyDescent="0.4">
      <c r="A63" s="310">
        <v>62</v>
      </c>
      <c r="B63" s="397" t="s">
        <v>2093</v>
      </c>
      <c r="C63" s="297" t="s">
        <v>2</v>
      </c>
      <c r="D63" s="394">
        <v>11</v>
      </c>
      <c r="E63" s="475">
        <v>9.33</v>
      </c>
      <c r="F63" s="476" t="s">
        <v>2009</v>
      </c>
      <c r="G63" s="477" t="s">
        <v>2010</v>
      </c>
      <c r="H63" s="402" t="str">
        <f>IF(Tableau2[[#This Row],[Moyennes]]="Absent","Absent",IF(Tableau2[[#This Row],[Moyennes]]&lt;5,"Redouble",IF(Tableau2[[#This Row],[Moyennes]]&gt;=5,"Admis"," ")))</f>
        <v>Admis</v>
      </c>
      <c r="J63" t="s">
        <v>662</v>
      </c>
      <c r="K63" t="s">
        <v>2096</v>
      </c>
      <c r="L63" s="64">
        <f>IF(AND(Tableau2[[#This Row],[CLASSE]]="CPU",Tableau2[[#This Row],[STATUT ]]="Admis"),1,0)</f>
        <v>1</v>
      </c>
      <c r="M63" s="64">
        <f>IF(AND(Tableau2[[#This Row],[CLASSE]]="CEU",Tableau2[[#This Row],[STATUT ]]="Admis"),1,0)</f>
        <v>0</v>
      </c>
      <c r="N63" s="64"/>
      <c r="O63" s="296"/>
      <c r="P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" spans="1:16" ht="16" thickBot="1" x14ac:dyDescent="0.4">
      <c r="A64" s="310">
        <v>63</v>
      </c>
      <c r="B64" s="397" t="s">
        <v>2094</v>
      </c>
      <c r="C64" s="64" t="s">
        <v>1</v>
      </c>
      <c r="D64" s="394">
        <v>14</v>
      </c>
      <c r="E64" s="475">
        <v>7.83</v>
      </c>
      <c r="F64" s="476" t="s">
        <v>2009</v>
      </c>
      <c r="G64" s="477" t="s">
        <v>2048</v>
      </c>
      <c r="H64" s="402" t="str">
        <f>IF(Tableau2[[#This Row],[Moyennes]]="Absent","Absent",IF(Tableau2[[#This Row],[Moyennes]]&lt;5,"Redouble",IF(Tableau2[[#This Row],[Moyennes]]&gt;=5,"Admis"," ")))</f>
        <v>Admis</v>
      </c>
      <c r="J64" t="s">
        <v>662</v>
      </c>
      <c r="K64" t="s">
        <v>2096</v>
      </c>
      <c r="L64" s="64">
        <f>IF(AND(Tableau2[[#This Row],[CLASSE]]="CPU",Tableau2[[#This Row],[STATUT ]]="Admis"),1,0)</f>
        <v>1</v>
      </c>
      <c r="M64" s="64">
        <f>IF(AND(Tableau2[[#This Row],[CLASSE]]="CEU",Tableau2[[#This Row],[STATUT ]]="Admis"),1,0)</f>
        <v>0</v>
      </c>
      <c r="N64" s="64"/>
      <c r="O64" s="296"/>
      <c r="P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5" spans="1:16" ht="16" thickBot="1" x14ac:dyDescent="0.4">
      <c r="A65" s="310">
        <v>64</v>
      </c>
      <c r="B65" s="396" t="s">
        <v>2080</v>
      </c>
      <c r="C65" s="296" t="s">
        <v>2</v>
      </c>
      <c r="D65" s="392">
        <v>11</v>
      </c>
      <c r="E65" s="480">
        <v>3.83</v>
      </c>
      <c r="F65" s="476" t="s">
        <v>2009</v>
      </c>
      <c r="G65" s="479" t="s">
        <v>2042</v>
      </c>
      <c r="H65" s="402" t="str">
        <f>IF(Tableau2[[#This Row],[Moyennes]]="Absent","Absent",IF(Tableau2[[#This Row],[Moyennes]]&lt;5,"Redouble",IF(Tableau2[[#This Row],[Moyennes]]&gt;=5,"Admis"," ")))</f>
        <v>Redouble</v>
      </c>
      <c r="J65" t="s">
        <v>662</v>
      </c>
      <c r="K65" t="s">
        <v>2096</v>
      </c>
      <c r="L65" s="64">
        <f>IF(AND(Tableau2[[#This Row],[CLASSE]]="CPU",Tableau2[[#This Row],[STATUT ]]="Admis"),1,0)</f>
        <v>0</v>
      </c>
      <c r="M65" s="64">
        <f>IF(AND(Tableau2[[#This Row],[CLASSE]]="CEU",Tableau2[[#This Row],[STATUT ]]="Admis"),1,0)</f>
        <v>0</v>
      </c>
      <c r="N65" s="64"/>
      <c r="O65" s="296"/>
      <c r="P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6" spans="1:16" ht="16" thickBot="1" x14ac:dyDescent="0.4">
      <c r="A66" s="310">
        <v>65</v>
      </c>
      <c r="B66" s="397" t="s">
        <v>3381</v>
      </c>
      <c r="C66" s="64" t="s">
        <v>1</v>
      </c>
      <c r="D66" s="394">
        <v>12</v>
      </c>
      <c r="E66" s="489" t="s">
        <v>2165</v>
      </c>
      <c r="F66" s="490" t="s">
        <v>2009</v>
      </c>
      <c r="G66" s="491" t="s">
        <v>2165</v>
      </c>
      <c r="H66" s="300" t="str">
        <f>IF(Tableau2[[#This Row],[Moyennes]]="Absent","Absent",IF(Tableau2[[#This Row],[Moyennes]]&lt;5,"Redouble",IF(Tableau2[[#This Row],[Moyennes]]&gt;=5,"Admis"," ")))</f>
        <v>Absent</v>
      </c>
      <c r="I66" s="17"/>
      <c r="J66" s="17" t="s">
        <v>662</v>
      </c>
      <c r="K66" s="17" t="s">
        <v>2096</v>
      </c>
      <c r="L66" s="64">
        <f>IF(AND(Tableau2[[#This Row],[CLASSE]]="CPU",Tableau2[[#This Row],[STATUT ]]="Admis"),1,0)</f>
        <v>0</v>
      </c>
      <c r="M66" s="64">
        <f>IF(AND(Tableau2[[#This Row],[CLASSE]]="CEU",Tableau2[[#This Row],[STATUT ]]="Admis"),1,0)</f>
        <v>0</v>
      </c>
      <c r="N66" s="64"/>
      <c r="O66" s="296"/>
      <c r="P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7" spans="1:16" ht="15.5" x14ac:dyDescent="0.35">
      <c r="A67" s="310">
        <v>66</v>
      </c>
      <c r="B67" s="396" t="s">
        <v>2097</v>
      </c>
      <c r="C67" s="64" t="s">
        <v>1</v>
      </c>
      <c r="D67" s="392">
        <v>10</v>
      </c>
      <c r="E67" s="480">
        <v>7.33</v>
      </c>
      <c r="F67" s="471" t="s">
        <v>2009</v>
      </c>
      <c r="G67" s="481" t="s">
        <v>2048</v>
      </c>
      <c r="H67" s="402" t="str">
        <f>IF(Tableau2[[#This Row],[Moyennes]]="Absent","Absent",IF(Tableau2[[#This Row],[Moyennes]]&lt;5,"Redouble",IF(Tableau2[[#This Row],[Moyennes]]&gt;=5,"Admis"," ")))</f>
        <v>Admis</v>
      </c>
      <c r="J67" t="s">
        <v>662</v>
      </c>
      <c r="K67" t="s">
        <v>2116</v>
      </c>
      <c r="L67" s="64">
        <f>IF(AND(Tableau2[[#This Row],[CLASSE]]="CPU",Tableau2[[#This Row],[STATUT ]]="Admis"),1,0)</f>
        <v>1</v>
      </c>
      <c r="M67" s="64">
        <f>IF(AND(Tableau2[[#This Row],[CLASSE]]="CEU",Tableau2[[#This Row],[STATUT ]]="Admis"),1,0)</f>
        <v>0</v>
      </c>
      <c r="N67" s="64"/>
      <c r="O67" s="296"/>
      <c r="P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8" spans="1:16" ht="15.5" x14ac:dyDescent="0.35">
      <c r="A68" s="310">
        <v>67</v>
      </c>
      <c r="B68" s="396" t="s">
        <v>2098</v>
      </c>
      <c r="C68" s="64" t="s">
        <v>1</v>
      </c>
      <c r="D68" s="393">
        <v>13</v>
      </c>
      <c r="E68" s="478">
        <v>5.16</v>
      </c>
      <c r="F68" s="471" t="s">
        <v>2009</v>
      </c>
      <c r="G68" s="481">
        <v>15</v>
      </c>
      <c r="H68" s="402" t="str">
        <f>IF(Tableau2[[#This Row],[Moyennes]]="Absent","Absent",IF(Tableau2[[#This Row],[Moyennes]]&lt;5,"Redouble",IF(Tableau2[[#This Row],[Moyennes]]&gt;=5,"Admis"," ")))</f>
        <v>Admis</v>
      </c>
      <c r="J68" t="s">
        <v>662</v>
      </c>
      <c r="K68" t="s">
        <v>2116</v>
      </c>
      <c r="L68" s="64">
        <f>IF(AND(Tableau2[[#This Row],[CLASSE]]="CPU",Tableau2[[#This Row],[STATUT ]]="Admis"),1,0)</f>
        <v>1</v>
      </c>
      <c r="M68" s="64">
        <f>IF(AND(Tableau2[[#This Row],[CLASSE]]="CEU",Tableau2[[#This Row],[STATUT ]]="Admis"),1,0)</f>
        <v>0</v>
      </c>
      <c r="N68" s="64"/>
      <c r="O68" s="296"/>
      <c r="P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9" spans="1:16" ht="15.5" x14ac:dyDescent="0.35">
      <c r="A69" s="310">
        <v>68</v>
      </c>
      <c r="B69" s="396" t="s">
        <v>2099</v>
      </c>
      <c r="C69" s="64" t="s">
        <v>1</v>
      </c>
      <c r="D69" s="393">
        <v>9</v>
      </c>
      <c r="E69" s="478">
        <v>6.83</v>
      </c>
      <c r="F69" s="471" t="s">
        <v>2009</v>
      </c>
      <c r="G69" s="481" t="s">
        <v>2089</v>
      </c>
      <c r="H69" s="402" t="str">
        <f>IF(Tableau2[[#This Row],[Moyennes]]="Absent","Absent",IF(Tableau2[[#This Row],[Moyennes]]&lt;5,"Redouble",IF(Tableau2[[#This Row],[Moyennes]]&gt;=5,"Admis"," ")))</f>
        <v>Admis</v>
      </c>
      <c r="J69" t="s">
        <v>662</v>
      </c>
      <c r="K69" t="s">
        <v>2116</v>
      </c>
      <c r="L69" s="64">
        <f>IF(AND(Tableau2[[#This Row],[CLASSE]]="CPU",Tableau2[[#This Row],[STATUT ]]="Admis"),1,0)</f>
        <v>1</v>
      </c>
      <c r="M69" s="64">
        <f>IF(AND(Tableau2[[#This Row],[CLASSE]]="CEU",Tableau2[[#This Row],[STATUT ]]="Admis"),1,0)</f>
        <v>0</v>
      </c>
      <c r="N69" s="64"/>
      <c r="O69" s="296"/>
      <c r="P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0" spans="1:16" ht="15.5" x14ac:dyDescent="0.35">
      <c r="A70" s="310">
        <v>69</v>
      </c>
      <c r="B70" s="396" t="s">
        <v>2114</v>
      </c>
      <c r="C70" s="64" t="s">
        <v>1</v>
      </c>
      <c r="D70" s="393">
        <v>10</v>
      </c>
      <c r="E70" s="478">
        <v>6.58</v>
      </c>
      <c r="F70" s="471" t="s">
        <v>2009</v>
      </c>
      <c r="G70" s="481" t="s">
        <v>2021</v>
      </c>
      <c r="H70" s="402" t="str">
        <f>IF(Tableau2[[#This Row],[Moyennes]]="Absent","Absent",IF(Tableau2[[#This Row],[Moyennes]]&lt;5,"Redouble",IF(Tableau2[[#This Row],[Moyennes]]&gt;=5,"Admis"," ")))</f>
        <v>Admis</v>
      </c>
      <c r="J70" t="s">
        <v>662</v>
      </c>
      <c r="K70" t="s">
        <v>2116</v>
      </c>
      <c r="L70" s="64">
        <f>IF(AND(Tableau2[[#This Row],[CLASSE]]="CPU",Tableau2[[#This Row],[STATUT ]]="Admis"),1,0)</f>
        <v>1</v>
      </c>
      <c r="M70" s="64">
        <f>IF(AND(Tableau2[[#This Row],[CLASSE]]="CEU",Tableau2[[#This Row],[STATUT ]]="Admis"),1,0)</f>
        <v>0</v>
      </c>
      <c r="N70" s="64"/>
      <c r="O70" s="296"/>
      <c r="P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1" spans="1:16" ht="15.5" x14ac:dyDescent="0.35">
      <c r="A71" s="310">
        <v>70</v>
      </c>
      <c r="B71" s="396" t="s">
        <v>2100</v>
      </c>
      <c r="C71" s="64" t="s">
        <v>1</v>
      </c>
      <c r="D71" s="393">
        <v>12</v>
      </c>
      <c r="E71" s="478">
        <v>7.33</v>
      </c>
      <c r="F71" s="471" t="s">
        <v>2009</v>
      </c>
      <c r="G71" s="481" t="s">
        <v>2048</v>
      </c>
      <c r="H71" s="402" t="str">
        <f>IF(Tableau2[[#This Row],[Moyennes]]="Absent","Absent",IF(Tableau2[[#This Row],[Moyennes]]&lt;5,"Redouble",IF(Tableau2[[#This Row],[Moyennes]]&gt;=5,"Admis"," ")))</f>
        <v>Admis</v>
      </c>
      <c r="J71" t="s">
        <v>662</v>
      </c>
      <c r="K71" t="s">
        <v>2116</v>
      </c>
      <c r="L71" s="64">
        <f>IF(AND(Tableau2[[#This Row],[CLASSE]]="CPU",Tableau2[[#This Row],[STATUT ]]="Admis"),1,0)</f>
        <v>1</v>
      </c>
      <c r="M71" s="64">
        <f>IF(AND(Tableau2[[#This Row],[CLASSE]]="CEU",Tableau2[[#This Row],[STATUT ]]="Admis"),1,0)</f>
        <v>0</v>
      </c>
      <c r="N71" s="64"/>
      <c r="O71" s="296"/>
      <c r="P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2" spans="1:16" ht="15.5" x14ac:dyDescent="0.35">
      <c r="A72" s="310">
        <v>71</v>
      </c>
      <c r="B72" s="396" t="s">
        <v>2101</v>
      </c>
      <c r="C72" s="296" t="s">
        <v>2</v>
      </c>
      <c r="D72" s="393">
        <v>9</v>
      </c>
      <c r="E72" s="478">
        <v>7.83</v>
      </c>
      <c r="F72" s="471" t="s">
        <v>2009</v>
      </c>
      <c r="G72" s="481" t="s">
        <v>2044</v>
      </c>
      <c r="H72" s="402" t="str">
        <f>IF(Tableau2[[#This Row],[Moyennes]]="Absent","Absent",IF(Tableau2[[#This Row],[Moyennes]]&lt;5,"Redouble",IF(Tableau2[[#This Row],[Moyennes]]&gt;=5,"Admis"," ")))</f>
        <v>Admis</v>
      </c>
      <c r="J72" t="s">
        <v>662</v>
      </c>
      <c r="K72" t="s">
        <v>2116</v>
      </c>
      <c r="L72" s="64">
        <f>IF(AND(Tableau2[[#This Row],[CLASSE]]="CPU",Tableau2[[#This Row],[STATUT ]]="Admis"),1,0)</f>
        <v>1</v>
      </c>
      <c r="M72" s="64">
        <f>IF(AND(Tableau2[[#This Row],[CLASSE]]="CEU",Tableau2[[#This Row],[STATUT ]]="Admis"),1,0)</f>
        <v>0</v>
      </c>
      <c r="N72" s="64"/>
      <c r="O72" s="296"/>
      <c r="P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" spans="1:16" ht="15.5" x14ac:dyDescent="0.35">
      <c r="A73" s="310">
        <v>72</v>
      </c>
      <c r="B73" s="396" t="s">
        <v>2103</v>
      </c>
      <c r="C73" s="64" t="s">
        <v>1</v>
      </c>
      <c r="D73" s="393">
        <v>11</v>
      </c>
      <c r="E73" s="478">
        <v>6.5</v>
      </c>
      <c r="F73" s="471" t="s">
        <v>2009</v>
      </c>
      <c r="G73" s="481" t="s">
        <v>2033</v>
      </c>
      <c r="H73" s="402" t="str">
        <f>IF(Tableau2[[#This Row],[Moyennes]]="Absent","Absent",IF(Tableau2[[#This Row],[Moyennes]]&lt;5,"Redouble",IF(Tableau2[[#This Row],[Moyennes]]&gt;=5,"Admis"," ")))</f>
        <v>Admis</v>
      </c>
      <c r="J73" t="s">
        <v>662</v>
      </c>
      <c r="K73" t="s">
        <v>2116</v>
      </c>
      <c r="L73" s="64">
        <f>IF(AND(Tableau2[[#This Row],[CLASSE]]="CPU",Tableau2[[#This Row],[STATUT ]]="Admis"),1,0)</f>
        <v>1</v>
      </c>
      <c r="M73" s="64">
        <f>IF(AND(Tableau2[[#This Row],[CLASSE]]="CEU",Tableau2[[#This Row],[STATUT ]]="Admis"),1,0)</f>
        <v>0</v>
      </c>
      <c r="N73" s="64"/>
      <c r="O73" s="296"/>
      <c r="P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4" spans="1:16" ht="15.5" x14ac:dyDescent="0.35">
      <c r="A74" s="310">
        <v>73</v>
      </c>
      <c r="B74" s="396" t="s">
        <v>2104</v>
      </c>
      <c r="C74" s="64" t="s">
        <v>1</v>
      </c>
      <c r="D74" s="393">
        <v>13</v>
      </c>
      <c r="E74" s="478">
        <v>9</v>
      </c>
      <c r="F74" s="471" t="s">
        <v>2009</v>
      </c>
      <c r="G74" s="481" t="s">
        <v>2035</v>
      </c>
      <c r="H74" s="402" t="str">
        <f>IF(Tableau2[[#This Row],[Moyennes]]="Absent","Absent",IF(Tableau2[[#This Row],[Moyennes]]&lt;5,"Redouble",IF(Tableau2[[#This Row],[Moyennes]]&gt;=5,"Admis"," ")))</f>
        <v>Admis</v>
      </c>
      <c r="J74" t="s">
        <v>662</v>
      </c>
      <c r="K74" t="s">
        <v>2116</v>
      </c>
      <c r="L74" s="64">
        <f>IF(AND(Tableau2[[#This Row],[CLASSE]]="CPU",Tableau2[[#This Row],[STATUT ]]="Admis"),1,0)</f>
        <v>1</v>
      </c>
      <c r="M74" s="64">
        <f>IF(AND(Tableau2[[#This Row],[CLASSE]]="CEU",Tableau2[[#This Row],[STATUT ]]="Admis"),1,0)</f>
        <v>0</v>
      </c>
      <c r="N74" s="64"/>
      <c r="O74" s="296"/>
      <c r="P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5" spans="1:16" ht="15.5" x14ac:dyDescent="0.35">
      <c r="A75" s="310">
        <v>74</v>
      </c>
      <c r="B75" s="396" t="s">
        <v>2105</v>
      </c>
      <c r="C75" s="296" t="s">
        <v>2</v>
      </c>
      <c r="D75" s="393">
        <v>9</v>
      </c>
      <c r="E75" s="478">
        <v>5.33</v>
      </c>
      <c r="F75" s="471" t="s">
        <v>2009</v>
      </c>
      <c r="G75" s="481" t="s">
        <v>2023</v>
      </c>
      <c r="H75" s="402" t="str">
        <f>IF(Tableau2[[#This Row],[Moyennes]]="Absent","Absent",IF(Tableau2[[#This Row],[Moyennes]]&lt;5,"Redouble",IF(Tableau2[[#This Row],[Moyennes]]&gt;=5,"Admis"," ")))</f>
        <v>Admis</v>
      </c>
      <c r="J75" t="s">
        <v>662</v>
      </c>
      <c r="K75" t="s">
        <v>2116</v>
      </c>
      <c r="L75" s="64">
        <f>IF(AND(Tableau2[[#This Row],[CLASSE]]="CPU",Tableau2[[#This Row],[STATUT ]]="Admis"),1,0)</f>
        <v>1</v>
      </c>
      <c r="M75" s="64">
        <f>IF(AND(Tableau2[[#This Row],[CLASSE]]="CEU",Tableau2[[#This Row],[STATUT ]]="Admis"),1,0)</f>
        <v>0</v>
      </c>
      <c r="N75" s="64"/>
      <c r="O75" s="296"/>
      <c r="P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" spans="1:16" ht="15.5" x14ac:dyDescent="0.35">
      <c r="A76" s="310">
        <v>75</v>
      </c>
      <c r="B76" s="396" t="s">
        <v>2106</v>
      </c>
      <c r="C76" s="296" t="s">
        <v>2</v>
      </c>
      <c r="D76" s="393">
        <v>10</v>
      </c>
      <c r="E76" s="478">
        <v>5.66</v>
      </c>
      <c r="F76" s="471" t="s">
        <v>2009</v>
      </c>
      <c r="G76" s="481" t="s">
        <v>2062</v>
      </c>
      <c r="H76" s="402" t="str">
        <f>IF(Tableau2[[#This Row],[Moyennes]]="Absent","Absent",IF(Tableau2[[#This Row],[Moyennes]]&lt;5,"Redouble",IF(Tableau2[[#This Row],[Moyennes]]&gt;=5,"Admis"," ")))</f>
        <v>Admis</v>
      </c>
      <c r="J76" t="s">
        <v>662</v>
      </c>
      <c r="K76" t="s">
        <v>2116</v>
      </c>
      <c r="L76" s="64">
        <f>IF(AND(Tableau2[[#This Row],[CLASSE]]="CPU",Tableau2[[#This Row],[STATUT ]]="Admis"),1,0)</f>
        <v>1</v>
      </c>
      <c r="M76" s="64">
        <f>IF(AND(Tableau2[[#This Row],[CLASSE]]="CEU",Tableau2[[#This Row],[STATUT ]]="Admis"),1,0)</f>
        <v>0</v>
      </c>
      <c r="N76" s="64"/>
      <c r="O76" s="296"/>
      <c r="P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" spans="1:16" ht="15.5" x14ac:dyDescent="0.35">
      <c r="A77" s="310">
        <v>76</v>
      </c>
      <c r="B77" s="396" t="s">
        <v>2107</v>
      </c>
      <c r="C77" s="64" t="s">
        <v>1</v>
      </c>
      <c r="D77" s="393">
        <v>13</v>
      </c>
      <c r="E77" s="478">
        <v>8.33</v>
      </c>
      <c r="F77" s="471" t="s">
        <v>2009</v>
      </c>
      <c r="G77" s="481" t="s">
        <v>2012</v>
      </c>
      <c r="H77" s="402" t="str">
        <f>IF(Tableau2[[#This Row],[Moyennes]]="Absent","Absent",IF(Tableau2[[#This Row],[Moyennes]]&lt;5,"Redouble",IF(Tableau2[[#This Row],[Moyennes]]&gt;=5,"Admis"," ")))</f>
        <v>Admis</v>
      </c>
      <c r="J77" t="s">
        <v>662</v>
      </c>
      <c r="K77" t="s">
        <v>2116</v>
      </c>
      <c r="L77" s="64">
        <f>IF(AND(Tableau2[[#This Row],[CLASSE]]="CPU",Tableau2[[#This Row],[STATUT ]]="Admis"),1,0)</f>
        <v>1</v>
      </c>
      <c r="M77" s="64">
        <f>IF(AND(Tableau2[[#This Row],[CLASSE]]="CEU",Tableau2[[#This Row],[STATUT ]]="Admis"),1,0)</f>
        <v>0</v>
      </c>
      <c r="N77" s="64"/>
      <c r="O77" s="296"/>
      <c r="P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8" spans="1:16" ht="15.5" x14ac:dyDescent="0.35">
      <c r="A78" s="310">
        <v>77</v>
      </c>
      <c r="B78" s="396" t="s">
        <v>2109</v>
      </c>
      <c r="C78" s="64" t="s">
        <v>1</v>
      </c>
      <c r="D78" s="393">
        <v>13</v>
      </c>
      <c r="E78" s="478">
        <v>8.66</v>
      </c>
      <c r="F78" s="471" t="s">
        <v>2009</v>
      </c>
      <c r="G78" s="481" t="s">
        <v>2010</v>
      </c>
      <c r="H78" s="402" t="str">
        <f>IF(Tableau2[[#This Row],[Moyennes]]="Absent","Absent",IF(Tableau2[[#This Row],[Moyennes]]&lt;5,"Redouble",IF(Tableau2[[#This Row],[Moyennes]]&gt;=5,"Admis"," ")))</f>
        <v>Admis</v>
      </c>
      <c r="J78" t="s">
        <v>662</v>
      </c>
      <c r="K78" t="s">
        <v>2116</v>
      </c>
      <c r="L78" s="64">
        <f>IF(AND(Tableau2[[#This Row],[CLASSE]]="CPU",Tableau2[[#This Row],[STATUT ]]="Admis"),1,0)</f>
        <v>1</v>
      </c>
      <c r="M78" s="64">
        <f>IF(AND(Tableau2[[#This Row],[CLASSE]]="CEU",Tableau2[[#This Row],[STATUT ]]="Admis"),1,0)</f>
        <v>0</v>
      </c>
      <c r="N78" s="64"/>
      <c r="O78" s="296"/>
      <c r="P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9" spans="1:16" ht="15.5" x14ac:dyDescent="0.35">
      <c r="A79" s="310">
        <v>78</v>
      </c>
      <c r="B79" s="396" t="s">
        <v>283</v>
      </c>
      <c r="C79" s="296" t="s">
        <v>2</v>
      </c>
      <c r="D79" s="393">
        <v>9</v>
      </c>
      <c r="E79" s="478">
        <v>6</v>
      </c>
      <c r="F79" s="471" t="s">
        <v>2009</v>
      </c>
      <c r="G79" s="481" t="s">
        <v>2016</v>
      </c>
      <c r="H79" s="402" t="str">
        <f>IF(Tableau2[[#This Row],[Moyennes]]="Absent","Absent",IF(Tableau2[[#This Row],[Moyennes]]&lt;5,"Redouble",IF(Tableau2[[#This Row],[Moyennes]]&gt;=5,"Admis"," ")))</f>
        <v>Admis</v>
      </c>
      <c r="J79" t="s">
        <v>662</v>
      </c>
      <c r="K79" t="s">
        <v>2116</v>
      </c>
      <c r="L79" s="64">
        <f>IF(AND(Tableau2[[#This Row],[CLASSE]]="CPU",Tableau2[[#This Row],[STATUT ]]="Admis"),1,0)</f>
        <v>1</v>
      </c>
      <c r="M79" s="64">
        <f>IF(AND(Tableau2[[#This Row],[CLASSE]]="CEU",Tableau2[[#This Row],[STATUT ]]="Admis"),1,0)</f>
        <v>0</v>
      </c>
      <c r="N79" s="64"/>
      <c r="O79" s="296"/>
      <c r="P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0" spans="1:16" ht="15.5" x14ac:dyDescent="0.35">
      <c r="A80" s="310">
        <v>79</v>
      </c>
      <c r="B80" s="396" t="s">
        <v>2111</v>
      </c>
      <c r="C80" s="64" t="s">
        <v>1</v>
      </c>
      <c r="D80" s="393">
        <v>14</v>
      </c>
      <c r="E80" s="478">
        <v>8.08</v>
      </c>
      <c r="F80" s="471" t="s">
        <v>2009</v>
      </c>
      <c r="G80" s="481" t="s">
        <v>2018</v>
      </c>
      <c r="H80" s="402" t="str">
        <f>IF(Tableau2[[#This Row],[Moyennes]]="Absent","Absent",IF(Tableau2[[#This Row],[Moyennes]]&lt;5,"Redouble",IF(Tableau2[[#This Row],[Moyennes]]&gt;=5,"Admis"," ")))</f>
        <v>Admis</v>
      </c>
      <c r="J80" t="s">
        <v>662</v>
      </c>
      <c r="K80" t="s">
        <v>2116</v>
      </c>
      <c r="L80" s="64">
        <f>IF(AND(Tableau2[[#This Row],[CLASSE]]="CPU",Tableau2[[#This Row],[STATUT ]]="Admis"),1,0)</f>
        <v>1</v>
      </c>
      <c r="M80" s="64">
        <f>IF(AND(Tableau2[[#This Row],[CLASSE]]="CEU",Tableau2[[#This Row],[STATUT ]]="Admis"),1,0)</f>
        <v>0</v>
      </c>
      <c r="N80" s="64"/>
      <c r="O80" s="296"/>
      <c r="P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1" spans="1:16" ht="15.5" x14ac:dyDescent="0.35">
      <c r="A81" s="310">
        <v>80</v>
      </c>
      <c r="B81" s="396" t="s">
        <v>2112</v>
      </c>
      <c r="C81" s="64" t="s">
        <v>1</v>
      </c>
      <c r="D81" s="393">
        <v>13</v>
      </c>
      <c r="E81" s="478">
        <v>8.5</v>
      </c>
      <c r="F81" s="471" t="s">
        <v>2009</v>
      </c>
      <c r="G81" s="481" t="s">
        <v>815</v>
      </c>
      <c r="H81" s="402" t="str">
        <f>IF(Tableau2[[#This Row],[Moyennes]]="Absent","Absent",IF(Tableau2[[#This Row],[Moyennes]]&lt;5,"Redouble",IF(Tableau2[[#This Row],[Moyennes]]&gt;=5,"Admis"," ")))</f>
        <v>Admis</v>
      </c>
      <c r="J81" t="s">
        <v>662</v>
      </c>
      <c r="K81" t="s">
        <v>2116</v>
      </c>
      <c r="L81" s="64">
        <f>IF(AND(Tableau2[[#This Row],[CLASSE]]="CPU",Tableau2[[#This Row],[STATUT ]]="Admis"),1,0)</f>
        <v>1</v>
      </c>
      <c r="M81" s="64">
        <f>IF(AND(Tableau2[[#This Row],[CLASSE]]="CEU",Tableau2[[#This Row],[STATUT ]]="Admis"),1,0)</f>
        <v>0</v>
      </c>
      <c r="N81" s="64"/>
      <c r="O81" s="296"/>
      <c r="P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2" spans="1:16" ht="15.5" x14ac:dyDescent="0.35">
      <c r="A82" s="310">
        <v>81</v>
      </c>
      <c r="B82" s="396" t="s">
        <v>2108</v>
      </c>
      <c r="C82" s="296" t="s">
        <v>2</v>
      </c>
      <c r="D82" s="393">
        <v>9</v>
      </c>
      <c r="E82" s="478">
        <v>3.83</v>
      </c>
      <c r="F82" s="471" t="s">
        <v>2009</v>
      </c>
      <c r="G82" s="481" t="s">
        <v>2046</v>
      </c>
      <c r="H82" s="402" t="str">
        <f>IF(Tableau2[[#This Row],[Moyennes]]="Absent","Absent",IF(Tableau2[[#This Row],[Moyennes]]&lt;5,"Redouble",IF(Tableau2[[#This Row],[Moyennes]]&gt;=5,"Admis"," ")))</f>
        <v>Redouble</v>
      </c>
      <c r="J82" t="s">
        <v>662</v>
      </c>
      <c r="K82" t="s">
        <v>2116</v>
      </c>
      <c r="L82" s="64">
        <f>IF(AND(Tableau2[[#This Row],[CLASSE]]="CPU",Tableau2[[#This Row],[STATUT ]]="Admis"),1,0)</f>
        <v>0</v>
      </c>
      <c r="M82" s="64">
        <f>IF(AND(Tableau2[[#This Row],[CLASSE]]="CEU",Tableau2[[#This Row],[STATUT ]]="Admis"),1,0)</f>
        <v>0</v>
      </c>
      <c r="N82" s="64"/>
      <c r="O82" s="296"/>
      <c r="P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3" spans="1:16" ht="15.5" x14ac:dyDescent="0.35">
      <c r="A83" s="310">
        <v>82</v>
      </c>
      <c r="B83" s="396" t="s">
        <v>2110</v>
      </c>
      <c r="C83" s="64" t="s">
        <v>1</v>
      </c>
      <c r="D83" s="393">
        <v>9</v>
      </c>
      <c r="E83" s="478">
        <v>4.75</v>
      </c>
      <c r="F83" s="471" t="s">
        <v>2009</v>
      </c>
      <c r="G83" s="481" t="s">
        <v>2025</v>
      </c>
      <c r="H83" s="402" t="str">
        <f>IF(Tableau2[[#This Row],[Moyennes]]="Absent","Absent",IF(Tableau2[[#This Row],[Moyennes]]&lt;5,"Redouble",IF(Tableau2[[#This Row],[Moyennes]]&gt;=5,"Admis"," ")))</f>
        <v>Redouble</v>
      </c>
      <c r="J83" t="s">
        <v>662</v>
      </c>
      <c r="K83" t="s">
        <v>2116</v>
      </c>
      <c r="L83" s="64">
        <f>IF(AND(Tableau2[[#This Row],[CLASSE]]="CPU",Tableau2[[#This Row],[STATUT ]]="Admis"),1,0)</f>
        <v>0</v>
      </c>
      <c r="M83" s="64">
        <f>IF(AND(Tableau2[[#This Row],[CLASSE]]="CEU",Tableau2[[#This Row],[STATUT ]]="Admis"),1,0)</f>
        <v>0</v>
      </c>
      <c r="N83" s="64"/>
      <c r="O83" s="296"/>
      <c r="P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4" spans="1:16" ht="15.5" x14ac:dyDescent="0.35">
      <c r="A84" s="310">
        <v>83</v>
      </c>
      <c r="B84" s="396" t="s">
        <v>2115</v>
      </c>
      <c r="C84" s="64" t="s">
        <v>1</v>
      </c>
      <c r="D84" s="393">
        <v>9</v>
      </c>
      <c r="E84" s="478">
        <v>4.33</v>
      </c>
      <c r="F84" s="471" t="s">
        <v>2009</v>
      </c>
      <c r="G84" s="396"/>
      <c r="H84" s="402" t="str">
        <f>IF(Tableau2[[#This Row],[Moyennes]]="Absent","Absent",IF(Tableau2[[#This Row],[Moyennes]]&lt;5,"Redouble",IF(Tableau2[[#This Row],[Moyennes]]&gt;=5,"Admis"," ")))</f>
        <v>Redouble</v>
      </c>
      <c r="J84" t="s">
        <v>662</v>
      </c>
      <c r="K84" t="s">
        <v>2116</v>
      </c>
      <c r="L84" s="64">
        <f>IF(AND(Tableau2[[#This Row],[CLASSE]]="CPU",Tableau2[[#This Row],[STATUT ]]="Admis"),1,0)</f>
        <v>0</v>
      </c>
      <c r="M84" s="64">
        <f>IF(AND(Tableau2[[#This Row],[CLASSE]]="CEU",Tableau2[[#This Row],[STATUT ]]="Admis"),1,0)</f>
        <v>0</v>
      </c>
      <c r="N84" s="64"/>
      <c r="O84" s="296"/>
      <c r="P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5" spans="1:16" ht="15.5" x14ac:dyDescent="0.35">
      <c r="A85" s="310">
        <v>84</v>
      </c>
      <c r="B85" s="396" t="s">
        <v>2113</v>
      </c>
      <c r="C85" s="64" t="s">
        <v>1</v>
      </c>
      <c r="D85" s="393">
        <v>9</v>
      </c>
      <c r="E85" s="492" t="s">
        <v>2165</v>
      </c>
      <c r="F85" s="493" t="s">
        <v>2009</v>
      </c>
      <c r="G85" s="22" t="s">
        <v>2165</v>
      </c>
      <c r="H85" s="300" t="str">
        <f>IF(Tableau2[[#This Row],[Moyennes]]="Absent","Absent",IF(Tableau2[[#This Row],[Moyennes]]&lt;5,"Redouble",IF(Tableau2[[#This Row],[Moyennes]]&gt;=5,"Admis"," ")))</f>
        <v>Absent</v>
      </c>
      <c r="I85" s="17"/>
      <c r="J85" s="17" t="s">
        <v>662</v>
      </c>
      <c r="K85" s="17" t="s">
        <v>2116</v>
      </c>
      <c r="L85" s="64">
        <f>IF(AND(Tableau2[[#This Row],[CLASSE]]="CPU",Tableau2[[#This Row],[STATUT ]]="Admis"),1,0)</f>
        <v>0</v>
      </c>
      <c r="M85" s="64">
        <f>IF(AND(Tableau2[[#This Row],[CLASSE]]="CEU",Tableau2[[#This Row],[STATUT ]]="Admis"),1,0)</f>
        <v>0</v>
      </c>
      <c r="N85" s="64"/>
      <c r="O85" s="296"/>
      <c r="P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6" spans="1:16" ht="15.5" x14ac:dyDescent="0.35">
      <c r="A86" s="310">
        <v>85</v>
      </c>
      <c r="B86" s="396" t="s">
        <v>2102</v>
      </c>
      <c r="C86" s="296" t="s">
        <v>2</v>
      </c>
      <c r="D86" s="393">
        <v>9</v>
      </c>
      <c r="E86" s="492" t="s">
        <v>2165</v>
      </c>
      <c r="F86" s="493" t="s">
        <v>2009</v>
      </c>
      <c r="G86" s="22" t="s">
        <v>2165</v>
      </c>
      <c r="H86" s="300" t="str">
        <f>IF(Tableau2[[#This Row],[Moyennes]]="Absent","Absent",IF(Tableau2[[#This Row],[Moyennes]]&lt;5,"Redouble",IF(Tableau2[[#This Row],[Moyennes]]&gt;=5,"Admis"," ")))</f>
        <v>Absent</v>
      </c>
      <c r="I86" s="17"/>
      <c r="J86" s="17" t="s">
        <v>662</v>
      </c>
      <c r="K86" s="17" t="s">
        <v>2116</v>
      </c>
      <c r="L86" s="64">
        <f>IF(AND(Tableau2[[#This Row],[CLASSE]]="CPU",Tableau2[[#This Row],[STATUT ]]="Admis"),1,0)</f>
        <v>0</v>
      </c>
      <c r="M86" s="64">
        <f>IF(AND(Tableau2[[#This Row],[CLASSE]]="CEU",Tableau2[[#This Row],[STATUT ]]="Admis"),1,0)</f>
        <v>0</v>
      </c>
      <c r="N86" s="64"/>
      <c r="O86" s="296"/>
      <c r="P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7" spans="1:16" ht="21" x14ac:dyDescent="0.35">
      <c r="A87" s="310">
        <v>86</v>
      </c>
      <c r="B87" s="396" t="s">
        <v>2117</v>
      </c>
      <c r="C87" s="64" t="s">
        <v>1</v>
      </c>
      <c r="D87" s="295">
        <v>10</v>
      </c>
      <c r="E87" s="402">
        <v>6.66</v>
      </c>
      <c r="F87" s="482" t="s">
        <v>2009</v>
      </c>
      <c r="G87" s="401" t="s">
        <v>2033</v>
      </c>
      <c r="H87" s="402" t="str">
        <f>IF(Tableau2[[#This Row],[Moyennes]]="Absent","Absent",IF(Tableau2[[#This Row],[Moyennes]]&lt;5,"Redouble",IF(Tableau2[[#This Row],[Moyennes]]&gt;=5,"Admis"," ")))</f>
        <v>Admis</v>
      </c>
      <c r="I87" s="486"/>
      <c r="J87" t="s">
        <v>662</v>
      </c>
      <c r="K87" t="s">
        <v>2116</v>
      </c>
      <c r="L87" s="64">
        <f>IF(AND(Tableau2[[#This Row],[CLASSE]]="CPU",Tableau2[[#This Row],[STATUT ]]="Admis"),1,0)</f>
        <v>1</v>
      </c>
      <c r="M87" s="64">
        <f>IF(AND(Tableau2[[#This Row],[CLASSE]]="CEU",Tableau2[[#This Row],[STATUT ]]="Admis"),1,0)</f>
        <v>0</v>
      </c>
      <c r="N87" s="64"/>
      <c r="O87" s="296"/>
      <c r="P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8" spans="1:16" ht="21" x14ac:dyDescent="0.35">
      <c r="A88" s="310">
        <v>87</v>
      </c>
      <c r="B88" s="396" t="s">
        <v>2118</v>
      </c>
      <c r="C88" s="64" t="s">
        <v>1</v>
      </c>
      <c r="D88" s="295">
        <v>11</v>
      </c>
      <c r="E88" s="402">
        <v>7.66</v>
      </c>
      <c r="F88" s="482" t="s">
        <v>2009</v>
      </c>
      <c r="G88" s="401" t="s">
        <v>2027</v>
      </c>
      <c r="H88" s="402" t="str">
        <f>IF(Tableau2[[#This Row],[Moyennes]]="Absent","Absent",IF(Tableau2[[#This Row],[Moyennes]]&lt;5,"Redouble",IF(Tableau2[[#This Row],[Moyennes]]&gt;=5,"Admis"," ")))</f>
        <v>Admis</v>
      </c>
      <c r="I88" s="486"/>
      <c r="J88" t="s">
        <v>662</v>
      </c>
      <c r="K88" t="s">
        <v>2116</v>
      </c>
      <c r="L88" s="64">
        <f>IF(AND(Tableau2[[#This Row],[CLASSE]]="CPU",Tableau2[[#This Row],[STATUT ]]="Admis"),1,0)</f>
        <v>1</v>
      </c>
      <c r="M88" s="64">
        <f>IF(AND(Tableau2[[#This Row],[CLASSE]]="CEU",Tableau2[[#This Row],[STATUT ]]="Admis"),1,0)</f>
        <v>0</v>
      </c>
      <c r="N88" s="64"/>
      <c r="O88" s="296"/>
      <c r="P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9" spans="1:16" ht="21" x14ac:dyDescent="0.35">
      <c r="A89" s="310">
        <v>88</v>
      </c>
      <c r="B89" s="396" t="s">
        <v>2119</v>
      </c>
      <c r="C89" s="64" t="s">
        <v>1</v>
      </c>
      <c r="D89" s="295">
        <v>10</v>
      </c>
      <c r="E89" s="402">
        <v>7.91</v>
      </c>
      <c r="F89" s="482" t="s">
        <v>2009</v>
      </c>
      <c r="G89" s="402" t="s">
        <v>2018</v>
      </c>
      <c r="H89" s="402" t="str">
        <f>IF(Tableau2[[#This Row],[Moyennes]]="Absent","Absent",IF(Tableau2[[#This Row],[Moyennes]]&lt;5,"Redouble",IF(Tableau2[[#This Row],[Moyennes]]&gt;=5,"Admis"," ")))</f>
        <v>Admis</v>
      </c>
      <c r="I89" s="486"/>
      <c r="J89" t="s">
        <v>662</v>
      </c>
      <c r="K89" t="s">
        <v>2116</v>
      </c>
      <c r="L89" s="64">
        <f>IF(AND(Tableau2[[#This Row],[CLASSE]]="CPU",Tableau2[[#This Row],[STATUT ]]="Admis"),1,0)</f>
        <v>1</v>
      </c>
      <c r="M89" s="64">
        <f>IF(AND(Tableau2[[#This Row],[CLASSE]]="CEU",Tableau2[[#This Row],[STATUT ]]="Admis"),1,0)</f>
        <v>0</v>
      </c>
      <c r="N89" s="64"/>
      <c r="O89" s="296"/>
      <c r="P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0" spans="1:16" ht="21" x14ac:dyDescent="0.35">
      <c r="A90" s="310">
        <v>89</v>
      </c>
      <c r="B90" s="396" t="s">
        <v>3474</v>
      </c>
      <c r="C90" s="64" t="s">
        <v>2</v>
      </c>
      <c r="D90" s="295">
        <v>9</v>
      </c>
      <c r="E90" s="406">
        <v>5.41</v>
      </c>
      <c r="F90" s="482" t="s">
        <v>2009</v>
      </c>
      <c r="G90" s="402" t="s">
        <v>2042</v>
      </c>
      <c r="H90" s="402" t="str">
        <f>IF(Tableau2[[#This Row],[Moyennes]]="Absent","Absent",IF(Tableau2[[#This Row],[Moyennes]]&lt;5,"Redouble",IF(Tableau2[[#This Row],[Moyennes]]&gt;=5,"Admis"," ")))</f>
        <v>Admis</v>
      </c>
      <c r="I90" s="486"/>
      <c r="J90" t="s">
        <v>662</v>
      </c>
      <c r="K90" t="s">
        <v>2116</v>
      </c>
      <c r="L90" s="64">
        <f>IF(AND(Tableau2[[#This Row],[CLASSE]]="CPU",Tableau2[[#This Row],[STATUT ]]="Admis"),1,0)</f>
        <v>1</v>
      </c>
      <c r="M90" s="64">
        <f>IF(AND(Tableau2[[#This Row],[CLASSE]]="CEU",Tableau2[[#This Row],[STATUT ]]="Admis"),1,0)</f>
        <v>0</v>
      </c>
      <c r="N90" s="64"/>
      <c r="O90" s="296"/>
      <c r="P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1" spans="1:16" ht="21" x14ac:dyDescent="0.35">
      <c r="A91" s="310">
        <v>90</v>
      </c>
      <c r="B91" s="403" t="s">
        <v>2120</v>
      </c>
      <c r="C91" s="411" t="s">
        <v>2</v>
      </c>
      <c r="D91" s="295">
        <v>9</v>
      </c>
      <c r="E91" s="406">
        <v>7.41</v>
      </c>
      <c r="F91" s="482" t="s">
        <v>2009</v>
      </c>
      <c r="G91" s="402" t="s">
        <v>2021</v>
      </c>
      <c r="H91" s="402" t="str">
        <f>IF(Tableau2[[#This Row],[Moyennes]]="Absent","Absent",IF(Tableau2[[#This Row],[Moyennes]]&lt;5,"Redouble",IF(Tableau2[[#This Row],[Moyennes]]&gt;=5,"Admis"," ")))</f>
        <v>Admis</v>
      </c>
      <c r="I91" s="486"/>
      <c r="J91" t="s">
        <v>662</v>
      </c>
      <c r="K91" t="s">
        <v>2116</v>
      </c>
      <c r="L91" s="64">
        <f>IF(AND(Tableau2[[#This Row],[CLASSE]]="CPU",Tableau2[[#This Row],[STATUT ]]="Admis"),1,0)</f>
        <v>1</v>
      </c>
      <c r="M91" s="64">
        <f>IF(AND(Tableau2[[#This Row],[CLASSE]]="CEU",Tableau2[[#This Row],[STATUT ]]="Admis"),1,0)</f>
        <v>0</v>
      </c>
      <c r="N91" s="64"/>
      <c r="O91" s="296"/>
      <c r="P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2" spans="1:16" ht="21" x14ac:dyDescent="0.35">
      <c r="A92" s="310">
        <v>91</v>
      </c>
      <c r="B92" s="396" t="s">
        <v>2121</v>
      </c>
      <c r="C92" s="64" t="s">
        <v>1</v>
      </c>
      <c r="D92" s="295">
        <v>9</v>
      </c>
      <c r="E92" s="406">
        <v>5</v>
      </c>
      <c r="F92" s="482" t="s">
        <v>2009</v>
      </c>
      <c r="G92" s="402" t="s">
        <v>2025</v>
      </c>
      <c r="H92" s="402" t="str">
        <f>IF(Tableau2[[#This Row],[Moyennes]]="Absent","Absent",IF(Tableau2[[#This Row],[Moyennes]]&lt;5,"Redouble",IF(Tableau2[[#This Row],[Moyennes]]&gt;=5,"Admis"," ")))</f>
        <v>Admis</v>
      </c>
      <c r="I92" s="486"/>
      <c r="J92" t="s">
        <v>662</v>
      </c>
      <c r="K92" t="s">
        <v>2116</v>
      </c>
      <c r="L92" s="64">
        <f>IF(AND(Tableau2[[#This Row],[CLASSE]]="CPU",Tableau2[[#This Row],[STATUT ]]="Admis"),1,0)</f>
        <v>1</v>
      </c>
      <c r="M92" s="64">
        <f>IF(AND(Tableau2[[#This Row],[CLASSE]]="CEU",Tableau2[[#This Row],[STATUT ]]="Admis"),1,0)</f>
        <v>0</v>
      </c>
      <c r="N92" s="64"/>
      <c r="O92" s="296"/>
      <c r="P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3" spans="1:16" ht="21" x14ac:dyDescent="0.35">
      <c r="A93" s="310">
        <v>92</v>
      </c>
      <c r="B93" s="396" t="s">
        <v>2122</v>
      </c>
      <c r="C93" s="64" t="s">
        <v>2</v>
      </c>
      <c r="D93" s="295">
        <v>10</v>
      </c>
      <c r="E93" s="406">
        <v>8.08</v>
      </c>
      <c r="F93" s="482" t="s">
        <v>2009</v>
      </c>
      <c r="G93" s="396" t="s">
        <v>815</v>
      </c>
      <c r="H93" s="402" t="str">
        <f>IF(Tableau2[[#This Row],[Moyennes]]="Absent","Absent",IF(Tableau2[[#This Row],[Moyennes]]&lt;5,"Redouble",IF(Tableau2[[#This Row],[Moyennes]]&gt;=5,"Admis"," ")))</f>
        <v>Admis</v>
      </c>
      <c r="J93" t="s">
        <v>662</v>
      </c>
      <c r="K93" t="s">
        <v>2116</v>
      </c>
      <c r="L93" s="64">
        <f>IF(AND(Tableau2[[#This Row],[CLASSE]]="CPU",Tableau2[[#This Row],[STATUT ]]="Admis"),1,0)</f>
        <v>1</v>
      </c>
      <c r="M93" s="64">
        <f>IF(AND(Tableau2[[#This Row],[CLASSE]]="CEU",Tableau2[[#This Row],[STATUT ]]="Admis"),1,0)</f>
        <v>0</v>
      </c>
      <c r="N93" s="64"/>
      <c r="O93" s="296"/>
      <c r="P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4" spans="1:16" ht="21" x14ac:dyDescent="0.35">
      <c r="A94" s="310">
        <v>93</v>
      </c>
      <c r="B94" s="396" t="s">
        <v>2123</v>
      </c>
      <c r="C94" s="64" t="s">
        <v>2</v>
      </c>
      <c r="D94" s="295">
        <v>9</v>
      </c>
      <c r="E94" s="406">
        <v>6.5</v>
      </c>
      <c r="F94" s="482" t="s">
        <v>2009</v>
      </c>
      <c r="G94" s="396" t="s">
        <v>2062</v>
      </c>
      <c r="H94" s="402" t="str">
        <f>IF(Tableau2[[#This Row],[Moyennes]]="Absent","Absent",IF(Tableau2[[#This Row],[Moyennes]]&lt;5,"Redouble",IF(Tableau2[[#This Row],[Moyennes]]&gt;=5,"Admis"," ")))</f>
        <v>Admis</v>
      </c>
      <c r="J94" t="s">
        <v>662</v>
      </c>
      <c r="K94" t="s">
        <v>2116</v>
      </c>
      <c r="L94" s="64">
        <f>IF(AND(Tableau2[[#This Row],[CLASSE]]="CPU",Tableau2[[#This Row],[STATUT ]]="Admis"),1,0)</f>
        <v>1</v>
      </c>
      <c r="M94" s="64">
        <f>IF(AND(Tableau2[[#This Row],[CLASSE]]="CEU",Tableau2[[#This Row],[STATUT ]]="Admis"),1,0)</f>
        <v>0</v>
      </c>
      <c r="N94" s="64"/>
      <c r="O94" s="296"/>
      <c r="P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5" spans="1:16" ht="21" x14ac:dyDescent="0.35">
      <c r="A95" s="310">
        <v>94</v>
      </c>
      <c r="B95" s="396" t="s">
        <v>2124</v>
      </c>
      <c r="C95" s="64" t="s">
        <v>1</v>
      </c>
      <c r="D95" s="295">
        <v>9</v>
      </c>
      <c r="E95" s="406">
        <v>7.91</v>
      </c>
      <c r="F95" s="482" t="s">
        <v>2009</v>
      </c>
      <c r="G95" s="396" t="s">
        <v>2018</v>
      </c>
      <c r="H95" s="402" t="str">
        <f>IF(Tableau2[[#This Row],[Moyennes]]="Absent","Absent",IF(Tableau2[[#This Row],[Moyennes]]&lt;5,"Redouble",IF(Tableau2[[#This Row],[Moyennes]]&gt;=5,"Admis"," ")))</f>
        <v>Admis</v>
      </c>
      <c r="J95" t="s">
        <v>662</v>
      </c>
      <c r="K95" t="s">
        <v>2116</v>
      </c>
      <c r="L95" s="64">
        <f>IF(AND(Tableau2[[#This Row],[CLASSE]]="CPU",Tableau2[[#This Row],[STATUT ]]="Admis"),1,0)</f>
        <v>1</v>
      </c>
      <c r="M95" s="64">
        <f>IF(AND(Tableau2[[#This Row],[CLASSE]]="CEU",Tableau2[[#This Row],[STATUT ]]="Admis"),1,0)</f>
        <v>0</v>
      </c>
      <c r="N95" s="64"/>
      <c r="O95" s="296"/>
      <c r="P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6" spans="1:16" ht="21" x14ac:dyDescent="0.35">
      <c r="A96" s="310">
        <v>95</v>
      </c>
      <c r="B96" s="396" t="s">
        <v>2125</v>
      </c>
      <c r="C96" s="64" t="s">
        <v>1</v>
      </c>
      <c r="D96" s="295">
        <v>9</v>
      </c>
      <c r="E96" s="406">
        <v>7.5</v>
      </c>
      <c r="F96" s="482" t="s">
        <v>2009</v>
      </c>
      <c r="G96" s="396" t="s">
        <v>2089</v>
      </c>
      <c r="H96" s="402" t="str">
        <f>IF(Tableau2[[#This Row],[Moyennes]]="Absent","Absent",IF(Tableau2[[#This Row],[Moyennes]]&lt;5,"Redouble",IF(Tableau2[[#This Row],[Moyennes]]&gt;=5,"Admis"," ")))</f>
        <v>Admis</v>
      </c>
      <c r="J96" t="s">
        <v>662</v>
      </c>
      <c r="K96" t="s">
        <v>2116</v>
      </c>
      <c r="L96" s="64">
        <f>IF(AND(Tableau2[[#This Row],[CLASSE]]="CPU",Tableau2[[#This Row],[STATUT ]]="Admis"),1,0)</f>
        <v>1</v>
      </c>
      <c r="M96" s="64">
        <f>IF(AND(Tableau2[[#This Row],[CLASSE]]="CEU",Tableau2[[#This Row],[STATUT ]]="Admis"),1,0)</f>
        <v>0</v>
      </c>
      <c r="N96" s="64"/>
      <c r="O96" s="296"/>
      <c r="P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7" spans="1:16" ht="21" x14ac:dyDescent="0.35">
      <c r="A97" s="310">
        <v>96</v>
      </c>
      <c r="B97" s="396" t="s">
        <v>2126</v>
      </c>
      <c r="C97" s="64" t="s">
        <v>1</v>
      </c>
      <c r="D97" s="295">
        <v>9</v>
      </c>
      <c r="E97" s="406">
        <v>8</v>
      </c>
      <c r="F97" s="482" t="s">
        <v>2009</v>
      </c>
      <c r="G97" s="396" t="s">
        <v>2012</v>
      </c>
      <c r="H97" s="402" t="str">
        <f>IF(Tableau2[[#This Row],[Moyennes]]="Absent","Absent",IF(Tableau2[[#This Row],[Moyennes]]&lt;5,"Redouble",IF(Tableau2[[#This Row],[Moyennes]]&gt;=5,"Admis"," ")))</f>
        <v>Admis</v>
      </c>
      <c r="J97" t="s">
        <v>662</v>
      </c>
      <c r="K97" t="s">
        <v>2116</v>
      </c>
      <c r="L97" s="64">
        <f>IF(AND(Tableau2[[#This Row],[CLASSE]]="CPU",Tableau2[[#This Row],[STATUT ]]="Admis"),1,0)</f>
        <v>1</v>
      </c>
      <c r="M97" s="64">
        <f>IF(AND(Tableau2[[#This Row],[CLASSE]]="CEU",Tableau2[[#This Row],[STATUT ]]="Admis"),1,0)</f>
        <v>0</v>
      </c>
      <c r="N97" s="64"/>
      <c r="O97" s="296"/>
      <c r="P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8" spans="1:16" ht="21" x14ac:dyDescent="0.35">
      <c r="A98" s="310">
        <v>97</v>
      </c>
      <c r="B98" s="396" t="s">
        <v>2127</v>
      </c>
      <c r="C98" s="64" t="s">
        <v>2</v>
      </c>
      <c r="D98" s="295">
        <v>10</v>
      </c>
      <c r="E98" s="406">
        <v>5.6</v>
      </c>
      <c r="F98" s="482" t="s">
        <v>2009</v>
      </c>
      <c r="G98" s="396" t="s">
        <v>2023</v>
      </c>
      <c r="H98" s="402" t="str">
        <f>IF(Tableau2[[#This Row],[Moyennes]]="Absent","Absent",IF(Tableau2[[#This Row],[Moyennes]]&lt;5,"Redouble",IF(Tableau2[[#This Row],[Moyennes]]&gt;=5,"Admis"," ")))</f>
        <v>Admis</v>
      </c>
      <c r="J98" t="s">
        <v>662</v>
      </c>
      <c r="K98" t="s">
        <v>2116</v>
      </c>
      <c r="L98" s="64">
        <f>IF(AND(Tableau2[[#This Row],[CLASSE]]="CPU",Tableau2[[#This Row],[STATUT ]]="Admis"),1,0)</f>
        <v>1</v>
      </c>
      <c r="M98" s="64">
        <f>IF(AND(Tableau2[[#This Row],[CLASSE]]="CEU",Tableau2[[#This Row],[STATUT ]]="Admis"),1,0)</f>
        <v>0</v>
      </c>
      <c r="N98" s="64"/>
      <c r="O98" s="296"/>
      <c r="P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99" spans="1:16" ht="21" x14ac:dyDescent="0.35">
      <c r="A99" s="310">
        <v>98</v>
      </c>
      <c r="B99" s="396" t="s">
        <v>2128</v>
      </c>
      <c r="C99" s="64" t="s">
        <v>1</v>
      </c>
      <c r="D99" s="295">
        <v>9</v>
      </c>
      <c r="E99" s="406">
        <v>8.41</v>
      </c>
      <c r="F99" s="482" t="s">
        <v>2009</v>
      </c>
      <c r="G99" s="396" t="s">
        <v>2035</v>
      </c>
      <c r="H99" s="402" t="str">
        <f>IF(Tableau2[[#This Row],[Moyennes]]="Absent","Absent",IF(Tableau2[[#This Row],[Moyennes]]&lt;5,"Redouble",IF(Tableau2[[#This Row],[Moyennes]]&gt;=5,"Admis"," ")))</f>
        <v>Admis</v>
      </c>
      <c r="J99" t="s">
        <v>662</v>
      </c>
      <c r="K99" t="s">
        <v>2116</v>
      </c>
      <c r="L99" s="64">
        <f>IF(AND(Tableau2[[#This Row],[CLASSE]]="CPU",Tableau2[[#This Row],[STATUT ]]="Admis"),1,0)</f>
        <v>1</v>
      </c>
      <c r="M99" s="64">
        <f>IF(AND(Tableau2[[#This Row],[CLASSE]]="CEU",Tableau2[[#This Row],[STATUT ]]="Admis"),1,0)</f>
        <v>0</v>
      </c>
      <c r="N99" s="64"/>
      <c r="O99" s="296"/>
      <c r="P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00" spans="1:16" ht="21" x14ac:dyDescent="0.35">
      <c r="A100" s="310">
        <v>99</v>
      </c>
      <c r="B100" s="396" t="s">
        <v>2129</v>
      </c>
      <c r="C100" s="64" t="s">
        <v>1</v>
      </c>
      <c r="D100" s="295">
        <v>9</v>
      </c>
      <c r="E100" s="406">
        <v>7.83</v>
      </c>
      <c r="F100" s="482" t="s">
        <v>2009</v>
      </c>
      <c r="G100" s="396" t="s">
        <v>2048</v>
      </c>
      <c r="H100" s="402" t="str">
        <f>IF(Tableau2[[#This Row],[Moyennes]]="Absent","Absent",IF(Tableau2[[#This Row],[Moyennes]]&lt;5,"Redouble",IF(Tableau2[[#This Row],[Moyennes]]&gt;=5,"Admis"," ")))</f>
        <v>Admis</v>
      </c>
      <c r="J100" t="s">
        <v>662</v>
      </c>
      <c r="K100" t="s">
        <v>2116</v>
      </c>
      <c r="L100" s="64">
        <f>IF(AND(Tableau2[[#This Row],[CLASSE]]="CPU",Tableau2[[#This Row],[STATUT ]]="Admis"),1,0)</f>
        <v>1</v>
      </c>
      <c r="M100" s="64">
        <f>IF(AND(Tableau2[[#This Row],[CLASSE]]="CEU",Tableau2[[#This Row],[STATUT ]]="Admis"),1,0)</f>
        <v>0</v>
      </c>
      <c r="N100" s="64"/>
      <c r="O100" s="296"/>
      <c r="P1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01" spans="1:16" ht="21" x14ac:dyDescent="0.35">
      <c r="A101" s="310">
        <v>100</v>
      </c>
      <c r="B101" s="396" t="s">
        <v>2130</v>
      </c>
      <c r="C101" s="64" t="s">
        <v>1</v>
      </c>
      <c r="D101" s="295">
        <v>11</v>
      </c>
      <c r="E101" s="406">
        <v>8.33</v>
      </c>
      <c r="F101" s="482" t="s">
        <v>2009</v>
      </c>
      <c r="G101" s="396" t="s">
        <v>2010</v>
      </c>
      <c r="H101" s="402" t="str">
        <f>IF(Tableau2[[#This Row],[Moyennes]]="Absent","Absent",IF(Tableau2[[#This Row],[Moyennes]]&lt;5,"Redouble",IF(Tableau2[[#This Row],[Moyennes]]&gt;=5,"Admis"," ")))</f>
        <v>Admis</v>
      </c>
      <c r="J101" t="s">
        <v>662</v>
      </c>
      <c r="K101" t="s">
        <v>2116</v>
      </c>
      <c r="L101" s="64">
        <f>IF(AND(Tableau2[[#This Row],[CLASSE]]="CPU",Tableau2[[#This Row],[STATUT ]]="Admis"),1,0)</f>
        <v>1</v>
      </c>
      <c r="M101" s="64">
        <f>IF(AND(Tableau2[[#This Row],[CLASSE]]="CEU",Tableau2[[#This Row],[STATUT ]]="Admis"),1,0)</f>
        <v>0</v>
      </c>
      <c r="N101" s="64"/>
      <c r="O101" s="296"/>
      <c r="P1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02" spans="1:16" ht="21" x14ac:dyDescent="0.35">
      <c r="A102" s="310">
        <v>101</v>
      </c>
      <c r="B102" s="396" t="s">
        <v>2131</v>
      </c>
      <c r="C102" s="64" t="s">
        <v>1</v>
      </c>
      <c r="D102" s="295">
        <v>9</v>
      </c>
      <c r="E102" s="406">
        <v>6.58</v>
      </c>
      <c r="F102" s="482" t="s">
        <v>2009</v>
      </c>
      <c r="G102" s="396" t="s">
        <v>2016</v>
      </c>
      <c r="H102" s="402" t="str">
        <f>IF(Tableau2[[#This Row],[Moyennes]]="Absent","Absent",IF(Tableau2[[#This Row],[Moyennes]]&lt;5,"Redouble",IF(Tableau2[[#This Row],[Moyennes]]&gt;=5,"Admis"," ")))</f>
        <v>Admis</v>
      </c>
      <c r="J102" t="s">
        <v>662</v>
      </c>
      <c r="K102" t="s">
        <v>2116</v>
      </c>
      <c r="L102" s="64">
        <f>IF(AND(Tableau2[[#This Row],[CLASSE]]="CPU",Tableau2[[#This Row],[STATUT ]]="Admis"),1,0)</f>
        <v>1</v>
      </c>
      <c r="M102" s="64">
        <f>IF(AND(Tableau2[[#This Row],[CLASSE]]="CEU",Tableau2[[#This Row],[STATUT ]]="Admis"),1,0)</f>
        <v>0</v>
      </c>
      <c r="N102" s="64"/>
      <c r="O102" s="296"/>
      <c r="P1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03" spans="1:16" ht="21" x14ac:dyDescent="0.35">
      <c r="A103" s="310">
        <v>102</v>
      </c>
      <c r="B103" s="396" t="s">
        <v>2132</v>
      </c>
      <c r="C103" s="64" t="s">
        <v>2</v>
      </c>
      <c r="D103" s="295">
        <v>9</v>
      </c>
      <c r="E103" s="406">
        <v>3.2</v>
      </c>
      <c r="F103" s="482" t="s">
        <v>2009</v>
      </c>
      <c r="G103" s="396" t="s">
        <v>2030</v>
      </c>
      <c r="H103" s="402" t="str">
        <f>IF(Tableau2[[#This Row],[Moyennes]]="Absent","Absent",IF(Tableau2[[#This Row],[Moyennes]]&lt;5,"Redouble",IF(Tableau2[[#This Row],[Moyennes]]&gt;=5,"Admis"," ")))</f>
        <v>Redouble</v>
      </c>
      <c r="J103" t="s">
        <v>662</v>
      </c>
      <c r="K103" t="s">
        <v>2116</v>
      </c>
      <c r="L103" s="64">
        <f>IF(AND(Tableau2[[#This Row],[CLASSE]]="CPU",Tableau2[[#This Row],[STATUT ]]="Admis"),1,0)</f>
        <v>0</v>
      </c>
      <c r="M103" s="64">
        <f>IF(AND(Tableau2[[#This Row],[CLASSE]]="CEU",Tableau2[[#This Row],[STATUT ]]="Admis"),1,0)</f>
        <v>0</v>
      </c>
      <c r="N103" s="64"/>
      <c r="O103" s="296"/>
      <c r="P1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04" spans="1:16" ht="21" x14ac:dyDescent="0.35">
      <c r="A104" s="310">
        <v>103</v>
      </c>
      <c r="B104" s="396" t="s">
        <v>2133</v>
      </c>
      <c r="C104" s="64" t="s">
        <v>2</v>
      </c>
      <c r="D104" s="295">
        <v>9</v>
      </c>
      <c r="E104" s="406">
        <v>3.41</v>
      </c>
      <c r="F104" s="482" t="s">
        <v>2009</v>
      </c>
      <c r="G104" s="396" t="s">
        <v>2046</v>
      </c>
      <c r="H104" s="402" t="str">
        <f>IF(Tableau2[[#This Row],[Moyennes]]="Absent","Absent",IF(Tableau2[[#This Row],[Moyennes]]&lt;5,"Redouble",IF(Tableau2[[#This Row],[Moyennes]]&gt;=5,"Admis"," ")))</f>
        <v>Redouble</v>
      </c>
      <c r="J104" t="s">
        <v>662</v>
      </c>
      <c r="K104" t="s">
        <v>2116</v>
      </c>
      <c r="L104" s="64">
        <f>IF(AND(Tableau2[[#This Row],[CLASSE]]="CPU",Tableau2[[#This Row],[STATUT ]]="Admis"),1,0)</f>
        <v>0</v>
      </c>
      <c r="M104" s="64">
        <f>IF(AND(Tableau2[[#This Row],[CLASSE]]="CEU",Tableau2[[#This Row],[STATUT ]]="Admis"),1,0)</f>
        <v>0</v>
      </c>
      <c r="N104" s="64"/>
      <c r="O104" s="296"/>
      <c r="P1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05" spans="1:16" ht="21" x14ac:dyDescent="0.35">
      <c r="A105" s="310">
        <v>104</v>
      </c>
      <c r="B105" s="396" t="s">
        <v>3391</v>
      </c>
      <c r="C105" s="64" t="s">
        <v>2</v>
      </c>
      <c r="D105" s="295">
        <v>9</v>
      </c>
      <c r="E105" s="406">
        <v>2</v>
      </c>
      <c r="F105" s="482" t="s">
        <v>2009</v>
      </c>
      <c r="G105" s="396" t="s">
        <v>2066</v>
      </c>
      <c r="H105" s="402" t="str">
        <f>IF(Tableau2[[#This Row],[Moyennes]]="Absent","Absent",IF(Tableau2[[#This Row],[Moyennes]]&lt;5,"Redouble",IF(Tableau2[[#This Row],[Moyennes]]&gt;=5,"Admis"," ")))</f>
        <v>Redouble</v>
      </c>
      <c r="J105" t="s">
        <v>662</v>
      </c>
      <c r="K105" t="s">
        <v>2116</v>
      </c>
      <c r="L105" s="64">
        <f>IF(AND(Tableau2[[#This Row],[CLASSE]]="CPU",Tableau2[[#This Row],[STATUT ]]="Admis"),1,0)</f>
        <v>0</v>
      </c>
      <c r="M105" s="64">
        <f>IF(AND(Tableau2[[#This Row],[CLASSE]]="CEU",Tableau2[[#This Row],[STATUT ]]="Admis"),1,0)</f>
        <v>0</v>
      </c>
      <c r="N105" s="64"/>
      <c r="O105" s="296"/>
      <c r="P1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06" spans="1:16" ht="21" x14ac:dyDescent="0.35">
      <c r="A106" s="310">
        <v>105</v>
      </c>
      <c r="B106" s="396" t="s">
        <v>2106</v>
      </c>
      <c r="C106" s="64" t="s">
        <v>2</v>
      </c>
      <c r="D106" s="295">
        <v>9</v>
      </c>
      <c r="E106" s="406">
        <v>2.83</v>
      </c>
      <c r="F106" s="482" t="s">
        <v>2009</v>
      </c>
      <c r="G106" s="396" t="s">
        <v>2078</v>
      </c>
      <c r="H106" s="402" t="str">
        <f>IF(Tableau2[[#This Row],[Moyennes]]="Absent","Absent",IF(Tableau2[[#This Row],[Moyennes]]&lt;5,"Redouble",IF(Tableau2[[#This Row],[Moyennes]]&gt;=5,"Admis"," ")))</f>
        <v>Redouble</v>
      </c>
      <c r="J106" t="s">
        <v>662</v>
      </c>
      <c r="K106" t="s">
        <v>2116</v>
      </c>
      <c r="L106" s="64">
        <f>IF(AND(Tableau2[[#This Row],[CLASSE]]="CPU",Tableau2[[#This Row],[STATUT ]]="Admis"),1,0)</f>
        <v>0</v>
      </c>
      <c r="M106" s="64">
        <f>IF(AND(Tableau2[[#This Row],[CLASSE]]="CEU",Tableau2[[#This Row],[STATUT ]]="Admis"),1,0)</f>
        <v>0</v>
      </c>
      <c r="N106" s="64"/>
      <c r="O106" s="296"/>
      <c r="P1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07" spans="1:16" ht="21" x14ac:dyDescent="0.35">
      <c r="A107" s="310">
        <v>106</v>
      </c>
      <c r="B107" s="396" t="s">
        <v>2134</v>
      </c>
      <c r="C107" s="64" t="s">
        <v>1</v>
      </c>
      <c r="D107" s="295">
        <v>9</v>
      </c>
      <c r="E107" s="299" t="s">
        <v>2165</v>
      </c>
      <c r="F107" s="305" t="s">
        <v>2009</v>
      </c>
      <c r="G107" s="22" t="s">
        <v>2165</v>
      </c>
      <c r="H107" s="300" t="str">
        <f>IF(Tableau2[[#This Row],[Moyennes]]="Absent","Absent",IF(Tableau2[[#This Row],[Moyennes]]&lt;5,"Redouble",IF(Tableau2[[#This Row],[Moyennes]]&gt;=5,"Admis"," ")))</f>
        <v>Absent</v>
      </c>
      <c r="I107" s="17"/>
      <c r="J107" s="17" t="s">
        <v>662</v>
      </c>
      <c r="K107" s="17" t="s">
        <v>2116</v>
      </c>
      <c r="L107" s="64">
        <f>IF(AND(Tableau2[[#This Row],[CLASSE]]="CPU",Tableau2[[#This Row],[STATUT ]]="Admis"),1,0)</f>
        <v>0</v>
      </c>
      <c r="M107" s="64">
        <f>IF(AND(Tableau2[[#This Row],[CLASSE]]="CEU",Tableau2[[#This Row],[STATUT ]]="Admis"),1,0)</f>
        <v>0</v>
      </c>
      <c r="N107" s="64"/>
      <c r="O107" s="296"/>
      <c r="P1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08" spans="1:16" ht="21" x14ac:dyDescent="0.35">
      <c r="A108" s="310">
        <v>107</v>
      </c>
      <c r="B108" s="396" t="s">
        <v>3475</v>
      </c>
      <c r="C108" s="64" t="s">
        <v>2</v>
      </c>
      <c r="D108" s="295">
        <v>9</v>
      </c>
      <c r="E108" s="402">
        <v>6.83</v>
      </c>
      <c r="F108" s="482" t="s">
        <v>2009</v>
      </c>
      <c r="G108" s="401" t="s">
        <v>2089</v>
      </c>
      <c r="H108" s="402" t="str">
        <f>IF(Tableau2[[#This Row],[Moyennes]]="Absent","Absent",IF(Tableau2[[#This Row],[Moyennes]]&lt;5,"Redouble",IF(Tableau2[[#This Row],[Moyennes]]&gt;=5,"Admis"," ")))</f>
        <v>Admis</v>
      </c>
      <c r="I108" s="486"/>
      <c r="J108" t="s">
        <v>662</v>
      </c>
      <c r="K108" t="s">
        <v>2135</v>
      </c>
      <c r="L108" s="64">
        <f>IF(AND(Tableau2[[#This Row],[CLASSE]]="CPU",Tableau2[[#This Row],[STATUT ]]="Admis"),1,0)</f>
        <v>1</v>
      </c>
      <c r="M108" s="64">
        <f>IF(AND(Tableau2[[#This Row],[CLASSE]]="CEU",Tableau2[[#This Row],[STATUT ]]="Admis"),1,0)</f>
        <v>0</v>
      </c>
      <c r="N108" s="64"/>
      <c r="O108" s="296"/>
      <c r="P1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09" spans="1:16" ht="21" x14ac:dyDescent="0.35">
      <c r="A109" s="310">
        <v>108</v>
      </c>
      <c r="B109" s="396" t="s">
        <v>3476</v>
      </c>
      <c r="C109" s="64" t="s">
        <v>1</v>
      </c>
      <c r="D109" s="295">
        <v>9</v>
      </c>
      <c r="E109" s="402">
        <v>7.83</v>
      </c>
      <c r="F109" s="482" t="s">
        <v>2009</v>
      </c>
      <c r="G109" s="401" t="s">
        <v>2018</v>
      </c>
      <c r="H109" s="402" t="str">
        <f>IF(Tableau2[[#This Row],[Moyennes]]="Absent","Absent",IF(Tableau2[[#This Row],[Moyennes]]&lt;5,"Redouble",IF(Tableau2[[#This Row],[Moyennes]]&gt;=5,"Admis"," ")))</f>
        <v>Admis</v>
      </c>
      <c r="I109" s="486"/>
      <c r="J109" t="s">
        <v>662</v>
      </c>
      <c r="K109" t="s">
        <v>2135</v>
      </c>
      <c r="L109" s="64">
        <f>IF(AND(Tableau2[[#This Row],[CLASSE]]="CPU",Tableau2[[#This Row],[STATUT ]]="Admis"),1,0)</f>
        <v>1</v>
      </c>
      <c r="M109" s="64">
        <f>IF(AND(Tableau2[[#This Row],[CLASSE]]="CEU",Tableau2[[#This Row],[STATUT ]]="Admis"),1,0)</f>
        <v>0</v>
      </c>
      <c r="N109" s="64"/>
      <c r="O109" s="296"/>
      <c r="P1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0" spans="1:16" ht="21" x14ac:dyDescent="0.35">
      <c r="A110" s="310">
        <v>109</v>
      </c>
      <c r="B110" s="396" t="s">
        <v>2137</v>
      </c>
      <c r="C110" s="64" t="s">
        <v>1</v>
      </c>
      <c r="D110" s="295">
        <v>9</v>
      </c>
      <c r="E110" s="402">
        <v>5.83</v>
      </c>
      <c r="F110" s="482" t="s">
        <v>2009</v>
      </c>
      <c r="G110" s="402" t="s">
        <v>2023</v>
      </c>
      <c r="H110" s="402" t="str">
        <f>IF(Tableau2[[#This Row],[Moyennes]]="Absent","Absent",IF(Tableau2[[#This Row],[Moyennes]]&lt;5,"Redouble",IF(Tableau2[[#This Row],[Moyennes]]&gt;=5,"Admis"," ")))</f>
        <v>Admis</v>
      </c>
      <c r="I110" s="486"/>
      <c r="J110" t="s">
        <v>662</v>
      </c>
      <c r="K110" t="s">
        <v>2135</v>
      </c>
      <c r="L110" s="64">
        <f>IF(AND(Tableau2[[#This Row],[CLASSE]]="CPU",Tableau2[[#This Row],[STATUT ]]="Admis"),1,0)</f>
        <v>1</v>
      </c>
      <c r="M110" s="64">
        <f>IF(AND(Tableau2[[#This Row],[CLASSE]]="CEU",Tableau2[[#This Row],[STATUT ]]="Admis"),1,0)</f>
        <v>0</v>
      </c>
      <c r="N110" s="64"/>
      <c r="O110" s="296"/>
      <c r="P1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1" spans="1:16" ht="21" x14ac:dyDescent="0.35">
      <c r="A111" s="310">
        <v>110</v>
      </c>
      <c r="B111" s="403" t="s">
        <v>3477</v>
      </c>
      <c r="C111" s="64" t="s">
        <v>1</v>
      </c>
      <c r="D111" s="295">
        <v>9</v>
      </c>
      <c r="E111" s="406">
        <v>5.41</v>
      </c>
      <c r="F111" s="482" t="s">
        <v>2009</v>
      </c>
      <c r="G111" s="402" t="s">
        <v>2025</v>
      </c>
      <c r="H111" s="402" t="str">
        <f>IF(Tableau2[[#This Row],[Moyennes]]="Absent","Absent",IF(Tableau2[[#This Row],[Moyennes]]&lt;5,"Redouble",IF(Tableau2[[#This Row],[Moyennes]]&gt;=5,"Admis"," ")))</f>
        <v>Admis</v>
      </c>
      <c r="I111" s="486"/>
      <c r="J111" t="s">
        <v>662</v>
      </c>
      <c r="K111" t="s">
        <v>2135</v>
      </c>
      <c r="L111" s="64">
        <f>IF(AND(Tableau2[[#This Row],[CLASSE]]="CPU",Tableau2[[#This Row],[STATUT ]]="Admis"),1,0)</f>
        <v>1</v>
      </c>
      <c r="M111" s="64">
        <f>IF(AND(Tableau2[[#This Row],[CLASSE]]="CEU",Tableau2[[#This Row],[STATUT ]]="Admis"),1,0)</f>
        <v>0</v>
      </c>
      <c r="N111" s="64"/>
      <c r="O111" s="296"/>
      <c r="P1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2" spans="1:16" ht="21" x14ac:dyDescent="0.35">
      <c r="A112" s="310">
        <v>111</v>
      </c>
      <c r="B112" s="396" t="s">
        <v>3478</v>
      </c>
      <c r="C112" s="64" t="s">
        <v>1</v>
      </c>
      <c r="D112" s="295">
        <v>9</v>
      </c>
      <c r="E112" s="406">
        <v>8.83</v>
      </c>
      <c r="F112" s="482" t="s">
        <v>2009</v>
      </c>
      <c r="G112" s="402" t="s">
        <v>2035</v>
      </c>
      <c r="H112" s="402" t="str">
        <f>IF(Tableau2[[#This Row],[Moyennes]]="Absent","Absent",IF(Tableau2[[#This Row],[Moyennes]]&lt;5,"Redouble",IF(Tableau2[[#This Row],[Moyennes]]&gt;=5,"Admis"," ")))</f>
        <v>Admis</v>
      </c>
      <c r="I112" s="486"/>
      <c r="J112" t="s">
        <v>662</v>
      </c>
      <c r="K112" t="s">
        <v>2135</v>
      </c>
      <c r="L112" s="64">
        <f>IF(AND(Tableau2[[#This Row],[CLASSE]]="CPU",Tableau2[[#This Row],[STATUT ]]="Admis"),1,0)</f>
        <v>1</v>
      </c>
      <c r="M112" s="64">
        <f>IF(AND(Tableau2[[#This Row],[CLASSE]]="CEU",Tableau2[[#This Row],[STATUT ]]="Admis"),1,0)</f>
        <v>0</v>
      </c>
      <c r="N112" s="64"/>
      <c r="O112" s="296"/>
      <c r="P1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3" spans="1:16" ht="21" x14ac:dyDescent="0.35">
      <c r="A113" s="310">
        <v>112</v>
      </c>
      <c r="B113" s="396" t="s">
        <v>2138</v>
      </c>
      <c r="C113" s="64" t="s">
        <v>1</v>
      </c>
      <c r="D113" s="295">
        <v>9</v>
      </c>
      <c r="E113" s="406">
        <v>7.33</v>
      </c>
      <c r="F113" s="482" t="s">
        <v>2009</v>
      </c>
      <c r="G113" s="396" t="s">
        <v>2018</v>
      </c>
      <c r="H113" s="402" t="str">
        <f>IF(Tableau2[[#This Row],[Moyennes]]="Absent","Absent",IF(Tableau2[[#This Row],[Moyennes]]&lt;5,"Redouble",IF(Tableau2[[#This Row],[Moyennes]]&gt;=5,"Admis"," ")))</f>
        <v>Admis</v>
      </c>
      <c r="J113" t="s">
        <v>662</v>
      </c>
      <c r="K113" t="s">
        <v>2135</v>
      </c>
      <c r="L113" s="64">
        <f>IF(AND(Tableau2[[#This Row],[CLASSE]]="CPU",Tableau2[[#This Row],[STATUT ]]="Admis"),1,0)</f>
        <v>1</v>
      </c>
      <c r="M113" s="64">
        <f>IF(AND(Tableau2[[#This Row],[CLASSE]]="CEU",Tableau2[[#This Row],[STATUT ]]="Admis"),1,0)</f>
        <v>0</v>
      </c>
      <c r="N113" s="64"/>
      <c r="O113" s="296"/>
      <c r="P1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4" spans="1:16" ht="21" x14ac:dyDescent="0.35">
      <c r="A114" s="310">
        <v>113</v>
      </c>
      <c r="B114" s="396" t="s">
        <v>3479</v>
      </c>
      <c r="C114" s="64" t="s">
        <v>1</v>
      </c>
      <c r="D114" s="295">
        <v>10</v>
      </c>
      <c r="E114" s="406">
        <v>8.66</v>
      </c>
      <c r="F114" s="482" t="s">
        <v>2009</v>
      </c>
      <c r="G114" s="396" t="s">
        <v>2010</v>
      </c>
      <c r="H114" s="402" t="str">
        <f>IF(Tableau2[[#This Row],[Moyennes]]="Absent","Absent",IF(Tableau2[[#This Row],[Moyennes]]&lt;5,"Redouble",IF(Tableau2[[#This Row],[Moyennes]]&gt;=5,"Admis"," ")))</f>
        <v>Admis</v>
      </c>
      <c r="J114" t="s">
        <v>662</v>
      </c>
      <c r="K114" t="s">
        <v>2135</v>
      </c>
      <c r="L114" s="64">
        <f>IF(AND(Tableau2[[#This Row],[CLASSE]]="CPU",Tableau2[[#This Row],[STATUT ]]="Admis"),1,0)</f>
        <v>1</v>
      </c>
      <c r="M114" s="64">
        <f>IF(AND(Tableau2[[#This Row],[CLASSE]]="CEU",Tableau2[[#This Row],[STATUT ]]="Admis"),1,0)</f>
        <v>0</v>
      </c>
      <c r="N114" s="64"/>
      <c r="O114" s="296"/>
      <c r="P1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5" spans="1:16" ht="21" x14ac:dyDescent="0.35">
      <c r="A115" s="310">
        <v>114</v>
      </c>
      <c r="B115" s="396" t="s">
        <v>2139</v>
      </c>
      <c r="C115" s="64" t="s">
        <v>1</v>
      </c>
      <c r="D115" s="295">
        <v>10</v>
      </c>
      <c r="E115" s="406">
        <v>7.41</v>
      </c>
      <c r="F115" s="482" t="s">
        <v>2009</v>
      </c>
      <c r="G115" s="396" t="s">
        <v>2044</v>
      </c>
      <c r="H115" s="402" t="str">
        <f>IF(Tableau2[[#This Row],[Moyennes]]="Absent","Absent",IF(Tableau2[[#This Row],[Moyennes]]&lt;5,"Redouble",IF(Tableau2[[#This Row],[Moyennes]]&gt;=5,"Admis"," ")))</f>
        <v>Admis</v>
      </c>
      <c r="J115" t="s">
        <v>662</v>
      </c>
      <c r="K115" t="s">
        <v>2135</v>
      </c>
      <c r="L115" s="64">
        <f>IF(AND(Tableau2[[#This Row],[CLASSE]]="CPU",Tableau2[[#This Row],[STATUT ]]="Admis"),1,0)</f>
        <v>1</v>
      </c>
      <c r="M115" s="64">
        <f>IF(AND(Tableau2[[#This Row],[CLASSE]]="CEU",Tableau2[[#This Row],[STATUT ]]="Admis"),1,0)</f>
        <v>0</v>
      </c>
      <c r="N115" s="64"/>
      <c r="O115" s="296"/>
      <c r="P1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6" spans="1:16" ht="21" x14ac:dyDescent="0.35">
      <c r="A116" s="310">
        <v>115</v>
      </c>
      <c r="B116" s="396" t="s">
        <v>3480</v>
      </c>
      <c r="C116" s="64" t="s">
        <v>2</v>
      </c>
      <c r="D116" s="295">
        <v>9</v>
      </c>
      <c r="E116" s="406">
        <v>5.75</v>
      </c>
      <c r="F116" s="482" t="s">
        <v>2009</v>
      </c>
      <c r="G116" s="396" t="s">
        <v>2042</v>
      </c>
      <c r="H116" s="402" t="str">
        <f>IF(Tableau2[[#This Row],[Moyennes]]="Absent","Absent",IF(Tableau2[[#This Row],[Moyennes]]&lt;5,"Redouble",IF(Tableau2[[#This Row],[Moyennes]]&gt;=5,"Admis"," ")))</f>
        <v>Admis</v>
      </c>
      <c r="J116" t="s">
        <v>662</v>
      </c>
      <c r="K116" t="s">
        <v>2135</v>
      </c>
      <c r="L116" s="64">
        <f>IF(AND(Tableau2[[#This Row],[CLASSE]]="CPU",Tableau2[[#This Row],[STATUT ]]="Admis"),1,0)</f>
        <v>1</v>
      </c>
      <c r="M116" s="64">
        <f>IF(AND(Tableau2[[#This Row],[CLASSE]]="CEU",Tableau2[[#This Row],[STATUT ]]="Admis"),1,0)</f>
        <v>0</v>
      </c>
      <c r="N116" s="64"/>
      <c r="O116" s="296"/>
      <c r="P1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7" spans="1:16" ht="21" x14ac:dyDescent="0.35">
      <c r="A117" s="310">
        <v>116</v>
      </c>
      <c r="B117" s="396" t="s">
        <v>3481</v>
      </c>
      <c r="C117" s="64" t="s">
        <v>2</v>
      </c>
      <c r="D117" s="295">
        <v>9</v>
      </c>
      <c r="E117" s="406">
        <v>8.66</v>
      </c>
      <c r="F117" s="482" t="s">
        <v>2009</v>
      </c>
      <c r="G117" s="396" t="s">
        <v>2010</v>
      </c>
      <c r="H117" s="402" t="str">
        <f>IF(Tableau2[[#This Row],[Moyennes]]="Absent","Absent",IF(Tableau2[[#This Row],[Moyennes]]&lt;5,"Redouble",IF(Tableau2[[#This Row],[Moyennes]]&gt;=5,"Admis"," ")))</f>
        <v>Admis</v>
      </c>
      <c r="J117" t="s">
        <v>662</v>
      </c>
      <c r="K117" t="s">
        <v>2135</v>
      </c>
      <c r="L117" s="64">
        <f>IF(AND(Tableau2[[#This Row],[CLASSE]]="CPU",Tableau2[[#This Row],[STATUT ]]="Admis"),1,0)</f>
        <v>1</v>
      </c>
      <c r="M117" s="64">
        <f>IF(AND(Tableau2[[#This Row],[CLASSE]]="CEU",Tableau2[[#This Row],[STATUT ]]="Admis"),1,0)</f>
        <v>0</v>
      </c>
      <c r="N117" s="64"/>
      <c r="O117" s="296"/>
      <c r="P1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8" spans="1:16" ht="21" x14ac:dyDescent="0.35">
      <c r="A118" s="310">
        <v>117</v>
      </c>
      <c r="B118" s="396" t="s">
        <v>2140</v>
      </c>
      <c r="C118" s="64" t="s">
        <v>1</v>
      </c>
      <c r="D118" s="295">
        <v>9</v>
      </c>
      <c r="E118" s="406">
        <v>8.33</v>
      </c>
      <c r="F118" s="482" t="s">
        <v>2009</v>
      </c>
      <c r="G118" s="396" t="s">
        <v>2012</v>
      </c>
      <c r="H118" s="402" t="str">
        <f>IF(Tableau2[[#This Row],[Moyennes]]="Absent","Absent",IF(Tableau2[[#This Row],[Moyennes]]&lt;5,"Redouble",IF(Tableau2[[#This Row],[Moyennes]]&gt;=5,"Admis"," ")))</f>
        <v>Admis</v>
      </c>
      <c r="J118" t="s">
        <v>662</v>
      </c>
      <c r="K118" t="s">
        <v>2135</v>
      </c>
      <c r="L118" s="64">
        <f>IF(AND(Tableau2[[#This Row],[CLASSE]]="CPU",Tableau2[[#This Row],[STATUT ]]="Admis"),1,0)</f>
        <v>1</v>
      </c>
      <c r="M118" s="64">
        <f>IF(AND(Tableau2[[#This Row],[CLASSE]]="CEU",Tableau2[[#This Row],[STATUT ]]="Admis"),1,0)</f>
        <v>0</v>
      </c>
      <c r="N118" s="64"/>
      <c r="O118" s="296"/>
      <c r="P1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19" spans="1:16" ht="21" x14ac:dyDescent="0.35">
      <c r="A119" s="310">
        <v>118</v>
      </c>
      <c r="B119" s="396" t="s">
        <v>3328</v>
      </c>
      <c r="C119" s="64" t="s">
        <v>2</v>
      </c>
      <c r="D119" s="295">
        <v>9</v>
      </c>
      <c r="E119" s="406">
        <v>6.91</v>
      </c>
      <c r="F119" s="482" t="s">
        <v>2009</v>
      </c>
      <c r="G119" s="396" t="s">
        <v>2027</v>
      </c>
      <c r="H119" s="402" t="str">
        <f>IF(Tableau2[[#This Row],[Moyennes]]="Absent","Absent",IF(Tableau2[[#This Row],[Moyennes]]&lt;5,"Redouble",IF(Tableau2[[#This Row],[Moyennes]]&gt;=5,"Admis"," ")))</f>
        <v>Admis</v>
      </c>
      <c r="J119" t="s">
        <v>662</v>
      </c>
      <c r="K119" t="s">
        <v>2135</v>
      </c>
      <c r="L119" s="64">
        <f>IF(AND(Tableau2[[#This Row],[CLASSE]]="CPU",Tableau2[[#This Row],[STATUT ]]="Admis"),1,0)</f>
        <v>1</v>
      </c>
      <c r="M119" s="64">
        <f>IF(AND(Tableau2[[#This Row],[CLASSE]]="CEU",Tableau2[[#This Row],[STATUT ]]="Admis"),1,0)</f>
        <v>0</v>
      </c>
      <c r="N119" s="64"/>
      <c r="O119" s="296"/>
      <c r="P1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0" spans="1:16" ht="21" x14ac:dyDescent="0.35">
      <c r="A120" s="310">
        <v>119</v>
      </c>
      <c r="B120" s="396" t="s">
        <v>3329</v>
      </c>
      <c r="C120" s="64" t="s">
        <v>2</v>
      </c>
      <c r="D120" s="295">
        <v>9</v>
      </c>
      <c r="E120" s="406">
        <v>6.83</v>
      </c>
      <c r="F120" s="482" t="s">
        <v>2009</v>
      </c>
      <c r="G120" s="396" t="s">
        <v>2089</v>
      </c>
      <c r="H120" s="402" t="str">
        <f>IF(Tableau2[[#This Row],[Moyennes]]="Absent","Absent",IF(Tableau2[[#This Row],[Moyennes]]&lt;5,"Redouble",IF(Tableau2[[#This Row],[Moyennes]]&gt;=5,"Admis"," ")))</f>
        <v>Admis</v>
      </c>
      <c r="J120" t="s">
        <v>662</v>
      </c>
      <c r="K120" t="s">
        <v>2135</v>
      </c>
      <c r="L120" s="64">
        <f>IF(AND(Tableau2[[#This Row],[CLASSE]]="CPU",Tableau2[[#This Row],[STATUT ]]="Admis"),1,0)</f>
        <v>1</v>
      </c>
      <c r="M120" s="64">
        <f>IF(AND(Tableau2[[#This Row],[CLASSE]]="CEU",Tableau2[[#This Row],[STATUT ]]="Admis"),1,0)</f>
        <v>0</v>
      </c>
      <c r="N120" s="64"/>
      <c r="O120" s="296"/>
      <c r="P1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1" spans="1:16" ht="21" x14ac:dyDescent="0.35">
      <c r="A121" s="310">
        <v>120</v>
      </c>
      <c r="B121" s="396" t="s">
        <v>3327</v>
      </c>
      <c r="C121" s="64" t="s">
        <v>1</v>
      </c>
      <c r="D121" s="295">
        <v>10</v>
      </c>
      <c r="E121" s="406">
        <v>6.66</v>
      </c>
      <c r="F121" s="482" t="s">
        <v>2009</v>
      </c>
      <c r="G121" s="396" t="s">
        <v>2062</v>
      </c>
      <c r="H121" s="402" t="str">
        <f>IF(Tableau2[[#This Row],[Moyennes]]="Absent","Absent",IF(Tableau2[[#This Row],[Moyennes]]&lt;5,"Redouble",IF(Tableau2[[#This Row],[Moyennes]]&gt;=5,"Admis"," ")))</f>
        <v>Admis</v>
      </c>
      <c r="J121" t="s">
        <v>662</v>
      </c>
      <c r="K121" t="s">
        <v>2135</v>
      </c>
      <c r="L121" s="64">
        <f>IF(AND(Tableau2[[#This Row],[CLASSE]]="CPU",Tableau2[[#This Row],[STATUT ]]="Admis"),1,0)</f>
        <v>1</v>
      </c>
      <c r="M121" s="64">
        <f>IF(AND(Tableau2[[#This Row],[CLASSE]]="CEU",Tableau2[[#This Row],[STATUT ]]="Admis"),1,0)</f>
        <v>0</v>
      </c>
      <c r="N121" s="64"/>
      <c r="O121" s="296"/>
      <c r="P1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2" spans="1:16" ht="21" x14ac:dyDescent="0.35">
      <c r="A122" s="310">
        <v>121</v>
      </c>
      <c r="B122" s="396" t="s">
        <v>3331</v>
      </c>
      <c r="C122" s="64" t="s">
        <v>2</v>
      </c>
      <c r="D122" s="295">
        <v>9</v>
      </c>
      <c r="E122" s="406">
        <v>5.25</v>
      </c>
      <c r="F122" s="482" t="s">
        <v>2009</v>
      </c>
      <c r="G122" s="396" t="s">
        <v>2046</v>
      </c>
      <c r="H122" s="402" t="str">
        <f>IF(Tableau2[[#This Row],[Moyennes]]="Absent","Absent",IF(Tableau2[[#This Row],[Moyennes]]&lt;5,"Redouble",IF(Tableau2[[#This Row],[Moyennes]]&gt;=5,"Admis"," ")))</f>
        <v>Admis</v>
      </c>
      <c r="J122" t="s">
        <v>662</v>
      </c>
      <c r="K122" t="s">
        <v>2135</v>
      </c>
      <c r="L122" s="64">
        <f>IF(AND(Tableau2[[#This Row],[CLASSE]]="CPU",Tableau2[[#This Row],[STATUT ]]="Admis"),1,0)</f>
        <v>1</v>
      </c>
      <c r="M122" s="64">
        <f>IF(AND(Tableau2[[#This Row],[CLASSE]]="CEU",Tableau2[[#This Row],[STATUT ]]="Admis"),1,0)</f>
        <v>0</v>
      </c>
      <c r="N122" s="64"/>
      <c r="O122" s="296"/>
      <c r="P1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3" spans="1:16" ht="21" x14ac:dyDescent="0.35">
      <c r="A123" s="310">
        <v>122</v>
      </c>
      <c r="B123" s="396" t="s">
        <v>3326</v>
      </c>
      <c r="C123" s="64" t="s">
        <v>1</v>
      </c>
      <c r="D123" s="295">
        <v>9</v>
      </c>
      <c r="E123" s="406">
        <v>6.75</v>
      </c>
      <c r="F123" s="482" t="s">
        <v>2009</v>
      </c>
      <c r="G123" s="396" t="s">
        <v>2016</v>
      </c>
      <c r="H123" s="402" t="str">
        <f>IF(Tableau2[[#This Row],[Moyennes]]="Absent","Absent",IF(Tableau2[[#This Row],[Moyennes]]&lt;5,"Redouble",IF(Tableau2[[#This Row],[Moyennes]]&gt;=5,"Admis"," ")))</f>
        <v>Admis</v>
      </c>
      <c r="J123" t="s">
        <v>662</v>
      </c>
      <c r="K123" t="s">
        <v>2135</v>
      </c>
      <c r="L123" s="64">
        <f>IF(AND(Tableau2[[#This Row],[CLASSE]]="CPU",Tableau2[[#This Row],[STATUT ]]="Admis"),1,0)</f>
        <v>1</v>
      </c>
      <c r="M123" s="64">
        <f>IF(AND(Tableau2[[#This Row],[CLASSE]]="CEU",Tableau2[[#This Row],[STATUT ]]="Admis"),1,0)</f>
        <v>0</v>
      </c>
      <c r="N123" s="64"/>
      <c r="O123" s="296"/>
      <c r="P1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4" spans="1:16" ht="21" x14ac:dyDescent="0.35">
      <c r="A124" s="310">
        <v>123</v>
      </c>
      <c r="B124" s="396" t="s">
        <v>3330</v>
      </c>
      <c r="C124" s="64" t="s">
        <v>2</v>
      </c>
      <c r="D124" s="295">
        <v>9</v>
      </c>
      <c r="E124" s="406">
        <v>6.83</v>
      </c>
      <c r="F124" s="482" t="s">
        <v>2009</v>
      </c>
      <c r="G124" s="396" t="s">
        <v>2089</v>
      </c>
      <c r="H124" s="402" t="str">
        <f>IF(Tableau2[[#This Row],[Moyennes]]="Absent","Absent",IF(Tableau2[[#This Row],[Moyennes]]&lt;5,"Redouble",IF(Tableau2[[#This Row],[Moyennes]]&gt;=5,"Admis"," ")))</f>
        <v>Admis</v>
      </c>
      <c r="J124" t="s">
        <v>662</v>
      </c>
      <c r="K124" t="s">
        <v>2135</v>
      </c>
      <c r="L124" s="64">
        <f>IF(AND(Tableau2[[#This Row],[CLASSE]]="CPU",Tableau2[[#This Row],[STATUT ]]="Admis"),1,0)</f>
        <v>1</v>
      </c>
      <c r="M124" s="64">
        <f>IF(AND(Tableau2[[#This Row],[CLASSE]]="CEU",Tableau2[[#This Row],[STATUT ]]="Admis"),1,0)</f>
        <v>0</v>
      </c>
      <c r="N124" s="64"/>
      <c r="O124" s="296"/>
      <c r="P1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25" spans="1:16" ht="21" x14ac:dyDescent="0.35">
      <c r="A125" s="310">
        <v>124</v>
      </c>
      <c r="B125" s="396" t="s">
        <v>3482</v>
      </c>
      <c r="C125" s="64" t="s">
        <v>2</v>
      </c>
      <c r="D125" s="295">
        <v>9</v>
      </c>
      <c r="E125" s="406">
        <v>4.5</v>
      </c>
      <c r="F125" s="482" t="s">
        <v>2009</v>
      </c>
      <c r="G125" s="396" t="s">
        <v>2030</v>
      </c>
      <c r="H125" s="402" t="str">
        <f>IF(Tableau2[[#This Row],[Moyennes]]="Absent","Absent",IF(Tableau2[[#This Row],[Moyennes]]&lt;5,"Redouble",IF(Tableau2[[#This Row],[Moyennes]]&gt;=5,"Admis"," ")))</f>
        <v>Redouble</v>
      </c>
      <c r="J125" t="s">
        <v>662</v>
      </c>
      <c r="K125" t="s">
        <v>2135</v>
      </c>
      <c r="L125" s="64">
        <f>IF(AND(Tableau2[[#This Row],[CLASSE]]="CPU",Tableau2[[#This Row],[STATUT ]]="Admis"),1,0)</f>
        <v>0</v>
      </c>
      <c r="M125" s="64">
        <f>IF(AND(Tableau2[[#This Row],[CLASSE]]="CEU",Tableau2[[#This Row],[STATUT ]]="Admis"),1,0)</f>
        <v>0</v>
      </c>
      <c r="N125" s="64"/>
      <c r="O125" s="296"/>
      <c r="P1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26" spans="1:16" ht="21" x14ac:dyDescent="0.35">
      <c r="A126" s="310">
        <v>125</v>
      </c>
      <c r="B126" s="396" t="s">
        <v>2136</v>
      </c>
      <c r="C126" s="64" t="s">
        <v>2</v>
      </c>
      <c r="D126" s="295">
        <v>9</v>
      </c>
      <c r="E126" s="406">
        <v>0.33</v>
      </c>
      <c r="F126" s="482" t="s">
        <v>2009</v>
      </c>
      <c r="G126" s="396" t="s">
        <v>2040</v>
      </c>
      <c r="H126" s="402" t="str">
        <f>IF(Tableau2[[#This Row],[Moyennes]]="Absent","Absent",IF(Tableau2[[#This Row],[Moyennes]]&lt;5,"Redouble",IF(Tableau2[[#This Row],[Moyennes]]&gt;=5,"Admis"," ")))</f>
        <v>Redouble</v>
      </c>
      <c r="J126" t="s">
        <v>662</v>
      </c>
      <c r="K126" t="s">
        <v>2135</v>
      </c>
      <c r="L126" s="64">
        <f>IF(AND(Tableau2[[#This Row],[CLASSE]]="CPU",Tableau2[[#This Row],[STATUT ]]="Admis"),1,0)</f>
        <v>0</v>
      </c>
      <c r="M126" s="64">
        <f>IF(AND(Tableau2[[#This Row],[CLASSE]]="CEU",Tableau2[[#This Row],[STATUT ]]="Admis"),1,0)</f>
        <v>0</v>
      </c>
      <c r="N126" s="64"/>
      <c r="O126" s="296"/>
      <c r="P1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27" spans="1:16" ht="21" x14ac:dyDescent="0.35">
      <c r="A127" s="310">
        <v>126</v>
      </c>
      <c r="B127" s="396" t="s">
        <v>2141</v>
      </c>
      <c r="C127" s="64" t="s">
        <v>2</v>
      </c>
      <c r="D127" s="295">
        <v>9</v>
      </c>
      <c r="E127" s="406">
        <v>3.5</v>
      </c>
      <c r="F127" s="482" t="s">
        <v>2009</v>
      </c>
      <c r="G127" s="396" t="s">
        <v>2078</v>
      </c>
      <c r="H127" s="402" t="str">
        <f>IF(Tableau2[[#This Row],[Moyennes]]="Absent","Absent",IF(Tableau2[[#This Row],[Moyennes]]&lt;5,"Redouble",IF(Tableau2[[#This Row],[Moyennes]]&gt;=5,"Admis"," ")))</f>
        <v>Redouble</v>
      </c>
      <c r="J127" t="s">
        <v>662</v>
      </c>
      <c r="K127" t="s">
        <v>2135</v>
      </c>
      <c r="L127" s="64">
        <f>IF(AND(Tableau2[[#This Row],[CLASSE]]="CPU",Tableau2[[#This Row],[STATUT ]]="Admis"),1,0)</f>
        <v>0</v>
      </c>
      <c r="M127" s="64">
        <f>IF(AND(Tableau2[[#This Row],[CLASSE]]="CEU",Tableau2[[#This Row],[STATUT ]]="Admis"),1,0)</f>
        <v>0</v>
      </c>
      <c r="N127" s="64"/>
      <c r="O127" s="296"/>
      <c r="P1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28" spans="1:16" ht="21" x14ac:dyDescent="0.35">
      <c r="A128" s="310">
        <v>127</v>
      </c>
      <c r="B128" s="396" t="s">
        <v>3332</v>
      </c>
      <c r="C128" s="64" t="s">
        <v>2</v>
      </c>
      <c r="D128" s="295">
        <v>9</v>
      </c>
      <c r="E128" s="406">
        <v>3.83</v>
      </c>
      <c r="F128" s="482" t="s">
        <v>2009</v>
      </c>
      <c r="G128" s="396" t="s">
        <v>2066</v>
      </c>
      <c r="H128" s="402" t="str">
        <f>IF(Tableau2[[#This Row],[Moyennes]]="Absent","Absent",IF(Tableau2[[#This Row],[Moyennes]]&lt;5,"Redouble",IF(Tableau2[[#This Row],[Moyennes]]&gt;=5,"Admis"," ")))</f>
        <v>Redouble</v>
      </c>
      <c r="J128" t="s">
        <v>662</v>
      </c>
      <c r="K128" t="s">
        <v>2135</v>
      </c>
      <c r="L128" s="64">
        <f>IF(AND(Tableau2[[#This Row],[CLASSE]]="CPU",Tableau2[[#This Row],[STATUT ]]="Admis"),1,0)</f>
        <v>0</v>
      </c>
      <c r="M128" s="64">
        <f>IF(AND(Tableau2[[#This Row],[CLASSE]]="CEU",Tableau2[[#This Row],[STATUT ]]="Admis"),1,0)</f>
        <v>0</v>
      </c>
      <c r="N128" s="64"/>
      <c r="O128" s="296"/>
      <c r="P1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29" spans="1:16" ht="21" x14ac:dyDescent="0.35">
      <c r="A129" s="310">
        <v>128</v>
      </c>
      <c r="B129" s="396" t="s">
        <v>2143</v>
      </c>
      <c r="C129" s="64" t="s">
        <v>2</v>
      </c>
      <c r="D129" s="295">
        <v>9</v>
      </c>
      <c r="E129" s="406">
        <v>2.5</v>
      </c>
      <c r="F129" s="482" t="s">
        <v>2009</v>
      </c>
      <c r="G129" s="396" t="s">
        <v>2037</v>
      </c>
      <c r="H129" s="402" t="str">
        <f>IF(Tableau2[[#This Row],[Moyennes]]="Absent","Absent",IF(Tableau2[[#This Row],[Moyennes]]&lt;5,"Redouble",IF(Tableau2[[#This Row],[Moyennes]]&gt;=5,"Admis"," ")))</f>
        <v>Redouble</v>
      </c>
      <c r="J129" t="s">
        <v>662</v>
      </c>
      <c r="K129" t="s">
        <v>2135</v>
      </c>
      <c r="L129" s="64">
        <f>IF(AND(Tableau2[[#This Row],[CLASSE]]="CPU",Tableau2[[#This Row],[STATUT ]]="Admis"),1,0)</f>
        <v>0</v>
      </c>
      <c r="M129" s="64">
        <f>IF(AND(Tableau2[[#This Row],[CLASSE]]="CEU",Tableau2[[#This Row],[STATUT ]]="Admis"),1,0)</f>
        <v>0</v>
      </c>
      <c r="N129" s="64"/>
      <c r="O129" s="296"/>
      <c r="P1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30" spans="1:16" ht="21" x14ac:dyDescent="0.35">
      <c r="A130" s="310">
        <v>129</v>
      </c>
      <c r="B130" s="396" t="s">
        <v>2142</v>
      </c>
      <c r="C130" s="64" t="s">
        <v>2</v>
      </c>
      <c r="D130" s="295">
        <v>9</v>
      </c>
      <c r="E130" s="406">
        <v>1.5</v>
      </c>
      <c r="F130" s="482" t="s">
        <v>2009</v>
      </c>
      <c r="G130" s="396" t="s">
        <v>2014</v>
      </c>
      <c r="H130" s="402" t="str">
        <f>IF(Tableau2[[#This Row],[Moyennes]]="Absent","Absent",IF(Tableau2[[#This Row],[Moyennes]]&lt;5,"Redouble",IF(Tableau2[[#This Row],[Moyennes]]&gt;=5,"Admis"," ")))</f>
        <v>Redouble</v>
      </c>
      <c r="J130" t="s">
        <v>662</v>
      </c>
      <c r="K130" t="s">
        <v>2135</v>
      </c>
      <c r="L130" s="64">
        <f>IF(AND(Tableau2[[#This Row],[CLASSE]]="CPU",Tableau2[[#This Row],[STATUT ]]="Admis"),1,0)</f>
        <v>0</v>
      </c>
      <c r="M130" s="64">
        <f>IF(AND(Tableau2[[#This Row],[CLASSE]]="CEU",Tableau2[[#This Row],[STATUT ]]="Admis"),1,0)</f>
        <v>0</v>
      </c>
      <c r="N130" s="64"/>
      <c r="O130" s="296"/>
      <c r="P1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31" spans="1:16" ht="21" x14ac:dyDescent="0.35">
      <c r="A131" s="310">
        <v>130</v>
      </c>
      <c r="B131" s="396" t="s">
        <v>3483</v>
      </c>
      <c r="C131" s="64" t="s">
        <v>2</v>
      </c>
      <c r="D131" s="295">
        <v>10</v>
      </c>
      <c r="E131" s="402">
        <v>8.66</v>
      </c>
      <c r="F131" s="482" t="s">
        <v>2009</v>
      </c>
      <c r="G131" s="402" t="s">
        <v>2010</v>
      </c>
      <c r="H131" s="402" t="str">
        <f>IF(Tableau2[[#This Row],[Moyennes]]="Absent","Absent",IF(Tableau2[[#This Row],[Moyennes]]&lt;5,"Redouble",IF(Tableau2[[#This Row],[Moyennes]]&gt;=5,"Admis"," ")))</f>
        <v>Admis</v>
      </c>
      <c r="I131" s="486"/>
      <c r="J131" t="s">
        <v>662</v>
      </c>
      <c r="K131" t="s">
        <v>2163</v>
      </c>
      <c r="L131" s="64">
        <f>IF(AND(Tableau2[[#This Row],[CLASSE]]="CPU",Tableau2[[#This Row],[STATUT ]]="Admis"),1,0)</f>
        <v>1</v>
      </c>
      <c r="M131" s="64">
        <f>IF(AND(Tableau2[[#This Row],[CLASSE]]="CEU",Tableau2[[#This Row],[STATUT ]]="Admis"),1,0)</f>
        <v>0</v>
      </c>
      <c r="N131" s="64"/>
      <c r="O131" s="296"/>
      <c r="P1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32" spans="1:16" ht="21" x14ac:dyDescent="0.35">
      <c r="A132" s="310">
        <v>131</v>
      </c>
      <c r="B132" s="396" t="s">
        <v>2155</v>
      </c>
      <c r="C132" s="64" t="s">
        <v>1</v>
      </c>
      <c r="D132" s="295">
        <v>10</v>
      </c>
      <c r="E132" s="483">
        <v>6.5</v>
      </c>
      <c r="F132" s="482" t="s">
        <v>2009</v>
      </c>
      <c r="G132" s="402" t="s">
        <v>2048</v>
      </c>
      <c r="H132" s="402" t="str">
        <f>IF(Tableau2[[#This Row],[Moyennes]]="Absent","Absent",IF(Tableau2[[#This Row],[Moyennes]]&lt;5,"Redouble",IF(Tableau2[[#This Row],[Moyennes]]&gt;=5,"Admis"," ")))</f>
        <v>Admis</v>
      </c>
      <c r="I132" s="486"/>
      <c r="J132" t="s">
        <v>662</v>
      </c>
      <c r="K132" t="s">
        <v>2163</v>
      </c>
      <c r="L132" s="64">
        <f>IF(AND(Tableau2[[#This Row],[CLASSE]]="CPU",Tableau2[[#This Row],[STATUT ]]="Admis"),1,0)</f>
        <v>1</v>
      </c>
      <c r="M132" s="64">
        <f>IF(AND(Tableau2[[#This Row],[CLASSE]]="CEU",Tableau2[[#This Row],[STATUT ]]="Admis"),1,0)</f>
        <v>0</v>
      </c>
      <c r="N132" s="64"/>
      <c r="O132" s="296"/>
      <c r="P1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33" spans="1:16" ht="21" x14ac:dyDescent="0.35">
      <c r="A133" s="310">
        <v>132</v>
      </c>
      <c r="B133" s="396" t="s">
        <v>2145</v>
      </c>
      <c r="C133" s="64" t="s">
        <v>1</v>
      </c>
      <c r="D133" s="295">
        <v>14</v>
      </c>
      <c r="E133" s="402">
        <v>8.33</v>
      </c>
      <c r="F133" s="482" t="s">
        <v>2009</v>
      </c>
      <c r="G133" s="402" t="s">
        <v>2012</v>
      </c>
      <c r="H133" s="402" t="str">
        <f>IF(Tableau2[[#This Row],[Moyennes]]="Absent","Absent",IF(Tableau2[[#This Row],[Moyennes]]&lt;5,"Redouble",IF(Tableau2[[#This Row],[Moyennes]]&gt;=5,"Admis"," ")))</f>
        <v>Admis</v>
      </c>
      <c r="I133" s="486"/>
      <c r="J133" t="s">
        <v>662</v>
      </c>
      <c r="K133" t="s">
        <v>2163</v>
      </c>
      <c r="L133" s="64">
        <f>IF(AND(Tableau2[[#This Row],[CLASSE]]="CPU",Tableau2[[#This Row],[STATUT ]]="Admis"),1,0)</f>
        <v>1</v>
      </c>
      <c r="M133" s="64">
        <f>IF(AND(Tableau2[[#This Row],[CLASSE]]="CEU",Tableau2[[#This Row],[STATUT ]]="Admis"),1,0)</f>
        <v>0</v>
      </c>
      <c r="N133" s="64"/>
      <c r="O133" s="296"/>
      <c r="P1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34" spans="1:16" ht="21" x14ac:dyDescent="0.35">
      <c r="A134" s="310">
        <v>133</v>
      </c>
      <c r="B134" s="396" t="s">
        <v>2146</v>
      </c>
      <c r="C134" s="64" t="s">
        <v>1</v>
      </c>
      <c r="D134" s="295">
        <v>13</v>
      </c>
      <c r="E134" s="406">
        <v>8.16</v>
      </c>
      <c r="F134" s="482" t="s">
        <v>2009</v>
      </c>
      <c r="G134" s="402" t="s">
        <v>2018</v>
      </c>
      <c r="H134" s="402" t="str">
        <f>IF(Tableau2[[#This Row],[Moyennes]]="Absent","Absent",IF(Tableau2[[#This Row],[Moyennes]]&lt;5,"Redouble",IF(Tableau2[[#This Row],[Moyennes]]&gt;=5,"Admis"," ")))</f>
        <v>Admis</v>
      </c>
      <c r="I134" s="486"/>
      <c r="J134" t="s">
        <v>662</v>
      </c>
      <c r="K134" t="s">
        <v>2163</v>
      </c>
      <c r="L134" s="64">
        <f>IF(AND(Tableau2[[#This Row],[CLASSE]]="CPU",Tableau2[[#This Row],[STATUT ]]="Admis"),1,0)</f>
        <v>1</v>
      </c>
      <c r="M134" s="64">
        <f>IF(AND(Tableau2[[#This Row],[CLASSE]]="CEU",Tableau2[[#This Row],[STATUT ]]="Admis"),1,0)</f>
        <v>0</v>
      </c>
      <c r="N134" s="64"/>
      <c r="O134" s="296"/>
      <c r="P1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35" spans="1:16" ht="21" x14ac:dyDescent="0.35">
      <c r="A135" s="310">
        <v>134</v>
      </c>
      <c r="B135" s="403" t="s">
        <v>2147</v>
      </c>
      <c r="C135" s="411" t="s">
        <v>2</v>
      </c>
      <c r="D135" s="295">
        <v>13</v>
      </c>
      <c r="E135" s="406">
        <v>8.33</v>
      </c>
      <c r="F135" s="482" t="s">
        <v>2009</v>
      </c>
      <c r="G135" s="402" t="s">
        <v>2035</v>
      </c>
      <c r="H135" s="402" t="str">
        <f>IF(Tableau2[[#This Row],[Moyennes]]="Absent","Absent",IF(Tableau2[[#This Row],[Moyennes]]&lt;5,"Redouble",IF(Tableau2[[#This Row],[Moyennes]]&gt;=5,"Admis"," ")))</f>
        <v>Admis</v>
      </c>
      <c r="I135" s="486"/>
      <c r="J135" t="s">
        <v>662</v>
      </c>
      <c r="K135" t="s">
        <v>2163</v>
      </c>
      <c r="L135" s="64">
        <f>IF(AND(Tableau2[[#This Row],[CLASSE]]="CPU",Tableau2[[#This Row],[STATUT ]]="Admis"),1,0)</f>
        <v>1</v>
      </c>
      <c r="M135" s="64">
        <f>IF(AND(Tableau2[[#This Row],[CLASSE]]="CEU",Tableau2[[#This Row],[STATUT ]]="Admis"),1,0)</f>
        <v>0</v>
      </c>
      <c r="N135" s="64"/>
      <c r="O135" s="296"/>
      <c r="P1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36" spans="1:16" ht="21" x14ac:dyDescent="0.35">
      <c r="A136" s="310">
        <v>135</v>
      </c>
      <c r="B136" s="396" t="s">
        <v>2154</v>
      </c>
      <c r="C136" s="64" t="s">
        <v>1</v>
      </c>
      <c r="D136" s="295">
        <v>11</v>
      </c>
      <c r="E136" s="484">
        <v>6.88</v>
      </c>
      <c r="F136" s="482" t="s">
        <v>2009</v>
      </c>
      <c r="G136" s="402" t="s">
        <v>2044</v>
      </c>
      <c r="H136" s="402" t="str">
        <f>IF(Tableau2[[#This Row],[Moyennes]]="Absent","Absent",IF(Tableau2[[#This Row],[Moyennes]]&lt;5,"Redouble",IF(Tableau2[[#This Row],[Moyennes]]&gt;=5,"Admis"," ")))</f>
        <v>Admis</v>
      </c>
      <c r="I136" s="486"/>
      <c r="J136" t="s">
        <v>662</v>
      </c>
      <c r="K136" t="s">
        <v>2163</v>
      </c>
      <c r="L136" s="64">
        <f>IF(AND(Tableau2[[#This Row],[CLASSE]]="CPU",Tableau2[[#This Row],[STATUT ]]="Admis"),1,0)</f>
        <v>1</v>
      </c>
      <c r="M136" s="64">
        <f>IF(AND(Tableau2[[#This Row],[CLASSE]]="CEU",Tableau2[[#This Row],[STATUT ]]="Admis"),1,0)</f>
        <v>0</v>
      </c>
      <c r="N136" s="64"/>
      <c r="O136" s="296"/>
      <c r="P1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37" spans="1:16" ht="21" x14ac:dyDescent="0.35">
      <c r="A137" s="310">
        <v>136</v>
      </c>
      <c r="B137" s="396" t="s">
        <v>2149</v>
      </c>
      <c r="C137" s="64" t="s">
        <v>1</v>
      </c>
      <c r="D137" s="295">
        <v>12</v>
      </c>
      <c r="E137" s="406">
        <v>5.66</v>
      </c>
      <c r="F137" s="482" t="s">
        <v>2009</v>
      </c>
      <c r="G137" s="396" t="s">
        <v>2089</v>
      </c>
      <c r="H137" s="402" t="str">
        <f>IF(Tableau2[[#This Row],[Moyennes]]="Absent","Absent",IF(Tableau2[[#This Row],[Moyennes]]&lt;5,"Redouble",IF(Tableau2[[#This Row],[Moyennes]]&gt;=5,"Admis"," ")))</f>
        <v>Admis</v>
      </c>
      <c r="J137" t="s">
        <v>662</v>
      </c>
      <c r="K137" t="s">
        <v>2163</v>
      </c>
      <c r="L137" s="64">
        <f>IF(AND(Tableau2[[#This Row],[CLASSE]]="CPU",Tableau2[[#This Row],[STATUT ]]="Admis"),1,0)</f>
        <v>1</v>
      </c>
      <c r="M137" s="64">
        <f>IF(AND(Tableau2[[#This Row],[CLASSE]]="CEU",Tableau2[[#This Row],[STATUT ]]="Admis"),1,0)</f>
        <v>0</v>
      </c>
      <c r="N137" s="64"/>
      <c r="O137" s="296"/>
      <c r="P1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38" spans="1:16" ht="21" x14ac:dyDescent="0.35">
      <c r="A138" s="310">
        <v>137</v>
      </c>
      <c r="B138" s="396" t="s">
        <v>2152</v>
      </c>
      <c r="C138" s="64" t="s">
        <v>2</v>
      </c>
      <c r="D138" s="295">
        <v>12</v>
      </c>
      <c r="E138" s="484">
        <v>5.83</v>
      </c>
      <c r="F138" s="482" t="s">
        <v>2009</v>
      </c>
      <c r="G138" s="396" t="s">
        <v>2027</v>
      </c>
      <c r="H138" s="402" t="str">
        <f>IF(Tableau2[[#This Row],[Moyennes]]="Absent","Absent",IF(Tableau2[[#This Row],[Moyennes]]&lt;5,"Redouble",IF(Tableau2[[#This Row],[Moyennes]]&gt;=5,"Admis"," ")))</f>
        <v>Admis</v>
      </c>
      <c r="J138" t="s">
        <v>662</v>
      </c>
      <c r="K138" t="s">
        <v>2163</v>
      </c>
      <c r="L138" s="64">
        <f>IF(AND(Tableau2[[#This Row],[CLASSE]]="CPU",Tableau2[[#This Row],[STATUT ]]="Admis"),1,0)</f>
        <v>1</v>
      </c>
      <c r="M138" s="64">
        <f>IF(AND(Tableau2[[#This Row],[CLASSE]]="CEU",Tableau2[[#This Row],[STATUT ]]="Admis"),1,0)</f>
        <v>0</v>
      </c>
      <c r="N138" s="64"/>
      <c r="O138" s="296"/>
      <c r="P1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39" spans="1:16" ht="21" x14ac:dyDescent="0.35">
      <c r="A139" s="310">
        <v>138</v>
      </c>
      <c r="B139" s="396" t="s">
        <v>2151</v>
      </c>
      <c r="C139" s="64" t="s">
        <v>2</v>
      </c>
      <c r="D139" s="295">
        <v>13</v>
      </c>
      <c r="E139" s="406">
        <v>8.5</v>
      </c>
      <c r="F139" s="482" t="s">
        <v>2009</v>
      </c>
      <c r="G139" s="396" t="s">
        <v>815</v>
      </c>
      <c r="H139" s="402" t="str">
        <f>IF(Tableau2[[#This Row],[Moyennes]]="Absent","Absent",IF(Tableau2[[#This Row],[Moyennes]]&lt;5,"Redouble",IF(Tableau2[[#This Row],[Moyennes]]&gt;=5,"Admis"," ")))</f>
        <v>Admis</v>
      </c>
      <c r="J139" t="s">
        <v>662</v>
      </c>
      <c r="K139" t="s">
        <v>2163</v>
      </c>
      <c r="L139" s="64">
        <f>IF(AND(Tableau2[[#This Row],[CLASSE]]="CPU",Tableau2[[#This Row],[STATUT ]]="Admis"),1,0)</f>
        <v>1</v>
      </c>
      <c r="M139" s="64">
        <f>IF(AND(Tableau2[[#This Row],[CLASSE]]="CEU",Tableau2[[#This Row],[STATUT ]]="Admis"),1,0)</f>
        <v>0</v>
      </c>
      <c r="N139" s="64"/>
      <c r="O139" s="296"/>
      <c r="P1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40" spans="1:16" ht="21" x14ac:dyDescent="0.35">
      <c r="A140" s="310">
        <v>139</v>
      </c>
      <c r="B140" s="396" t="s">
        <v>2144</v>
      </c>
      <c r="C140" s="64" t="s">
        <v>2</v>
      </c>
      <c r="D140" s="295">
        <v>13</v>
      </c>
      <c r="E140" s="406">
        <v>2.66</v>
      </c>
      <c r="F140" s="482" t="s">
        <v>2009</v>
      </c>
      <c r="G140" s="396" t="s">
        <v>2042</v>
      </c>
      <c r="H140" s="402" t="str">
        <f>IF(Tableau2[[#This Row],[Moyennes]]="Absent","Absent",IF(Tableau2[[#This Row],[Moyennes]]&lt;5,"Redouble",IF(Tableau2[[#This Row],[Moyennes]]&gt;=5,"Admis"," ")))</f>
        <v>Redouble</v>
      </c>
      <c r="J140" t="s">
        <v>662</v>
      </c>
      <c r="K140" t="s">
        <v>2163</v>
      </c>
      <c r="L140" s="64">
        <f>IF(AND(Tableau2[[#This Row],[CLASSE]]="CPU",Tableau2[[#This Row],[STATUT ]]="Admis"),1,0)</f>
        <v>0</v>
      </c>
      <c r="M140" s="64">
        <f>IF(AND(Tableau2[[#This Row],[CLASSE]]="CEU",Tableau2[[#This Row],[STATUT ]]="Admis"),1,0)</f>
        <v>0</v>
      </c>
      <c r="N140" s="64"/>
      <c r="O140" s="296"/>
      <c r="P1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41" spans="1:16" ht="21" x14ac:dyDescent="0.35">
      <c r="A141" s="310">
        <v>140</v>
      </c>
      <c r="B141" s="396" t="s">
        <v>2153</v>
      </c>
      <c r="C141" s="64" t="s">
        <v>2</v>
      </c>
      <c r="D141" s="295">
        <v>12</v>
      </c>
      <c r="E141" s="484">
        <v>4.33</v>
      </c>
      <c r="F141" s="482" t="s">
        <v>2009</v>
      </c>
      <c r="G141" s="396" t="s">
        <v>2021</v>
      </c>
      <c r="H141" s="402" t="str">
        <f>IF(Tableau2[[#This Row],[Moyennes]]="Absent","Absent",IF(Tableau2[[#This Row],[Moyennes]]&lt;5,"Redouble",IF(Tableau2[[#This Row],[Moyennes]]&gt;=5,"Admis"," ")))</f>
        <v>Redouble</v>
      </c>
      <c r="J141" t="s">
        <v>662</v>
      </c>
      <c r="K141" t="s">
        <v>2163</v>
      </c>
      <c r="L141" s="64">
        <f>IF(AND(Tableau2[[#This Row],[CLASSE]]="CPU",Tableau2[[#This Row],[STATUT ]]="Admis"),1,0)</f>
        <v>0</v>
      </c>
      <c r="M141" s="64">
        <f>IF(AND(Tableau2[[#This Row],[CLASSE]]="CEU",Tableau2[[#This Row],[STATUT ]]="Admis"),1,0)</f>
        <v>0</v>
      </c>
      <c r="N141" s="64"/>
      <c r="O141" s="296"/>
      <c r="P1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42" spans="1:16" ht="21" x14ac:dyDescent="0.35">
      <c r="A142" s="310">
        <v>141</v>
      </c>
      <c r="B142" s="396" t="s">
        <v>2150</v>
      </c>
      <c r="C142" s="64" t="s">
        <v>1</v>
      </c>
      <c r="D142" s="295">
        <v>9</v>
      </c>
      <c r="E142" s="406">
        <v>3.5</v>
      </c>
      <c r="F142" s="482" t="s">
        <v>2009</v>
      </c>
      <c r="G142" s="396" t="s">
        <v>2033</v>
      </c>
      <c r="H142" s="402" t="str">
        <f>IF(Tableau2[[#This Row],[Moyennes]]="Absent","Absent",IF(Tableau2[[#This Row],[Moyennes]]&lt;5,"Redouble",IF(Tableau2[[#This Row],[Moyennes]]&gt;=5,"Admis"," ")))</f>
        <v>Redouble</v>
      </c>
      <c r="J142" t="s">
        <v>662</v>
      </c>
      <c r="K142" t="s">
        <v>2163</v>
      </c>
      <c r="L142" s="64">
        <f>IF(AND(Tableau2[[#This Row],[CLASSE]]="CPU",Tableau2[[#This Row],[STATUT ]]="Admis"),1,0)</f>
        <v>0</v>
      </c>
      <c r="M142" s="64">
        <f>IF(AND(Tableau2[[#This Row],[CLASSE]]="CEU",Tableau2[[#This Row],[STATUT ]]="Admis"),1,0)</f>
        <v>0</v>
      </c>
      <c r="N142" s="64"/>
      <c r="O142" s="296"/>
      <c r="P1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43" spans="1:16" ht="21" x14ac:dyDescent="0.35">
      <c r="A143" s="310">
        <v>142</v>
      </c>
      <c r="B143" s="396" t="s">
        <v>2148</v>
      </c>
      <c r="C143" s="64" t="s">
        <v>1</v>
      </c>
      <c r="D143" s="295">
        <v>9</v>
      </c>
      <c r="E143" s="406">
        <v>3</v>
      </c>
      <c r="F143" s="482" t="s">
        <v>2009</v>
      </c>
      <c r="G143" s="396" t="s">
        <v>2023</v>
      </c>
      <c r="H143" s="402" t="str">
        <f>IF(Tableau2[[#This Row],[Moyennes]]="Absent","Absent",IF(Tableau2[[#This Row],[Moyennes]]&lt;5,"Redouble",IF(Tableau2[[#This Row],[Moyennes]]&gt;=5,"Admis"," ")))</f>
        <v>Redouble</v>
      </c>
      <c r="J143" t="s">
        <v>662</v>
      </c>
      <c r="K143" t="s">
        <v>2163</v>
      </c>
      <c r="L143" s="64">
        <f>IF(AND(Tableau2[[#This Row],[CLASSE]]="CPU",Tableau2[[#This Row],[STATUT ]]="Admis"),1,0)</f>
        <v>0</v>
      </c>
      <c r="M143" s="64">
        <f>IF(AND(Tableau2[[#This Row],[CLASSE]]="CEU",Tableau2[[#This Row],[STATUT ]]="Admis"),1,0)</f>
        <v>0</v>
      </c>
      <c r="N143" s="64"/>
      <c r="O143" s="296"/>
      <c r="P1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44" spans="1:16" ht="21" x14ac:dyDescent="0.35">
      <c r="A144" s="310">
        <v>143</v>
      </c>
      <c r="B144" s="396" t="s">
        <v>2162</v>
      </c>
      <c r="C144" s="64" t="s">
        <v>2</v>
      </c>
      <c r="D144" s="295">
        <v>9</v>
      </c>
      <c r="E144" s="406">
        <v>3.16</v>
      </c>
      <c r="F144" s="482" t="s">
        <v>2009</v>
      </c>
      <c r="G144" s="396" t="s">
        <v>2062</v>
      </c>
      <c r="H144" s="402" t="str">
        <f>IF(Tableau2[[#This Row],[Moyennes]]="Absent","Absent",IF(Tableau2[[#This Row],[Moyennes]]&lt;5,"Redouble",IF(Tableau2[[#This Row],[Moyennes]]&gt;=5,"Admis"," ")))</f>
        <v>Redouble</v>
      </c>
      <c r="J144" t="s">
        <v>662</v>
      </c>
      <c r="K144" t="s">
        <v>2163</v>
      </c>
      <c r="L144" s="64">
        <f>IF(AND(Tableau2[[#This Row],[CLASSE]]="CPU",Tableau2[[#This Row],[STATUT ]]="Admis"),1,0)</f>
        <v>0</v>
      </c>
      <c r="M144" s="64">
        <f>IF(AND(Tableau2[[#This Row],[CLASSE]]="CEU",Tableau2[[#This Row],[STATUT ]]="Admis"),1,0)</f>
        <v>0</v>
      </c>
      <c r="N144" s="64"/>
      <c r="O144" s="296"/>
      <c r="P1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45" spans="1:16" ht="21" x14ac:dyDescent="0.35">
      <c r="A145" s="310">
        <v>144</v>
      </c>
      <c r="B145" s="396" t="s">
        <v>2161</v>
      </c>
      <c r="C145" s="64" t="s">
        <v>2</v>
      </c>
      <c r="D145" s="295">
        <v>9</v>
      </c>
      <c r="E145" s="406">
        <v>2.66</v>
      </c>
      <c r="F145" s="482" t="s">
        <v>2009</v>
      </c>
      <c r="G145" s="396" t="s">
        <v>2042</v>
      </c>
      <c r="H145" s="402" t="str">
        <f>IF(Tableau2[[#This Row],[Moyennes]]="Absent","Absent",IF(Tableau2[[#This Row],[Moyennes]]&lt;5,"Redouble",IF(Tableau2[[#This Row],[Moyennes]]&gt;=5,"Admis"," ")))</f>
        <v>Redouble</v>
      </c>
      <c r="J145" t="s">
        <v>662</v>
      </c>
      <c r="K145" t="s">
        <v>2163</v>
      </c>
      <c r="L145" s="64">
        <f>IF(AND(Tableau2[[#This Row],[CLASSE]]="CPU",Tableau2[[#This Row],[STATUT ]]="Admis"),1,0)</f>
        <v>0</v>
      </c>
      <c r="M145" s="64">
        <f>IF(AND(Tableau2[[#This Row],[CLASSE]]="CEU",Tableau2[[#This Row],[STATUT ]]="Admis"),1,0)</f>
        <v>0</v>
      </c>
      <c r="N145" s="64"/>
      <c r="O145" s="296"/>
      <c r="P1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46" spans="1:16" ht="21" x14ac:dyDescent="0.35">
      <c r="A146" s="310">
        <v>145</v>
      </c>
      <c r="B146" s="396" t="s">
        <v>2158</v>
      </c>
      <c r="C146" s="64" t="s">
        <v>2</v>
      </c>
      <c r="D146" s="295">
        <v>9</v>
      </c>
      <c r="E146" s="484">
        <v>1.66</v>
      </c>
      <c r="F146" s="482" t="s">
        <v>2009</v>
      </c>
      <c r="G146" s="396" t="s">
        <v>2046</v>
      </c>
      <c r="H146" s="402" t="str">
        <f>IF(Tableau2[[#This Row],[Moyennes]]="Absent","Absent",IF(Tableau2[[#This Row],[Moyennes]]&lt;5,"Redouble",IF(Tableau2[[#This Row],[Moyennes]]&gt;=5,"Admis"," ")))</f>
        <v>Redouble</v>
      </c>
      <c r="J146" t="s">
        <v>662</v>
      </c>
      <c r="K146" t="s">
        <v>2163</v>
      </c>
      <c r="L146" s="64">
        <f>IF(AND(Tableau2[[#This Row],[CLASSE]]="CPU",Tableau2[[#This Row],[STATUT ]]="Admis"),1,0)</f>
        <v>0</v>
      </c>
      <c r="M146" s="64">
        <f>IF(AND(Tableau2[[#This Row],[CLASSE]]="CEU",Tableau2[[#This Row],[STATUT ]]="Admis"),1,0)</f>
        <v>0</v>
      </c>
      <c r="N146" s="64"/>
      <c r="O146" s="296"/>
      <c r="P1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47" spans="1:16" ht="21" x14ac:dyDescent="0.35">
      <c r="A147" s="310">
        <v>146</v>
      </c>
      <c r="B147" s="396" t="s">
        <v>2159</v>
      </c>
      <c r="C147" s="64" t="s">
        <v>1</v>
      </c>
      <c r="D147" s="295">
        <v>9</v>
      </c>
      <c r="E147" s="406">
        <v>3.5</v>
      </c>
      <c r="F147" s="482" t="s">
        <v>2009</v>
      </c>
      <c r="G147" s="396" t="s">
        <v>2033</v>
      </c>
      <c r="H147" s="402" t="str">
        <f>IF(Tableau2[[#This Row],[Moyennes]]="Absent","Absent",IF(Tableau2[[#This Row],[Moyennes]]&lt;5,"Redouble",IF(Tableau2[[#This Row],[Moyennes]]&gt;=5,"Admis"," ")))</f>
        <v>Redouble</v>
      </c>
      <c r="J147" t="s">
        <v>662</v>
      </c>
      <c r="K147" t="s">
        <v>2163</v>
      </c>
      <c r="L147" s="64">
        <f>IF(AND(Tableau2[[#This Row],[CLASSE]]="CPU",Tableau2[[#This Row],[STATUT ]]="Admis"),1,0)</f>
        <v>0</v>
      </c>
      <c r="M147" s="64">
        <f>IF(AND(Tableau2[[#This Row],[CLASSE]]="CEU",Tableau2[[#This Row],[STATUT ]]="Admis"),1,0)</f>
        <v>0</v>
      </c>
      <c r="N147" s="64"/>
      <c r="O147" s="296"/>
      <c r="P1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48" spans="1:16" ht="21" x14ac:dyDescent="0.35">
      <c r="A148" s="310">
        <v>147</v>
      </c>
      <c r="B148" s="415" t="s">
        <v>2160</v>
      </c>
      <c r="C148" s="64" t="s">
        <v>2</v>
      </c>
      <c r="D148" s="295">
        <v>9</v>
      </c>
      <c r="E148" s="299" t="s">
        <v>2165</v>
      </c>
      <c r="F148" s="305" t="s">
        <v>2009</v>
      </c>
      <c r="G148" s="22" t="s">
        <v>2165</v>
      </c>
      <c r="H148" s="300" t="str">
        <f>IF(Tableau2[[#This Row],[Moyennes]]="Absent","Absent",IF(Tableau2[[#This Row],[Moyennes]]&lt;5,"Redouble",IF(Tableau2[[#This Row],[Moyennes]]&gt;=5,"Admis"," ")))</f>
        <v>Absent</v>
      </c>
      <c r="I148" s="17"/>
      <c r="J148" s="17" t="s">
        <v>662</v>
      </c>
      <c r="K148" s="17" t="s">
        <v>2163</v>
      </c>
      <c r="L148" s="64">
        <f>IF(AND(Tableau2[[#This Row],[CLASSE]]="CPU",Tableau2[[#This Row],[STATUT ]]="Admis"),1,0)</f>
        <v>0</v>
      </c>
      <c r="M148" s="64">
        <f>IF(AND(Tableau2[[#This Row],[CLASSE]]="CEU",Tableau2[[#This Row],[STATUT ]]="Admis"),1,0)</f>
        <v>0</v>
      </c>
      <c r="N148" s="64"/>
      <c r="O148" s="296"/>
      <c r="P1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49" spans="1:16" ht="21" x14ac:dyDescent="0.35">
      <c r="A149" s="310">
        <v>148</v>
      </c>
      <c r="B149" s="415" t="s">
        <v>2157</v>
      </c>
      <c r="C149" s="64" t="s">
        <v>2</v>
      </c>
      <c r="D149" s="295">
        <v>9</v>
      </c>
      <c r="E149" s="301" t="s">
        <v>2165</v>
      </c>
      <c r="F149" s="305" t="s">
        <v>2009</v>
      </c>
      <c r="G149" s="22" t="s">
        <v>2165</v>
      </c>
      <c r="H149" s="300" t="str">
        <f>IF(Tableau2[[#This Row],[Moyennes]]="Absent","Absent",IF(Tableau2[[#This Row],[Moyennes]]&lt;5,"Redouble",IF(Tableau2[[#This Row],[Moyennes]]&gt;=5,"Admis"," ")))</f>
        <v>Absent</v>
      </c>
      <c r="I149" s="17"/>
      <c r="J149" s="17" t="s">
        <v>662</v>
      </c>
      <c r="K149" s="17" t="s">
        <v>2163</v>
      </c>
      <c r="L149" s="64">
        <f>IF(AND(Tableau2[[#This Row],[CLASSE]]="CPU",Tableau2[[#This Row],[STATUT ]]="Admis"),1,0)</f>
        <v>0</v>
      </c>
      <c r="M149" s="64">
        <f>IF(AND(Tableau2[[#This Row],[CLASSE]]="CEU",Tableau2[[#This Row],[STATUT ]]="Admis"),1,0)</f>
        <v>0</v>
      </c>
      <c r="N149" s="64"/>
      <c r="O149" s="296"/>
      <c r="P1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50" spans="1:16" ht="21" x14ac:dyDescent="0.35">
      <c r="A150" s="310">
        <v>149</v>
      </c>
      <c r="B150" s="415" t="s">
        <v>2156</v>
      </c>
      <c r="C150" s="64" t="s">
        <v>2</v>
      </c>
      <c r="D150" s="295">
        <v>9</v>
      </c>
      <c r="E150" s="301" t="s">
        <v>2165</v>
      </c>
      <c r="F150" s="305" t="s">
        <v>2009</v>
      </c>
      <c r="G150" s="22" t="s">
        <v>2165</v>
      </c>
      <c r="H150" s="300" t="str">
        <f>IF(Tableau2[[#This Row],[Moyennes]]="Absent","Absent",IF(Tableau2[[#This Row],[Moyennes]]&lt;5,"Redouble",IF(Tableau2[[#This Row],[Moyennes]]&gt;=5,"Admis"," ")))</f>
        <v>Absent</v>
      </c>
      <c r="I150" s="17"/>
      <c r="J150" s="17" t="s">
        <v>662</v>
      </c>
      <c r="K150" s="17" t="s">
        <v>2163</v>
      </c>
      <c r="L150" s="64">
        <f>IF(AND(Tableau2[[#This Row],[CLASSE]]="CPU",Tableau2[[#This Row],[STATUT ]]="Admis"),1,0)</f>
        <v>0</v>
      </c>
      <c r="M150" s="64">
        <f>IF(AND(Tableau2[[#This Row],[CLASSE]]="CEU",Tableau2[[#This Row],[STATUT ]]="Admis"),1,0)</f>
        <v>0</v>
      </c>
      <c r="N150" s="64"/>
      <c r="O150" s="296"/>
      <c r="P1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51" spans="1:16" ht="21" x14ac:dyDescent="0.35">
      <c r="A151" s="310">
        <v>150</v>
      </c>
      <c r="B151" s="415" t="s">
        <v>3392</v>
      </c>
      <c r="C151" s="64" t="s">
        <v>1</v>
      </c>
      <c r="D151" s="295">
        <v>10</v>
      </c>
      <c r="E151" s="301" t="s">
        <v>2165</v>
      </c>
      <c r="F151" s="305" t="s">
        <v>2009</v>
      </c>
      <c r="G151" s="22" t="s">
        <v>2165</v>
      </c>
      <c r="H151" s="300" t="str">
        <f>IF(Tableau2[[#This Row],[Moyennes]]="Absent","Absent",IF(Tableau2[[#This Row],[Moyennes]]&lt;5,"Redouble",IF(Tableau2[[#This Row],[Moyennes]]&gt;=5,"Admis"," ")))</f>
        <v>Absent</v>
      </c>
      <c r="I151" s="17"/>
      <c r="J151" s="17" t="s">
        <v>662</v>
      </c>
      <c r="K151" s="17" t="s">
        <v>2163</v>
      </c>
      <c r="L151" s="64">
        <f>IF(AND(Tableau2[[#This Row],[CLASSE]]="CPU",Tableau2[[#This Row],[STATUT ]]="Admis"),1,0)</f>
        <v>0</v>
      </c>
      <c r="M151" s="64">
        <f>IF(AND(Tableau2[[#This Row],[CLASSE]]="CEU",Tableau2[[#This Row],[STATUT ]]="Admis"),1,0)</f>
        <v>0</v>
      </c>
      <c r="N151" s="64"/>
      <c r="O151" s="296"/>
      <c r="P1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52" spans="1:16" ht="21" x14ac:dyDescent="0.35">
      <c r="A152" s="310">
        <v>151</v>
      </c>
      <c r="B152" s="396" t="s">
        <v>2181</v>
      </c>
      <c r="C152" s="64" t="s">
        <v>2</v>
      </c>
      <c r="D152" s="295">
        <v>9</v>
      </c>
      <c r="E152" s="406">
        <v>8.41</v>
      </c>
      <c r="F152" s="482" t="s">
        <v>2009</v>
      </c>
      <c r="G152" s="396" t="s">
        <v>2044</v>
      </c>
      <c r="H152" s="402" t="str">
        <f>IF(Tableau2[[#This Row],[Moyennes]]="Absent","Absent",IF(Tableau2[[#This Row],[Moyennes]]&lt;5,"Redouble",IF(Tableau2[[#This Row],[Moyennes]]&gt;=5,"Admis"," ")))</f>
        <v>Admis</v>
      </c>
      <c r="J152" t="s">
        <v>662</v>
      </c>
      <c r="K152" t="s">
        <v>2185</v>
      </c>
      <c r="L152" s="64">
        <f>IF(AND(Tableau2[[#This Row],[CLASSE]]="CPU",Tableau2[[#This Row],[STATUT ]]="Admis"),1,0)</f>
        <v>1</v>
      </c>
      <c r="M152" s="64">
        <f>IF(AND(Tableau2[[#This Row],[CLASSE]]="CEU",Tableau2[[#This Row],[STATUT ]]="Admis"),1,0)</f>
        <v>0</v>
      </c>
      <c r="N152" s="64"/>
      <c r="O152" s="296"/>
      <c r="P1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53" spans="1:16" ht="21" x14ac:dyDescent="0.35">
      <c r="A153" s="310">
        <v>152</v>
      </c>
      <c r="B153" s="415" t="s">
        <v>2167</v>
      </c>
      <c r="C153" s="64" t="s">
        <v>1</v>
      </c>
      <c r="D153" s="295">
        <v>9</v>
      </c>
      <c r="E153" s="406">
        <v>6.17</v>
      </c>
      <c r="F153" s="482" t="s">
        <v>2009</v>
      </c>
      <c r="G153" s="402" t="s">
        <v>2044</v>
      </c>
      <c r="H153" s="402" t="str">
        <f>IF(Tableau2[[#This Row],[Moyennes]]="Absent","Absent",IF(Tableau2[[#This Row],[Moyennes]]&lt;5,"Redouble",IF(Tableau2[[#This Row],[Moyennes]]&gt;=5,"Admis"," ")))</f>
        <v>Admis</v>
      </c>
      <c r="I153" s="486"/>
      <c r="J153" t="s">
        <v>662</v>
      </c>
      <c r="K153" t="s">
        <v>2185</v>
      </c>
      <c r="L153" s="64">
        <f>IF(AND(Tableau2[[#This Row],[CLASSE]]="CPU",Tableau2[[#This Row],[STATUT ]]="Admis"),1,0)</f>
        <v>1</v>
      </c>
      <c r="M153" s="64">
        <f>IF(AND(Tableau2[[#This Row],[CLASSE]]="CEU",Tableau2[[#This Row],[STATUT ]]="Admis"),1,0)</f>
        <v>0</v>
      </c>
      <c r="N153" s="64"/>
      <c r="O153" s="296"/>
      <c r="P1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54" spans="1:16" ht="21" x14ac:dyDescent="0.35">
      <c r="A154" s="310">
        <v>153</v>
      </c>
      <c r="B154" s="403" t="s">
        <v>2169</v>
      </c>
      <c r="C154" s="411" t="s">
        <v>2</v>
      </c>
      <c r="D154" s="295">
        <v>14</v>
      </c>
      <c r="E154" s="406">
        <v>5</v>
      </c>
      <c r="F154" s="482" t="s">
        <v>2009</v>
      </c>
      <c r="G154" s="402" t="s">
        <v>2027</v>
      </c>
      <c r="H154" s="402" t="str">
        <f>IF(Tableau2[[#This Row],[Moyennes]]="Absent","Absent",IF(Tableau2[[#This Row],[Moyennes]]&lt;5,"Redouble",IF(Tableau2[[#This Row],[Moyennes]]&gt;=5,"Admis"," ")))</f>
        <v>Admis</v>
      </c>
      <c r="I154" s="486"/>
      <c r="J154" t="s">
        <v>662</v>
      </c>
      <c r="K154" t="s">
        <v>2185</v>
      </c>
      <c r="L154" s="64">
        <f>IF(AND(Tableau2[[#This Row],[CLASSE]]="CPU",Tableau2[[#This Row],[STATUT ]]="Admis"),1,0)</f>
        <v>1</v>
      </c>
      <c r="M154" s="64">
        <f>IF(AND(Tableau2[[#This Row],[CLASSE]]="CEU",Tableau2[[#This Row],[STATUT ]]="Admis"),1,0)</f>
        <v>0</v>
      </c>
      <c r="N154" s="64"/>
      <c r="O154" s="296"/>
      <c r="P1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55" spans="1:16" ht="21" x14ac:dyDescent="0.35">
      <c r="A155" s="310">
        <v>154</v>
      </c>
      <c r="B155" s="396" t="s">
        <v>2171</v>
      </c>
      <c r="C155" s="64" t="s">
        <v>1</v>
      </c>
      <c r="D155" s="295">
        <v>9</v>
      </c>
      <c r="E155" s="406">
        <v>8.83</v>
      </c>
      <c r="F155" s="482" t="s">
        <v>2009</v>
      </c>
      <c r="G155" s="396" t="s">
        <v>2035</v>
      </c>
      <c r="H155" s="402" t="str">
        <f>IF(Tableau2[[#This Row],[Moyennes]]="Absent","Absent",IF(Tableau2[[#This Row],[Moyennes]]&lt;5,"Redouble",IF(Tableau2[[#This Row],[Moyennes]]&gt;=5,"Admis"," ")))</f>
        <v>Admis</v>
      </c>
      <c r="J155" t="s">
        <v>662</v>
      </c>
      <c r="K155" t="s">
        <v>2185</v>
      </c>
      <c r="L155" s="64">
        <f>IF(AND(Tableau2[[#This Row],[CLASSE]]="CPU",Tableau2[[#This Row],[STATUT ]]="Admis"),1,0)</f>
        <v>1</v>
      </c>
      <c r="M155" s="64">
        <f>IF(AND(Tableau2[[#This Row],[CLASSE]]="CEU",Tableau2[[#This Row],[STATUT ]]="Admis"),1,0)</f>
        <v>0</v>
      </c>
      <c r="N155" s="64"/>
      <c r="O155" s="296"/>
      <c r="P1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56" spans="1:16" ht="21" x14ac:dyDescent="0.35">
      <c r="A156" s="310">
        <v>155</v>
      </c>
      <c r="B156" s="396" t="s">
        <v>2172</v>
      </c>
      <c r="C156" s="64" t="s">
        <v>2</v>
      </c>
      <c r="D156" s="295">
        <v>14</v>
      </c>
      <c r="E156" s="406">
        <v>9.58</v>
      </c>
      <c r="F156" s="482" t="s">
        <v>2009</v>
      </c>
      <c r="G156" s="396" t="s">
        <v>815</v>
      </c>
      <c r="H156" s="402" t="str">
        <f>IF(Tableau2[[#This Row],[Moyennes]]="Absent","Absent",IF(Tableau2[[#This Row],[Moyennes]]&lt;5,"Redouble",IF(Tableau2[[#This Row],[Moyennes]]&gt;=5,"Admis"," ")))</f>
        <v>Admis</v>
      </c>
      <c r="J156" t="s">
        <v>662</v>
      </c>
      <c r="K156" t="s">
        <v>2185</v>
      </c>
      <c r="L156" s="64">
        <f>IF(AND(Tableau2[[#This Row],[CLASSE]]="CPU",Tableau2[[#This Row],[STATUT ]]="Admis"),1,0)</f>
        <v>1</v>
      </c>
      <c r="M156" s="64">
        <f>IF(AND(Tableau2[[#This Row],[CLASSE]]="CEU",Tableau2[[#This Row],[STATUT ]]="Admis"),1,0)</f>
        <v>0</v>
      </c>
      <c r="N156" s="64"/>
      <c r="O156" s="296"/>
      <c r="P1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57" spans="1:16" ht="21" x14ac:dyDescent="0.35">
      <c r="A157" s="310">
        <v>156</v>
      </c>
      <c r="B157" s="396" t="s">
        <v>2174</v>
      </c>
      <c r="C157" s="64" t="s">
        <v>2</v>
      </c>
      <c r="D157" s="295">
        <v>11</v>
      </c>
      <c r="E157" s="406">
        <v>5.17</v>
      </c>
      <c r="F157" s="482" t="s">
        <v>2009</v>
      </c>
      <c r="G157" s="396" t="s">
        <v>2048</v>
      </c>
      <c r="H157" s="402" t="str">
        <f>IF(Tableau2[[#This Row],[Moyennes]]="Absent","Absent",IF(Tableau2[[#This Row],[Moyennes]]&lt;5,"Redouble",IF(Tableau2[[#This Row],[Moyennes]]&gt;=5,"Admis"," ")))</f>
        <v>Admis</v>
      </c>
      <c r="J157" t="s">
        <v>662</v>
      </c>
      <c r="K157" t="s">
        <v>2185</v>
      </c>
      <c r="L157" s="64">
        <f>IF(AND(Tableau2[[#This Row],[CLASSE]]="CPU",Tableau2[[#This Row],[STATUT ]]="Admis"),1,0)</f>
        <v>1</v>
      </c>
      <c r="M157" s="64">
        <f>IF(AND(Tableau2[[#This Row],[CLASSE]]="CEU",Tableau2[[#This Row],[STATUT ]]="Admis"),1,0)</f>
        <v>0</v>
      </c>
      <c r="N157" s="64"/>
      <c r="O157" s="296"/>
      <c r="P1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58" spans="1:16" ht="21" x14ac:dyDescent="0.35">
      <c r="A158" s="310">
        <v>157</v>
      </c>
      <c r="B158" s="396" t="s">
        <v>2175</v>
      </c>
      <c r="C158" s="64" t="s">
        <v>2</v>
      </c>
      <c r="D158" s="295">
        <v>9</v>
      </c>
      <c r="E158" s="406">
        <v>8.67</v>
      </c>
      <c r="F158" s="482" t="s">
        <v>2009</v>
      </c>
      <c r="G158" s="396" t="s">
        <v>2010</v>
      </c>
      <c r="H158" s="402" t="str">
        <f>IF(Tableau2[[#This Row],[Moyennes]]="Absent","Absent",IF(Tableau2[[#This Row],[Moyennes]]&lt;5,"Redouble",IF(Tableau2[[#This Row],[Moyennes]]&gt;=5,"Admis"," ")))</f>
        <v>Admis</v>
      </c>
      <c r="J158" t="s">
        <v>662</v>
      </c>
      <c r="K158" t="s">
        <v>2185</v>
      </c>
      <c r="L158" s="64">
        <f>IF(AND(Tableau2[[#This Row],[CLASSE]]="CPU",Tableau2[[#This Row],[STATUT ]]="Admis"),1,0)</f>
        <v>1</v>
      </c>
      <c r="M158" s="64">
        <f>IF(AND(Tableau2[[#This Row],[CLASSE]]="CEU",Tableau2[[#This Row],[STATUT ]]="Admis"),1,0)</f>
        <v>0</v>
      </c>
      <c r="N158" s="64"/>
      <c r="O158" s="296"/>
      <c r="P1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59" spans="1:16" ht="21" x14ac:dyDescent="0.35">
      <c r="A159" s="310">
        <v>158</v>
      </c>
      <c r="B159" s="396" t="s">
        <v>2180</v>
      </c>
      <c r="C159" s="64" t="s">
        <v>2</v>
      </c>
      <c r="D159" s="295">
        <v>9</v>
      </c>
      <c r="E159" s="406">
        <v>5</v>
      </c>
      <c r="F159" s="482" t="s">
        <v>2009</v>
      </c>
      <c r="G159" s="396" t="s">
        <v>2027</v>
      </c>
      <c r="H159" s="402" t="str">
        <f>IF(Tableau2[[#This Row],[Moyennes]]="Absent","Absent",IF(Tableau2[[#This Row],[Moyennes]]&lt;5,"Redouble",IF(Tableau2[[#This Row],[Moyennes]]&gt;=5,"Admis"," ")))</f>
        <v>Admis</v>
      </c>
      <c r="J159" t="s">
        <v>662</v>
      </c>
      <c r="K159" t="s">
        <v>2185</v>
      </c>
      <c r="L159" s="64">
        <f>IF(AND(Tableau2[[#This Row],[CLASSE]]="CPU",Tableau2[[#This Row],[STATUT ]]="Admis"),1,0)</f>
        <v>1</v>
      </c>
      <c r="M159" s="64">
        <f>IF(AND(Tableau2[[#This Row],[CLASSE]]="CEU",Tableau2[[#This Row],[STATUT ]]="Admis"),1,0)</f>
        <v>0</v>
      </c>
      <c r="N159" s="64"/>
      <c r="O159" s="296"/>
      <c r="P1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60" spans="1:16" ht="21" x14ac:dyDescent="0.35">
      <c r="A160" s="310">
        <v>159</v>
      </c>
      <c r="B160" s="396" t="s">
        <v>2179</v>
      </c>
      <c r="C160" s="64" t="s">
        <v>1</v>
      </c>
      <c r="D160" s="295">
        <v>9</v>
      </c>
      <c r="E160" s="406">
        <v>7.08</v>
      </c>
      <c r="F160" s="482" t="s">
        <v>2009</v>
      </c>
      <c r="G160" s="396" t="s">
        <v>2012</v>
      </c>
      <c r="H160" s="402" t="str">
        <f>IF(Tableau2[[#This Row],[Moyennes]]="Absent","Absent",IF(Tableau2[[#This Row],[Moyennes]]&lt;5,"Redouble",IF(Tableau2[[#This Row],[Moyennes]]&gt;=5,"Admis"," ")))</f>
        <v>Admis</v>
      </c>
      <c r="J160" t="s">
        <v>662</v>
      </c>
      <c r="K160" t="s">
        <v>2185</v>
      </c>
      <c r="L160" s="64">
        <f>IF(AND(Tableau2[[#This Row],[CLASSE]]="CPU",Tableau2[[#This Row],[STATUT ]]="Admis"),1,0)</f>
        <v>1</v>
      </c>
      <c r="M160" s="64">
        <f>IF(AND(Tableau2[[#This Row],[CLASSE]]="CEU",Tableau2[[#This Row],[STATUT ]]="Admis"),1,0)</f>
        <v>0</v>
      </c>
      <c r="N160" s="64"/>
      <c r="O160" s="296"/>
      <c r="P1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61" spans="1:16" ht="21" x14ac:dyDescent="0.35">
      <c r="A161" s="310">
        <v>160</v>
      </c>
      <c r="B161" s="396" t="s">
        <v>2168</v>
      </c>
      <c r="C161" s="64" t="s">
        <v>2</v>
      </c>
      <c r="D161" s="295">
        <v>11</v>
      </c>
      <c r="E161" s="406">
        <v>4.5</v>
      </c>
      <c r="F161" s="482" t="s">
        <v>2009</v>
      </c>
      <c r="G161" s="396" t="s">
        <v>2033</v>
      </c>
      <c r="H161" s="402" t="str">
        <f>IF(Tableau2[[#This Row],[Moyennes]]="Absent","Absent",IF(Tableau2[[#This Row],[Moyennes]]&lt;5,"Redouble",IF(Tableau2[[#This Row],[Moyennes]]&gt;=5,"Admis"," ")))</f>
        <v>Redouble</v>
      </c>
      <c r="J161" t="s">
        <v>662</v>
      </c>
      <c r="K161" t="s">
        <v>2185</v>
      </c>
      <c r="L161" s="64">
        <f>IF(AND(Tableau2[[#This Row],[CLASSE]]="CPU",Tableau2[[#This Row],[STATUT ]]="Admis"),1,0)</f>
        <v>0</v>
      </c>
      <c r="M161" s="64">
        <f>IF(AND(Tableau2[[#This Row],[CLASSE]]="CEU",Tableau2[[#This Row],[STATUT ]]="Admis"),1,0)</f>
        <v>0</v>
      </c>
      <c r="N161" s="64"/>
      <c r="O161" s="296"/>
      <c r="P1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2" spans="1:16" ht="21" x14ac:dyDescent="0.35">
      <c r="A162" s="310">
        <v>161</v>
      </c>
      <c r="B162" s="396" t="s">
        <v>2178</v>
      </c>
      <c r="C162" s="64" t="s">
        <v>1</v>
      </c>
      <c r="D162" s="295">
        <v>9</v>
      </c>
      <c r="E162" s="406">
        <v>2.5</v>
      </c>
      <c r="F162" s="482" t="s">
        <v>2009</v>
      </c>
      <c r="G162" s="396" t="s">
        <v>2025</v>
      </c>
      <c r="H162" s="402" t="str">
        <f>IF(Tableau2[[#This Row],[Moyennes]]="Absent","Absent",IF(Tableau2[[#This Row],[Moyennes]]&lt;5,"Redouble",IF(Tableau2[[#This Row],[Moyennes]]&gt;=5,"Admis"," ")))</f>
        <v>Redouble</v>
      </c>
      <c r="J162" t="s">
        <v>662</v>
      </c>
      <c r="K162" t="s">
        <v>2185</v>
      </c>
      <c r="L162" s="64">
        <f>IF(AND(Tableau2[[#This Row],[CLASSE]]="CPU",Tableau2[[#This Row],[STATUT ]]="Admis"),1,0)</f>
        <v>0</v>
      </c>
      <c r="M162" s="64">
        <f>IF(AND(Tableau2[[#This Row],[CLASSE]]="CEU",Tableau2[[#This Row],[STATUT ]]="Admis"),1,0)</f>
        <v>0</v>
      </c>
      <c r="N162" s="64"/>
      <c r="O162" s="296"/>
      <c r="P1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3" spans="1:16" ht="21" x14ac:dyDescent="0.35">
      <c r="A163" s="310">
        <v>162</v>
      </c>
      <c r="B163" s="396" t="s">
        <v>2176</v>
      </c>
      <c r="C163" s="64" t="s">
        <v>2</v>
      </c>
      <c r="D163" s="295">
        <v>9</v>
      </c>
      <c r="E163" s="406">
        <v>3.33</v>
      </c>
      <c r="F163" s="482" t="s">
        <v>2009</v>
      </c>
      <c r="G163" s="396" t="s">
        <v>2023</v>
      </c>
      <c r="H163" s="402" t="str">
        <f>IF(Tableau2[[#This Row],[Moyennes]]="Absent","Absent",IF(Tableau2[[#This Row],[Moyennes]]&lt;5,"Redouble",IF(Tableau2[[#This Row],[Moyennes]]&gt;=5,"Admis"," ")))</f>
        <v>Redouble</v>
      </c>
      <c r="J163" t="s">
        <v>662</v>
      </c>
      <c r="K163" t="s">
        <v>2185</v>
      </c>
      <c r="L163" s="64">
        <f>IF(AND(Tableau2[[#This Row],[CLASSE]]="CPU",Tableau2[[#This Row],[STATUT ]]="Admis"),1,0)</f>
        <v>0</v>
      </c>
      <c r="M163" s="64">
        <f>IF(AND(Tableau2[[#This Row],[CLASSE]]="CEU",Tableau2[[#This Row],[STATUT ]]="Admis"),1,0)</f>
        <v>0</v>
      </c>
      <c r="N163" s="64"/>
      <c r="O163" s="296"/>
      <c r="P1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4" spans="1:16" ht="21" x14ac:dyDescent="0.35">
      <c r="A164" s="310">
        <v>163</v>
      </c>
      <c r="B164" s="396" t="s">
        <v>2177</v>
      </c>
      <c r="C164" s="64" t="s">
        <v>2</v>
      </c>
      <c r="D164" s="295">
        <v>9</v>
      </c>
      <c r="E164" s="406">
        <v>4.67</v>
      </c>
      <c r="F164" s="482" t="s">
        <v>2009</v>
      </c>
      <c r="G164" s="396" t="s">
        <v>2021</v>
      </c>
      <c r="H164" s="402" t="str">
        <f>IF(Tableau2[[#This Row],[Moyennes]]="Absent","Absent",IF(Tableau2[[#This Row],[Moyennes]]&lt;5,"Redouble",IF(Tableau2[[#This Row],[Moyennes]]&gt;=5,"Admis"," ")))</f>
        <v>Redouble</v>
      </c>
      <c r="J164" t="s">
        <v>662</v>
      </c>
      <c r="K164" t="s">
        <v>2185</v>
      </c>
      <c r="L164" s="64">
        <f>IF(AND(Tableau2[[#This Row],[CLASSE]]="CPU",Tableau2[[#This Row],[STATUT ]]="Admis"),1,0)</f>
        <v>0</v>
      </c>
      <c r="M164" s="64">
        <f>IF(AND(Tableau2[[#This Row],[CLASSE]]="CEU",Tableau2[[#This Row],[STATUT ]]="Admis"),1,0)</f>
        <v>0</v>
      </c>
      <c r="N164" s="64"/>
      <c r="O164" s="296"/>
      <c r="P1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5" spans="1:16" ht="21" x14ac:dyDescent="0.35">
      <c r="A165" s="310">
        <v>164</v>
      </c>
      <c r="B165" s="396" t="s">
        <v>1870</v>
      </c>
      <c r="C165" s="64" t="s">
        <v>2</v>
      </c>
      <c r="D165" s="295">
        <v>9</v>
      </c>
      <c r="E165" s="406">
        <v>3.05</v>
      </c>
      <c r="F165" s="482" t="s">
        <v>2009</v>
      </c>
      <c r="G165" s="396" t="s">
        <v>2042</v>
      </c>
      <c r="H165" s="402" t="str">
        <f>IF(Tableau2[[#This Row],[Moyennes]]="Absent","Absent",IF(Tableau2[[#This Row],[Moyennes]]&lt;5,"Redouble",IF(Tableau2[[#This Row],[Moyennes]]&gt;=5,"Admis"," ")))</f>
        <v>Redouble</v>
      </c>
      <c r="J165" t="s">
        <v>662</v>
      </c>
      <c r="K165" t="s">
        <v>2185</v>
      </c>
      <c r="L165" s="64">
        <f>IF(AND(Tableau2[[#This Row],[CLASSE]]="CPU",Tableau2[[#This Row],[STATUT ]]="Admis"),1,0)</f>
        <v>0</v>
      </c>
      <c r="M165" s="64">
        <f>IF(AND(Tableau2[[#This Row],[CLASSE]]="CEU",Tableau2[[#This Row],[STATUT ]]="Admis"),1,0)</f>
        <v>0</v>
      </c>
      <c r="N165" s="64"/>
      <c r="O165" s="296"/>
      <c r="P1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6" spans="1:16" ht="21" x14ac:dyDescent="0.35">
      <c r="A166" s="310">
        <v>165</v>
      </c>
      <c r="B166" s="396" t="s">
        <v>2173</v>
      </c>
      <c r="C166" s="64" t="s">
        <v>2</v>
      </c>
      <c r="D166" s="295">
        <v>9</v>
      </c>
      <c r="E166" s="406">
        <v>4</v>
      </c>
      <c r="F166" s="482" t="s">
        <v>2009</v>
      </c>
      <c r="G166" s="396" t="s">
        <v>2062</v>
      </c>
      <c r="H166" s="402" t="str">
        <f>IF(Tableau2[[#This Row],[Moyennes]]="Absent","Absent",IF(Tableau2[[#This Row],[Moyennes]]&lt;5,"Redouble",IF(Tableau2[[#This Row],[Moyennes]]&gt;=5,"Admis"," ")))</f>
        <v>Redouble</v>
      </c>
      <c r="J166" t="s">
        <v>662</v>
      </c>
      <c r="K166" t="s">
        <v>2185</v>
      </c>
      <c r="L166" s="64">
        <f>IF(AND(Tableau2[[#This Row],[CLASSE]]="CPU",Tableau2[[#This Row],[STATUT ]]="Admis"),1,0)</f>
        <v>0</v>
      </c>
      <c r="M166" s="64">
        <f>IF(AND(Tableau2[[#This Row],[CLASSE]]="CEU",Tableau2[[#This Row],[STATUT ]]="Admis"),1,0)</f>
        <v>0</v>
      </c>
      <c r="N166" s="64"/>
      <c r="O166" s="296"/>
      <c r="P1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7" spans="1:16" ht="21" x14ac:dyDescent="0.35">
      <c r="A167" s="310">
        <v>166</v>
      </c>
      <c r="B167" s="396" t="s">
        <v>2184</v>
      </c>
      <c r="C167" s="64" t="s">
        <v>2</v>
      </c>
      <c r="D167" s="295">
        <v>9</v>
      </c>
      <c r="E167" s="406">
        <v>4.42</v>
      </c>
      <c r="F167" s="482" t="s">
        <v>2009</v>
      </c>
      <c r="G167" s="396" t="s">
        <v>2030</v>
      </c>
      <c r="H167" s="402" t="str">
        <f>IF(Tableau2[[#This Row],[Moyennes]]="Absent","Absent",IF(Tableau2[[#This Row],[Moyennes]]&lt;5,"Redouble",IF(Tableau2[[#This Row],[Moyennes]]&gt;=5,"Admis"," ")))</f>
        <v>Redouble</v>
      </c>
      <c r="J167" t="s">
        <v>662</v>
      </c>
      <c r="K167" t="s">
        <v>2185</v>
      </c>
      <c r="L167" s="64">
        <f>IF(AND(Tableau2[[#This Row],[CLASSE]]="CPU",Tableau2[[#This Row],[STATUT ]]="Admis"),1,0)</f>
        <v>0</v>
      </c>
      <c r="M167" s="64">
        <f>IF(AND(Tableau2[[#This Row],[CLASSE]]="CEU",Tableau2[[#This Row],[STATUT ]]="Admis"),1,0)</f>
        <v>0</v>
      </c>
      <c r="N167" s="64"/>
      <c r="O167" s="296"/>
      <c r="P1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68" spans="1:16" ht="21" x14ac:dyDescent="0.35">
      <c r="A168" s="310">
        <v>167</v>
      </c>
      <c r="B168" s="396" t="s">
        <v>2183</v>
      </c>
      <c r="C168" s="64" t="s">
        <v>1</v>
      </c>
      <c r="D168" s="295">
        <v>9</v>
      </c>
      <c r="E168" s="299" t="s">
        <v>2165</v>
      </c>
      <c r="F168" s="305" t="s">
        <v>2009</v>
      </c>
      <c r="G168" s="22" t="s">
        <v>2165</v>
      </c>
      <c r="H168" s="300" t="str">
        <f>IF(Tableau2[[#This Row],[Moyennes]]="Absent","Absent",IF(Tableau2[[#This Row],[Moyennes]]&lt;5,"Redouble",IF(Tableau2[[#This Row],[Moyennes]]&gt;=5,"Admis"," ")))</f>
        <v>Absent</v>
      </c>
      <c r="I168" s="17"/>
      <c r="J168" s="17" t="s">
        <v>662</v>
      </c>
      <c r="K168" s="17" t="s">
        <v>2185</v>
      </c>
      <c r="L168" s="64">
        <f>IF(AND(Tableau2[[#This Row],[CLASSE]]="CPU",Tableau2[[#This Row],[STATUT ]]="Admis"),1,0)</f>
        <v>0</v>
      </c>
      <c r="M168" s="64">
        <f>IF(AND(Tableau2[[#This Row],[CLASSE]]="CEU",Tableau2[[#This Row],[STATUT ]]="Admis"),1,0)</f>
        <v>0</v>
      </c>
      <c r="N168" s="64"/>
      <c r="O168" s="296"/>
      <c r="P1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69" spans="1:16" ht="21" x14ac:dyDescent="0.35">
      <c r="A169" s="310">
        <v>168</v>
      </c>
      <c r="B169" s="396" t="s">
        <v>2170</v>
      </c>
      <c r="C169" s="64" t="s">
        <v>2</v>
      </c>
      <c r="D169" s="295">
        <v>9</v>
      </c>
      <c r="E169" s="299" t="s">
        <v>2165</v>
      </c>
      <c r="F169" s="305" t="s">
        <v>2009</v>
      </c>
      <c r="G169" s="300" t="s">
        <v>2165</v>
      </c>
      <c r="H169" s="300" t="str">
        <f>IF(Tableau2[[#This Row],[Moyennes]]="Absent","Absent",IF(Tableau2[[#This Row],[Moyennes]]&lt;5,"Redouble",IF(Tableau2[[#This Row],[Moyennes]]&gt;=5,"Admis"," ")))</f>
        <v>Absent</v>
      </c>
      <c r="I169" s="494"/>
      <c r="J169" s="17" t="s">
        <v>662</v>
      </c>
      <c r="K169" s="17" t="s">
        <v>2185</v>
      </c>
      <c r="L169" s="64">
        <f>IF(AND(Tableau2[[#This Row],[CLASSE]]="CPU",Tableau2[[#This Row],[STATUT ]]="Admis"),1,0)</f>
        <v>0</v>
      </c>
      <c r="M169" s="64">
        <f>IF(AND(Tableau2[[#This Row],[CLASSE]]="CEU",Tableau2[[#This Row],[STATUT ]]="Admis"),1,0)</f>
        <v>0</v>
      </c>
      <c r="N169" s="64"/>
      <c r="O169" s="296"/>
      <c r="P1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70" spans="1:16" ht="21" x14ac:dyDescent="0.35">
      <c r="A170" s="310">
        <v>169</v>
      </c>
      <c r="B170" s="396" t="s">
        <v>2070</v>
      </c>
      <c r="C170" s="64" t="s">
        <v>1</v>
      </c>
      <c r="D170" s="295">
        <v>9</v>
      </c>
      <c r="E170" s="300" t="s">
        <v>2165</v>
      </c>
      <c r="F170" s="305" t="s">
        <v>2009</v>
      </c>
      <c r="G170" s="300" t="s">
        <v>2165</v>
      </c>
      <c r="H170" s="300" t="str">
        <f>IF(Tableau2[[#This Row],[Moyennes]]="Absent","Absent",IF(Tableau2[[#This Row],[Moyennes]]&lt;5,"Redouble",IF(Tableau2[[#This Row],[Moyennes]]&gt;=5,"Admis"," ")))</f>
        <v>Absent</v>
      </c>
      <c r="I170" s="494"/>
      <c r="J170" s="17" t="s">
        <v>662</v>
      </c>
      <c r="K170" s="17" t="s">
        <v>2185</v>
      </c>
      <c r="L170" s="64">
        <f>IF(AND(Tableau2[[#This Row],[CLASSE]]="CPU",Tableau2[[#This Row],[STATUT ]]="Admis"),1,0)</f>
        <v>0</v>
      </c>
      <c r="M170" s="64">
        <f>IF(AND(Tableau2[[#This Row],[CLASSE]]="CEU",Tableau2[[#This Row],[STATUT ]]="Admis"),1,0)</f>
        <v>0</v>
      </c>
      <c r="N170" s="64"/>
      <c r="O170" s="296"/>
      <c r="P1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71" spans="1:16" ht="21" x14ac:dyDescent="0.35">
      <c r="A171" s="310">
        <v>170</v>
      </c>
      <c r="B171" s="396" t="s">
        <v>2166</v>
      </c>
      <c r="C171" s="64" t="s">
        <v>2</v>
      </c>
      <c r="D171" s="295">
        <v>14</v>
      </c>
      <c r="E171" s="299" t="s">
        <v>2165</v>
      </c>
      <c r="F171" s="305" t="s">
        <v>2009</v>
      </c>
      <c r="G171" s="22" t="s">
        <v>2165</v>
      </c>
      <c r="H171" s="300" t="str">
        <f>IF(Tableau2[[#This Row],[Moyennes]]="Absent","Absent",IF(Tableau2[[#This Row],[Moyennes]]&lt;5,"Redouble",IF(Tableau2[[#This Row],[Moyennes]]&gt;=5,"Admis"," ")))</f>
        <v>Absent</v>
      </c>
      <c r="I171" s="17"/>
      <c r="J171" s="17" t="s">
        <v>662</v>
      </c>
      <c r="K171" s="17" t="s">
        <v>2185</v>
      </c>
      <c r="L171" s="64">
        <f>IF(AND(Tableau2[[#This Row],[CLASSE]]="CPU",Tableau2[[#This Row],[STATUT ]]="Admis"),1,0)</f>
        <v>0</v>
      </c>
      <c r="M171" s="64">
        <f>IF(AND(Tableau2[[#This Row],[CLASSE]]="CEU",Tableau2[[#This Row],[STATUT ]]="Admis"),1,0)</f>
        <v>0</v>
      </c>
      <c r="N171" s="64"/>
      <c r="O171" s="296"/>
      <c r="P1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72" spans="1:16" ht="21" x14ac:dyDescent="0.35">
      <c r="A172" s="310">
        <v>171</v>
      </c>
      <c r="B172" s="396" t="s">
        <v>2182</v>
      </c>
      <c r="C172" s="64" t="s">
        <v>2</v>
      </c>
      <c r="D172" s="295">
        <v>11</v>
      </c>
      <c r="E172" s="299" t="s">
        <v>2165</v>
      </c>
      <c r="F172" s="305" t="s">
        <v>2009</v>
      </c>
      <c r="G172" s="22" t="s">
        <v>2165</v>
      </c>
      <c r="H172" s="300" t="str">
        <f>IF(Tableau2[[#This Row],[Moyennes]]="Absent","Absent",IF(Tableau2[[#This Row],[Moyennes]]&lt;5,"Redouble",IF(Tableau2[[#This Row],[Moyennes]]&gt;=5,"Admis"," ")))</f>
        <v>Absent</v>
      </c>
      <c r="I172" s="17"/>
      <c r="J172" s="17" t="s">
        <v>662</v>
      </c>
      <c r="K172" s="17" t="s">
        <v>2185</v>
      </c>
      <c r="L172" s="64">
        <f>IF(AND(Tableau2[[#This Row],[CLASSE]]="CPU",Tableau2[[#This Row],[STATUT ]]="Admis"),1,0)</f>
        <v>0</v>
      </c>
      <c r="M172" s="64">
        <f>IF(AND(Tableau2[[#This Row],[CLASSE]]="CEU",Tableau2[[#This Row],[STATUT ]]="Admis"),1,0)</f>
        <v>0</v>
      </c>
      <c r="N172" s="64"/>
      <c r="O172" s="296"/>
      <c r="P1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73" spans="1:16" ht="21" x14ac:dyDescent="0.35">
      <c r="A173" s="310">
        <v>172</v>
      </c>
      <c r="B173" s="396" t="s">
        <v>2164</v>
      </c>
      <c r="C173" s="64" t="s">
        <v>2</v>
      </c>
      <c r="D173" s="295">
        <v>11</v>
      </c>
      <c r="E173" s="300" t="s">
        <v>2165</v>
      </c>
      <c r="F173" s="305" t="s">
        <v>2009</v>
      </c>
      <c r="G173" s="300" t="s">
        <v>2165</v>
      </c>
      <c r="H173" s="300" t="str">
        <f>IF(Tableau2[[#This Row],[Moyennes]]="Absent","Absent",IF(Tableau2[[#This Row],[Moyennes]]&lt;5,"Redouble",IF(Tableau2[[#This Row],[Moyennes]]&gt;=5,"Admis"," ")))</f>
        <v>Absent</v>
      </c>
      <c r="I173" s="494"/>
      <c r="J173" s="17" t="s">
        <v>662</v>
      </c>
      <c r="K173" s="17" t="s">
        <v>2185</v>
      </c>
      <c r="L173" s="64">
        <f>IF(AND(Tableau2[[#This Row],[CLASSE]]="CPU",Tableau2[[#This Row],[STATUT ]]="Admis"),1,0)</f>
        <v>0</v>
      </c>
      <c r="M173" s="64">
        <f>IF(AND(Tableau2[[#This Row],[CLASSE]]="CEU",Tableau2[[#This Row],[STATUT ]]="Admis"),1,0)</f>
        <v>0</v>
      </c>
      <c r="N173" s="64"/>
      <c r="O173" s="296"/>
      <c r="P1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74" spans="1:16" ht="21" x14ac:dyDescent="0.35">
      <c r="A174" s="310">
        <v>173</v>
      </c>
      <c r="B174" s="396" t="s">
        <v>2186</v>
      </c>
      <c r="C174" s="64" t="s">
        <v>1</v>
      </c>
      <c r="D174" s="295">
        <v>9</v>
      </c>
      <c r="E174" s="402">
        <v>7.33</v>
      </c>
      <c r="F174" s="482" t="s">
        <v>2009</v>
      </c>
      <c r="G174" s="402" t="s">
        <v>2018</v>
      </c>
      <c r="H174" s="402" t="str">
        <f>IF(Tableau2[[#This Row],[Moyennes]]="Absent","Absent",IF(Tableau2[[#This Row],[Moyennes]]&lt;5,"Redouble",IF(Tableau2[[#This Row],[Moyennes]]&gt;=5,"Admis"," ")))</f>
        <v>Admis</v>
      </c>
      <c r="I174" s="486"/>
      <c r="J174" t="s">
        <v>662</v>
      </c>
      <c r="K174" t="s">
        <v>2198</v>
      </c>
      <c r="L174" s="64">
        <f>IF(AND(Tableau2[[#This Row],[CLASSE]]="CPU",Tableau2[[#This Row],[STATUT ]]="Admis"),1,0)</f>
        <v>1</v>
      </c>
      <c r="M174" s="64">
        <f>IF(AND(Tableau2[[#This Row],[CLASSE]]="CEU",Tableau2[[#This Row],[STATUT ]]="Admis"),1,0)</f>
        <v>0</v>
      </c>
      <c r="N174" s="64"/>
      <c r="O174" s="296"/>
      <c r="P1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75" spans="1:16" ht="21" x14ac:dyDescent="0.35">
      <c r="A175" s="310">
        <v>174</v>
      </c>
      <c r="B175" s="396" t="s">
        <v>2187</v>
      </c>
      <c r="C175" s="64" t="s">
        <v>1</v>
      </c>
      <c r="D175" s="295">
        <v>13</v>
      </c>
      <c r="E175" s="402">
        <v>8</v>
      </c>
      <c r="F175" s="482" t="s">
        <v>2009</v>
      </c>
      <c r="G175" s="402" t="s">
        <v>2012</v>
      </c>
      <c r="H175" s="402" t="str">
        <f>IF(Tableau2[[#This Row],[Moyennes]]="Absent","Absent",IF(Tableau2[[#This Row],[Moyennes]]&lt;5,"Redouble",IF(Tableau2[[#This Row],[Moyennes]]&gt;=5,"Admis"," ")))</f>
        <v>Admis</v>
      </c>
      <c r="I175" s="486"/>
      <c r="J175" t="s">
        <v>662</v>
      </c>
      <c r="K175" t="s">
        <v>2198</v>
      </c>
      <c r="L175" s="64">
        <f>IF(AND(Tableau2[[#This Row],[CLASSE]]="CPU",Tableau2[[#This Row],[STATUT ]]="Admis"),1,0)</f>
        <v>1</v>
      </c>
      <c r="M175" s="64">
        <f>IF(AND(Tableau2[[#This Row],[CLASSE]]="CEU",Tableau2[[#This Row],[STATUT ]]="Admis"),1,0)</f>
        <v>0</v>
      </c>
      <c r="N175" s="64"/>
      <c r="O175" s="296"/>
      <c r="P1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76" spans="1:16" ht="21" x14ac:dyDescent="0.35">
      <c r="A176" s="310">
        <v>175</v>
      </c>
      <c r="B176" s="396" t="s">
        <v>2188</v>
      </c>
      <c r="C176" s="64" t="s">
        <v>2</v>
      </c>
      <c r="D176" s="295">
        <v>11</v>
      </c>
      <c r="E176" s="406">
        <v>8.67</v>
      </c>
      <c r="F176" s="482" t="s">
        <v>2009</v>
      </c>
      <c r="G176" s="402" t="s">
        <v>838</v>
      </c>
      <c r="H176" s="402" t="str">
        <f>IF(Tableau2[[#This Row],[Moyennes]]="Absent","Absent",IF(Tableau2[[#This Row],[Moyennes]]&lt;5,"Redouble",IF(Tableau2[[#This Row],[Moyennes]]&gt;=5,"Admis"," ")))</f>
        <v>Admis</v>
      </c>
      <c r="I176" s="486"/>
      <c r="J176" t="s">
        <v>662</v>
      </c>
      <c r="K176" t="s">
        <v>2198</v>
      </c>
      <c r="L176" s="64">
        <f>IF(AND(Tableau2[[#This Row],[CLASSE]]="CPU",Tableau2[[#This Row],[STATUT ]]="Admis"),1,0)</f>
        <v>1</v>
      </c>
      <c r="M176" s="64">
        <f>IF(AND(Tableau2[[#This Row],[CLASSE]]="CEU",Tableau2[[#This Row],[STATUT ]]="Admis"),1,0)</f>
        <v>0</v>
      </c>
      <c r="N176" s="64"/>
      <c r="O176" s="296"/>
      <c r="P1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77" spans="1:16" ht="21" x14ac:dyDescent="0.35">
      <c r="A177" s="310">
        <v>176</v>
      </c>
      <c r="B177" s="396" t="s">
        <v>2189</v>
      </c>
      <c r="C177" s="64" t="s">
        <v>1</v>
      </c>
      <c r="D177" s="295">
        <v>12</v>
      </c>
      <c r="E177" s="406">
        <v>8.58</v>
      </c>
      <c r="F177" s="482" t="s">
        <v>2009</v>
      </c>
      <c r="G177" s="402" t="s">
        <v>2010</v>
      </c>
      <c r="H177" s="402" t="str">
        <f>IF(Tableau2[[#This Row],[Moyennes]]="Absent","Absent",IF(Tableau2[[#This Row],[Moyennes]]&lt;5,"Redouble",IF(Tableau2[[#This Row],[Moyennes]]&gt;=5,"Admis"," ")))</f>
        <v>Admis</v>
      </c>
      <c r="I177" s="486"/>
      <c r="J177" t="s">
        <v>662</v>
      </c>
      <c r="K177" t="s">
        <v>2198</v>
      </c>
      <c r="L177" s="64">
        <f>IF(AND(Tableau2[[#This Row],[CLASSE]]="CPU",Tableau2[[#This Row],[STATUT ]]="Admis"),1,0)</f>
        <v>1</v>
      </c>
      <c r="M177" s="64">
        <f>IF(AND(Tableau2[[#This Row],[CLASSE]]="CEU",Tableau2[[#This Row],[STATUT ]]="Admis"),1,0)</f>
        <v>0</v>
      </c>
      <c r="N177" s="64"/>
      <c r="O177" s="296"/>
      <c r="P1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78" spans="1:16" ht="21" x14ac:dyDescent="0.35">
      <c r="A178" s="310">
        <v>177</v>
      </c>
      <c r="B178" s="403" t="s">
        <v>2190</v>
      </c>
      <c r="C178" s="411" t="s">
        <v>2</v>
      </c>
      <c r="D178" s="295">
        <v>11</v>
      </c>
      <c r="E178" s="406">
        <v>8.33</v>
      </c>
      <c r="F178" s="482" t="s">
        <v>2009</v>
      </c>
      <c r="G178" s="402" t="s">
        <v>815</v>
      </c>
      <c r="H178" s="402" t="str">
        <f>IF(Tableau2[[#This Row],[Moyennes]]="Absent","Absent",IF(Tableau2[[#This Row],[Moyennes]]&lt;5,"Redouble",IF(Tableau2[[#This Row],[Moyennes]]&gt;=5,"Admis"," ")))</f>
        <v>Admis</v>
      </c>
      <c r="I178" s="486"/>
      <c r="J178" t="s">
        <v>662</v>
      </c>
      <c r="K178" t="s">
        <v>2198</v>
      </c>
      <c r="L178" s="64">
        <f>IF(AND(Tableau2[[#This Row],[CLASSE]]="CPU",Tableau2[[#This Row],[STATUT ]]="Admis"),1,0)</f>
        <v>1</v>
      </c>
      <c r="M178" s="64">
        <f>IF(AND(Tableau2[[#This Row],[CLASSE]]="CEU",Tableau2[[#This Row],[STATUT ]]="Admis"),1,0)</f>
        <v>0</v>
      </c>
      <c r="N178" s="64"/>
      <c r="O178" s="296"/>
      <c r="P1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79" spans="1:16" ht="21" x14ac:dyDescent="0.35">
      <c r="A179" s="310">
        <v>178</v>
      </c>
      <c r="B179" s="396" t="s">
        <v>2191</v>
      </c>
      <c r="C179" s="64" t="s">
        <v>1</v>
      </c>
      <c r="D179" s="295">
        <v>10</v>
      </c>
      <c r="E179" s="406">
        <v>5</v>
      </c>
      <c r="F179" s="482" t="s">
        <v>2009</v>
      </c>
      <c r="G179" s="402" t="s">
        <v>2048</v>
      </c>
      <c r="H179" s="402" t="str">
        <f>IF(Tableau2[[#This Row],[Moyennes]]="Absent","Absent",IF(Tableau2[[#This Row],[Moyennes]]&lt;5,"Redouble",IF(Tableau2[[#This Row],[Moyennes]]&gt;=5,"Admis"," ")))</f>
        <v>Admis</v>
      </c>
      <c r="I179" s="486"/>
      <c r="J179" t="s">
        <v>662</v>
      </c>
      <c r="K179" t="s">
        <v>2198</v>
      </c>
      <c r="L179" s="64">
        <f>IF(AND(Tableau2[[#This Row],[CLASSE]]="CPU",Tableau2[[#This Row],[STATUT ]]="Admis"),1,0)</f>
        <v>1</v>
      </c>
      <c r="M179" s="64">
        <f>IF(AND(Tableau2[[#This Row],[CLASSE]]="CEU",Tableau2[[#This Row],[STATUT ]]="Admis"),1,0)</f>
        <v>0</v>
      </c>
      <c r="N179" s="64"/>
      <c r="O179" s="296"/>
      <c r="P1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80" spans="1:16" ht="21" x14ac:dyDescent="0.35">
      <c r="A180" s="310">
        <v>179</v>
      </c>
      <c r="B180" s="396" t="s">
        <v>2192</v>
      </c>
      <c r="C180" s="64" t="s">
        <v>1</v>
      </c>
      <c r="D180" s="295">
        <v>13</v>
      </c>
      <c r="E180" s="406">
        <v>6.33</v>
      </c>
      <c r="F180" s="482" t="s">
        <v>2009</v>
      </c>
      <c r="G180" s="396" t="s">
        <v>2044</v>
      </c>
      <c r="H180" s="402" t="str">
        <f>IF(Tableau2[[#This Row],[Moyennes]]="Absent","Absent",IF(Tableau2[[#This Row],[Moyennes]]&lt;5,"Redouble",IF(Tableau2[[#This Row],[Moyennes]]&gt;=5,"Admis"," ")))</f>
        <v>Admis</v>
      </c>
      <c r="J180" t="s">
        <v>662</v>
      </c>
      <c r="K180" t="s">
        <v>2198</v>
      </c>
      <c r="L180" s="64">
        <f>IF(AND(Tableau2[[#This Row],[CLASSE]]="CPU",Tableau2[[#This Row],[STATUT ]]="Admis"),1,0)</f>
        <v>1</v>
      </c>
      <c r="M180" s="64">
        <f>IF(AND(Tableau2[[#This Row],[CLASSE]]="CEU",Tableau2[[#This Row],[STATUT ]]="Admis"),1,0)</f>
        <v>0</v>
      </c>
      <c r="N180" s="64"/>
      <c r="O180" s="296"/>
      <c r="P1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81" spans="1:16" ht="21" x14ac:dyDescent="0.35">
      <c r="A181" s="310">
        <v>180</v>
      </c>
      <c r="B181" s="396" t="s">
        <v>2193</v>
      </c>
      <c r="C181" s="64" t="s">
        <v>1</v>
      </c>
      <c r="D181" s="295">
        <v>11</v>
      </c>
      <c r="E181" s="406">
        <v>2.5</v>
      </c>
      <c r="F181" s="482" t="s">
        <v>2009</v>
      </c>
      <c r="G181" s="396" t="s">
        <v>2089</v>
      </c>
      <c r="H181" s="402" t="str">
        <f>IF(Tableau2[[#This Row],[Moyennes]]="Absent","Absent",IF(Tableau2[[#This Row],[Moyennes]]&lt;5,"Redouble",IF(Tableau2[[#This Row],[Moyennes]]&gt;=5,"Admis"," ")))</f>
        <v>Redouble</v>
      </c>
      <c r="J181" t="s">
        <v>662</v>
      </c>
      <c r="K181" t="s">
        <v>2198</v>
      </c>
      <c r="L181" s="64">
        <f>IF(AND(Tableau2[[#This Row],[CLASSE]]="CPU",Tableau2[[#This Row],[STATUT ]]="Admis"),1,0)</f>
        <v>0</v>
      </c>
      <c r="M181" s="64">
        <f>IF(AND(Tableau2[[#This Row],[CLASSE]]="CEU",Tableau2[[#This Row],[STATUT ]]="Admis"),1,0)</f>
        <v>0</v>
      </c>
      <c r="N181" s="64"/>
      <c r="O181" s="296"/>
      <c r="P1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82" spans="1:16" ht="21" x14ac:dyDescent="0.35">
      <c r="A182" s="310">
        <v>181</v>
      </c>
      <c r="B182" s="396" t="s">
        <v>2194</v>
      </c>
      <c r="C182" s="64" t="s">
        <v>1</v>
      </c>
      <c r="D182" s="295">
        <v>9</v>
      </c>
      <c r="E182" s="406">
        <v>4.5</v>
      </c>
      <c r="F182" s="482" t="s">
        <v>2009</v>
      </c>
      <c r="G182" s="396" t="s">
        <v>2027</v>
      </c>
      <c r="H182" s="402" t="str">
        <f>IF(Tableau2[[#This Row],[Moyennes]]="Absent","Absent",IF(Tableau2[[#This Row],[Moyennes]]&lt;5,"Redouble",IF(Tableau2[[#This Row],[Moyennes]]&gt;=5,"Admis"," ")))</f>
        <v>Redouble</v>
      </c>
      <c r="J182" t="s">
        <v>662</v>
      </c>
      <c r="K182" t="s">
        <v>2198</v>
      </c>
      <c r="L182" s="64">
        <f>IF(AND(Tableau2[[#This Row],[CLASSE]]="CPU",Tableau2[[#This Row],[STATUT ]]="Admis"),1,0)</f>
        <v>0</v>
      </c>
      <c r="M182" s="64">
        <f>IF(AND(Tableau2[[#This Row],[CLASSE]]="CEU",Tableau2[[#This Row],[STATUT ]]="Admis"),1,0)</f>
        <v>0</v>
      </c>
      <c r="N182" s="64"/>
      <c r="O182" s="296"/>
      <c r="P1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83" spans="1:16" ht="21" x14ac:dyDescent="0.35">
      <c r="A183" s="310">
        <v>182</v>
      </c>
      <c r="B183" s="396" t="s">
        <v>2195</v>
      </c>
      <c r="C183" s="64" t="s">
        <v>1</v>
      </c>
      <c r="D183" s="295">
        <v>9</v>
      </c>
      <c r="E183" s="406">
        <v>2.5</v>
      </c>
      <c r="F183" s="482" t="s">
        <v>2009</v>
      </c>
      <c r="G183" s="396" t="s">
        <v>2021</v>
      </c>
      <c r="H183" s="402" t="str">
        <f>IF(Tableau2[[#This Row],[Moyennes]]="Absent","Absent",IF(Tableau2[[#This Row],[Moyennes]]&lt;5,"Redouble",IF(Tableau2[[#This Row],[Moyennes]]&gt;=5,"Admis"," ")))</f>
        <v>Redouble</v>
      </c>
      <c r="J183" t="s">
        <v>662</v>
      </c>
      <c r="K183" t="s">
        <v>2198</v>
      </c>
      <c r="L183" s="64">
        <f>IF(AND(Tableau2[[#This Row],[CLASSE]]="CPU",Tableau2[[#This Row],[STATUT ]]="Admis"),1,0)</f>
        <v>0</v>
      </c>
      <c r="M183" s="64">
        <f>IF(AND(Tableau2[[#This Row],[CLASSE]]="CEU",Tableau2[[#This Row],[STATUT ]]="Admis"),1,0)</f>
        <v>0</v>
      </c>
      <c r="N183" s="64"/>
      <c r="O183" s="296"/>
      <c r="P1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184" spans="1:16" ht="21" x14ac:dyDescent="0.35">
      <c r="A184" s="310">
        <v>183</v>
      </c>
      <c r="B184" s="396" t="s">
        <v>2196</v>
      </c>
      <c r="C184" s="64" t="s">
        <v>1</v>
      </c>
      <c r="D184" s="295">
        <v>9</v>
      </c>
      <c r="E184" s="299" t="s">
        <v>2165</v>
      </c>
      <c r="F184" s="305" t="s">
        <v>2009</v>
      </c>
      <c r="G184" s="22" t="s">
        <v>2165</v>
      </c>
      <c r="H184" s="300" t="str">
        <f>IF(Tableau2[[#This Row],[Moyennes]]="Absent","Absent",IF(Tableau2[[#This Row],[Moyennes]]&lt;5,"Redouble",IF(Tableau2[[#This Row],[Moyennes]]&gt;=5,"Admis"," ")))</f>
        <v>Absent</v>
      </c>
      <c r="I184" s="17"/>
      <c r="J184" s="17" t="s">
        <v>662</v>
      </c>
      <c r="K184" s="17" t="s">
        <v>2198</v>
      </c>
      <c r="L184" s="64">
        <f>IF(AND(Tableau2[[#This Row],[CLASSE]]="CPU",Tableau2[[#This Row],[STATUT ]]="Admis"),1,0)</f>
        <v>0</v>
      </c>
      <c r="M184" s="64">
        <f>IF(AND(Tableau2[[#This Row],[CLASSE]]="CEU",Tableau2[[#This Row],[STATUT ]]="Admis"),1,0)</f>
        <v>0</v>
      </c>
      <c r="N184" s="64"/>
      <c r="O184" s="296"/>
      <c r="P1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85" spans="1:16" s="405" customFormat="1" ht="21" x14ac:dyDescent="0.35">
      <c r="A185" s="310">
        <v>184</v>
      </c>
      <c r="B185" s="396" t="s">
        <v>2197</v>
      </c>
      <c r="C185" s="64" t="s">
        <v>2</v>
      </c>
      <c r="D185" s="295">
        <v>9</v>
      </c>
      <c r="E185" s="299" t="s">
        <v>2165</v>
      </c>
      <c r="F185" s="305" t="s">
        <v>2009</v>
      </c>
      <c r="G185" s="22" t="s">
        <v>2165</v>
      </c>
      <c r="H185" s="300" t="str">
        <f>IF(Tableau2[[#This Row],[Moyennes]]="Absent","Absent",IF(Tableau2[[#This Row],[Moyennes]]&lt;5,"Redouble",IF(Tableau2[[#This Row],[Moyennes]]&gt;=5,"Admis"," ")))</f>
        <v>Absent</v>
      </c>
      <c r="I185" s="17"/>
      <c r="J185" s="17" t="s">
        <v>662</v>
      </c>
      <c r="K185" s="17" t="s">
        <v>2198</v>
      </c>
      <c r="L185" s="64">
        <f>IF(AND(Tableau2[[#This Row],[CLASSE]]="CPU",Tableau2[[#This Row],[STATUT ]]="Admis"),1,0)</f>
        <v>0</v>
      </c>
      <c r="M185" s="64">
        <f>IF(AND(Tableau2[[#This Row],[CLASSE]]="CEU",Tableau2[[#This Row],[STATUT ]]="Admis"),1,0)</f>
        <v>0</v>
      </c>
      <c r="N185" s="64"/>
      <c r="O185" s="296"/>
      <c r="P1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86" spans="1:16" ht="21" x14ac:dyDescent="0.35">
      <c r="A186" s="310">
        <v>185</v>
      </c>
      <c r="B186" s="396" t="s">
        <v>3382</v>
      </c>
      <c r="C186" s="64" t="s">
        <v>2</v>
      </c>
      <c r="D186" s="295">
        <v>9</v>
      </c>
      <c r="E186" s="299" t="s">
        <v>2165</v>
      </c>
      <c r="F186" s="305" t="s">
        <v>2009</v>
      </c>
      <c r="G186" s="22" t="s">
        <v>2165</v>
      </c>
      <c r="H186" s="300" t="str">
        <f>IF(Tableau2[[#This Row],[Moyennes]]="Absent","Absent",IF(Tableau2[[#This Row],[Moyennes]]&lt;5,"Redouble",IF(Tableau2[[#This Row],[Moyennes]]&gt;=5,"Admis"," ")))</f>
        <v>Absent</v>
      </c>
      <c r="I186" s="17"/>
      <c r="J186" s="17" t="s">
        <v>662</v>
      </c>
      <c r="K186" s="17" t="s">
        <v>2198</v>
      </c>
      <c r="L186" s="64">
        <f>IF(AND(Tableau2[[#This Row],[CLASSE]]="CPU",Tableau2[[#This Row],[STATUT ]]="Admis"),1,0)</f>
        <v>0</v>
      </c>
      <c r="M186" s="64">
        <f>IF(AND(Tableau2[[#This Row],[CLASSE]]="CEU",Tableau2[[#This Row],[STATUT ]]="Admis"),1,0)</f>
        <v>0</v>
      </c>
      <c r="N186" s="64"/>
      <c r="O186" s="296"/>
      <c r="P1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187" spans="1:16" ht="17" x14ac:dyDescent="0.35">
      <c r="A187" s="310">
        <v>186</v>
      </c>
      <c r="B187" s="64" t="s">
        <v>2203</v>
      </c>
      <c r="C187" s="64" t="s">
        <v>1</v>
      </c>
      <c r="D187" s="295">
        <v>10</v>
      </c>
      <c r="E187" s="299">
        <v>8.8699999999999992</v>
      </c>
      <c r="F187" s="304" t="s">
        <v>2009</v>
      </c>
      <c r="G187" s="64" t="s">
        <v>838</v>
      </c>
      <c r="H187" s="402" t="str">
        <f>IF(Tableau2[[#This Row],[Moyennes]]="Absent","Absent",IF(Tableau2[[#This Row],[Moyennes]]&lt;5,"Redouble",IF(Tableau2[[#This Row],[Moyennes]]&gt;=5,"Admis"," ")))</f>
        <v>Admis</v>
      </c>
      <c r="I187" s="64"/>
      <c r="J187" s="300" t="s">
        <v>660</v>
      </c>
      <c r="K187" s="64" t="s">
        <v>563</v>
      </c>
      <c r="L187" s="64">
        <f>IF(AND(Tableau2[[#This Row],[CLASSE]]="CPU",Tableau2[[#This Row],[STATUT ]]="Admis"),1,0)</f>
        <v>1</v>
      </c>
      <c r="M187" s="64">
        <f>IF(AND(Tableau2[[#This Row],[CLASSE]]="CEU",Tableau2[[#This Row],[STATUT ]]="Admis"),1,0)</f>
        <v>0</v>
      </c>
      <c r="N187" s="64"/>
      <c r="O187" s="296"/>
      <c r="P1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88" spans="1:16" ht="17" x14ac:dyDescent="0.35">
      <c r="A188" s="310">
        <v>187</v>
      </c>
      <c r="B188" s="64" t="s">
        <v>2201</v>
      </c>
      <c r="C188" s="64" t="s">
        <v>2</v>
      </c>
      <c r="D188" s="295">
        <v>10</v>
      </c>
      <c r="E188" s="299">
        <v>8.5</v>
      </c>
      <c r="F188" s="304" t="s">
        <v>2009</v>
      </c>
      <c r="G188" s="64" t="s">
        <v>2010</v>
      </c>
      <c r="H188" s="402" t="str">
        <f>IF(Tableau2[[#This Row],[Moyennes]]="Absent","Absent",IF(Tableau2[[#This Row],[Moyennes]]&lt;5,"Redouble",IF(Tableau2[[#This Row],[Moyennes]]&gt;=5,"Admis"," ")))</f>
        <v>Admis</v>
      </c>
      <c r="I188" s="64"/>
      <c r="J188" s="300" t="s">
        <v>660</v>
      </c>
      <c r="K188" s="334" t="s">
        <v>563</v>
      </c>
      <c r="L188" s="64">
        <f>IF(AND(Tableau2[[#This Row],[CLASSE]]="CPU",Tableau2[[#This Row],[STATUT ]]="Admis"),1,0)</f>
        <v>1</v>
      </c>
      <c r="M188" s="64">
        <f>IF(AND(Tableau2[[#This Row],[CLASSE]]="CEU",Tableau2[[#This Row],[STATUT ]]="Admis"),1,0)</f>
        <v>0</v>
      </c>
      <c r="N188" s="64"/>
      <c r="O188" s="296"/>
      <c r="P1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89" spans="1:16" ht="17" x14ac:dyDescent="0.35">
      <c r="A189" s="310">
        <v>188</v>
      </c>
      <c r="B189" s="64" t="s">
        <v>2211</v>
      </c>
      <c r="C189" s="64" t="s">
        <v>1</v>
      </c>
      <c r="D189" s="295">
        <v>12</v>
      </c>
      <c r="E189" s="299">
        <v>8.3699999999999992</v>
      </c>
      <c r="F189" s="304" t="s">
        <v>2009</v>
      </c>
      <c r="G189" s="64" t="s">
        <v>815</v>
      </c>
      <c r="H189" s="402" t="str">
        <f>IF(Tableau2[[#This Row],[Moyennes]]="Absent","Absent",IF(Tableau2[[#This Row],[Moyennes]]&lt;5,"Redouble",IF(Tableau2[[#This Row],[Moyennes]]&gt;=5,"Admis"," ")))</f>
        <v>Admis</v>
      </c>
      <c r="I189" s="64"/>
      <c r="J189" s="300" t="s">
        <v>660</v>
      </c>
      <c r="K189" s="64" t="s">
        <v>563</v>
      </c>
      <c r="L189" s="64">
        <f>IF(AND(Tableau2[[#This Row],[CLASSE]]="CPU",Tableau2[[#This Row],[STATUT ]]="Admis"),1,0)</f>
        <v>1</v>
      </c>
      <c r="M189" s="64">
        <f>IF(AND(Tableau2[[#This Row],[CLASSE]]="CEU",Tableau2[[#This Row],[STATUT ]]="Admis"),1,0)</f>
        <v>0</v>
      </c>
      <c r="N189" s="64"/>
      <c r="O189" s="296"/>
      <c r="P1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90" spans="1:16" ht="17" x14ac:dyDescent="0.35">
      <c r="A190" s="310">
        <v>189</v>
      </c>
      <c r="B190" s="64" t="s">
        <v>2210</v>
      </c>
      <c r="C190" s="64" t="s">
        <v>2</v>
      </c>
      <c r="D190" s="295">
        <v>10</v>
      </c>
      <c r="E190" s="299">
        <v>7.87</v>
      </c>
      <c r="F190" s="304" t="s">
        <v>2009</v>
      </c>
      <c r="G190" s="64" t="s">
        <v>2012</v>
      </c>
      <c r="H190" s="402" t="str">
        <f>IF(Tableau2[[#This Row],[Moyennes]]="Absent","Absent",IF(Tableau2[[#This Row],[Moyennes]]&lt;5,"Redouble",IF(Tableau2[[#This Row],[Moyennes]]&gt;=5,"Admis"," ")))</f>
        <v>Admis</v>
      </c>
      <c r="I190" s="64"/>
      <c r="J190" s="300" t="s">
        <v>660</v>
      </c>
      <c r="K190" s="334" t="s">
        <v>563</v>
      </c>
      <c r="L190" s="64">
        <f>IF(AND(Tableau2[[#This Row],[CLASSE]]="CPU",Tableau2[[#This Row],[STATUT ]]="Admis"),1,0)</f>
        <v>1</v>
      </c>
      <c r="M190" s="64">
        <f>IF(AND(Tableau2[[#This Row],[CLASSE]]="CEU",Tableau2[[#This Row],[STATUT ]]="Admis"),1,0)</f>
        <v>0</v>
      </c>
      <c r="N190" s="64"/>
      <c r="O190" s="296"/>
      <c r="P1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1" spans="1:16" ht="17" x14ac:dyDescent="0.35">
      <c r="A191" s="310">
        <v>190</v>
      </c>
      <c r="B191" s="64" t="s">
        <v>3408</v>
      </c>
      <c r="C191" s="64" t="s">
        <v>1</v>
      </c>
      <c r="D191" s="295">
        <v>10</v>
      </c>
      <c r="E191" s="299">
        <v>7.75</v>
      </c>
      <c r="F191" s="304" t="s">
        <v>2009</v>
      </c>
      <c r="G191" s="64" t="s">
        <v>2018</v>
      </c>
      <c r="H191" s="402" t="str">
        <f>IF(Tableau2[[#This Row],[Moyennes]]="Absent","Absent",IF(Tableau2[[#This Row],[Moyennes]]&lt;5,"Redouble",IF(Tableau2[[#This Row],[Moyennes]]&gt;=5,"Admis"," ")))</f>
        <v>Admis</v>
      </c>
      <c r="I191" s="64"/>
      <c r="J191" s="300" t="s">
        <v>660</v>
      </c>
      <c r="K191" s="64" t="s">
        <v>563</v>
      </c>
      <c r="L191" s="64">
        <f>IF(AND(Tableau2[[#This Row],[CLASSE]]="CPU",Tableau2[[#This Row],[STATUT ]]="Admis"),1,0)</f>
        <v>1</v>
      </c>
      <c r="M191" s="64">
        <f>IF(AND(Tableau2[[#This Row],[CLASSE]]="CEU",Tableau2[[#This Row],[STATUT ]]="Admis"),1,0)</f>
        <v>0</v>
      </c>
      <c r="N191" s="64"/>
      <c r="O191" s="296"/>
      <c r="P1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2" spans="1:16" ht="17" x14ac:dyDescent="0.35">
      <c r="A192" s="310">
        <v>191</v>
      </c>
      <c r="B192" s="64" t="s">
        <v>3400</v>
      </c>
      <c r="C192" s="64" t="s">
        <v>2</v>
      </c>
      <c r="D192" s="295">
        <v>10</v>
      </c>
      <c r="E192" s="299">
        <v>7.62</v>
      </c>
      <c r="F192" s="304" t="s">
        <v>2009</v>
      </c>
      <c r="G192" s="64" t="s">
        <v>2044</v>
      </c>
      <c r="H192" s="402" t="str">
        <f>IF(Tableau2[[#This Row],[Moyennes]]="Absent","Absent",IF(Tableau2[[#This Row],[Moyennes]]&lt;5,"Redouble",IF(Tableau2[[#This Row],[Moyennes]]&gt;=5,"Admis"," ")))</f>
        <v>Admis</v>
      </c>
      <c r="I192" s="64"/>
      <c r="J192" s="300" t="s">
        <v>660</v>
      </c>
      <c r="K192" s="334" t="s">
        <v>563</v>
      </c>
      <c r="L192" s="64">
        <f>IF(AND(Tableau2[[#This Row],[CLASSE]]="CPU",Tableau2[[#This Row],[STATUT ]]="Admis"),1,0)</f>
        <v>1</v>
      </c>
      <c r="M192" s="64">
        <f>IF(AND(Tableau2[[#This Row],[CLASSE]]="CEU",Tableau2[[#This Row],[STATUT ]]="Admis"),1,0)</f>
        <v>0</v>
      </c>
      <c r="N192" s="64"/>
      <c r="O192" s="296"/>
      <c r="P1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3" spans="1:16" ht="17" x14ac:dyDescent="0.35">
      <c r="A193" s="310">
        <v>192</v>
      </c>
      <c r="B193" s="64" t="s">
        <v>2199</v>
      </c>
      <c r="C193" s="64" t="s">
        <v>2</v>
      </c>
      <c r="D193" s="295">
        <v>10</v>
      </c>
      <c r="E193" s="299">
        <v>7.37</v>
      </c>
      <c r="F193" s="304" t="s">
        <v>2009</v>
      </c>
      <c r="G193" s="64" t="s">
        <v>2048</v>
      </c>
      <c r="H193" s="402" t="str">
        <f>IF(Tableau2[[#This Row],[Moyennes]]="Absent","Absent",IF(Tableau2[[#This Row],[Moyennes]]&lt;5,"Redouble",IF(Tableau2[[#This Row],[Moyennes]]&gt;=5,"Admis"," ")))</f>
        <v>Admis</v>
      </c>
      <c r="I193" s="64"/>
      <c r="J193" s="300" t="s">
        <v>660</v>
      </c>
      <c r="K193" s="64" t="s">
        <v>563</v>
      </c>
      <c r="L193" s="64">
        <f>IF(AND(Tableau2[[#This Row],[CLASSE]]="CPU",Tableau2[[#This Row],[STATUT ]]="Admis"),1,0)</f>
        <v>1</v>
      </c>
      <c r="M193" s="64">
        <f>IF(AND(Tableau2[[#This Row],[CLASSE]]="CEU",Tableau2[[#This Row],[STATUT ]]="Admis"),1,0)</f>
        <v>0</v>
      </c>
      <c r="N193" s="64"/>
      <c r="O193" s="296"/>
      <c r="P1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4" spans="1:16" ht="17" x14ac:dyDescent="0.35">
      <c r="A194" s="310">
        <v>193</v>
      </c>
      <c r="B194" s="64" t="s">
        <v>2200</v>
      </c>
      <c r="C194" s="64" t="s">
        <v>2</v>
      </c>
      <c r="D194" s="295">
        <v>10</v>
      </c>
      <c r="E194" s="299">
        <v>7.37</v>
      </c>
      <c r="F194" s="304" t="s">
        <v>2009</v>
      </c>
      <c r="G194" s="64" t="s">
        <v>2027</v>
      </c>
      <c r="H194" s="402" t="str">
        <f>IF(Tableau2[[#This Row],[Moyennes]]="Absent","Absent",IF(Tableau2[[#This Row],[Moyennes]]&lt;5,"Redouble",IF(Tableau2[[#This Row],[Moyennes]]&gt;=5,"Admis"," ")))</f>
        <v>Admis</v>
      </c>
      <c r="I194" s="307"/>
      <c r="J194" s="300" t="s">
        <v>660</v>
      </c>
      <c r="K194" s="334" t="s">
        <v>563</v>
      </c>
      <c r="L194" s="64">
        <f>IF(AND(Tableau2[[#This Row],[CLASSE]]="CPU",Tableau2[[#This Row],[STATUT ]]="Admis"),1,0)</f>
        <v>1</v>
      </c>
      <c r="M194" s="64">
        <f>IF(AND(Tableau2[[#This Row],[CLASSE]]="CEU",Tableau2[[#This Row],[STATUT ]]="Admis"),1,0)</f>
        <v>0</v>
      </c>
      <c r="N194" s="64"/>
      <c r="O194" s="296"/>
      <c r="P1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5" spans="1:16" ht="17" x14ac:dyDescent="0.35">
      <c r="A195" s="310">
        <v>194</v>
      </c>
      <c r="B195" s="64" t="s">
        <v>2213</v>
      </c>
      <c r="C195" s="64" t="s">
        <v>1</v>
      </c>
      <c r="D195" s="295">
        <v>13</v>
      </c>
      <c r="E195" s="299">
        <v>7.25</v>
      </c>
      <c r="F195" s="304" t="s">
        <v>2009</v>
      </c>
      <c r="G195" s="64" t="s">
        <v>2089</v>
      </c>
      <c r="H195" s="402" t="str">
        <f>IF(Tableau2[[#This Row],[Moyennes]]="Absent","Absent",IF(Tableau2[[#This Row],[Moyennes]]&lt;5,"Redouble",IF(Tableau2[[#This Row],[Moyennes]]&gt;=5,"Admis"," ")))</f>
        <v>Admis</v>
      </c>
      <c r="I195" s="307"/>
      <c r="J195" s="300" t="s">
        <v>660</v>
      </c>
      <c r="K195" s="64" t="s">
        <v>563</v>
      </c>
      <c r="L195" s="64">
        <f>IF(AND(Tableau2[[#This Row],[CLASSE]]="CPU",Tableau2[[#This Row],[STATUT ]]="Admis"),1,0)</f>
        <v>1</v>
      </c>
      <c r="M195" s="64">
        <f>IF(AND(Tableau2[[#This Row],[CLASSE]]="CEU",Tableau2[[#This Row],[STATUT ]]="Admis"),1,0)</f>
        <v>0</v>
      </c>
      <c r="N195" s="64"/>
      <c r="O195" s="296"/>
      <c r="P1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196" spans="1:16" ht="17" x14ac:dyDescent="0.35">
      <c r="A196" s="310">
        <v>195</v>
      </c>
      <c r="B196" s="64" t="s">
        <v>2206</v>
      </c>
      <c r="C196" s="64" t="s">
        <v>1</v>
      </c>
      <c r="D196" s="295">
        <v>9</v>
      </c>
      <c r="E196" s="299">
        <v>7.25</v>
      </c>
      <c r="F196" s="304" t="s">
        <v>2009</v>
      </c>
      <c r="G196" s="64" t="s">
        <v>2021</v>
      </c>
      <c r="H196" s="402" t="str">
        <f>IF(Tableau2[[#This Row],[Moyennes]]="Absent","Absent",IF(Tableau2[[#This Row],[Moyennes]]&lt;5,"Redouble",IF(Tableau2[[#This Row],[Moyennes]]&gt;=5,"Admis"," ")))</f>
        <v>Admis</v>
      </c>
      <c r="I196" s="307"/>
      <c r="J196" s="300" t="s">
        <v>660</v>
      </c>
      <c r="K196" s="334" t="s">
        <v>563</v>
      </c>
      <c r="L196" s="64">
        <f>IF(AND(Tableau2[[#This Row],[CLASSE]]="CPU",Tableau2[[#This Row],[STATUT ]]="Admis"),1,0)</f>
        <v>1</v>
      </c>
      <c r="M196" s="64">
        <f>IF(AND(Tableau2[[#This Row],[CLASSE]]="CEU",Tableau2[[#This Row],[STATUT ]]="Admis"),1,0)</f>
        <v>0</v>
      </c>
      <c r="N196" s="64"/>
      <c r="O196" s="296"/>
      <c r="P1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7" spans="1:16" ht="17" x14ac:dyDescent="0.35">
      <c r="A197" s="310">
        <v>196</v>
      </c>
      <c r="B197" s="64" t="s">
        <v>2204</v>
      </c>
      <c r="C197" s="64" t="s">
        <v>1</v>
      </c>
      <c r="D197" s="295">
        <v>9</v>
      </c>
      <c r="E197" s="299">
        <v>7.12</v>
      </c>
      <c r="F197" s="304" t="s">
        <v>2009</v>
      </c>
      <c r="G197" s="64" t="s">
        <v>2033</v>
      </c>
      <c r="H197" s="402" t="str">
        <f>IF(Tableau2[[#This Row],[Moyennes]]="Absent","Absent",IF(Tableau2[[#This Row],[Moyennes]]&lt;5,"Redouble",IF(Tableau2[[#This Row],[Moyennes]]&gt;=5,"Admis"," ")))</f>
        <v>Admis</v>
      </c>
      <c r="I197" s="307"/>
      <c r="J197" s="300" t="s">
        <v>660</v>
      </c>
      <c r="K197" s="64" t="s">
        <v>563</v>
      </c>
      <c r="L197" s="64">
        <f>IF(AND(Tableau2[[#This Row],[CLASSE]]="CPU",Tableau2[[#This Row],[STATUT ]]="Admis"),1,0)</f>
        <v>1</v>
      </c>
      <c r="M197" s="64">
        <f>IF(AND(Tableau2[[#This Row],[CLASSE]]="CEU",Tableau2[[#This Row],[STATUT ]]="Admis"),1,0)</f>
        <v>0</v>
      </c>
      <c r="N197" s="64"/>
      <c r="O197" s="296"/>
      <c r="P1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8" spans="1:16" ht="17" x14ac:dyDescent="0.35">
      <c r="A198" s="310">
        <v>197</v>
      </c>
      <c r="B198" s="64" t="s">
        <v>3409</v>
      </c>
      <c r="C198" s="64" t="s">
        <v>1</v>
      </c>
      <c r="D198" s="295">
        <v>9</v>
      </c>
      <c r="E198" s="299">
        <v>6.75</v>
      </c>
      <c r="F198" s="304" t="s">
        <v>2009</v>
      </c>
      <c r="G198" s="64" t="s">
        <v>3410</v>
      </c>
      <c r="H198" s="402" t="str">
        <f>IF(Tableau2[[#This Row],[Moyennes]]="Absent","Absent",IF(Tableau2[[#This Row],[Moyennes]]&lt;5,"Redouble",IF(Tableau2[[#This Row],[Moyennes]]&gt;=5,"Admis"," ")))</f>
        <v>Admis</v>
      </c>
      <c r="I198" s="307"/>
      <c r="J198" s="300" t="s">
        <v>660</v>
      </c>
      <c r="K198" s="334" t="s">
        <v>563</v>
      </c>
      <c r="L198" s="64">
        <f>IF(AND(Tableau2[[#This Row],[CLASSE]]="CPU",Tableau2[[#This Row],[STATUT ]]="Admis"),1,0)</f>
        <v>1</v>
      </c>
      <c r="M198" s="64">
        <f>IF(AND(Tableau2[[#This Row],[CLASSE]]="CEU",Tableau2[[#This Row],[STATUT ]]="Admis"),1,0)</f>
        <v>0</v>
      </c>
      <c r="N198" s="64"/>
      <c r="O198" s="296"/>
      <c r="P1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199" spans="1:16" ht="17" x14ac:dyDescent="0.35">
      <c r="A199" s="310">
        <v>198</v>
      </c>
      <c r="B199" s="64" t="s">
        <v>3401</v>
      </c>
      <c r="C199" s="64" t="s">
        <v>2</v>
      </c>
      <c r="D199" s="295">
        <v>13</v>
      </c>
      <c r="E199" s="299">
        <v>6.62</v>
      </c>
      <c r="F199" s="304" t="s">
        <v>2009</v>
      </c>
      <c r="G199" s="300" t="s">
        <v>2062</v>
      </c>
      <c r="H199" s="402" t="str">
        <f>IF(Tableau2[[#This Row],[Moyennes]]="Absent","Absent",IF(Tableau2[[#This Row],[Moyennes]]&lt;5,"Redouble",IF(Tableau2[[#This Row],[Moyennes]]&gt;=5,"Admis"," ")))</f>
        <v>Admis</v>
      </c>
      <c r="I199" s="307"/>
      <c r="J199" s="300" t="s">
        <v>660</v>
      </c>
      <c r="K199" s="64" t="s">
        <v>563</v>
      </c>
      <c r="L199" s="64">
        <f>IF(AND(Tableau2[[#This Row],[CLASSE]]="CPU",Tableau2[[#This Row],[STATUT ]]="Admis"),1,0)</f>
        <v>1</v>
      </c>
      <c r="M199" s="64">
        <f>IF(AND(Tableau2[[#This Row],[CLASSE]]="CEU",Tableau2[[#This Row],[STATUT ]]="Admis"),1,0)</f>
        <v>0</v>
      </c>
      <c r="N199" s="64"/>
      <c r="O199" s="296"/>
      <c r="P1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200" spans="1:16" ht="17" x14ac:dyDescent="0.35">
      <c r="A200" s="310">
        <v>199</v>
      </c>
      <c r="B200" s="64" t="s">
        <v>622</v>
      </c>
      <c r="C200" s="64" t="s">
        <v>2</v>
      </c>
      <c r="D200" s="295">
        <v>9</v>
      </c>
      <c r="E200" s="299">
        <v>6.62</v>
      </c>
      <c r="F200" s="304" t="s">
        <v>2009</v>
      </c>
      <c r="G200" s="300" t="s">
        <v>3407</v>
      </c>
      <c r="H200" s="402" t="str">
        <f>IF(Tableau2[[#This Row],[Moyennes]]="Absent","Absent",IF(Tableau2[[#This Row],[Moyennes]]&lt;5,"Redouble",IF(Tableau2[[#This Row],[Moyennes]]&gt;=5,"Admis"," ")))</f>
        <v>Admis</v>
      </c>
      <c r="I200" s="307"/>
      <c r="J200" s="300" t="s">
        <v>660</v>
      </c>
      <c r="K200" s="334" t="s">
        <v>563</v>
      </c>
      <c r="L200" s="64">
        <f>IF(AND(Tableau2[[#This Row],[CLASSE]]="CPU",Tableau2[[#This Row],[STATUT ]]="Admis"),1,0)</f>
        <v>1</v>
      </c>
      <c r="M200" s="64">
        <f>IF(AND(Tableau2[[#This Row],[CLASSE]]="CEU",Tableau2[[#This Row],[STATUT ]]="Admis"),1,0)</f>
        <v>0</v>
      </c>
      <c r="N200" s="64"/>
      <c r="O200" s="296"/>
      <c r="P2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01" spans="1:16" ht="17" x14ac:dyDescent="0.35">
      <c r="A201" s="310">
        <v>200</v>
      </c>
      <c r="B201" s="64" t="s">
        <v>3403</v>
      </c>
      <c r="C201" s="64" t="s">
        <v>1</v>
      </c>
      <c r="D201" s="295">
        <v>10</v>
      </c>
      <c r="E201" s="299">
        <v>6.12</v>
      </c>
      <c r="F201" s="304" t="s">
        <v>2009</v>
      </c>
      <c r="G201" s="300" t="s">
        <v>2042</v>
      </c>
      <c r="H201" s="402" t="str">
        <f>IF(Tableau2[[#This Row],[Moyennes]]="Absent","Absent",IF(Tableau2[[#This Row],[Moyennes]]&lt;5,"Redouble",IF(Tableau2[[#This Row],[Moyennes]]&gt;=5,"Admis"," ")))</f>
        <v>Admis</v>
      </c>
      <c r="I201" s="300"/>
      <c r="J201" s="300" t="s">
        <v>660</v>
      </c>
      <c r="K201" s="64" t="s">
        <v>563</v>
      </c>
      <c r="L201" s="64">
        <f>IF(AND(Tableau2[[#This Row],[CLASSE]]="CPU",Tableau2[[#This Row],[STATUT ]]="Admis"),1,0)</f>
        <v>1</v>
      </c>
      <c r="M201" s="64">
        <f>IF(AND(Tableau2[[#This Row],[CLASSE]]="CEU",Tableau2[[#This Row],[STATUT ]]="Admis"),1,0)</f>
        <v>0</v>
      </c>
      <c r="N201" s="64"/>
      <c r="O201" s="296"/>
      <c r="P2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02" spans="1:16" ht="17" x14ac:dyDescent="0.35">
      <c r="A202" s="310">
        <v>201</v>
      </c>
      <c r="B202" s="64" t="s">
        <v>3402</v>
      </c>
      <c r="C202" s="64" t="s">
        <v>2</v>
      </c>
      <c r="D202" s="295">
        <v>9</v>
      </c>
      <c r="E202" s="299">
        <v>6.12</v>
      </c>
      <c r="F202" s="304" t="s">
        <v>2009</v>
      </c>
      <c r="G202" s="300" t="s">
        <v>2025</v>
      </c>
      <c r="H202" s="402" t="str">
        <f>IF(Tableau2[[#This Row],[Moyennes]]="Absent","Absent",IF(Tableau2[[#This Row],[Moyennes]]&lt;5,"Redouble",IF(Tableau2[[#This Row],[Moyennes]]&gt;=5,"Admis"," ")))</f>
        <v>Admis</v>
      </c>
      <c r="I202" s="300"/>
      <c r="J202" s="300" t="s">
        <v>660</v>
      </c>
      <c r="K202" s="334" t="s">
        <v>563</v>
      </c>
      <c r="L202" s="64">
        <f>IF(AND(Tableau2[[#This Row],[CLASSE]]="CPU",Tableau2[[#This Row],[STATUT ]]="Admis"),1,0)</f>
        <v>1</v>
      </c>
      <c r="M202" s="64">
        <f>IF(AND(Tableau2[[#This Row],[CLASSE]]="CEU",Tableau2[[#This Row],[STATUT ]]="Admis"),1,0)</f>
        <v>0</v>
      </c>
      <c r="N202" s="64"/>
      <c r="O202" s="296"/>
      <c r="P2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03" spans="1:16" ht="21" x14ac:dyDescent="0.35">
      <c r="A203" s="310">
        <v>202</v>
      </c>
      <c r="B203" s="64" t="s">
        <v>2209</v>
      </c>
      <c r="C203" s="64" t="s">
        <v>2</v>
      </c>
      <c r="D203" s="295">
        <v>9</v>
      </c>
      <c r="E203" s="299">
        <v>6</v>
      </c>
      <c r="F203" s="304" t="s">
        <v>2009</v>
      </c>
      <c r="G203" s="300" t="s">
        <v>2046</v>
      </c>
      <c r="H203" s="402" t="str">
        <f>IF(Tableau2[[#This Row],[Moyennes]]="Absent","Absent",IF(Tableau2[[#This Row],[Moyennes]]&lt;5,"Redouble",IF(Tableau2[[#This Row],[Moyennes]]&gt;=5,"Admis"," ")))</f>
        <v>Admis</v>
      </c>
      <c r="I203" s="302"/>
      <c r="J203" s="300" t="s">
        <v>660</v>
      </c>
      <c r="K203" s="64" t="s">
        <v>563</v>
      </c>
      <c r="L203" s="64">
        <f>IF(AND(Tableau2[[#This Row],[CLASSE]]="CPU",Tableau2[[#This Row],[STATUT ]]="Admis"),1,0)</f>
        <v>1</v>
      </c>
      <c r="M203" s="64">
        <f>IF(AND(Tableau2[[#This Row],[CLASSE]]="CEU",Tableau2[[#This Row],[STATUT ]]="Admis"),1,0)</f>
        <v>0</v>
      </c>
      <c r="N203" s="64"/>
      <c r="O203" s="296"/>
      <c r="P2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04" spans="1:16" ht="21" x14ac:dyDescent="0.35">
      <c r="A204" s="310">
        <v>203</v>
      </c>
      <c r="B204" s="64" t="s">
        <v>2202</v>
      </c>
      <c r="C204" s="64" t="s">
        <v>2</v>
      </c>
      <c r="D204" s="295">
        <v>9</v>
      </c>
      <c r="E204" s="299">
        <v>5.12</v>
      </c>
      <c r="F204" s="304" t="s">
        <v>2009</v>
      </c>
      <c r="G204" s="300" t="s">
        <v>2030</v>
      </c>
      <c r="H204" s="402" t="str">
        <f>IF(Tableau2[[#This Row],[Moyennes]]="Absent","Absent",IF(Tableau2[[#This Row],[Moyennes]]&lt;5,"Redouble",IF(Tableau2[[#This Row],[Moyennes]]&gt;=5,"Admis"," ")))</f>
        <v>Admis</v>
      </c>
      <c r="I204" s="302"/>
      <c r="J204" s="300" t="s">
        <v>660</v>
      </c>
      <c r="K204" s="334" t="s">
        <v>563</v>
      </c>
      <c r="L204" s="64">
        <f>IF(AND(Tableau2[[#This Row],[CLASSE]]="CPU",Tableau2[[#This Row],[STATUT ]]="Admis"),1,0)</f>
        <v>1</v>
      </c>
      <c r="M204" s="64">
        <f>IF(AND(Tableau2[[#This Row],[CLASSE]]="CEU",Tableau2[[#This Row],[STATUT ]]="Admis"),1,0)</f>
        <v>0</v>
      </c>
      <c r="N204" s="64"/>
      <c r="O204" s="296"/>
      <c r="P2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05" spans="1:16" ht="15.5" x14ac:dyDescent="0.35">
      <c r="A205" s="310">
        <v>204</v>
      </c>
      <c r="B205" s="64" t="s">
        <v>2215</v>
      </c>
      <c r="C205" s="64" t="s">
        <v>1</v>
      </c>
      <c r="D205" s="295">
        <v>10</v>
      </c>
      <c r="E205" s="307">
        <v>4.87</v>
      </c>
      <c r="F205" s="306" t="s">
        <v>2009</v>
      </c>
      <c r="G205" s="64" t="s">
        <v>2066</v>
      </c>
      <c r="H205" s="402" t="str">
        <f>IF(Tableau2[[#This Row],[Moyennes]]="Absent","Absent",IF(Tableau2[[#This Row],[Moyennes]]&lt;5,"Redouble",IF(Tableau2[[#This Row],[Moyennes]]&gt;=5,"Admis"," ")))</f>
        <v>Redouble</v>
      </c>
      <c r="I205" s="64"/>
      <c r="J205" s="300" t="s">
        <v>660</v>
      </c>
      <c r="K205" s="64" t="s">
        <v>563</v>
      </c>
      <c r="L205" s="64">
        <f>IF(AND(Tableau2[[#This Row],[CLASSE]]="CPU",Tableau2[[#This Row],[STATUT ]]="Admis"),1,0)</f>
        <v>0</v>
      </c>
      <c r="M205" s="64">
        <f>IF(AND(Tableau2[[#This Row],[CLASSE]]="CEU",Tableau2[[#This Row],[STATUT ]]="Admis"),1,0)</f>
        <v>0</v>
      </c>
      <c r="N205" s="64"/>
      <c r="O205" s="296"/>
      <c r="P2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06" spans="1:16" ht="15.5" x14ac:dyDescent="0.35">
      <c r="A206" s="310">
        <v>205</v>
      </c>
      <c r="B206" s="64" t="s">
        <v>3406</v>
      </c>
      <c r="C206" s="64" t="s">
        <v>2</v>
      </c>
      <c r="D206" s="295">
        <v>11</v>
      </c>
      <c r="E206" s="307">
        <v>4.87</v>
      </c>
      <c r="F206" s="306" t="s">
        <v>2009</v>
      </c>
      <c r="G206" s="64" t="s">
        <v>2078</v>
      </c>
      <c r="H206" s="402" t="str">
        <f>IF(Tableau2[[#This Row],[Moyennes]]="Absent","Absent",IF(Tableau2[[#This Row],[Moyennes]]&lt;5,"Redouble",IF(Tableau2[[#This Row],[Moyennes]]&gt;=5,"Admis"," ")))</f>
        <v>Redouble</v>
      </c>
      <c r="I206" s="64"/>
      <c r="J206" s="300" t="s">
        <v>660</v>
      </c>
      <c r="K206" s="334" t="s">
        <v>563</v>
      </c>
      <c r="L206" s="64">
        <f>IF(AND(Tableau2[[#This Row],[CLASSE]]="CPU",Tableau2[[#This Row],[STATUT ]]="Admis"),1,0)</f>
        <v>0</v>
      </c>
      <c r="M206" s="64">
        <f>IF(AND(Tableau2[[#This Row],[CLASSE]]="CEU",Tableau2[[#This Row],[STATUT ]]="Admis"),1,0)</f>
        <v>0</v>
      </c>
      <c r="N206" s="64"/>
      <c r="O206" s="296"/>
      <c r="P2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07" spans="1:16" ht="15.5" x14ac:dyDescent="0.35">
      <c r="A207" s="310">
        <v>206</v>
      </c>
      <c r="B207" s="64" t="s">
        <v>201</v>
      </c>
      <c r="C207" s="64" t="s">
        <v>2</v>
      </c>
      <c r="D207" s="295">
        <v>10</v>
      </c>
      <c r="E207" s="307">
        <v>4.87</v>
      </c>
      <c r="F207" s="306" t="s">
        <v>2009</v>
      </c>
      <c r="G207" s="64" t="s">
        <v>2037</v>
      </c>
      <c r="H207" s="402" t="str">
        <f>IF(Tableau2[[#This Row],[Moyennes]]="Absent","Absent",IF(Tableau2[[#This Row],[Moyennes]]&lt;5,"Redouble",IF(Tableau2[[#This Row],[Moyennes]]&gt;=5,"Admis"," ")))</f>
        <v>Redouble</v>
      </c>
      <c r="I207" s="64"/>
      <c r="J207" s="300" t="s">
        <v>660</v>
      </c>
      <c r="K207" s="64" t="s">
        <v>563</v>
      </c>
      <c r="L207" s="64">
        <f>IF(AND(Tableau2[[#This Row],[CLASSE]]="CPU",Tableau2[[#This Row],[STATUT ]]="Admis"),1,0)</f>
        <v>0</v>
      </c>
      <c r="M207" s="64">
        <f>IF(AND(Tableau2[[#This Row],[CLASSE]]="CEU",Tableau2[[#This Row],[STATUT ]]="Admis"),1,0)</f>
        <v>0</v>
      </c>
      <c r="N207" s="64"/>
      <c r="O207" s="296"/>
      <c r="P2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08" spans="1:16" ht="15.5" x14ac:dyDescent="0.35">
      <c r="A208" s="310">
        <v>207</v>
      </c>
      <c r="B208" s="64" t="s">
        <v>2207</v>
      </c>
      <c r="C208" s="64" t="s">
        <v>1</v>
      </c>
      <c r="D208" s="295">
        <v>11</v>
      </c>
      <c r="E208" s="307">
        <v>4.87</v>
      </c>
      <c r="F208" s="306" t="s">
        <v>2009</v>
      </c>
      <c r="G208" s="64" t="s">
        <v>2014</v>
      </c>
      <c r="H208" s="402" t="str">
        <f>IF(Tableau2[[#This Row],[Moyennes]]="Absent","Absent",IF(Tableau2[[#This Row],[Moyennes]]&lt;5,"Redouble",IF(Tableau2[[#This Row],[Moyennes]]&gt;=5,"Admis"," ")))</f>
        <v>Redouble</v>
      </c>
      <c r="I208" s="64"/>
      <c r="J208" s="300" t="s">
        <v>660</v>
      </c>
      <c r="K208" s="334" t="s">
        <v>563</v>
      </c>
      <c r="L208" s="64">
        <f>IF(AND(Tableau2[[#This Row],[CLASSE]]="CPU",Tableau2[[#This Row],[STATUT ]]="Admis"),1,0)</f>
        <v>0</v>
      </c>
      <c r="M208" s="64">
        <f>IF(AND(Tableau2[[#This Row],[CLASSE]]="CEU",Tableau2[[#This Row],[STATUT ]]="Admis"),1,0)</f>
        <v>0</v>
      </c>
      <c r="N208" s="64"/>
      <c r="O208" s="296"/>
      <c r="P2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09" spans="1:16" ht="15.5" x14ac:dyDescent="0.35">
      <c r="A209" s="310">
        <v>208</v>
      </c>
      <c r="B209" s="64" t="s">
        <v>2208</v>
      </c>
      <c r="C209" s="64" t="s">
        <v>1</v>
      </c>
      <c r="D209" s="295">
        <v>9</v>
      </c>
      <c r="E209" s="307">
        <v>4.87</v>
      </c>
      <c r="F209" s="306" t="s">
        <v>2009</v>
      </c>
      <c r="G209" s="64" t="s">
        <v>2040</v>
      </c>
      <c r="H209" s="402" t="str">
        <f>IF(Tableau2[[#This Row],[Moyennes]]="Absent","Absent",IF(Tableau2[[#This Row],[Moyennes]]&lt;5,"Redouble",IF(Tableau2[[#This Row],[Moyennes]]&gt;=5,"Admis"," ")))</f>
        <v>Redouble</v>
      </c>
      <c r="I209" s="64"/>
      <c r="J209" s="300" t="s">
        <v>660</v>
      </c>
      <c r="K209" s="64" t="s">
        <v>563</v>
      </c>
      <c r="L209" s="64">
        <f>IF(AND(Tableau2[[#This Row],[CLASSE]]="CPU",Tableau2[[#This Row],[STATUT ]]="Admis"),1,0)</f>
        <v>0</v>
      </c>
      <c r="M209" s="64">
        <f>IF(AND(Tableau2[[#This Row],[CLASSE]]="CEU",Tableau2[[#This Row],[STATUT ]]="Admis"),1,0)</f>
        <v>0</v>
      </c>
      <c r="N209" s="64"/>
      <c r="O209" s="296"/>
      <c r="P2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10" spans="1:16" ht="15.5" x14ac:dyDescent="0.35">
      <c r="A210" s="310">
        <v>209</v>
      </c>
      <c r="B210" s="64" t="s">
        <v>3393</v>
      </c>
      <c r="C210" s="64" t="s">
        <v>2</v>
      </c>
      <c r="D210" s="295">
        <v>9</v>
      </c>
      <c r="E210" s="307">
        <v>3.62</v>
      </c>
      <c r="F210" s="306" t="s">
        <v>2009</v>
      </c>
      <c r="G210" s="64" t="s">
        <v>2214</v>
      </c>
      <c r="H210" s="402" t="str">
        <f>IF(Tableau2[[#This Row],[Moyennes]]="Absent","Absent",IF(Tableau2[[#This Row],[Moyennes]]&lt;5,"Redouble",IF(Tableau2[[#This Row],[Moyennes]]&gt;=5,"Admis"," ")))</f>
        <v>Redouble</v>
      </c>
      <c r="I210" s="64"/>
      <c r="J210" s="300" t="s">
        <v>660</v>
      </c>
      <c r="K210" s="334" t="s">
        <v>563</v>
      </c>
      <c r="L210" s="64">
        <f>IF(AND(Tableau2[[#This Row],[CLASSE]]="CPU",Tableau2[[#This Row],[STATUT ]]="Admis"),1,0)</f>
        <v>0</v>
      </c>
      <c r="M210" s="64">
        <f>IF(AND(Tableau2[[#This Row],[CLASSE]]="CEU",Tableau2[[#This Row],[STATUT ]]="Admis"),1,0)</f>
        <v>0</v>
      </c>
      <c r="N210" s="64"/>
      <c r="O210" s="296"/>
      <c r="P2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11" spans="1:16" ht="15.5" x14ac:dyDescent="0.35">
      <c r="A211" s="310">
        <v>210</v>
      </c>
      <c r="B211" s="64" t="s">
        <v>3405</v>
      </c>
      <c r="C211" s="64" t="s">
        <v>2</v>
      </c>
      <c r="D211" s="295">
        <v>9</v>
      </c>
      <c r="E211" s="307">
        <v>3.25</v>
      </c>
      <c r="F211" s="306" t="s">
        <v>2009</v>
      </c>
      <c r="G211" s="64" t="s">
        <v>2053</v>
      </c>
      <c r="H211" s="402" t="str">
        <f>IF(Tableau2[[#This Row],[Moyennes]]="Absent","Absent",IF(Tableau2[[#This Row],[Moyennes]]&lt;5,"Redouble",IF(Tableau2[[#This Row],[Moyennes]]&gt;=5,"Admis"," ")))</f>
        <v>Redouble</v>
      </c>
      <c r="I211" s="64"/>
      <c r="J211" s="300" t="s">
        <v>660</v>
      </c>
      <c r="K211" s="64" t="s">
        <v>563</v>
      </c>
      <c r="L211" s="64">
        <f>IF(AND(Tableau2[[#This Row],[CLASSE]]="CPU",Tableau2[[#This Row],[STATUT ]]="Admis"),1,0)</f>
        <v>0</v>
      </c>
      <c r="M211" s="64">
        <f>IF(AND(Tableau2[[#This Row],[CLASSE]]="CEU",Tableau2[[#This Row],[STATUT ]]="Admis"),1,0)</f>
        <v>0</v>
      </c>
      <c r="N211" s="64"/>
      <c r="O211" s="296"/>
      <c r="P2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12" spans="1:16" ht="15.5" x14ac:dyDescent="0.35">
      <c r="A212" s="310">
        <v>211</v>
      </c>
      <c r="B212" s="64" t="s">
        <v>2205</v>
      </c>
      <c r="C212" s="64" t="s">
        <v>2</v>
      </c>
      <c r="D212" s="295">
        <v>9</v>
      </c>
      <c r="E212" s="307">
        <v>3</v>
      </c>
      <c r="F212" s="306" t="s">
        <v>2009</v>
      </c>
      <c r="G212" s="64" t="s">
        <v>2051</v>
      </c>
      <c r="H212" s="402" t="str">
        <f>IF(Tableau2[[#This Row],[Moyennes]]="Absent","Absent",IF(Tableau2[[#This Row],[Moyennes]]&lt;5,"Redouble",IF(Tableau2[[#This Row],[Moyennes]]&gt;=5,"Admis"," ")))</f>
        <v>Redouble</v>
      </c>
      <c r="I212" s="64"/>
      <c r="J212" s="300" t="s">
        <v>660</v>
      </c>
      <c r="K212" s="334" t="s">
        <v>563</v>
      </c>
      <c r="L212" s="64">
        <f>IF(AND(Tableau2[[#This Row],[CLASSE]]="CPU",Tableau2[[#This Row],[STATUT ]]="Admis"),1,0)</f>
        <v>0</v>
      </c>
      <c r="M212" s="64">
        <f>IF(AND(Tableau2[[#This Row],[CLASSE]]="CEU",Tableau2[[#This Row],[STATUT ]]="Admis"),1,0)</f>
        <v>0</v>
      </c>
      <c r="N212" s="64"/>
      <c r="O212" s="296"/>
      <c r="P2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13" spans="1:16" ht="16" thickBot="1" x14ac:dyDescent="0.4">
      <c r="A213" s="310">
        <v>212</v>
      </c>
      <c r="B213" s="64" t="s">
        <v>3404</v>
      </c>
      <c r="C213" s="64" t="s">
        <v>1</v>
      </c>
      <c r="D213" s="295">
        <v>9</v>
      </c>
      <c r="E213" s="307">
        <v>2.75</v>
      </c>
      <c r="F213" s="306" t="s">
        <v>2009</v>
      </c>
      <c r="G213" s="64" t="s">
        <v>2216</v>
      </c>
      <c r="H213" s="402" t="str">
        <f>IF(Tableau2[[#This Row],[Moyennes]]="Absent","Absent",IF(Tableau2[[#This Row],[Moyennes]]&lt;5,"Redouble",IF(Tableau2[[#This Row],[Moyennes]]&gt;=5,"Admis"," ")))</f>
        <v>Redouble</v>
      </c>
      <c r="I213" s="64"/>
      <c r="J213" s="300" t="s">
        <v>660</v>
      </c>
      <c r="K213" s="64" t="s">
        <v>563</v>
      </c>
      <c r="L213" s="64">
        <f>IF(AND(Tableau2[[#This Row],[CLASSE]]="CPU",Tableau2[[#This Row],[STATUT ]]="Admis"),1,0)</f>
        <v>0</v>
      </c>
      <c r="M213" s="64">
        <f>IF(AND(Tableau2[[#This Row],[CLASSE]]="CEU",Tableau2[[#This Row],[STATUT ]]="Admis"),1,0)</f>
        <v>0</v>
      </c>
      <c r="N213" s="64"/>
      <c r="O213" s="296"/>
      <c r="P2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14" spans="1:16" ht="16" thickBot="1" x14ac:dyDescent="0.4">
      <c r="A214" s="310">
        <v>213</v>
      </c>
      <c r="B214" s="64" t="s">
        <v>3417</v>
      </c>
      <c r="C214" s="64" t="s">
        <v>2</v>
      </c>
      <c r="D214" s="388">
        <v>9</v>
      </c>
      <c r="E214" s="307">
        <v>8.8699999999999992</v>
      </c>
      <c r="F214" s="306" t="s">
        <v>2009</v>
      </c>
      <c r="G214" s="64" t="s">
        <v>2217</v>
      </c>
      <c r="H214" s="402" t="str">
        <f>IF(Tableau2[[#This Row],[Moyennes]]="Absent","Absent",IF(Tableau2[[#This Row],[Moyennes]]&lt;5,"Redouble",IF(Tableau2[[#This Row],[Moyennes]]&gt;=5,"Admis"," ")))</f>
        <v>Admis</v>
      </c>
      <c r="I214" s="64"/>
      <c r="J214" s="300" t="s">
        <v>660</v>
      </c>
      <c r="K214" s="334" t="s">
        <v>355</v>
      </c>
      <c r="L214" s="64">
        <f>IF(AND(Tableau2[[#This Row],[CLASSE]]="CPU",Tableau2[[#This Row],[STATUT ]]="Admis"),1,0)</f>
        <v>1</v>
      </c>
      <c r="M214" s="64">
        <f>IF(AND(Tableau2[[#This Row],[CLASSE]]="CEU",Tableau2[[#This Row],[STATUT ]]="Admis"),1,0)</f>
        <v>0</v>
      </c>
      <c r="N214" s="64"/>
      <c r="O214" s="296"/>
      <c r="P2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15" spans="1:16" ht="16" thickBot="1" x14ac:dyDescent="0.4">
      <c r="A215" s="310">
        <v>214</v>
      </c>
      <c r="B215" s="64" t="s">
        <v>2225</v>
      </c>
      <c r="C215" s="64" t="s">
        <v>2</v>
      </c>
      <c r="D215" s="388">
        <v>9</v>
      </c>
      <c r="E215" s="307">
        <v>8.5</v>
      </c>
      <c r="F215" s="306" t="s">
        <v>2009</v>
      </c>
      <c r="G215" s="64" t="s">
        <v>2010</v>
      </c>
      <c r="H215" s="402" t="str">
        <f>IF(Tableau2[[#This Row],[Moyennes]]="Absent","Absent",IF(Tableau2[[#This Row],[Moyennes]]&lt;5,"Redouble",IF(Tableau2[[#This Row],[Moyennes]]&gt;=5,"Admis"," ")))</f>
        <v>Admis</v>
      </c>
      <c r="I215" s="64"/>
      <c r="J215" s="300" t="s">
        <v>660</v>
      </c>
      <c r="K215" s="64" t="s">
        <v>355</v>
      </c>
      <c r="L215" s="64">
        <f>IF(AND(Tableau2[[#This Row],[CLASSE]]="CPU",Tableau2[[#This Row],[STATUT ]]="Admis"),1,0)</f>
        <v>1</v>
      </c>
      <c r="M215" s="64">
        <f>IF(AND(Tableau2[[#This Row],[CLASSE]]="CEU",Tableau2[[#This Row],[STATUT ]]="Admis"),1,0)</f>
        <v>0</v>
      </c>
      <c r="N215" s="64"/>
      <c r="O215" s="296"/>
      <c r="P2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16" spans="1:16" ht="17.5" thickBot="1" x14ac:dyDescent="0.4">
      <c r="A216" s="310">
        <v>215</v>
      </c>
      <c r="B216" s="64" t="s">
        <v>2222</v>
      </c>
      <c r="C216" s="64" t="s">
        <v>1</v>
      </c>
      <c r="D216" s="388">
        <v>9</v>
      </c>
      <c r="E216" s="301">
        <v>8</v>
      </c>
      <c r="F216" s="306" t="s">
        <v>2009</v>
      </c>
      <c r="G216" s="64" t="s">
        <v>815</v>
      </c>
      <c r="H216" s="402" t="str">
        <f>IF(Tableau2[[#This Row],[Moyennes]]="Absent","Absent",IF(Tableau2[[#This Row],[Moyennes]]&lt;5,"Redouble",IF(Tableau2[[#This Row],[Moyennes]]&gt;=5,"Admis"," ")))</f>
        <v>Admis</v>
      </c>
      <c r="I216" s="64"/>
      <c r="J216" s="300" t="s">
        <v>660</v>
      </c>
      <c r="K216" s="334" t="s">
        <v>355</v>
      </c>
      <c r="L216" s="64">
        <f>IF(AND(Tableau2[[#This Row],[CLASSE]]="CPU",Tableau2[[#This Row],[STATUT ]]="Admis"),1,0)</f>
        <v>1</v>
      </c>
      <c r="M216" s="64">
        <f>IF(AND(Tableau2[[#This Row],[CLASSE]]="CEU",Tableau2[[#This Row],[STATUT ]]="Admis"),1,0)</f>
        <v>0</v>
      </c>
      <c r="N216" s="64"/>
      <c r="O216" s="296"/>
      <c r="P2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17" spans="1:16" ht="16" thickBot="1" x14ac:dyDescent="0.4">
      <c r="A217" s="310">
        <v>216</v>
      </c>
      <c r="B217" s="64" t="s">
        <v>2218</v>
      </c>
      <c r="C217" s="64" t="s">
        <v>2</v>
      </c>
      <c r="D217" s="388">
        <v>10</v>
      </c>
      <c r="E217" s="307">
        <v>7.75</v>
      </c>
      <c r="F217" s="306" t="s">
        <v>2009</v>
      </c>
      <c r="G217" s="64" t="s">
        <v>2012</v>
      </c>
      <c r="H217" s="402" t="str">
        <f>IF(Tableau2[[#This Row],[Moyennes]]="Absent","Absent",IF(Tableau2[[#This Row],[Moyennes]]&lt;5,"Redouble",IF(Tableau2[[#This Row],[Moyennes]]&gt;=5,"Admis"," ")))</f>
        <v>Admis</v>
      </c>
      <c r="I217" s="64"/>
      <c r="J217" s="300" t="s">
        <v>660</v>
      </c>
      <c r="K217" s="64" t="s">
        <v>355</v>
      </c>
      <c r="L217" s="64">
        <f>IF(AND(Tableau2[[#This Row],[CLASSE]]="CPU",Tableau2[[#This Row],[STATUT ]]="Admis"),1,0)</f>
        <v>1</v>
      </c>
      <c r="M217" s="64">
        <f>IF(AND(Tableau2[[#This Row],[CLASSE]]="CEU",Tableau2[[#This Row],[STATUT ]]="Admis"),1,0)</f>
        <v>0</v>
      </c>
      <c r="N217" s="64"/>
      <c r="O217" s="296"/>
      <c r="P2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18" spans="1:16" ht="16" thickBot="1" x14ac:dyDescent="0.4">
      <c r="A218" s="310">
        <v>217</v>
      </c>
      <c r="B218" s="64" t="s">
        <v>2226</v>
      </c>
      <c r="C218" s="64" t="s">
        <v>2</v>
      </c>
      <c r="D218" s="388">
        <v>9</v>
      </c>
      <c r="E218" s="307">
        <v>7.75</v>
      </c>
      <c r="F218" s="306" t="s">
        <v>2009</v>
      </c>
      <c r="G218" s="64" t="s">
        <v>2018</v>
      </c>
      <c r="H218" s="402" t="str">
        <f>IF(Tableau2[[#This Row],[Moyennes]]="Absent","Absent",IF(Tableau2[[#This Row],[Moyennes]]&lt;5,"Redouble",IF(Tableau2[[#This Row],[Moyennes]]&gt;=5,"Admis"," ")))</f>
        <v>Admis</v>
      </c>
      <c r="I218" s="64"/>
      <c r="J218" s="300" t="s">
        <v>660</v>
      </c>
      <c r="K218" s="334" t="s">
        <v>355</v>
      </c>
      <c r="L218" s="64">
        <f>IF(AND(Tableau2[[#This Row],[CLASSE]]="CPU",Tableau2[[#This Row],[STATUT ]]="Admis"),1,0)</f>
        <v>1</v>
      </c>
      <c r="M218" s="64">
        <f>IF(AND(Tableau2[[#This Row],[CLASSE]]="CEU",Tableau2[[#This Row],[STATUT ]]="Admis"),1,0)</f>
        <v>0</v>
      </c>
      <c r="N218" s="64"/>
      <c r="O218" s="296"/>
      <c r="P2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19" spans="1:16" ht="17.5" thickBot="1" x14ac:dyDescent="0.4">
      <c r="A219" s="310">
        <v>218</v>
      </c>
      <c r="B219" s="64" t="s">
        <v>2219</v>
      </c>
      <c r="C219" s="64" t="s">
        <v>2</v>
      </c>
      <c r="D219" s="388">
        <v>11</v>
      </c>
      <c r="E219" s="301">
        <v>7.62</v>
      </c>
      <c r="F219" s="306" t="s">
        <v>2009</v>
      </c>
      <c r="G219" s="64" t="s">
        <v>2044</v>
      </c>
      <c r="H219" s="402" t="str">
        <f>IF(Tableau2[[#This Row],[Moyennes]]="Absent","Absent",IF(Tableau2[[#This Row],[Moyennes]]&lt;5,"Redouble",IF(Tableau2[[#This Row],[Moyennes]]&gt;=5,"Admis"," ")))</f>
        <v>Admis</v>
      </c>
      <c r="I219" s="64"/>
      <c r="J219" s="300" t="s">
        <v>660</v>
      </c>
      <c r="K219" s="64" t="s">
        <v>355</v>
      </c>
      <c r="L219" s="64">
        <f>IF(AND(Tableau2[[#This Row],[CLASSE]]="CPU",Tableau2[[#This Row],[STATUT ]]="Admis"),1,0)</f>
        <v>1</v>
      </c>
      <c r="M219" s="64">
        <f>IF(AND(Tableau2[[#This Row],[CLASSE]]="CEU",Tableau2[[#This Row],[STATUT ]]="Admis"),1,0)</f>
        <v>0</v>
      </c>
      <c r="N219" s="64"/>
      <c r="O219" s="296"/>
      <c r="P2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0" spans="1:16" ht="17.5" thickBot="1" x14ac:dyDescent="0.4">
      <c r="A220" s="310">
        <v>219</v>
      </c>
      <c r="B220" s="64" t="s">
        <v>3413</v>
      </c>
      <c r="C220" s="64" t="s">
        <v>1</v>
      </c>
      <c r="D220" s="388">
        <v>9</v>
      </c>
      <c r="E220" s="299">
        <v>7.25</v>
      </c>
      <c r="F220" s="306" t="s">
        <v>2009</v>
      </c>
      <c r="G220" s="64" t="s">
        <v>2048</v>
      </c>
      <c r="H220" s="402" t="str">
        <f>IF(Tableau2[[#This Row],[Moyennes]]="Absent","Absent",IF(Tableau2[[#This Row],[Moyennes]]&lt;5,"Redouble",IF(Tableau2[[#This Row],[Moyennes]]&gt;=5,"Admis"," ")))</f>
        <v>Admis</v>
      </c>
      <c r="I220" s="64"/>
      <c r="J220" s="300" t="s">
        <v>660</v>
      </c>
      <c r="K220" s="334" t="s">
        <v>355</v>
      </c>
      <c r="L220" s="64">
        <f>IF(AND(Tableau2[[#This Row],[CLASSE]]="CPU",Tableau2[[#This Row],[STATUT ]]="Admis"),1,0)</f>
        <v>1</v>
      </c>
      <c r="M220" s="64">
        <f>IF(AND(Tableau2[[#This Row],[CLASSE]]="CEU",Tableau2[[#This Row],[STATUT ]]="Admis"),1,0)</f>
        <v>0</v>
      </c>
      <c r="N220" s="64"/>
      <c r="O220" s="296"/>
      <c r="P2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1" spans="1:16" ht="17.5" thickBot="1" x14ac:dyDescent="0.4">
      <c r="A221" s="310">
        <v>220</v>
      </c>
      <c r="B221" s="64" t="s">
        <v>2230</v>
      </c>
      <c r="C221" s="64" t="s">
        <v>2</v>
      </c>
      <c r="D221" s="388">
        <v>9</v>
      </c>
      <c r="E221" s="299">
        <v>7.12</v>
      </c>
      <c r="F221" s="306" t="s">
        <v>2009</v>
      </c>
      <c r="G221" s="64" t="s">
        <v>2027</v>
      </c>
      <c r="H221" s="402" t="str">
        <f>IF(Tableau2[[#This Row],[Moyennes]]="Absent","Absent",IF(Tableau2[[#This Row],[Moyennes]]&lt;5,"Redouble",IF(Tableau2[[#This Row],[Moyennes]]&gt;=5,"Admis"," ")))</f>
        <v>Admis</v>
      </c>
      <c r="I221" s="64"/>
      <c r="J221" s="300" t="s">
        <v>660</v>
      </c>
      <c r="K221" s="64" t="s">
        <v>355</v>
      </c>
      <c r="L221" s="64">
        <f>IF(AND(Tableau2[[#This Row],[CLASSE]]="CPU",Tableau2[[#This Row],[STATUT ]]="Admis"),1,0)</f>
        <v>1</v>
      </c>
      <c r="M221" s="64">
        <f>IF(AND(Tableau2[[#This Row],[CLASSE]]="CEU",Tableau2[[#This Row],[STATUT ]]="Admis"),1,0)</f>
        <v>0</v>
      </c>
      <c r="N221" s="64"/>
      <c r="O221" s="296"/>
      <c r="P2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2" spans="1:16" ht="17.5" thickBot="1" x14ac:dyDescent="0.4">
      <c r="A222" s="310">
        <v>221</v>
      </c>
      <c r="B222" s="64" t="s">
        <v>3412</v>
      </c>
      <c r="C222" s="64" t="s">
        <v>2</v>
      </c>
      <c r="D222" s="388">
        <v>9</v>
      </c>
      <c r="E222" s="299">
        <v>7</v>
      </c>
      <c r="F222" s="306" t="s">
        <v>2009</v>
      </c>
      <c r="G222" s="64" t="s">
        <v>2089</v>
      </c>
      <c r="H222" s="402" t="str">
        <f>IF(Tableau2[[#This Row],[Moyennes]]="Absent","Absent",IF(Tableau2[[#This Row],[Moyennes]]&lt;5,"Redouble",IF(Tableau2[[#This Row],[Moyennes]]&gt;=5,"Admis"," ")))</f>
        <v>Admis</v>
      </c>
      <c r="I222" s="64"/>
      <c r="J222" s="300" t="s">
        <v>660</v>
      </c>
      <c r="K222" s="334" t="s">
        <v>355</v>
      </c>
      <c r="L222" s="64">
        <f>IF(AND(Tableau2[[#This Row],[CLASSE]]="CPU",Tableau2[[#This Row],[STATUT ]]="Admis"),1,0)</f>
        <v>1</v>
      </c>
      <c r="M222" s="64">
        <f>IF(AND(Tableau2[[#This Row],[CLASSE]]="CEU",Tableau2[[#This Row],[STATUT ]]="Admis"),1,0)</f>
        <v>0</v>
      </c>
      <c r="N222" s="64"/>
      <c r="O222" s="296"/>
      <c r="P2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3" spans="1:16" ht="17.5" thickBot="1" x14ac:dyDescent="0.4">
      <c r="A223" s="310">
        <v>222</v>
      </c>
      <c r="B223" s="64" t="s">
        <v>1689</v>
      </c>
      <c r="C223" s="64" t="s">
        <v>2</v>
      </c>
      <c r="D223" s="388">
        <v>10</v>
      </c>
      <c r="E223" s="299">
        <v>6.87</v>
      </c>
      <c r="F223" s="306" t="s">
        <v>2009</v>
      </c>
      <c r="G223" s="64" t="s">
        <v>2021</v>
      </c>
      <c r="H223" s="402" t="str">
        <f>IF(Tableau2[[#This Row],[Moyennes]]="Absent","Absent",IF(Tableau2[[#This Row],[Moyennes]]&lt;5,"Redouble",IF(Tableau2[[#This Row],[Moyennes]]&gt;=5,"Admis"," ")))</f>
        <v>Admis</v>
      </c>
      <c r="I223" s="64"/>
      <c r="J223" s="300" t="s">
        <v>660</v>
      </c>
      <c r="K223" s="64" t="s">
        <v>355</v>
      </c>
      <c r="L223" s="64">
        <f>IF(AND(Tableau2[[#This Row],[CLASSE]]="CPU",Tableau2[[#This Row],[STATUT ]]="Admis"),1,0)</f>
        <v>1</v>
      </c>
      <c r="M223" s="64">
        <f>IF(AND(Tableau2[[#This Row],[CLASSE]]="CEU",Tableau2[[#This Row],[STATUT ]]="Admis"),1,0)</f>
        <v>0</v>
      </c>
      <c r="N223" s="64"/>
      <c r="O223" s="296"/>
      <c r="P2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4" spans="1:16" ht="17.5" thickBot="1" x14ac:dyDescent="0.4">
      <c r="A224" s="310">
        <v>223</v>
      </c>
      <c r="B224" s="64" t="s">
        <v>2221</v>
      </c>
      <c r="C224" s="64" t="s">
        <v>1</v>
      </c>
      <c r="D224" s="388">
        <v>9</v>
      </c>
      <c r="E224" s="299">
        <v>6.75</v>
      </c>
      <c r="F224" s="306" t="s">
        <v>2009</v>
      </c>
      <c r="G224" s="64" t="s">
        <v>2033</v>
      </c>
      <c r="H224" s="402" t="str">
        <f>IF(Tableau2[[#This Row],[Moyennes]]="Absent","Absent",IF(Tableau2[[#This Row],[Moyennes]]&lt;5,"Redouble",IF(Tableau2[[#This Row],[Moyennes]]&gt;=5,"Admis"," ")))</f>
        <v>Admis</v>
      </c>
      <c r="I224" s="64"/>
      <c r="J224" s="300" t="s">
        <v>660</v>
      </c>
      <c r="K224" s="334" t="s">
        <v>355</v>
      </c>
      <c r="L224" s="64">
        <f>IF(AND(Tableau2[[#This Row],[CLASSE]]="CPU",Tableau2[[#This Row],[STATUT ]]="Admis"),1,0)</f>
        <v>1</v>
      </c>
      <c r="M224" s="64">
        <f>IF(AND(Tableau2[[#This Row],[CLASSE]]="CEU",Tableau2[[#This Row],[STATUT ]]="Admis"),1,0)</f>
        <v>0</v>
      </c>
      <c r="N224" s="64"/>
      <c r="O224" s="296"/>
      <c r="P2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5" spans="1:16" ht="17.5" thickBot="1" x14ac:dyDescent="0.4">
      <c r="A225" s="310">
        <v>224</v>
      </c>
      <c r="B225" s="64" t="s">
        <v>3414</v>
      </c>
      <c r="C225" s="64" t="s">
        <v>2</v>
      </c>
      <c r="D225" s="388">
        <v>9</v>
      </c>
      <c r="E225" s="299">
        <v>6.37</v>
      </c>
      <c r="F225" s="306" t="s">
        <v>2009</v>
      </c>
      <c r="G225" s="64" t="s">
        <v>2016</v>
      </c>
      <c r="H225" s="402" t="str">
        <f>IF(Tableau2[[#This Row],[Moyennes]]="Absent","Absent",IF(Tableau2[[#This Row],[Moyennes]]&lt;5,"Redouble",IF(Tableau2[[#This Row],[Moyennes]]&gt;=5,"Admis"," ")))</f>
        <v>Admis</v>
      </c>
      <c r="I225" s="64"/>
      <c r="J225" s="300" t="s">
        <v>660</v>
      </c>
      <c r="K225" s="64" t="s">
        <v>355</v>
      </c>
      <c r="L225" s="64">
        <f>IF(AND(Tableau2[[#This Row],[CLASSE]]="CPU",Tableau2[[#This Row],[STATUT ]]="Admis"),1,0)</f>
        <v>1</v>
      </c>
      <c r="M225" s="64">
        <f>IF(AND(Tableau2[[#This Row],[CLASSE]]="CEU",Tableau2[[#This Row],[STATUT ]]="Admis"),1,0)</f>
        <v>0</v>
      </c>
      <c r="N225" s="64"/>
      <c r="O225" s="296"/>
      <c r="P2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6" spans="1:16" ht="17.5" thickBot="1" x14ac:dyDescent="0.4">
      <c r="A226" s="310">
        <v>225</v>
      </c>
      <c r="B226" s="64" t="s">
        <v>2223</v>
      </c>
      <c r="C226" s="64" t="s">
        <v>1</v>
      </c>
      <c r="D226" s="388">
        <v>9</v>
      </c>
      <c r="E226" s="299">
        <v>6.25</v>
      </c>
      <c r="F226" s="306" t="s">
        <v>2009</v>
      </c>
      <c r="G226" s="64" t="s">
        <v>2062</v>
      </c>
      <c r="H226" s="402" t="str">
        <f>IF(Tableau2[[#This Row],[Moyennes]]="Absent","Absent",IF(Tableau2[[#This Row],[Moyennes]]&lt;5,"Redouble",IF(Tableau2[[#This Row],[Moyennes]]&gt;=5,"Admis"," ")))</f>
        <v>Admis</v>
      </c>
      <c r="I226" s="64"/>
      <c r="J226" s="300" t="s">
        <v>660</v>
      </c>
      <c r="K226" s="334" t="s">
        <v>355</v>
      </c>
      <c r="L226" s="64">
        <f>IF(AND(Tableau2[[#This Row],[CLASSE]]="CPU",Tableau2[[#This Row],[STATUT ]]="Admis"),1,0)</f>
        <v>1</v>
      </c>
      <c r="M226" s="64">
        <f>IF(AND(Tableau2[[#This Row],[CLASSE]]="CEU",Tableau2[[#This Row],[STATUT ]]="Admis"),1,0)</f>
        <v>0</v>
      </c>
      <c r="N226" s="64"/>
      <c r="O226" s="296"/>
      <c r="P2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7" spans="1:16" ht="17.5" thickBot="1" x14ac:dyDescent="0.4">
      <c r="A227" s="310">
        <v>226</v>
      </c>
      <c r="B227" s="64" t="s">
        <v>2227</v>
      </c>
      <c r="C227" s="64" t="s">
        <v>1</v>
      </c>
      <c r="D227" s="388">
        <v>9</v>
      </c>
      <c r="E227" s="299">
        <v>6.25</v>
      </c>
      <c r="F227" s="306" t="s">
        <v>2009</v>
      </c>
      <c r="G227" s="64" t="s">
        <v>2023</v>
      </c>
      <c r="H227" s="402" t="str">
        <f>IF(Tableau2[[#This Row],[Moyennes]]="Absent","Absent",IF(Tableau2[[#This Row],[Moyennes]]&lt;5,"Redouble",IF(Tableau2[[#This Row],[Moyennes]]&gt;=5,"Admis"," ")))</f>
        <v>Admis</v>
      </c>
      <c r="I227" s="64"/>
      <c r="J227" s="300" t="s">
        <v>660</v>
      </c>
      <c r="K227" s="64" t="s">
        <v>355</v>
      </c>
      <c r="L227" s="64">
        <f>IF(AND(Tableau2[[#This Row],[CLASSE]]="CPU",Tableau2[[#This Row],[STATUT ]]="Admis"),1,0)</f>
        <v>1</v>
      </c>
      <c r="M227" s="64">
        <f>IF(AND(Tableau2[[#This Row],[CLASSE]]="CEU",Tableau2[[#This Row],[STATUT ]]="Admis"),1,0)</f>
        <v>0</v>
      </c>
      <c r="N227" s="64"/>
      <c r="O227" s="296"/>
      <c r="P2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8" spans="1:16" ht="17.5" thickBot="1" x14ac:dyDescent="0.4">
      <c r="A228" s="310">
        <v>227</v>
      </c>
      <c r="B228" s="64" t="s">
        <v>3416</v>
      </c>
      <c r="C228" s="64" t="s">
        <v>2</v>
      </c>
      <c r="D228" s="388">
        <v>9</v>
      </c>
      <c r="E228" s="299">
        <v>6.25</v>
      </c>
      <c r="F228" s="306" t="s">
        <v>2009</v>
      </c>
      <c r="G228" s="64" t="s">
        <v>2042</v>
      </c>
      <c r="H228" s="402" t="str">
        <f>IF(Tableau2[[#This Row],[Moyennes]]="Absent","Absent",IF(Tableau2[[#This Row],[Moyennes]]&lt;5,"Redouble",IF(Tableau2[[#This Row],[Moyennes]]&gt;=5,"Admis"," ")))</f>
        <v>Admis</v>
      </c>
      <c r="I228" s="64"/>
      <c r="J228" s="300" t="s">
        <v>660</v>
      </c>
      <c r="K228" s="334" t="s">
        <v>355</v>
      </c>
      <c r="L228" s="64">
        <f>IF(AND(Tableau2[[#This Row],[CLASSE]]="CPU",Tableau2[[#This Row],[STATUT ]]="Admis"),1,0)</f>
        <v>1</v>
      </c>
      <c r="M228" s="64">
        <f>IF(AND(Tableau2[[#This Row],[CLASSE]]="CEU",Tableau2[[#This Row],[STATUT ]]="Admis"),1,0)</f>
        <v>0</v>
      </c>
      <c r="N228" s="64"/>
      <c r="O228" s="296"/>
      <c r="P2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29" spans="1:16" ht="17.5" thickBot="1" x14ac:dyDescent="0.4">
      <c r="A229" s="310">
        <v>228</v>
      </c>
      <c r="B229" s="64" t="s">
        <v>2232</v>
      </c>
      <c r="C229" s="64" t="s">
        <v>1</v>
      </c>
      <c r="D229" s="388">
        <v>9</v>
      </c>
      <c r="E229" s="299">
        <v>6</v>
      </c>
      <c r="F229" s="306" t="s">
        <v>2009</v>
      </c>
      <c r="G229" s="64" t="s">
        <v>3411</v>
      </c>
      <c r="H229" s="402" t="str">
        <f>IF(Tableau2[[#This Row],[Moyennes]]="Absent","Absent",IF(Tableau2[[#This Row],[Moyennes]]&lt;5,"Redouble",IF(Tableau2[[#This Row],[Moyennes]]&gt;=5,"Admis"," ")))</f>
        <v>Admis</v>
      </c>
      <c r="I229" s="64"/>
      <c r="J229" s="300" t="s">
        <v>660</v>
      </c>
      <c r="K229" s="64" t="s">
        <v>355</v>
      </c>
      <c r="L229" s="64">
        <f>IF(AND(Tableau2[[#This Row],[CLASSE]]="CPU",Tableau2[[#This Row],[STATUT ]]="Admis"),1,0)</f>
        <v>1</v>
      </c>
      <c r="M229" s="64">
        <f>IF(AND(Tableau2[[#This Row],[CLASSE]]="CEU",Tableau2[[#This Row],[STATUT ]]="Admis"),1,0)</f>
        <v>0</v>
      </c>
      <c r="N229" s="64"/>
      <c r="O229" s="296"/>
      <c r="P2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30" spans="1:16" ht="17.5" thickBot="1" x14ac:dyDescent="0.4">
      <c r="A230" s="310">
        <v>229</v>
      </c>
      <c r="B230" s="64" t="s">
        <v>2229</v>
      </c>
      <c r="C230" s="64" t="s">
        <v>1</v>
      </c>
      <c r="D230" s="388">
        <v>9</v>
      </c>
      <c r="E230" s="299">
        <v>5.87</v>
      </c>
      <c r="F230" s="306" t="s">
        <v>2009</v>
      </c>
      <c r="G230" s="64" t="s">
        <v>2046</v>
      </c>
      <c r="H230" s="402" t="str">
        <f>IF(Tableau2[[#This Row],[Moyennes]]="Absent","Absent",IF(Tableau2[[#This Row],[Moyennes]]&lt;5,"Redouble",IF(Tableau2[[#This Row],[Moyennes]]&gt;=5,"Admis"," ")))</f>
        <v>Admis</v>
      </c>
      <c r="I230" s="64"/>
      <c r="J230" s="300" t="s">
        <v>660</v>
      </c>
      <c r="K230" s="334" t="s">
        <v>355</v>
      </c>
      <c r="L230" s="64">
        <f>IF(AND(Tableau2[[#This Row],[CLASSE]]="CPU",Tableau2[[#This Row],[STATUT ]]="Admis"),1,0)</f>
        <v>1</v>
      </c>
      <c r="M230" s="64">
        <f>IF(AND(Tableau2[[#This Row],[CLASSE]]="CEU",Tableau2[[#This Row],[STATUT ]]="Admis"),1,0)</f>
        <v>0</v>
      </c>
      <c r="N230" s="64"/>
      <c r="O230" s="296"/>
      <c r="P2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31" spans="1:16" ht="17.5" thickBot="1" x14ac:dyDescent="0.4">
      <c r="A231" s="310">
        <v>230</v>
      </c>
      <c r="B231" s="64" t="s">
        <v>2233</v>
      </c>
      <c r="C231" s="64" t="s">
        <v>2</v>
      </c>
      <c r="D231" s="388">
        <v>9</v>
      </c>
      <c r="E231" s="299">
        <v>5.37</v>
      </c>
      <c r="F231" s="306" t="s">
        <v>2009</v>
      </c>
      <c r="G231" s="64" t="s">
        <v>2030</v>
      </c>
      <c r="H231" s="402" t="str">
        <f>IF(Tableau2[[#This Row],[Moyennes]]="Absent","Absent",IF(Tableau2[[#This Row],[Moyennes]]&lt;5,"Redouble",IF(Tableau2[[#This Row],[Moyennes]]&gt;=5,"Admis"," ")))</f>
        <v>Admis</v>
      </c>
      <c r="I231" s="64"/>
      <c r="J231" s="300" t="s">
        <v>660</v>
      </c>
      <c r="K231" s="64" t="s">
        <v>355</v>
      </c>
      <c r="L231" s="64">
        <f>IF(AND(Tableau2[[#This Row],[CLASSE]]="CPU",Tableau2[[#This Row],[STATUT ]]="Admis"),1,0)</f>
        <v>1</v>
      </c>
      <c r="M231" s="64">
        <f>IF(AND(Tableau2[[#This Row],[CLASSE]]="CEU",Tableau2[[#This Row],[STATUT ]]="Admis"),1,0)</f>
        <v>0</v>
      </c>
      <c r="N231" s="64"/>
      <c r="O231" s="296"/>
      <c r="P2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32" spans="1:16" ht="17.5" thickBot="1" x14ac:dyDescent="0.4">
      <c r="A232" s="310">
        <v>231</v>
      </c>
      <c r="B232" s="64" t="s">
        <v>2234</v>
      </c>
      <c r="C232" s="64" t="s">
        <v>1</v>
      </c>
      <c r="D232" s="388">
        <v>9</v>
      </c>
      <c r="E232" s="299">
        <v>4.62</v>
      </c>
      <c r="F232" s="306" t="s">
        <v>2009</v>
      </c>
      <c r="G232" s="64" t="s">
        <v>2066</v>
      </c>
      <c r="H232" s="402" t="str">
        <f>IF(Tableau2[[#This Row],[Moyennes]]="Absent","Absent",IF(Tableau2[[#This Row],[Moyennes]]&lt;5,"Redouble",IF(Tableau2[[#This Row],[Moyennes]]&gt;=5,"Admis"," ")))</f>
        <v>Redouble</v>
      </c>
      <c r="I232" s="64"/>
      <c r="J232" s="300" t="s">
        <v>660</v>
      </c>
      <c r="K232" s="334" t="s">
        <v>355</v>
      </c>
      <c r="L232" s="64">
        <f>IF(AND(Tableau2[[#This Row],[CLASSE]]="CPU",Tableau2[[#This Row],[STATUT ]]="Admis"),1,0)</f>
        <v>0</v>
      </c>
      <c r="M232" s="64">
        <f>IF(AND(Tableau2[[#This Row],[CLASSE]]="CEU",Tableau2[[#This Row],[STATUT ]]="Admis"),1,0)</f>
        <v>0</v>
      </c>
      <c r="N232" s="64"/>
      <c r="O232" s="296"/>
      <c r="P2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3" spans="1:16" ht="17.5" thickBot="1" x14ac:dyDescent="0.4">
      <c r="A233" s="310">
        <v>232</v>
      </c>
      <c r="B233" s="64" t="s">
        <v>2224</v>
      </c>
      <c r="C233" s="64" t="s">
        <v>1</v>
      </c>
      <c r="D233" s="388">
        <v>9</v>
      </c>
      <c r="E233" s="299">
        <v>4.62</v>
      </c>
      <c r="F233" s="306" t="s">
        <v>2009</v>
      </c>
      <c r="G233" s="64" t="s">
        <v>2078</v>
      </c>
      <c r="H233" s="402" t="str">
        <f>IF(Tableau2[[#This Row],[Moyennes]]="Absent","Absent",IF(Tableau2[[#This Row],[Moyennes]]&lt;5,"Redouble",IF(Tableau2[[#This Row],[Moyennes]]&gt;=5,"Admis"," ")))</f>
        <v>Redouble</v>
      </c>
      <c r="I233" s="64"/>
      <c r="J233" s="300" t="s">
        <v>660</v>
      </c>
      <c r="K233" s="64" t="s">
        <v>355</v>
      </c>
      <c r="L233" s="64">
        <f>IF(AND(Tableau2[[#This Row],[CLASSE]]="CPU",Tableau2[[#This Row],[STATUT ]]="Admis"),1,0)</f>
        <v>0</v>
      </c>
      <c r="M233" s="64">
        <f>IF(AND(Tableau2[[#This Row],[CLASSE]]="CEU",Tableau2[[#This Row],[STATUT ]]="Admis"),1,0)</f>
        <v>0</v>
      </c>
      <c r="N233" s="64"/>
      <c r="O233" s="296"/>
      <c r="P2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4" spans="1:16" ht="17.5" thickBot="1" x14ac:dyDescent="0.4">
      <c r="A234" s="310">
        <v>233</v>
      </c>
      <c r="B234" s="64" t="s">
        <v>2231</v>
      </c>
      <c r="C234" s="64" t="s">
        <v>1</v>
      </c>
      <c r="D234" s="388">
        <v>9</v>
      </c>
      <c r="E234" s="299">
        <v>4.25</v>
      </c>
      <c r="F234" s="306" t="s">
        <v>2009</v>
      </c>
      <c r="G234" s="64" t="s">
        <v>2037</v>
      </c>
      <c r="H234" s="402" t="str">
        <f>IF(Tableau2[[#This Row],[Moyennes]]="Absent","Absent",IF(Tableau2[[#This Row],[Moyennes]]&lt;5,"Redouble",IF(Tableau2[[#This Row],[Moyennes]]&gt;=5,"Admis"," ")))</f>
        <v>Redouble</v>
      </c>
      <c r="I234" s="64"/>
      <c r="J234" s="300" t="s">
        <v>660</v>
      </c>
      <c r="K234" s="334" t="s">
        <v>355</v>
      </c>
      <c r="L234" s="64">
        <f>IF(AND(Tableau2[[#This Row],[CLASSE]]="CPU",Tableau2[[#This Row],[STATUT ]]="Admis"),1,0)</f>
        <v>0</v>
      </c>
      <c r="M234" s="64">
        <f>IF(AND(Tableau2[[#This Row],[CLASSE]]="CEU",Tableau2[[#This Row],[STATUT ]]="Admis"),1,0)</f>
        <v>0</v>
      </c>
      <c r="N234" s="64"/>
      <c r="O234" s="296"/>
      <c r="P2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5" spans="1:16" ht="17.5" thickBot="1" x14ac:dyDescent="0.4">
      <c r="A235" s="310">
        <v>234</v>
      </c>
      <c r="B235" s="64" t="s">
        <v>3415</v>
      </c>
      <c r="C235" s="64" t="s">
        <v>2</v>
      </c>
      <c r="D235" s="388">
        <v>9</v>
      </c>
      <c r="E235" s="299">
        <v>4</v>
      </c>
      <c r="F235" s="306" t="s">
        <v>2009</v>
      </c>
      <c r="G235" s="64" t="s">
        <v>2040</v>
      </c>
      <c r="H235" s="402" t="str">
        <f>IF(Tableau2[[#This Row],[Moyennes]]="Absent","Absent",IF(Tableau2[[#This Row],[Moyennes]]&lt;5,"Redouble",IF(Tableau2[[#This Row],[Moyennes]]&gt;=5,"Admis"," ")))</f>
        <v>Redouble</v>
      </c>
      <c r="I235" s="64"/>
      <c r="J235" s="300" t="s">
        <v>660</v>
      </c>
      <c r="K235" s="64" t="s">
        <v>355</v>
      </c>
      <c r="L235" s="64">
        <f>IF(AND(Tableau2[[#This Row],[CLASSE]]="CPU",Tableau2[[#This Row],[STATUT ]]="Admis"),1,0)</f>
        <v>0</v>
      </c>
      <c r="M235" s="64">
        <f>IF(AND(Tableau2[[#This Row],[CLASSE]]="CEU",Tableau2[[#This Row],[STATUT ]]="Admis"),1,0)</f>
        <v>0</v>
      </c>
      <c r="N235" s="64"/>
      <c r="O235" s="296"/>
      <c r="P2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6" spans="1:16" ht="17.5" thickBot="1" x14ac:dyDescent="0.4">
      <c r="A236" s="310">
        <v>235</v>
      </c>
      <c r="B236" s="64" t="s">
        <v>3418</v>
      </c>
      <c r="C236" s="64" t="s">
        <v>2</v>
      </c>
      <c r="D236" s="388">
        <v>9</v>
      </c>
      <c r="E236" s="299">
        <v>4</v>
      </c>
      <c r="F236" s="306" t="s">
        <v>2009</v>
      </c>
      <c r="G236" s="64" t="s">
        <v>3419</v>
      </c>
      <c r="H236" s="402" t="str">
        <f>IF(Tableau2[[#This Row],[Moyennes]]="Absent","Absent",IF(Tableau2[[#This Row],[Moyennes]]&lt;5,"Redouble",IF(Tableau2[[#This Row],[Moyennes]]&gt;=5,"Admis"," ")))</f>
        <v>Redouble</v>
      </c>
      <c r="I236" s="307"/>
      <c r="J236" s="300" t="s">
        <v>660</v>
      </c>
      <c r="K236" s="334" t="s">
        <v>355</v>
      </c>
      <c r="L236" s="64">
        <f>IF(AND(Tableau2[[#This Row],[CLASSE]]="CPU",Tableau2[[#This Row],[STATUT ]]="Admis"),1,0)</f>
        <v>0</v>
      </c>
      <c r="M236" s="64">
        <f>IF(AND(Tableau2[[#This Row],[CLASSE]]="CEU",Tableau2[[#This Row],[STATUT ]]="Admis"),1,0)</f>
        <v>0</v>
      </c>
      <c r="N236" s="64"/>
      <c r="O236" s="296"/>
      <c r="P2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7" spans="1:16" ht="17.5" thickBot="1" x14ac:dyDescent="0.4">
      <c r="A237" s="310">
        <v>236</v>
      </c>
      <c r="B237" s="64" t="s">
        <v>2235</v>
      </c>
      <c r="C237" s="64" t="s">
        <v>2</v>
      </c>
      <c r="D237" s="388">
        <v>9</v>
      </c>
      <c r="E237" s="299">
        <v>2.62</v>
      </c>
      <c r="F237" s="306" t="s">
        <v>2009</v>
      </c>
      <c r="G237" s="64" t="s">
        <v>2214</v>
      </c>
      <c r="H237" s="402" t="str">
        <f>IF(Tableau2[[#This Row],[Moyennes]]="Absent","Absent",IF(Tableau2[[#This Row],[Moyennes]]&lt;5,"Redouble",IF(Tableau2[[#This Row],[Moyennes]]&gt;=5,"Admis"," ")))</f>
        <v>Redouble</v>
      </c>
      <c r="I237" s="307"/>
      <c r="J237" s="300" t="s">
        <v>660</v>
      </c>
      <c r="K237" s="64" t="s">
        <v>355</v>
      </c>
      <c r="L237" s="64">
        <f>IF(AND(Tableau2[[#This Row],[CLASSE]]="CPU",Tableau2[[#This Row],[STATUT ]]="Admis"),1,0)</f>
        <v>0</v>
      </c>
      <c r="M237" s="64">
        <f>IF(AND(Tableau2[[#This Row],[CLASSE]]="CEU",Tableau2[[#This Row],[STATUT ]]="Admis"),1,0)</f>
        <v>0</v>
      </c>
      <c r="N237" s="64"/>
      <c r="O237" s="296"/>
      <c r="P2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38" spans="1:16" ht="17.5" thickBot="1" x14ac:dyDescent="0.4">
      <c r="A238" s="310">
        <v>237</v>
      </c>
      <c r="B238" s="64" t="s">
        <v>265</v>
      </c>
      <c r="C238" s="64" t="s">
        <v>1</v>
      </c>
      <c r="D238" s="388">
        <v>9</v>
      </c>
      <c r="E238" s="299" t="s">
        <v>2165</v>
      </c>
      <c r="F238" s="306" t="s">
        <v>2009</v>
      </c>
      <c r="G238" s="64" t="s">
        <v>2165</v>
      </c>
      <c r="H238" s="300" t="str">
        <f>IF(Tableau2[[#This Row],[Moyennes]]="Absent","Absent",IF(Tableau2[[#This Row],[Moyennes]]&lt;5,"Redouble",IF(Tableau2[[#This Row],[Moyennes]]&gt;=5,"Admis"," ")))</f>
        <v>Absent</v>
      </c>
      <c r="I238" s="307"/>
      <c r="J238" s="300" t="s">
        <v>660</v>
      </c>
      <c r="K238" s="334" t="s">
        <v>355</v>
      </c>
      <c r="L238" s="64">
        <f>IF(AND(Tableau2[[#This Row],[CLASSE]]="CPU",Tableau2[[#This Row],[STATUT ]]="Admis"),1,0)</f>
        <v>0</v>
      </c>
      <c r="M238" s="64">
        <f>IF(AND(Tableau2[[#This Row],[CLASSE]]="CEU",Tableau2[[#This Row],[STATUT ]]="Admis"),1,0)</f>
        <v>0</v>
      </c>
      <c r="N238" s="64"/>
      <c r="O238" s="296"/>
      <c r="P2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239" spans="1:16" ht="17" x14ac:dyDescent="0.35">
      <c r="A239" s="310">
        <v>238</v>
      </c>
      <c r="B239" s="64" t="s">
        <v>3395</v>
      </c>
      <c r="C239" s="64" t="s">
        <v>1</v>
      </c>
      <c r="D239" s="388">
        <v>10</v>
      </c>
      <c r="E239" s="299">
        <v>9.25</v>
      </c>
      <c r="F239" s="306" t="s">
        <v>2009</v>
      </c>
      <c r="G239" s="64" t="s">
        <v>2217</v>
      </c>
      <c r="H239" s="402" t="str">
        <f>IF(Tableau2[[#This Row],[Moyennes]]="Absent","Absent",IF(Tableau2[[#This Row],[Moyennes]]&lt;5,"Redouble",IF(Tableau2[[#This Row],[Moyennes]]&gt;=5,"Admis"," ")))</f>
        <v>Admis</v>
      </c>
      <c r="I239" s="307"/>
      <c r="J239" s="300" t="s">
        <v>660</v>
      </c>
      <c r="K239" s="64" t="s">
        <v>221</v>
      </c>
      <c r="L239" s="64">
        <f>IF(AND(Tableau2[[#This Row],[CLASSE]]="CPU",Tableau2[[#This Row],[STATUT ]]="Admis"),1,0)</f>
        <v>1</v>
      </c>
      <c r="M239" s="64">
        <f>IF(AND(Tableau2[[#This Row],[CLASSE]]="CEU",Tableau2[[#This Row],[STATUT ]]="Admis"),1,0)</f>
        <v>0</v>
      </c>
      <c r="N239" s="64"/>
      <c r="O239" s="296"/>
      <c r="P2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0" spans="1:16" ht="17" x14ac:dyDescent="0.35">
      <c r="A240" s="310">
        <v>239</v>
      </c>
      <c r="B240" s="64" t="s">
        <v>3399</v>
      </c>
      <c r="C240" s="64" t="s">
        <v>1</v>
      </c>
      <c r="D240" s="389">
        <v>9</v>
      </c>
      <c r="E240" s="299">
        <v>9.25</v>
      </c>
      <c r="F240" s="306" t="s">
        <v>2009</v>
      </c>
      <c r="G240" s="64" t="s">
        <v>2010</v>
      </c>
      <c r="H240" s="402" t="str">
        <f>IF(Tableau2[[#This Row],[Moyennes]]="Absent","Absent",IF(Tableau2[[#This Row],[Moyennes]]&lt;5,"Redouble",IF(Tableau2[[#This Row],[Moyennes]]&gt;=5,"Admis"," ")))</f>
        <v>Admis</v>
      </c>
      <c r="I240" s="307"/>
      <c r="J240" s="300" t="s">
        <v>660</v>
      </c>
      <c r="K240" s="334" t="s">
        <v>221</v>
      </c>
      <c r="L240" s="64">
        <f>IF(AND(Tableau2[[#This Row],[CLASSE]]="CPU",Tableau2[[#This Row],[STATUT ]]="Admis"),1,0)</f>
        <v>1</v>
      </c>
      <c r="M240" s="64">
        <f>IF(AND(Tableau2[[#This Row],[CLASSE]]="CEU",Tableau2[[#This Row],[STATUT ]]="Admis"),1,0)</f>
        <v>0</v>
      </c>
      <c r="N240" s="64"/>
      <c r="O240" s="296"/>
      <c r="P2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1" spans="1:16" ht="17" x14ac:dyDescent="0.35">
      <c r="A241" s="310">
        <v>240</v>
      </c>
      <c r="B241" s="64" t="s">
        <v>2236</v>
      </c>
      <c r="C241" s="64" t="s">
        <v>1</v>
      </c>
      <c r="D241" s="389">
        <v>10</v>
      </c>
      <c r="E241" s="299">
        <v>8.8699999999999992</v>
      </c>
      <c r="F241" s="306" t="s">
        <v>2009</v>
      </c>
      <c r="G241" s="300" t="s">
        <v>815</v>
      </c>
      <c r="H241" s="402" t="str">
        <f>IF(Tableau2[[#This Row],[Moyennes]]="Absent","Absent",IF(Tableau2[[#This Row],[Moyennes]]&lt;5,"Redouble",IF(Tableau2[[#This Row],[Moyennes]]&gt;=5,"Admis"," ")))</f>
        <v>Admis</v>
      </c>
      <c r="I241" s="307"/>
      <c r="J241" s="300" t="s">
        <v>660</v>
      </c>
      <c r="K241" s="64" t="s">
        <v>221</v>
      </c>
      <c r="L241" s="64">
        <f>IF(AND(Tableau2[[#This Row],[CLASSE]]="CPU",Tableau2[[#This Row],[STATUT ]]="Admis"),1,0)</f>
        <v>1</v>
      </c>
      <c r="M241" s="64">
        <f>IF(AND(Tableau2[[#This Row],[CLASSE]]="CEU",Tableau2[[#This Row],[STATUT ]]="Admis"),1,0)</f>
        <v>0</v>
      </c>
      <c r="N241" s="64"/>
      <c r="O241" s="296"/>
      <c r="P2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2" spans="1:16" ht="17" x14ac:dyDescent="0.35">
      <c r="A242" s="310">
        <v>241</v>
      </c>
      <c r="B242" s="64" t="s">
        <v>2237</v>
      </c>
      <c r="C242" s="64" t="s">
        <v>2</v>
      </c>
      <c r="D242" s="389">
        <v>10</v>
      </c>
      <c r="E242" s="299">
        <v>8.3699999999999992</v>
      </c>
      <c r="F242" s="306" t="s">
        <v>2009</v>
      </c>
      <c r="G242" s="300" t="s">
        <v>2012</v>
      </c>
      <c r="H242" s="402" t="str">
        <f>IF(Tableau2[[#This Row],[Moyennes]]="Absent","Absent",IF(Tableau2[[#This Row],[Moyennes]]&lt;5,"Redouble",IF(Tableau2[[#This Row],[Moyennes]]&gt;=5,"Admis"," ")))</f>
        <v>Admis</v>
      </c>
      <c r="I242" s="307"/>
      <c r="J242" s="300" t="s">
        <v>660</v>
      </c>
      <c r="K242" s="334" t="s">
        <v>221</v>
      </c>
      <c r="L242" s="64">
        <f>IF(AND(Tableau2[[#This Row],[CLASSE]]="CPU",Tableau2[[#This Row],[STATUT ]]="Admis"),1,0)</f>
        <v>1</v>
      </c>
      <c r="M242" s="64">
        <f>IF(AND(Tableau2[[#This Row],[CLASSE]]="CEU",Tableau2[[#This Row],[STATUT ]]="Admis"),1,0)</f>
        <v>0</v>
      </c>
      <c r="N242" s="64"/>
      <c r="O242" s="296"/>
      <c r="P2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3" spans="1:16" ht="17" x14ac:dyDescent="0.35">
      <c r="A243" s="310">
        <v>242</v>
      </c>
      <c r="B243" s="64" t="s">
        <v>3394</v>
      </c>
      <c r="C243" s="64" t="s">
        <v>1</v>
      </c>
      <c r="D243" s="389">
        <v>9</v>
      </c>
      <c r="E243" s="299">
        <v>7.87</v>
      </c>
      <c r="F243" s="306" t="s">
        <v>2009</v>
      </c>
      <c r="G243" s="300" t="s">
        <v>2018</v>
      </c>
      <c r="H243" s="402" t="str">
        <f>IF(Tableau2[[#This Row],[Moyennes]]="Absent","Absent",IF(Tableau2[[#This Row],[Moyennes]]&lt;5,"Redouble",IF(Tableau2[[#This Row],[Moyennes]]&gt;=5,"Admis"," ")))</f>
        <v>Admis</v>
      </c>
      <c r="I243" s="300"/>
      <c r="J243" s="300" t="s">
        <v>660</v>
      </c>
      <c r="K243" s="64" t="s">
        <v>221</v>
      </c>
      <c r="L243" s="64">
        <f>IF(AND(Tableau2[[#This Row],[CLASSE]]="CPU",Tableau2[[#This Row],[STATUT ]]="Admis"),1,0)</f>
        <v>1</v>
      </c>
      <c r="M243" s="64">
        <f>IF(AND(Tableau2[[#This Row],[CLASSE]]="CEU",Tableau2[[#This Row],[STATUT ]]="Admis"),1,0)</f>
        <v>0</v>
      </c>
      <c r="N243" s="64"/>
      <c r="O243" s="296"/>
      <c r="P2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4" spans="1:16" ht="17" x14ac:dyDescent="0.35">
      <c r="A244" s="310">
        <v>243</v>
      </c>
      <c r="B244" s="64" t="s">
        <v>3335</v>
      </c>
      <c r="C244" s="64" t="s">
        <v>2</v>
      </c>
      <c r="D244" s="389">
        <v>10</v>
      </c>
      <c r="E244" s="299">
        <v>7.87</v>
      </c>
      <c r="F244" s="306" t="s">
        <v>2009</v>
      </c>
      <c r="G244" s="300" t="s">
        <v>2044</v>
      </c>
      <c r="H244" s="402" t="str">
        <f>IF(Tableau2[[#This Row],[Moyennes]]="Absent","Absent",IF(Tableau2[[#This Row],[Moyennes]]&lt;5,"Redouble",IF(Tableau2[[#This Row],[Moyennes]]&gt;=5,"Admis"," ")))</f>
        <v>Admis</v>
      </c>
      <c r="I244" s="300"/>
      <c r="J244" s="300" t="s">
        <v>660</v>
      </c>
      <c r="K244" s="334" t="s">
        <v>221</v>
      </c>
      <c r="L244" s="64">
        <f>IF(AND(Tableau2[[#This Row],[CLASSE]]="CPU",Tableau2[[#This Row],[STATUT ]]="Admis"),1,0)</f>
        <v>1</v>
      </c>
      <c r="M244" s="64">
        <f>IF(AND(Tableau2[[#This Row],[CLASSE]]="CEU",Tableau2[[#This Row],[STATUT ]]="Admis"),1,0)</f>
        <v>0</v>
      </c>
      <c r="N244" s="64"/>
      <c r="O244" s="296"/>
      <c r="P2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5" spans="1:16" ht="21" x14ac:dyDescent="0.35">
      <c r="A245" s="310">
        <v>244</v>
      </c>
      <c r="B245" s="64" t="s">
        <v>2241</v>
      </c>
      <c r="C245" s="64" t="s">
        <v>1</v>
      </c>
      <c r="D245" s="389">
        <v>9</v>
      </c>
      <c r="E245" s="299">
        <v>7.5</v>
      </c>
      <c r="F245" s="306" t="s">
        <v>2009</v>
      </c>
      <c r="G245" s="300" t="s">
        <v>2048</v>
      </c>
      <c r="H245" s="402" t="str">
        <f>IF(Tableau2[[#This Row],[Moyennes]]="Absent","Absent",IF(Tableau2[[#This Row],[Moyennes]]&lt;5,"Redouble",IF(Tableau2[[#This Row],[Moyennes]]&gt;=5,"Admis"," ")))</f>
        <v>Admis</v>
      </c>
      <c r="I245" s="302"/>
      <c r="J245" s="300" t="s">
        <v>660</v>
      </c>
      <c r="K245" s="64" t="s">
        <v>221</v>
      </c>
      <c r="L245" s="64">
        <f>IF(AND(Tableau2[[#This Row],[CLASSE]]="CPU",Tableau2[[#This Row],[STATUT ]]="Admis"),1,0)</f>
        <v>1</v>
      </c>
      <c r="M245" s="64">
        <f>IF(AND(Tableau2[[#This Row],[CLASSE]]="CEU",Tableau2[[#This Row],[STATUT ]]="Admis"),1,0)</f>
        <v>0</v>
      </c>
      <c r="N245" s="64"/>
      <c r="O245" s="296"/>
      <c r="P2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6" spans="1:16" ht="21" x14ac:dyDescent="0.35">
      <c r="A246" s="310">
        <v>245</v>
      </c>
      <c r="B246" s="64" t="s">
        <v>3336</v>
      </c>
      <c r="C246" s="64" t="s">
        <v>2</v>
      </c>
      <c r="D246" s="389">
        <v>9</v>
      </c>
      <c r="E246" s="299">
        <v>7.25</v>
      </c>
      <c r="F246" s="306" t="s">
        <v>2009</v>
      </c>
      <c r="G246" s="300" t="s">
        <v>2027</v>
      </c>
      <c r="H246" s="402" t="str">
        <f>IF(Tableau2[[#This Row],[Moyennes]]="Absent","Absent",IF(Tableau2[[#This Row],[Moyennes]]&lt;5,"Redouble",IF(Tableau2[[#This Row],[Moyennes]]&gt;=5,"Admis"," ")))</f>
        <v>Admis</v>
      </c>
      <c r="I246" s="302"/>
      <c r="J246" s="300" t="s">
        <v>660</v>
      </c>
      <c r="K246" s="334" t="s">
        <v>221</v>
      </c>
      <c r="L246" s="64">
        <f>IF(AND(Tableau2[[#This Row],[CLASSE]]="CPU",Tableau2[[#This Row],[STATUT ]]="Admis"),1,0)</f>
        <v>1</v>
      </c>
      <c r="M246" s="64">
        <f>IF(AND(Tableau2[[#This Row],[CLASSE]]="CEU",Tableau2[[#This Row],[STATUT ]]="Admis"),1,0)</f>
        <v>0</v>
      </c>
      <c r="N246" s="64"/>
      <c r="O246" s="296"/>
      <c r="P2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7" spans="1:16" ht="17" x14ac:dyDescent="0.35">
      <c r="A247" s="310">
        <v>246</v>
      </c>
      <c r="B247" s="64" t="s">
        <v>2238</v>
      </c>
      <c r="C247" s="64" t="s">
        <v>2</v>
      </c>
      <c r="D247" s="389">
        <v>9</v>
      </c>
      <c r="E247" s="299">
        <v>7.06</v>
      </c>
      <c r="F247" s="306" t="s">
        <v>2009</v>
      </c>
      <c r="G247" s="64" t="s">
        <v>2089</v>
      </c>
      <c r="H247" s="402" t="str">
        <f>IF(Tableau2[[#This Row],[Moyennes]]="Absent","Absent",IF(Tableau2[[#This Row],[Moyennes]]&lt;5,"Redouble",IF(Tableau2[[#This Row],[Moyennes]]&gt;=5,"Admis"," ")))</f>
        <v>Admis</v>
      </c>
      <c r="I247" s="64"/>
      <c r="J247" s="300" t="s">
        <v>660</v>
      </c>
      <c r="K247" s="64" t="s">
        <v>221</v>
      </c>
      <c r="L247" s="64">
        <f>IF(AND(Tableau2[[#This Row],[CLASSE]]="CPU",Tableau2[[#This Row],[STATUT ]]="Admis"),1,0)</f>
        <v>1</v>
      </c>
      <c r="M247" s="64">
        <f>IF(AND(Tableau2[[#This Row],[CLASSE]]="CEU",Tableau2[[#This Row],[STATUT ]]="Admis"),1,0)</f>
        <v>0</v>
      </c>
      <c r="N247" s="64"/>
      <c r="O247" s="296"/>
      <c r="P2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8" spans="1:16" ht="17" x14ac:dyDescent="0.35">
      <c r="A248" s="310">
        <v>247</v>
      </c>
      <c r="B248" s="64" t="s">
        <v>2242</v>
      </c>
      <c r="C248" s="64" t="s">
        <v>1</v>
      </c>
      <c r="D248" s="389">
        <v>10</v>
      </c>
      <c r="E248" s="299">
        <v>6.87</v>
      </c>
      <c r="F248" s="306" t="s">
        <v>2009</v>
      </c>
      <c r="G248" s="64" t="s">
        <v>2021</v>
      </c>
      <c r="H248" s="402" t="str">
        <f>IF(Tableau2[[#This Row],[Moyennes]]="Absent","Absent",IF(Tableau2[[#This Row],[Moyennes]]&lt;5,"Redouble",IF(Tableau2[[#This Row],[Moyennes]]&gt;=5,"Admis"," ")))</f>
        <v>Admis</v>
      </c>
      <c r="I248" s="64"/>
      <c r="J248" s="300" t="s">
        <v>660</v>
      </c>
      <c r="K248" s="334" t="s">
        <v>221</v>
      </c>
      <c r="L248" s="64">
        <f>IF(AND(Tableau2[[#This Row],[CLASSE]]="CPU",Tableau2[[#This Row],[STATUT ]]="Admis"),1,0)</f>
        <v>1</v>
      </c>
      <c r="M248" s="64">
        <f>IF(AND(Tableau2[[#This Row],[CLASSE]]="CEU",Tableau2[[#This Row],[STATUT ]]="Admis"),1,0)</f>
        <v>0</v>
      </c>
      <c r="N248" s="64"/>
      <c r="O248" s="296"/>
      <c r="P2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49" spans="1:16" ht="17" x14ac:dyDescent="0.35">
      <c r="A249" s="310">
        <v>248</v>
      </c>
      <c r="B249" s="64" t="s">
        <v>3396</v>
      </c>
      <c r="C249" s="64" t="s">
        <v>2</v>
      </c>
      <c r="D249" s="389">
        <v>9</v>
      </c>
      <c r="E249" s="299">
        <v>6.37</v>
      </c>
      <c r="F249" s="306" t="s">
        <v>2009</v>
      </c>
      <c r="G249" s="64" t="s">
        <v>2033</v>
      </c>
      <c r="H249" s="402" t="str">
        <f>IF(Tableau2[[#This Row],[Moyennes]]="Absent","Absent",IF(Tableau2[[#This Row],[Moyennes]]&lt;5,"Redouble",IF(Tableau2[[#This Row],[Moyennes]]&gt;=5,"Admis"," ")))</f>
        <v>Admis</v>
      </c>
      <c r="I249" s="64"/>
      <c r="J249" s="300" t="s">
        <v>660</v>
      </c>
      <c r="K249" s="64" t="s">
        <v>221</v>
      </c>
      <c r="L249" s="64">
        <f>IF(AND(Tableau2[[#This Row],[CLASSE]]="CPU",Tableau2[[#This Row],[STATUT ]]="Admis"),1,0)</f>
        <v>1</v>
      </c>
      <c r="M249" s="64">
        <f>IF(AND(Tableau2[[#This Row],[CLASSE]]="CEU",Tableau2[[#This Row],[STATUT ]]="Admis"),1,0)</f>
        <v>0</v>
      </c>
      <c r="N249" s="64"/>
      <c r="O249" s="296"/>
      <c r="P2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50" spans="1:16" ht="17" x14ac:dyDescent="0.35">
      <c r="A250" s="310">
        <v>249</v>
      </c>
      <c r="B250" s="64" t="s">
        <v>3397</v>
      </c>
      <c r="C250" s="64" t="s">
        <v>2</v>
      </c>
      <c r="D250" s="389">
        <v>9</v>
      </c>
      <c r="E250" s="303">
        <v>6.25</v>
      </c>
      <c r="F250" s="306" t="s">
        <v>2009</v>
      </c>
      <c r="G250" s="64" t="s">
        <v>2016</v>
      </c>
      <c r="H250" s="402" t="str">
        <f>IF(Tableau2[[#This Row],[Moyennes]]="Absent","Absent",IF(Tableau2[[#This Row],[Moyennes]]&lt;5,"Redouble",IF(Tableau2[[#This Row],[Moyennes]]&gt;=5,"Admis"," ")))</f>
        <v>Admis</v>
      </c>
      <c r="I250" s="64"/>
      <c r="J250" s="300" t="s">
        <v>660</v>
      </c>
      <c r="K250" s="334" t="s">
        <v>221</v>
      </c>
      <c r="L250" s="64">
        <f>IF(AND(Tableau2[[#This Row],[CLASSE]]="CPU",Tableau2[[#This Row],[STATUT ]]="Admis"),1,0)</f>
        <v>1</v>
      </c>
      <c r="M250" s="64">
        <f>IF(AND(Tableau2[[#This Row],[CLASSE]]="CEU",Tableau2[[#This Row],[STATUT ]]="Admis"),1,0)</f>
        <v>0</v>
      </c>
      <c r="N250" s="64"/>
      <c r="O250" s="296"/>
      <c r="P2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51" spans="1:16" ht="17" x14ac:dyDescent="0.35">
      <c r="A251" s="310">
        <v>250</v>
      </c>
      <c r="B251" s="64" t="s">
        <v>3333</v>
      </c>
      <c r="C251" s="64" t="s">
        <v>1</v>
      </c>
      <c r="D251" s="391">
        <v>9</v>
      </c>
      <c r="E251" s="299">
        <v>5.62</v>
      </c>
      <c r="F251" s="306" t="s">
        <v>2009</v>
      </c>
      <c r="G251" s="64" t="s">
        <v>2062</v>
      </c>
      <c r="H251" s="402" t="str">
        <f>IF(Tableau2[[#This Row],[Moyennes]]="Absent","Absent",IF(Tableau2[[#This Row],[Moyennes]]&lt;5,"Redouble",IF(Tableau2[[#This Row],[Moyennes]]&gt;=5,"Admis"," ")))</f>
        <v>Admis</v>
      </c>
      <c r="I251" s="64"/>
      <c r="J251" s="300" t="s">
        <v>660</v>
      </c>
      <c r="K251" s="64" t="s">
        <v>221</v>
      </c>
      <c r="L251" s="64">
        <f>IF(AND(Tableau2[[#This Row],[CLASSE]]="CPU",Tableau2[[#This Row],[STATUT ]]="Admis"),1,0)</f>
        <v>1</v>
      </c>
      <c r="M251" s="64">
        <f>IF(AND(Tableau2[[#This Row],[CLASSE]]="CEU",Tableau2[[#This Row],[STATUT ]]="Admis"),1,0)</f>
        <v>0</v>
      </c>
      <c r="N251" s="64"/>
      <c r="O251" s="296"/>
      <c r="P2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52" spans="1:16" s="395" customFormat="1" ht="21" x14ac:dyDescent="0.35">
      <c r="A252" s="310">
        <v>251</v>
      </c>
      <c r="B252" s="64" t="s">
        <v>2239</v>
      </c>
      <c r="C252" s="64" t="s">
        <v>1</v>
      </c>
      <c r="D252" s="391">
        <v>9</v>
      </c>
      <c r="E252" s="299">
        <v>5.5</v>
      </c>
      <c r="F252" s="306" t="s">
        <v>2009</v>
      </c>
      <c r="G252" s="64" t="s">
        <v>2023</v>
      </c>
      <c r="H252" s="402" t="str">
        <f>IF(Tableau2[[#This Row],[Moyennes]]="Absent","Absent",IF(Tableau2[[#This Row],[Moyennes]]&lt;5,"Redouble",IF(Tableau2[[#This Row],[Moyennes]]&gt;=5,"Admis"," ")))</f>
        <v>Admis</v>
      </c>
      <c r="I252" s="302"/>
      <c r="J252" s="300" t="s">
        <v>660</v>
      </c>
      <c r="K252" s="334" t="s">
        <v>221</v>
      </c>
      <c r="L252" s="64">
        <f>IF(AND(Tableau2[[#This Row],[CLASSE]]="CPU",Tableau2[[#This Row],[STATUT ]]="Admis"),1,0)</f>
        <v>1</v>
      </c>
      <c r="M252" s="64">
        <f>IF(AND(Tableau2[[#This Row],[CLASSE]]="CEU",Tableau2[[#This Row],[STATUT ]]="Admis"),1,0)</f>
        <v>0</v>
      </c>
      <c r="N252" s="64"/>
      <c r="O252" s="296"/>
      <c r="P2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53" spans="1:16" s="395" customFormat="1" ht="21" x14ac:dyDescent="0.35">
      <c r="A253" s="310">
        <v>252</v>
      </c>
      <c r="B253" s="64" t="s">
        <v>2240</v>
      </c>
      <c r="C253" s="64" t="s">
        <v>2</v>
      </c>
      <c r="D253" s="413">
        <v>10</v>
      </c>
      <c r="E253" s="299">
        <v>4.87</v>
      </c>
      <c r="F253" s="306" t="s">
        <v>2009</v>
      </c>
      <c r="G253" s="64" t="s">
        <v>2042</v>
      </c>
      <c r="H253" s="402" t="str">
        <f>IF(Tableau2[[#This Row],[Moyennes]]="Absent","Absent",IF(Tableau2[[#This Row],[Moyennes]]&lt;5,"Redouble",IF(Tableau2[[#This Row],[Moyennes]]&gt;=5,"Admis"," ")))</f>
        <v>Redouble</v>
      </c>
      <c r="I253" s="302"/>
      <c r="J253" s="300" t="s">
        <v>660</v>
      </c>
      <c r="K253" s="64" t="s">
        <v>221</v>
      </c>
      <c r="L253" s="64">
        <f>IF(AND(Tableau2[[#This Row],[CLASSE]]="CPU",Tableau2[[#This Row],[STATUT ]]="Admis"),1,0)</f>
        <v>0</v>
      </c>
      <c r="M253" s="64">
        <f>IF(AND(Tableau2[[#This Row],[CLASSE]]="CEU",Tableau2[[#This Row],[STATUT ]]="Admis"),1,0)</f>
        <v>0</v>
      </c>
      <c r="N253" s="64"/>
      <c r="O253" s="296"/>
      <c r="P2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54" spans="1:16" s="395" customFormat="1" ht="21" x14ac:dyDescent="0.35">
      <c r="A254" s="310">
        <v>253</v>
      </c>
      <c r="B254" s="64" t="s">
        <v>3398</v>
      </c>
      <c r="C254" s="64" t="s">
        <v>2</v>
      </c>
      <c r="D254" s="391">
        <v>10</v>
      </c>
      <c r="E254" s="299">
        <v>3.75</v>
      </c>
      <c r="F254" s="306" t="s">
        <v>2009</v>
      </c>
      <c r="G254" s="64" t="s">
        <v>2025</v>
      </c>
      <c r="H254" s="402" t="str">
        <f>IF(Tableau2[[#This Row],[Moyennes]]="Absent","Absent",IF(Tableau2[[#This Row],[Moyennes]]&lt;5,"Redouble",IF(Tableau2[[#This Row],[Moyennes]]&gt;=5,"Admis"," ")))</f>
        <v>Redouble</v>
      </c>
      <c r="I254" s="302"/>
      <c r="J254" s="300" t="s">
        <v>660</v>
      </c>
      <c r="K254" s="334" t="s">
        <v>221</v>
      </c>
      <c r="L254" s="64">
        <f>IF(AND(Tableau2[[#This Row],[CLASSE]]="CPU",Tableau2[[#This Row],[STATUT ]]="Admis"),1,0)</f>
        <v>0</v>
      </c>
      <c r="M254" s="64">
        <f>IF(AND(Tableau2[[#This Row],[CLASSE]]="CEU",Tableau2[[#This Row],[STATUT ]]="Admis"),1,0)</f>
        <v>0</v>
      </c>
      <c r="N254" s="64"/>
      <c r="O254" s="296"/>
      <c r="P2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255" spans="1:16" s="395" customFormat="1" ht="21" x14ac:dyDescent="0.35">
      <c r="A255" s="310">
        <v>254</v>
      </c>
      <c r="B255" s="64" t="s">
        <v>3334</v>
      </c>
      <c r="C255" s="64" t="s">
        <v>2</v>
      </c>
      <c r="D255" s="391">
        <v>9</v>
      </c>
      <c r="E255" s="299" t="s">
        <v>2165</v>
      </c>
      <c r="F255" s="306" t="s">
        <v>2009</v>
      </c>
      <c r="G255" s="64" t="s">
        <v>2165</v>
      </c>
      <c r="H255" s="300" t="str">
        <f>IF(Tableau2[[#This Row],[Moyennes]]="Absent","Absent",IF(Tableau2[[#This Row],[Moyennes]]&lt;5,"Redouble",IF(Tableau2[[#This Row],[Moyennes]]&gt;=5,"Admis"," ")))</f>
        <v>Absent</v>
      </c>
      <c r="I255" s="302"/>
      <c r="J255" s="300" t="s">
        <v>660</v>
      </c>
      <c r="K255" s="64" t="s">
        <v>221</v>
      </c>
      <c r="L255" s="64">
        <f>IF(AND(Tableau2[[#This Row],[CLASSE]]="CPU",Tableau2[[#This Row],[STATUT ]]="Admis"),1,0)</f>
        <v>0</v>
      </c>
      <c r="M255" s="64">
        <f>IF(AND(Tableau2[[#This Row],[CLASSE]]="CEU",Tableau2[[#This Row],[STATUT ]]="Admis"),1,0)</f>
        <v>0</v>
      </c>
      <c r="N255" s="64"/>
      <c r="O255" s="296"/>
      <c r="P2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256" spans="1:16" s="395" customFormat="1" ht="21" x14ac:dyDescent="0.35">
      <c r="A256" s="310">
        <v>255</v>
      </c>
      <c r="B256" s="64" t="s">
        <v>3337</v>
      </c>
      <c r="C256" s="64" t="s">
        <v>1</v>
      </c>
      <c r="D256" s="391">
        <v>9</v>
      </c>
      <c r="E256" s="299" t="s">
        <v>2165</v>
      </c>
      <c r="F256" s="306" t="s">
        <v>2009</v>
      </c>
      <c r="G256" s="64" t="s">
        <v>2165</v>
      </c>
      <c r="H256" s="300" t="str">
        <f>IF(Tableau2[[#This Row],[Moyennes]]="Absent","Absent",IF(Tableau2[[#This Row],[Moyennes]]&lt;5,"Redouble",IF(Tableau2[[#This Row],[Moyennes]]&gt;=5,"Admis"," ")))</f>
        <v>Absent</v>
      </c>
      <c r="I256" s="302"/>
      <c r="J256" s="300" t="s">
        <v>660</v>
      </c>
      <c r="K256" s="334" t="s">
        <v>221</v>
      </c>
      <c r="L256" s="64">
        <f>IF(AND(Tableau2[[#This Row],[CLASSE]]="CPU",Tableau2[[#This Row],[STATUT ]]="Admis"),1,0)</f>
        <v>0</v>
      </c>
      <c r="M256" s="64">
        <f>IF(AND(Tableau2[[#This Row],[CLASSE]]="CEU",Tableau2[[#This Row],[STATUT ]]="Admis"),1,0)</f>
        <v>0</v>
      </c>
      <c r="N256" s="64"/>
      <c r="O256" s="296"/>
      <c r="P2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257" spans="1:16" ht="21.5" thickBot="1" x14ac:dyDescent="0.4">
      <c r="A257" s="310">
        <v>256</v>
      </c>
      <c r="B257" s="64" t="s">
        <v>2255</v>
      </c>
      <c r="C257" s="64" t="s">
        <v>1</v>
      </c>
      <c r="D257" s="391">
        <v>11</v>
      </c>
      <c r="E257" s="299">
        <v>9.3000000000000007</v>
      </c>
      <c r="F257" s="306" t="s">
        <v>2244</v>
      </c>
      <c r="G257" s="64" t="s">
        <v>2035</v>
      </c>
      <c r="H257" s="402" t="str">
        <f>IF(Tableau2[[#This Row],[Moyennes]]="Absent","Absent",IF(Tableau2[[#This Row],[Moyennes]]&lt;5,"Redouble",IF(Tableau2[[#This Row],[Moyennes]]&gt;=5,"Admis"," ")))</f>
        <v>Admis</v>
      </c>
      <c r="I257" s="302"/>
      <c r="J257" s="300" t="s">
        <v>660</v>
      </c>
      <c r="K257" s="64" t="s">
        <v>563</v>
      </c>
      <c r="L257" s="64">
        <f>IF(AND(Tableau2[[#This Row],[CLASSE]]="CPU",Tableau2[[#This Row],[STATUT ]]="Admis"),1,0)</f>
        <v>0</v>
      </c>
      <c r="M257" s="64">
        <f>IF(AND(Tableau2[[#This Row],[CLASSE]]="CEU",Tableau2[[#This Row],[STATUT ]]="Admis"),1,0)</f>
        <v>1</v>
      </c>
      <c r="N257" s="64"/>
      <c r="O257" s="296"/>
      <c r="P2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58" spans="1:16" ht="21" x14ac:dyDescent="0.35">
      <c r="A258" s="310">
        <v>257</v>
      </c>
      <c r="B258" s="64" t="s">
        <v>2245</v>
      </c>
      <c r="C258" s="64" t="s">
        <v>2</v>
      </c>
      <c r="D258" s="388">
        <v>13</v>
      </c>
      <c r="E258" s="299">
        <v>8.9</v>
      </c>
      <c r="F258" s="306" t="s">
        <v>2244</v>
      </c>
      <c r="G258" s="64" t="s">
        <v>2010</v>
      </c>
      <c r="H258" s="402" t="str">
        <f>IF(Tableau2[[#This Row],[Moyennes]]="Absent","Absent",IF(Tableau2[[#This Row],[Moyennes]]&lt;5,"Redouble",IF(Tableau2[[#This Row],[Moyennes]]&gt;=5,"Admis"," ")))</f>
        <v>Admis</v>
      </c>
      <c r="I258" s="302"/>
      <c r="J258" s="300" t="s">
        <v>660</v>
      </c>
      <c r="K258" s="334" t="s">
        <v>563</v>
      </c>
      <c r="L258" s="64">
        <f>IF(AND(Tableau2[[#This Row],[CLASSE]]="CPU",Tableau2[[#This Row],[STATUT ]]="Admis"),1,0)</f>
        <v>0</v>
      </c>
      <c r="M258" s="64">
        <f>IF(AND(Tableau2[[#This Row],[CLASSE]]="CEU",Tableau2[[#This Row],[STATUT ]]="Admis"),1,0)</f>
        <v>1</v>
      </c>
      <c r="N258" s="64"/>
      <c r="O258" s="296"/>
      <c r="P2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59" spans="1:16" ht="21" x14ac:dyDescent="0.35">
      <c r="A259" s="310">
        <v>258</v>
      </c>
      <c r="B259" s="64" t="s">
        <v>2253</v>
      </c>
      <c r="C259" s="64" t="s">
        <v>1</v>
      </c>
      <c r="D259" s="389">
        <v>11</v>
      </c>
      <c r="E259" s="299">
        <v>8.35</v>
      </c>
      <c r="F259" s="306" t="s">
        <v>2244</v>
      </c>
      <c r="G259" s="64" t="s">
        <v>815</v>
      </c>
      <c r="H259" s="402" t="str">
        <f>IF(Tableau2[[#This Row],[Moyennes]]="Absent","Absent",IF(Tableau2[[#This Row],[Moyennes]]&lt;5,"Redouble",IF(Tableau2[[#This Row],[Moyennes]]&gt;=5,"Admis"," ")))</f>
        <v>Admis</v>
      </c>
      <c r="I259" s="302"/>
      <c r="J259" s="300" t="s">
        <v>660</v>
      </c>
      <c r="K259" s="64" t="s">
        <v>563</v>
      </c>
      <c r="L259" s="64">
        <f>IF(AND(Tableau2[[#This Row],[CLASSE]]="CPU",Tableau2[[#This Row],[STATUT ]]="Admis"),1,0)</f>
        <v>0</v>
      </c>
      <c r="M259" s="64">
        <f>IF(AND(Tableau2[[#This Row],[CLASSE]]="CEU",Tableau2[[#This Row],[STATUT ]]="Admis"),1,0)</f>
        <v>1</v>
      </c>
      <c r="N259" s="64"/>
      <c r="O259" s="296"/>
      <c r="P2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0" spans="1:16" ht="21" x14ac:dyDescent="0.35">
      <c r="A260" s="310">
        <v>259</v>
      </c>
      <c r="B260" s="64" t="s">
        <v>2254</v>
      </c>
      <c r="C260" s="64" t="s">
        <v>1</v>
      </c>
      <c r="D260" s="389">
        <v>11</v>
      </c>
      <c r="E260" s="299">
        <v>7.65</v>
      </c>
      <c r="F260" s="306" t="s">
        <v>2244</v>
      </c>
      <c r="G260" s="64" t="s">
        <v>2012</v>
      </c>
      <c r="H260" s="402" t="str">
        <f>IF(Tableau2[[#This Row],[Moyennes]]="Absent","Absent",IF(Tableau2[[#This Row],[Moyennes]]&lt;5,"Redouble",IF(Tableau2[[#This Row],[Moyennes]]&gt;=5,"Admis"," ")))</f>
        <v>Admis</v>
      </c>
      <c r="I260" s="302"/>
      <c r="J260" s="300" t="s">
        <v>660</v>
      </c>
      <c r="K260" s="334" t="s">
        <v>563</v>
      </c>
      <c r="L260" s="64">
        <f>IF(AND(Tableau2[[#This Row],[CLASSE]]="CPU",Tableau2[[#This Row],[STATUT ]]="Admis"),1,0)</f>
        <v>0</v>
      </c>
      <c r="M260" s="64">
        <f>IF(AND(Tableau2[[#This Row],[CLASSE]]="CEU",Tableau2[[#This Row],[STATUT ]]="Admis"),1,0)</f>
        <v>1</v>
      </c>
      <c r="N260" s="64"/>
      <c r="O260" s="296"/>
      <c r="P2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1" spans="1:16" ht="21" x14ac:dyDescent="0.35">
      <c r="A261" s="310">
        <v>260</v>
      </c>
      <c r="B261" s="64" t="s">
        <v>2250</v>
      </c>
      <c r="C261" s="64" t="s">
        <v>1</v>
      </c>
      <c r="D261" s="389">
        <v>10</v>
      </c>
      <c r="E261" s="299">
        <v>7.45</v>
      </c>
      <c r="F261" s="306" t="s">
        <v>2244</v>
      </c>
      <c r="G261" s="64" t="s">
        <v>2018</v>
      </c>
      <c r="H261" s="402" t="str">
        <f>IF(Tableau2[[#This Row],[Moyennes]]="Absent","Absent",IF(Tableau2[[#This Row],[Moyennes]]&lt;5,"Redouble",IF(Tableau2[[#This Row],[Moyennes]]&gt;=5,"Admis"," ")))</f>
        <v>Admis</v>
      </c>
      <c r="I261" s="302"/>
      <c r="J261" s="300" t="s">
        <v>660</v>
      </c>
      <c r="K261" s="64" t="s">
        <v>563</v>
      </c>
      <c r="L261" s="64">
        <f>IF(AND(Tableau2[[#This Row],[CLASSE]]="CPU",Tableau2[[#This Row],[STATUT ]]="Admis"),1,0)</f>
        <v>0</v>
      </c>
      <c r="M261" s="64">
        <f>IF(AND(Tableau2[[#This Row],[CLASSE]]="CEU",Tableau2[[#This Row],[STATUT ]]="Admis"),1,0)</f>
        <v>1</v>
      </c>
      <c r="N261" s="64"/>
      <c r="O261" s="296"/>
      <c r="P2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2" spans="1:16" ht="21" x14ac:dyDescent="0.35">
      <c r="A262" s="310">
        <v>261</v>
      </c>
      <c r="B262" s="64" t="s">
        <v>2257</v>
      </c>
      <c r="C262" s="64" t="s">
        <v>1</v>
      </c>
      <c r="D262" s="389">
        <v>10</v>
      </c>
      <c r="E262" s="299">
        <v>7.15</v>
      </c>
      <c r="F262" s="306" t="s">
        <v>2244</v>
      </c>
      <c r="G262" s="64" t="s">
        <v>2044</v>
      </c>
      <c r="H262" s="402" t="str">
        <f>IF(Tableau2[[#This Row],[Moyennes]]="Absent","Absent",IF(Tableau2[[#This Row],[Moyennes]]&lt;5,"Redouble",IF(Tableau2[[#This Row],[Moyennes]]&gt;=5,"Admis"," ")))</f>
        <v>Admis</v>
      </c>
      <c r="I262" s="302"/>
      <c r="J262" s="300" t="s">
        <v>660</v>
      </c>
      <c r="K262" s="334" t="s">
        <v>563</v>
      </c>
      <c r="L262" s="64">
        <f>IF(AND(Tableau2[[#This Row],[CLASSE]]="CPU",Tableau2[[#This Row],[STATUT ]]="Admis"),1,0)</f>
        <v>0</v>
      </c>
      <c r="M262" s="64">
        <f>IF(AND(Tableau2[[#This Row],[CLASSE]]="CEU",Tableau2[[#This Row],[STATUT ]]="Admis"),1,0)</f>
        <v>1</v>
      </c>
      <c r="N262" s="64"/>
      <c r="O262" s="296"/>
      <c r="P2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3" spans="1:16" ht="21" x14ac:dyDescent="0.35">
      <c r="A263" s="310">
        <v>262</v>
      </c>
      <c r="B263" s="64" t="s">
        <v>3420</v>
      </c>
      <c r="C263" s="64" t="s">
        <v>2</v>
      </c>
      <c r="D263" s="389">
        <v>9</v>
      </c>
      <c r="E263" s="299">
        <v>7.05</v>
      </c>
      <c r="F263" s="306" t="s">
        <v>2244</v>
      </c>
      <c r="G263" s="300" t="s">
        <v>2048</v>
      </c>
      <c r="H263" s="402" t="str">
        <f>IF(Tableau2[[#This Row],[Moyennes]]="Absent","Absent",IF(Tableau2[[#This Row],[Moyennes]]&lt;5,"Redouble",IF(Tableau2[[#This Row],[Moyennes]]&gt;=5,"Admis"," ")))</f>
        <v>Admis</v>
      </c>
      <c r="I263" s="302"/>
      <c r="J263" s="300" t="s">
        <v>660</v>
      </c>
      <c r="K263" s="64" t="s">
        <v>563</v>
      </c>
      <c r="L263" s="64">
        <f>IF(AND(Tableau2[[#This Row],[CLASSE]]="CPU",Tableau2[[#This Row],[STATUT ]]="Admis"),1,0)</f>
        <v>0</v>
      </c>
      <c r="M263" s="64">
        <f>IF(AND(Tableau2[[#This Row],[CLASSE]]="CEU",Tableau2[[#This Row],[STATUT ]]="Admis"),1,0)</f>
        <v>1</v>
      </c>
      <c r="N263" s="64"/>
      <c r="O263" s="296"/>
      <c r="P2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4" spans="1:16" ht="21" x14ac:dyDescent="0.35">
      <c r="A264" s="310">
        <v>263</v>
      </c>
      <c r="B264" s="64" t="s">
        <v>2247</v>
      </c>
      <c r="C264" s="64" t="s">
        <v>1</v>
      </c>
      <c r="D264" s="389">
        <v>10</v>
      </c>
      <c r="E264" s="299">
        <v>6.9</v>
      </c>
      <c r="F264" s="306" t="s">
        <v>2244</v>
      </c>
      <c r="G264" s="300" t="s">
        <v>2027</v>
      </c>
      <c r="H264" s="402" t="str">
        <f>IF(Tableau2[[#This Row],[Moyennes]]="Absent","Absent",IF(Tableau2[[#This Row],[Moyennes]]&lt;5,"Redouble",IF(Tableau2[[#This Row],[Moyennes]]&gt;=5,"Admis"," ")))</f>
        <v>Admis</v>
      </c>
      <c r="I264" s="302"/>
      <c r="J264" s="300" t="s">
        <v>660</v>
      </c>
      <c r="K264" s="334" t="s">
        <v>563</v>
      </c>
      <c r="L264" s="64">
        <f>IF(AND(Tableau2[[#This Row],[CLASSE]]="CPU",Tableau2[[#This Row],[STATUT ]]="Admis"),1,0)</f>
        <v>0</v>
      </c>
      <c r="M264" s="64">
        <f>IF(AND(Tableau2[[#This Row],[CLASSE]]="CEU",Tableau2[[#This Row],[STATUT ]]="Admis"),1,0)</f>
        <v>1</v>
      </c>
      <c r="N264" s="64"/>
      <c r="O264" s="296"/>
      <c r="P2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5" spans="1:16" ht="21" x14ac:dyDescent="0.35">
      <c r="A265" s="310">
        <v>264</v>
      </c>
      <c r="B265" s="64" t="s">
        <v>2249</v>
      </c>
      <c r="C265" s="64" t="s">
        <v>2</v>
      </c>
      <c r="D265" s="389">
        <v>10</v>
      </c>
      <c r="E265" s="299">
        <v>6.35</v>
      </c>
      <c r="F265" s="306" t="s">
        <v>2244</v>
      </c>
      <c r="G265" s="300" t="s">
        <v>2089</v>
      </c>
      <c r="H265" s="402" t="str">
        <f>IF(Tableau2[[#This Row],[Moyennes]]="Absent","Absent",IF(Tableau2[[#This Row],[Moyennes]]&lt;5,"Redouble",IF(Tableau2[[#This Row],[Moyennes]]&gt;=5,"Admis"," ")))</f>
        <v>Admis</v>
      </c>
      <c r="I265" s="302"/>
      <c r="J265" s="300" t="s">
        <v>660</v>
      </c>
      <c r="K265" s="64" t="s">
        <v>563</v>
      </c>
      <c r="L265" s="64">
        <f>IF(AND(Tableau2[[#This Row],[CLASSE]]="CPU",Tableau2[[#This Row],[STATUT ]]="Admis"),1,0)</f>
        <v>0</v>
      </c>
      <c r="M265" s="64">
        <f>IF(AND(Tableau2[[#This Row],[CLASSE]]="CEU",Tableau2[[#This Row],[STATUT ]]="Admis"),1,0)</f>
        <v>1</v>
      </c>
      <c r="N265" s="64"/>
      <c r="O265" s="296"/>
      <c r="P2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6" spans="1:16" ht="21" x14ac:dyDescent="0.35">
      <c r="A266" s="310">
        <v>265</v>
      </c>
      <c r="B266" s="64" t="s">
        <v>2256</v>
      </c>
      <c r="C266" s="64" t="s">
        <v>1</v>
      </c>
      <c r="D266" s="389">
        <v>11</v>
      </c>
      <c r="E266" s="299">
        <v>5.45</v>
      </c>
      <c r="F266" s="306" t="s">
        <v>2244</v>
      </c>
      <c r="G266" s="300" t="s">
        <v>2021</v>
      </c>
      <c r="H266" s="402" t="str">
        <f>IF(Tableau2[[#This Row],[Moyennes]]="Absent","Absent",IF(Tableau2[[#This Row],[Moyennes]]&lt;5,"Redouble",IF(Tableau2[[#This Row],[Moyennes]]&gt;=5,"Admis"," ")))</f>
        <v>Admis</v>
      </c>
      <c r="I266" s="302"/>
      <c r="J266" s="300" t="s">
        <v>660</v>
      </c>
      <c r="K266" s="334" t="s">
        <v>563</v>
      </c>
      <c r="L266" s="64">
        <f>IF(AND(Tableau2[[#This Row],[CLASSE]]="CPU",Tableau2[[#This Row],[STATUT ]]="Admis"),1,0)</f>
        <v>0</v>
      </c>
      <c r="M266" s="64">
        <f>IF(AND(Tableau2[[#This Row],[CLASSE]]="CEU",Tableau2[[#This Row],[STATUT ]]="Admis"),1,0)</f>
        <v>1</v>
      </c>
      <c r="N266" s="64"/>
      <c r="O266" s="296"/>
      <c r="P2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7" spans="1:16" ht="21" x14ac:dyDescent="0.35">
      <c r="A267" s="310">
        <v>266</v>
      </c>
      <c r="B267" s="64" t="s">
        <v>2248</v>
      </c>
      <c r="C267" s="64" t="s">
        <v>2</v>
      </c>
      <c r="D267" s="389">
        <v>11</v>
      </c>
      <c r="E267" s="299">
        <v>5.3</v>
      </c>
      <c r="F267" s="306" t="s">
        <v>2244</v>
      </c>
      <c r="G267" s="300" t="s">
        <v>2033</v>
      </c>
      <c r="H267" s="402" t="str">
        <f>IF(Tableau2[[#This Row],[Moyennes]]="Absent","Absent",IF(Tableau2[[#This Row],[Moyennes]]&lt;5,"Redouble",IF(Tableau2[[#This Row],[Moyennes]]&gt;=5,"Admis"," ")))</f>
        <v>Admis</v>
      </c>
      <c r="I267" s="302"/>
      <c r="J267" s="300" t="s">
        <v>660</v>
      </c>
      <c r="K267" s="64" t="s">
        <v>563</v>
      </c>
      <c r="L267" s="64">
        <f>IF(AND(Tableau2[[#This Row],[CLASSE]]="CPU",Tableau2[[#This Row],[STATUT ]]="Admis"),1,0)</f>
        <v>0</v>
      </c>
      <c r="M267" s="64">
        <f>IF(AND(Tableau2[[#This Row],[CLASSE]]="CEU",Tableau2[[#This Row],[STATUT ]]="Admis"),1,0)</f>
        <v>1</v>
      </c>
      <c r="N267" s="64"/>
      <c r="O267" s="296"/>
      <c r="P2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8" spans="1:16" ht="21" x14ac:dyDescent="0.35">
      <c r="A268" s="310">
        <v>267</v>
      </c>
      <c r="B268" s="64" t="s">
        <v>2252</v>
      </c>
      <c r="C268" s="64" t="s">
        <v>2</v>
      </c>
      <c r="D268" s="389">
        <v>9</v>
      </c>
      <c r="E268" s="299">
        <v>4.8499999999999996</v>
      </c>
      <c r="F268" s="306" t="s">
        <v>2244</v>
      </c>
      <c r="G268" s="300" t="s">
        <v>2016</v>
      </c>
      <c r="H268" s="402" t="str">
        <f>IF(Tableau2[[#This Row],[Moyennes]]="Absent","Absent",IF(Tableau2[[#This Row],[Moyennes]]&lt;5,"Redouble",IF(Tableau2[[#This Row],[Moyennes]]&gt;=5,"Admis"," ")))</f>
        <v>Redouble</v>
      </c>
      <c r="I268" s="302"/>
      <c r="J268" s="300" t="s">
        <v>660</v>
      </c>
      <c r="K268" s="334" t="s">
        <v>563</v>
      </c>
      <c r="L268" s="64">
        <f>IF(AND(Tableau2[[#This Row],[CLASSE]]="CPU",Tableau2[[#This Row],[STATUT ]]="Admis"),1,0)</f>
        <v>0</v>
      </c>
      <c r="M268" s="64">
        <f>IF(AND(Tableau2[[#This Row],[CLASSE]]="CEU",Tableau2[[#This Row],[STATUT ]]="Admis"),1,0)</f>
        <v>0</v>
      </c>
      <c r="N268" s="64"/>
      <c r="O268" s="296"/>
      <c r="P2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69" spans="1:16" ht="17" x14ac:dyDescent="0.35">
      <c r="A269" s="310">
        <v>268</v>
      </c>
      <c r="B269" s="64" t="s">
        <v>2251</v>
      </c>
      <c r="C269" s="64" t="s">
        <v>1</v>
      </c>
      <c r="D269" s="389">
        <v>10</v>
      </c>
      <c r="E269" s="299">
        <v>4.75</v>
      </c>
      <c r="F269" s="306" t="s">
        <v>2244</v>
      </c>
      <c r="G269" s="64" t="s">
        <v>2062</v>
      </c>
      <c r="H269" s="402" t="str">
        <f>IF(Tableau2[[#This Row],[Moyennes]]="Absent","Absent",IF(Tableau2[[#This Row],[Moyennes]]&lt;5,"Redouble",IF(Tableau2[[#This Row],[Moyennes]]&gt;=5,"Admis"," ")))</f>
        <v>Redouble</v>
      </c>
      <c r="I269" s="64"/>
      <c r="J269" s="300" t="s">
        <v>660</v>
      </c>
      <c r="K269" s="64" t="s">
        <v>563</v>
      </c>
      <c r="L269" s="64">
        <f>IF(AND(Tableau2[[#This Row],[CLASSE]]="CPU",Tableau2[[#This Row],[STATUT ]]="Admis"),1,0)</f>
        <v>0</v>
      </c>
      <c r="M269" s="64">
        <f>IF(AND(Tableau2[[#This Row],[CLASSE]]="CEU",Tableau2[[#This Row],[STATUT ]]="Admis"),1,0)</f>
        <v>0</v>
      </c>
      <c r="N269" s="64"/>
      <c r="O269" s="296"/>
      <c r="P2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0" spans="1:16" ht="17" x14ac:dyDescent="0.35">
      <c r="A270" s="310">
        <v>269</v>
      </c>
      <c r="B270" s="64" t="s">
        <v>2260</v>
      </c>
      <c r="C270" s="64" t="s">
        <v>1</v>
      </c>
      <c r="D270" s="389">
        <v>10</v>
      </c>
      <c r="E270" s="299">
        <v>4.3499999999999996</v>
      </c>
      <c r="F270" s="306" t="s">
        <v>2244</v>
      </c>
      <c r="G270" s="64" t="s">
        <v>2023</v>
      </c>
      <c r="H270" s="402" t="str">
        <f>IF(Tableau2[[#This Row],[Moyennes]]="Absent","Absent",IF(Tableau2[[#This Row],[Moyennes]]&lt;5,"Redouble",IF(Tableau2[[#This Row],[Moyennes]]&gt;=5,"Admis"," ")))</f>
        <v>Redouble</v>
      </c>
      <c r="I270" s="64"/>
      <c r="J270" s="300" t="s">
        <v>660</v>
      </c>
      <c r="K270" s="334" t="s">
        <v>563</v>
      </c>
      <c r="L270" s="64">
        <f>IF(AND(Tableau2[[#This Row],[CLASSE]]="CPU",Tableau2[[#This Row],[STATUT ]]="Admis"),1,0)</f>
        <v>0</v>
      </c>
      <c r="M270" s="64">
        <f>IF(AND(Tableau2[[#This Row],[CLASSE]]="CEU",Tableau2[[#This Row],[STATUT ]]="Admis"),1,0)</f>
        <v>0</v>
      </c>
      <c r="N270" s="64"/>
      <c r="O270" s="296"/>
      <c r="P2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1" spans="1:16" ht="17" x14ac:dyDescent="0.35">
      <c r="A271" s="310">
        <v>270</v>
      </c>
      <c r="B271" s="64" t="s">
        <v>2259</v>
      </c>
      <c r="C271" s="64" t="s">
        <v>2</v>
      </c>
      <c r="D271" s="389">
        <v>9</v>
      </c>
      <c r="E271" s="299">
        <v>4.2</v>
      </c>
      <c r="F271" s="306" t="s">
        <v>2244</v>
      </c>
      <c r="G271" s="64" t="s">
        <v>2042</v>
      </c>
      <c r="H271" s="402" t="str">
        <f>IF(Tableau2[[#This Row],[Moyennes]]="Absent","Absent",IF(Tableau2[[#This Row],[Moyennes]]&lt;5,"Redouble",IF(Tableau2[[#This Row],[Moyennes]]&gt;=5,"Admis"," ")))</f>
        <v>Redouble</v>
      </c>
      <c r="I271" s="64"/>
      <c r="J271" s="300" t="s">
        <v>660</v>
      </c>
      <c r="K271" s="64" t="s">
        <v>563</v>
      </c>
      <c r="L271" s="64">
        <f>IF(AND(Tableau2[[#This Row],[CLASSE]]="CPU",Tableau2[[#This Row],[STATUT ]]="Admis"),1,0)</f>
        <v>0</v>
      </c>
      <c r="M271" s="64">
        <f>IF(AND(Tableau2[[#This Row],[CLASSE]]="CEU",Tableau2[[#This Row],[STATUT ]]="Admis"),1,0)</f>
        <v>0</v>
      </c>
      <c r="N271" s="64"/>
      <c r="O271" s="296"/>
      <c r="P2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2" spans="1:16" ht="17" x14ac:dyDescent="0.35">
      <c r="A272" s="310">
        <v>271</v>
      </c>
      <c r="B272" s="64" t="s">
        <v>2258</v>
      </c>
      <c r="C272" s="64" t="s">
        <v>2</v>
      </c>
      <c r="D272" s="389">
        <v>9</v>
      </c>
      <c r="E272" s="299">
        <v>2.7</v>
      </c>
      <c r="F272" s="306" t="s">
        <v>2244</v>
      </c>
      <c r="G272" s="64" t="s">
        <v>2025</v>
      </c>
      <c r="H272" s="402" t="str">
        <f>IF(Tableau2[[#This Row],[Moyennes]]="Absent","Absent",IF(Tableau2[[#This Row],[Moyennes]]&lt;5,"Redouble",IF(Tableau2[[#This Row],[Moyennes]]&gt;=5,"Admis"," ")))</f>
        <v>Redouble</v>
      </c>
      <c r="I272" s="64"/>
      <c r="J272" s="300" t="s">
        <v>660</v>
      </c>
      <c r="K272" s="334" t="s">
        <v>563</v>
      </c>
      <c r="L272" s="64">
        <f>IF(AND(Tableau2[[#This Row],[CLASSE]]="CPU",Tableau2[[#This Row],[STATUT ]]="Admis"),1,0)</f>
        <v>0</v>
      </c>
      <c r="M272" s="64">
        <f>IF(AND(Tableau2[[#This Row],[CLASSE]]="CEU",Tableau2[[#This Row],[STATUT ]]="Admis"),1,0)</f>
        <v>0</v>
      </c>
      <c r="N272" s="64"/>
      <c r="O272" s="296"/>
      <c r="P2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3" spans="1:16" ht="17" x14ac:dyDescent="0.35">
      <c r="A273" s="310">
        <v>272</v>
      </c>
      <c r="B273" s="64" t="s">
        <v>2243</v>
      </c>
      <c r="C273" s="64" t="s">
        <v>1</v>
      </c>
      <c r="D273" s="389">
        <v>9</v>
      </c>
      <c r="E273" s="299" t="s">
        <v>2165</v>
      </c>
      <c r="F273" s="306" t="s">
        <v>2244</v>
      </c>
      <c r="G273" s="64" t="s">
        <v>2165</v>
      </c>
      <c r="H273" s="300" t="str">
        <f>IF(Tableau2[[#This Row],[Moyennes]]="Absent","Absent",IF(Tableau2[[#This Row],[Moyennes]]&lt;5,"Redouble",IF(Tableau2[[#This Row],[Moyennes]]&gt;=5,"Admis"," ")))</f>
        <v>Absent</v>
      </c>
      <c r="I273" s="64"/>
      <c r="J273" s="300" t="s">
        <v>660</v>
      </c>
      <c r="K273" s="64" t="s">
        <v>563</v>
      </c>
      <c r="L273" s="64">
        <f>IF(AND(Tableau2[[#This Row],[CLASSE]]="CPU",Tableau2[[#This Row],[STATUT ]]="Admis"),1,0)</f>
        <v>0</v>
      </c>
      <c r="M273" s="64">
        <f>IF(AND(Tableau2[[#This Row],[CLASSE]]="CEU",Tableau2[[#This Row],[STATUT ]]="Admis"),1,0)</f>
        <v>0</v>
      </c>
      <c r="N273" s="64"/>
      <c r="O273" s="296"/>
      <c r="P2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4" spans="1:16" ht="21" x14ac:dyDescent="0.35">
      <c r="A274" s="310">
        <v>273</v>
      </c>
      <c r="B274" s="64" t="s">
        <v>2246</v>
      </c>
      <c r="C274" s="64" t="s">
        <v>2</v>
      </c>
      <c r="D274" s="389">
        <v>10</v>
      </c>
      <c r="E274" s="299" t="s">
        <v>2165</v>
      </c>
      <c r="F274" s="306" t="s">
        <v>2244</v>
      </c>
      <c r="G274" s="64" t="s">
        <v>2165</v>
      </c>
      <c r="H274" s="300" t="str">
        <f>IF(Tableau2[[#This Row],[Moyennes]]="Absent","Absent",IF(Tableau2[[#This Row],[Moyennes]]&lt;5,"Redouble",IF(Tableau2[[#This Row],[Moyennes]]&gt;=5,"Admis"," ")))</f>
        <v>Absent</v>
      </c>
      <c r="I274" s="302"/>
      <c r="J274" s="300" t="s">
        <v>660</v>
      </c>
      <c r="K274" s="334" t="s">
        <v>563</v>
      </c>
      <c r="L274" s="64">
        <f>IF(AND(Tableau2[[#This Row],[CLASSE]]="CPU",Tableau2[[#This Row],[STATUT ]]="Admis"),1,0)</f>
        <v>0</v>
      </c>
      <c r="M274" s="64">
        <f>IF(AND(Tableau2[[#This Row],[CLASSE]]="CEU",Tableau2[[#This Row],[STATUT ]]="Admis"),1,0)</f>
        <v>0</v>
      </c>
      <c r="N274" s="64"/>
      <c r="O274" s="296"/>
      <c r="P2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5" spans="1:16" ht="21" x14ac:dyDescent="0.35">
      <c r="A275" s="310">
        <v>274</v>
      </c>
      <c r="B275" s="64" t="s">
        <v>2270</v>
      </c>
      <c r="C275" s="64" t="s">
        <v>1</v>
      </c>
      <c r="D275" s="389">
        <v>10</v>
      </c>
      <c r="E275" s="299">
        <v>7.4</v>
      </c>
      <c r="F275" s="306" t="s">
        <v>2244</v>
      </c>
      <c r="G275" s="64" t="s">
        <v>2035</v>
      </c>
      <c r="H275" s="402" t="str">
        <f>IF(Tableau2[[#This Row],[Moyennes]]="Absent","Absent",IF(Tableau2[[#This Row],[Moyennes]]&lt;5,"Redouble",IF(Tableau2[[#This Row],[Moyennes]]&gt;=5,"Admis"," ")))</f>
        <v>Admis</v>
      </c>
      <c r="I275" s="302"/>
      <c r="J275" s="300" t="s">
        <v>660</v>
      </c>
      <c r="K275" s="64" t="s">
        <v>355</v>
      </c>
      <c r="L275" s="64">
        <f>IF(AND(Tableau2[[#This Row],[CLASSE]]="CPU",Tableau2[[#This Row],[STATUT ]]="Admis"),1,0)</f>
        <v>0</v>
      </c>
      <c r="M275" s="64">
        <f>IF(AND(Tableau2[[#This Row],[CLASSE]]="CEU",Tableau2[[#This Row],[STATUT ]]="Admis"),1,0)</f>
        <v>1</v>
      </c>
      <c r="N275" s="64"/>
      <c r="O275" s="296"/>
      <c r="P2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6" spans="1:16" ht="21" x14ac:dyDescent="0.35">
      <c r="A276" s="310">
        <v>275</v>
      </c>
      <c r="B276" s="64" t="s">
        <v>2266</v>
      </c>
      <c r="C276" s="64" t="s">
        <v>1</v>
      </c>
      <c r="D276" s="295">
        <v>14</v>
      </c>
      <c r="E276" s="299">
        <v>7.3</v>
      </c>
      <c r="F276" s="306" t="s">
        <v>2244</v>
      </c>
      <c r="G276" s="64" t="s">
        <v>2010</v>
      </c>
      <c r="H276" s="402" t="str">
        <f>IF(Tableau2[[#This Row],[Moyennes]]="Absent","Absent",IF(Tableau2[[#This Row],[Moyennes]]&lt;5,"Redouble",IF(Tableau2[[#This Row],[Moyennes]]&gt;=5,"Admis"," ")))</f>
        <v>Admis</v>
      </c>
      <c r="I276" s="302"/>
      <c r="J276" s="300" t="s">
        <v>660</v>
      </c>
      <c r="K276" s="334" t="s">
        <v>355</v>
      </c>
      <c r="L276" s="64">
        <f>IF(AND(Tableau2[[#This Row],[CLASSE]]="CPU",Tableau2[[#This Row],[STATUT ]]="Admis"),1,0)</f>
        <v>0</v>
      </c>
      <c r="M276" s="64">
        <f>IF(AND(Tableau2[[#This Row],[CLASSE]]="CEU",Tableau2[[#This Row],[STATUT ]]="Admis"),1,0)</f>
        <v>1</v>
      </c>
      <c r="N276" s="64"/>
      <c r="O276" s="296"/>
      <c r="P2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7" spans="1:16" ht="21" x14ac:dyDescent="0.35">
      <c r="A277" s="310">
        <v>276</v>
      </c>
      <c r="B277" s="64" t="s">
        <v>2267</v>
      </c>
      <c r="C277" s="64" t="s">
        <v>1</v>
      </c>
      <c r="D277" s="295">
        <v>12</v>
      </c>
      <c r="E277" s="299">
        <v>7.25</v>
      </c>
      <c r="F277" s="306" t="s">
        <v>2244</v>
      </c>
      <c r="G277" s="64" t="s">
        <v>815</v>
      </c>
      <c r="H277" s="402" t="str">
        <f>IF(Tableau2[[#This Row],[Moyennes]]="Absent","Absent",IF(Tableau2[[#This Row],[Moyennes]]&lt;5,"Redouble",IF(Tableau2[[#This Row],[Moyennes]]&gt;=5,"Admis"," ")))</f>
        <v>Admis</v>
      </c>
      <c r="I277" s="302"/>
      <c r="J277" s="300" t="s">
        <v>660</v>
      </c>
      <c r="K277" s="64" t="s">
        <v>355</v>
      </c>
      <c r="L277" s="64">
        <f>IF(AND(Tableau2[[#This Row],[CLASSE]]="CPU",Tableau2[[#This Row],[STATUT ]]="Admis"),1,0)</f>
        <v>0</v>
      </c>
      <c r="M277" s="64">
        <f>IF(AND(Tableau2[[#This Row],[CLASSE]]="CEU",Tableau2[[#This Row],[STATUT ]]="Admis"),1,0)</f>
        <v>1</v>
      </c>
      <c r="N277" s="64"/>
      <c r="O277" s="296"/>
      <c r="P2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8" spans="1:16" ht="21" x14ac:dyDescent="0.35">
      <c r="A278" s="310">
        <v>277</v>
      </c>
      <c r="B278" s="64" t="s">
        <v>2271</v>
      </c>
      <c r="C278" s="64" t="s">
        <v>2</v>
      </c>
      <c r="D278" s="295">
        <v>9</v>
      </c>
      <c r="E278" s="299">
        <v>7.2</v>
      </c>
      <c r="F278" s="306" t="s">
        <v>2244</v>
      </c>
      <c r="G278" s="300" t="s">
        <v>2012</v>
      </c>
      <c r="H278" s="402" t="str">
        <f>IF(Tableau2[[#This Row],[Moyennes]]="Absent","Absent",IF(Tableau2[[#This Row],[Moyennes]]&lt;5,"Redouble",IF(Tableau2[[#This Row],[Moyennes]]&gt;=5,"Admis"," ")))</f>
        <v>Admis</v>
      </c>
      <c r="I278" s="302"/>
      <c r="J278" s="300" t="s">
        <v>660</v>
      </c>
      <c r="K278" s="334" t="s">
        <v>355</v>
      </c>
      <c r="L278" s="64">
        <f>IF(AND(Tableau2[[#This Row],[CLASSE]]="CPU",Tableau2[[#This Row],[STATUT ]]="Admis"),1,0)</f>
        <v>0</v>
      </c>
      <c r="M278" s="64">
        <f>IF(AND(Tableau2[[#This Row],[CLASSE]]="CEU",Tableau2[[#This Row],[STATUT ]]="Admis"),1,0)</f>
        <v>1</v>
      </c>
      <c r="N278" s="64"/>
      <c r="O278" s="296"/>
      <c r="P2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79" spans="1:16" ht="21" x14ac:dyDescent="0.35">
      <c r="A279" s="310">
        <v>278</v>
      </c>
      <c r="B279" s="64" t="s">
        <v>2265</v>
      </c>
      <c r="C279" s="64" t="s">
        <v>1</v>
      </c>
      <c r="D279" s="295">
        <v>12</v>
      </c>
      <c r="E279" s="299">
        <v>7.15</v>
      </c>
      <c r="F279" s="306" t="s">
        <v>2244</v>
      </c>
      <c r="G279" s="300" t="s">
        <v>2018</v>
      </c>
      <c r="H279" s="402" t="str">
        <f>IF(Tableau2[[#This Row],[Moyennes]]="Absent","Absent",IF(Tableau2[[#This Row],[Moyennes]]&lt;5,"Redouble",IF(Tableau2[[#This Row],[Moyennes]]&gt;=5,"Admis"," ")))</f>
        <v>Admis</v>
      </c>
      <c r="I279" s="302"/>
      <c r="J279" s="300" t="s">
        <v>660</v>
      </c>
      <c r="K279" s="64" t="s">
        <v>355</v>
      </c>
      <c r="L279" s="64">
        <f>IF(AND(Tableau2[[#This Row],[CLASSE]]="CPU",Tableau2[[#This Row],[STATUT ]]="Admis"),1,0)</f>
        <v>0</v>
      </c>
      <c r="M279" s="64">
        <f>IF(AND(Tableau2[[#This Row],[CLASSE]]="CEU",Tableau2[[#This Row],[STATUT ]]="Admis"),1,0)</f>
        <v>1</v>
      </c>
      <c r="N279" s="64"/>
      <c r="O279" s="296"/>
      <c r="P2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0" spans="1:16" ht="21" x14ac:dyDescent="0.35">
      <c r="A280" s="310">
        <v>279</v>
      </c>
      <c r="B280" s="64" t="s">
        <v>2264</v>
      </c>
      <c r="C280" s="64" t="s">
        <v>2</v>
      </c>
      <c r="D280" s="295">
        <v>12</v>
      </c>
      <c r="E280" s="299">
        <v>7.1</v>
      </c>
      <c r="F280" s="306" t="s">
        <v>2244</v>
      </c>
      <c r="G280" s="300" t="s">
        <v>2044</v>
      </c>
      <c r="H280" s="402" t="str">
        <f>IF(Tableau2[[#This Row],[Moyennes]]="Absent","Absent",IF(Tableau2[[#This Row],[Moyennes]]&lt;5,"Redouble",IF(Tableau2[[#This Row],[Moyennes]]&gt;=5,"Admis"," ")))</f>
        <v>Admis</v>
      </c>
      <c r="I280" s="302"/>
      <c r="J280" s="300" t="s">
        <v>660</v>
      </c>
      <c r="K280" s="334" t="s">
        <v>355</v>
      </c>
      <c r="L280" s="64">
        <f>IF(AND(Tableau2[[#This Row],[CLASSE]]="CPU",Tableau2[[#This Row],[STATUT ]]="Admis"),1,0)</f>
        <v>0</v>
      </c>
      <c r="M280" s="64">
        <f>IF(AND(Tableau2[[#This Row],[CLASSE]]="CEU",Tableau2[[#This Row],[STATUT ]]="Admis"),1,0)</f>
        <v>1</v>
      </c>
      <c r="N280" s="64"/>
      <c r="O280" s="296"/>
      <c r="P2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1" spans="1:16" ht="21" x14ac:dyDescent="0.35">
      <c r="A281" s="310">
        <v>280</v>
      </c>
      <c r="B281" s="64" t="s">
        <v>2262</v>
      </c>
      <c r="C281" s="64" t="s">
        <v>1</v>
      </c>
      <c r="D281" s="295">
        <v>11</v>
      </c>
      <c r="E281" s="299">
        <v>7.05</v>
      </c>
      <c r="F281" s="306" t="s">
        <v>2244</v>
      </c>
      <c r="G281" s="300" t="s">
        <v>2048</v>
      </c>
      <c r="H281" s="402" t="str">
        <f>IF(Tableau2[[#This Row],[Moyennes]]="Absent","Absent",IF(Tableau2[[#This Row],[Moyennes]]&lt;5,"Redouble",IF(Tableau2[[#This Row],[Moyennes]]&gt;=5,"Admis"," ")))</f>
        <v>Admis</v>
      </c>
      <c r="I281" s="302"/>
      <c r="J281" s="300" t="s">
        <v>660</v>
      </c>
      <c r="K281" s="64" t="s">
        <v>355</v>
      </c>
      <c r="L281" s="64">
        <f>IF(AND(Tableau2[[#This Row],[CLASSE]]="CPU",Tableau2[[#This Row],[STATUT ]]="Admis"),1,0)</f>
        <v>0</v>
      </c>
      <c r="M281" s="64">
        <f>IF(AND(Tableau2[[#This Row],[CLASSE]]="CEU",Tableau2[[#This Row],[STATUT ]]="Admis"),1,0)</f>
        <v>1</v>
      </c>
      <c r="N281" s="64"/>
      <c r="O281" s="296"/>
      <c r="P2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2" spans="1:16" ht="21" x14ac:dyDescent="0.35">
      <c r="A282" s="310">
        <v>281</v>
      </c>
      <c r="B282" s="64" t="s">
        <v>3484</v>
      </c>
      <c r="C282" s="64" t="s">
        <v>1</v>
      </c>
      <c r="D282" s="295">
        <v>10</v>
      </c>
      <c r="E282" s="299">
        <v>7.05</v>
      </c>
      <c r="F282" s="306" t="s">
        <v>2244</v>
      </c>
      <c r="G282" s="300" t="s">
        <v>3432</v>
      </c>
      <c r="H282" s="402" t="str">
        <f>IF(Tableau2[[#This Row],[Moyennes]]="Absent","Absent",IF(Tableau2[[#This Row],[Moyennes]]&lt;5,"Redouble",IF(Tableau2[[#This Row],[Moyennes]]&gt;=5,"Admis"," ")))</f>
        <v>Admis</v>
      </c>
      <c r="I282" s="302"/>
      <c r="J282" s="300" t="s">
        <v>660</v>
      </c>
      <c r="K282" s="334" t="s">
        <v>355</v>
      </c>
      <c r="L282" s="64">
        <f>IF(AND(Tableau2[[#This Row],[CLASSE]]="CPU",Tableau2[[#This Row],[STATUT ]]="Admis"),1,0)</f>
        <v>0</v>
      </c>
      <c r="M282" s="64">
        <f>IF(AND(Tableau2[[#This Row],[CLASSE]]="CEU",Tableau2[[#This Row],[STATUT ]]="Admis"),1,0)</f>
        <v>1</v>
      </c>
      <c r="N282" s="64"/>
      <c r="O282" s="296"/>
      <c r="P2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3" spans="1:16" ht="21" x14ac:dyDescent="0.35">
      <c r="A283" s="310">
        <v>282</v>
      </c>
      <c r="B283" s="64" t="s">
        <v>2275</v>
      </c>
      <c r="C283" s="64" t="s">
        <v>2</v>
      </c>
      <c r="D283" s="295">
        <v>10</v>
      </c>
      <c r="E283" s="299">
        <v>6.85</v>
      </c>
      <c r="F283" s="306" t="s">
        <v>2244</v>
      </c>
      <c r="G283" s="300" t="s">
        <v>2089</v>
      </c>
      <c r="H283" s="402" t="str">
        <f>IF(Tableau2[[#This Row],[Moyennes]]="Absent","Absent",IF(Tableau2[[#This Row],[Moyennes]]&lt;5,"Redouble",IF(Tableau2[[#This Row],[Moyennes]]&gt;=5,"Admis"," ")))</f>
        <v>Admis</v>
      </c>
      <c r="I283" s="302"/>
      <c r="J283" s="300" t="s">
        <v>660</v>
      </c>
      <c r="K283" s="64" t="s">
        <v>355</v>
      </c>
      <c r="L283" s="64">
        <f>IF(AND(Tableau2[[#This Row],[CLASSE]]="CPU",Tableau2[[#This Row],[STATUT ]]="Admis"),1,0)</f>
        <v>0</v>
      </c>
      <c r="M283" s="64">
        <f>IF(AND(Tableau2[[#This Row],[CLASSE]]="CEU",Tableau2[[#This Row],[STATUT ]]="Admis"),1,0)</f>
        <v>1</v>
      </c>
      <c r="N283" s="64"/>
      <c r="O283" s="296"/>
      <c r="P2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4" spans="1:16" ht="18.5" x14ac:dyDescent="0.45">
      <c r="A284" s="310">
        <v>283</v>
      </c>
      <c r="B284" s="426" t="s">
        <v>2269</v>
      </c>
      <c r="C284" s="427" t="s">
        <v>2</v>
      </c>
      <c r="D284" s="453">
        <v>13</v>
      </c>
      <c r="E284" s="426">
        <v>6.85</v>
      </c>
      <c r="F284" s="418" t="s">
        <v>2244</v>
      </c>
      <c r="G284" s="426" t="s">
        <v>3423</v>
      </c>
      <c r="H284" s="402" t="str">
        <f>IF(Tableau2[[#This Row],[Moyennes]]="Absent","Absent",IF(Tableau2[[#This Row],[Moyennes]]&lt;5,"Redouble",IF(Tableau2[[#This Row],[Moyennes]]&gt;=5,"Admis"," ")))</f>
        <v>Admis</v>
      </c>
      <c r="I284" s="429"/>
      <c r="J284" s="300" t="s">
        <v>660</v>
      </c>
      <c r="K284" s="334" t="s">
        <v>355</v>
      </c>
      <c r="L284" s="64">
        <f>IF(AND(Tableau2[[#This Row],[CLASSE]]="CPU",Tableau2[[#This Row],[STATUT ]]="Admis"),1,0)</f>
        <v>0</v>
      </c>
      <c r="M284" s="64">
        <f>IF(AND(Tableau2[[#This Row],[CLASSE]]="CEU",Tableau2[[#This Row],[STATUT ]]="Admis"),1,0)</f>
        <v>1</v>
      </c>
      <c r="N284" s="64"/>
      <c r="O284" s="296"/>
      <c r="P2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5" spans="1:16" ht="18.5" x14ac:dyDescent="0.45">
      <c r="A285" s="310">
        <v>284</v>
      </c>
      <c r="B285" s="426" t="s">
        <v>2268</v>
      </c>
      <c r="C285" s="427" t="s">
        <v>2</v>
      </c>
      <c r="D285" s="453">
        <v>10</v>
      </c>
      <c r="E285" s="426">
        <v>6.7</v>
      </c>
      <c r="F285" s="418" t="s">
        <v>2244</v>
      </c>
      <c r="G285" s="426" t="s">
        <v>2033</v>
      </c>
      <c r="H285" s="402" t="str">
        <f>IF(Tableau2[[#This Row],[Moyennes]]="Absent","Absent",IF(Tableau2[[#This Row],[Moyennes]]&lt;5,"Redouble",IF(Tableau2[[#This Row],[Moyennes]]&gt;=5,"Admis"," ")))</f>
        <v>Admis</v>
      </c>
      <c r="I285" s="429"/>
      <c r="J285" s="300" t="s">
        <v>660</v>
      </c>
      <c r="K285" s="64" t="s">
        <v>355</v>
      </c>
      <c r="L285" s="64">
        <f>IF(AND(Tableau2[[#This Row],[CLASSE]]="CPU",Tableau2[[#This Row],[STATUT ]]="Admis"),1,0)</f>
        <v>0</v>
      </c>
      <c r="M285" s="64">
        <f>IF(AND(Tableau2[[#This Row],[CLASSE]]="CEU",Tableau2[[#This Row],[STATUT ]]="Admis"),1,0)</f>
        <v>1</v>
      </c>
      <c r="N285" s="64"/>
      <c r="O285" s="296"/>
      <c r="P2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6" spans="1:16" ht="18.5" x14ac:dyDescent="0.45">
      <c r="A286" s="310">
        <v>285</v>
      </c>
      <c r="B286" s="426" t="s">
        <v>2261</v>
      </c>
      <c r="C286" s="64" t="s">
        <v>1</v>
      </c>
      <c r="D286" s="453">
        <v>11</v>
      </c>
      <c r="E286" s="426">
        <v>6.7</v>
      </c>
      <c r="F286" s="418" t="s">
        <v>2244</v>
      </c>
      <c r="G286" s="426" t="s">
        <v>2228</v>
      </c>
      <c r="H286" s="402" t="str">
        <f>IF(Tableau2[[#This Row],[Moyennes]]="Absent","Absent",IF(Tableau2[[#This Row],[Moyennes]]&lt;5,"Redouble",IF(Tableau2[[#This Row],[Moyennes]]&gt;=5,"Admis"," ")))</f>
        <v>Admis</v>
      </c>
      <c r="I286" s="429"/>
      <c r="J286" s="300" t="s">
        <v>660</v>
      </c>
      <c r="K286" s="64" t="s">
        <v>355</v>
      </c>
      <c r="L286" s="64">
        <f>IF(AND(Tableau2[[#This Row],[CLASSE]]="CPU",Tableau2[[#This Row],[STATUT ]]="Admis"),1,0)</f>
        <v>0</v>
      </c>
      <c r="M286" s="64">
        <f>IF(AND(Tableau2[[#This Row],[CLASSE]]="CEU",Tableau2[[#This Row],[STATUT ]]="Admis"),1,0)</f>
        <v>1</v>
      </c>
      <c r="N286" s="64"/>
      <c r="O286" s="296"/>
      <c r="P2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7" spans="1:16" ht="18.5" x14ac:dyDescent="0.45">
      <c r="A287" s="310">
        <v>286</v>
      </c>
      <c r="B287" s="426" t="s">
        <v>2278</v>
      </c>
      <c r="C287" s="427" t="s">
        <v>2</v>
      </c>
      <c r="D287" s="428">
        <v>12</v>
      </c>
      <c r="E287" s="429">
        <v>5.75</v>
      </c>
      <c r="F287" s="418" t="s">
        <v>2244</v>
      </c>
      <c r="G287" s="426" t="s">
        <v>2062</v>
      </c>
      <c r="H287" s="402" t="str">
        <f>IF(Tableau2[[#This Row],[Moyennes]]="Absent","Absent",IF(Tableau2[[#This Row],[Moyennes]]&lt;5,"Redouble",IF(Tableau2[[#This Row],[Moyennes]]&gt;=5,"Admis"," ")))</f>
        <v>Admis</v>
      </c>
      <c r="I287" s="426"/>
      <c r="J287" s="300" t="s">
        <v>660</v>
      </c>
      <c r="K287" s="334" t="s">
        <v>355</v>
      </c>
      <c r="L287" s="64">
        <f>IF(AND(Tableau2[[#This Row],[CLASSE]]="CPU",Tableau2[[#This Row],[STATUT ]]="Admis"),1,0)</f>
        <v>0</v>
      </c>
      <c r="M287" s="64">
        <f>IF(AND(Tableau2[[#This Row],[CLASSE]]="CEU",Tableau2[[#This Row],[STATUT ]]="Admis"),1,0)</f>
        <v>1</v>
      </c>
      <c r="N287" s="64"/>
      <c r="O287" s="296"/>
      <c r="P2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8" spans="1:16" ht="18.5" x14ac:dyDescent="0.45">
      <c r="A288" s="310">
        <v>287</v>
      </c>
      <c r="B288" s="426" t="s">
        <v>2272</v>
      </c>
      <c r="C288" s="427" t="s">
        <v>2</v>
      </c>
      <c r="D288" s="453">
        <v>9</v>
      </c>
      <c r="E288" s="426">
        <v>5.75</v>
      </c>
      <c r="F288" s="418" t="s">
        <v>2244</v>
      </c>
      <c r="G288" s="426" t="s">
        <v>3434</v>
      </c>
      <c r="H288" s="402" t="str">
        <f>IF(Tableau2[[#This Row],[Moyennes]]="Absent","Absent",IF(Tableau2[[#This Row],[Moyennes]]&lt;5,"Redouble",IF(Tableau2[[#This Row],[Moyennes]]&gt;=5,"Admis"," ")))</f>
        <v>Admis</v>
      </c>
      <c r="I288" s="429"/>
      <c r="J288" s="300" t="s">
        <v>660</v>
      </c>
      <c r="K288" s="64" t="s">
        <v>355</v>
      </c>
      <c r="L288" s="64">
        <f>IF(AND(Tableau2[[#This Row],[CLASSE]]="CPU",Tableau2[[#This Row],[STATUT ]]="Admis"),1,0)</f>
        <v>0</v>
      </c>
      <c r="M288" s="64">
        <f>IF(AND(Tableau2[[#This Row],[CLASSE]]="CEU",Tableau2[[#This Row],[STATUT ]]="Admis"),1,0)</f>
        <v>1</v>
      </c>
      <c r="N288" s="64"/>
      <c r="O288" s="296"/>
      <c r="P2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89" spans="1:16" ht="18.5" x14ac:dyDescent="0.45">
      <c r="A289" s="310">
        <v>288</v>
      </c>
      <c r="B289" s="426" t="s">
        <v>2273</v>
      </c>
      <c r="C289" s="427" t="s">
        <v>2</v>
      </c>
      <c r="D289" s="453">
        <v>11</v>
      </c>
      <c r="E289" s="426">
        <v>5.7</v>
      </c>
      <c r="F289" s="418" t="s">
        <v>2244</v>
      </c>
      <c r="G289" s="426" t="s">
        <v>2042</v>
      </c>
      <c r="H289" s="402" t="str">
        <f>IF(Tableau2[[#This Row],[Moyennes]]="Absent","Absent",IF(Tableau2[[#This Row],[Moyennes]]&lt;5,"Redouble",IF(Tableau2[[#This Row],[Moyennes]]&gt;=5,"Admis"," ")))</f>
        <v>Admis</v>
      </c>
      <c r="I289" s="426"/>
      <c r="J289" s="300" t="s">
        <v>660</v>
      </c>
      <c r="K289" s="334" t="s">
        <v>355</v>
      </c>
      <c r="L289" s="64">
        <f>IF(AND(Tableau2[[#This Row],[CLASSE]]="CPU",Tableau2[[#This Row],[STATUT ]]="Admis"),1,0)</f>
        <v>0</v>
      </c>
      <c r="M289" s="64">
        <f>IF(AND(Tableau2[[#This Row],[CLASSE]]="CEU",Tableau2[[#This Row],[STATUT ]]="Admis"),1,0)</f>
        <v>1</v>
      </c>
      <c r="N289" s="64"/>
      <c r="O289" s="296"/>
      <c r="P2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90" spans="1:16" ht="18.5" x14ac:dyDescent="0.45">
      <c r="A290" s="310">
        <v>289</v>
      </c>
      <c r="B290" s="426" t="s">
        <v>2274</v>
      </c>
      <c r="C290" s="427" t="s">
        <v>2</v>
      </c>
      <c r="D290" s="428">
        <v>13</v>
      </c>
      <c r="E290" s="429">
        <v>5.6</v>
      </c>
      <c r="F290" s="418" t="s">
        <v>2244</v>
      </c>
      <c r="G290" s="429" t="s">
        <v>2025</v>
      </c>
      <c r="H290" s="402" t="str">
        <f>IF(Tableau2[[#This Row],[Moyennes]]="Absent","Absent",IF(Tableau2[[#This Row],[Moyennes]]&lt;5,"Redouble",IF(Tableau2[[#This Row],[Moyennes]]&gt;=5,"Admis"," ")))</f>
        <v>Admis</v>
      </c>
      <c r="I290" s="429"/>
      <c r="J290" s="300" t="s">
        <v>660</v>
      </c>
      <c r="K290" s="64" t="s">
        <v>355</v>
      </c>
      <c r="L290" s="64">
        <f>IF(AND(Tableau2[[#This Row],[CLASSE]]="CPU",Tableau2[[#This Row],[STATUT ]]="Admis"),1,0)</f>
        <v>0</v>
      </c>
      <c r="M290" s="64">
        <f>IF(AND(Tableau2[[#This Row],[CLASSE]]="CEU",Tableau2[[#This Row],[STATUT ]]="Admis"),1,0)</f>
        <v>1</v>
      </c>
      <c r="N290" s="64"/>
      <c r="O290" s="296"/>
      <c r="P2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91" spans="1:16" ht="18.5" x14ac:dyDescent="0.45">
      <c r="A291" s="310">
        <v>290</v>
      </c>
      <c r="B291" s="426" t="s">
        <v>2279</v>
      </c>
      <c r="C291" s="427" t="s">
        <v>2</v>
      </c>
      <c r="D291" s="428">
        <v>10</v>
      </c>
      <c r="E291" s="429">
        <v>5.45</v>
      </c>
      <c r="F291" s="418" t="s">
        <v>2244</v>
      </c>
      <c r="G291" s="429" t="s">
        <v>2046</v>
      </c>
      <c r="H291" s="402" t="str">
        <f>IF(Tableau2[[#This Row],[Moyennes]]="Absent","Absent",IF(Tableau2[[#This Row],[Moyennes]]&lt;5,"Redouble",IF(Tableau2[[#This Row],[Moyennes]]&gt;=5,"Admis"," ")))</f>
        <v>Admis</v>
      </c>
      <c r="I291" s="429"/>
      <c r="J291" s="300" t="s">
        <v>660</v>
      </c>
      <c r="K291" s="334" t="s">
        <v>355</v>
      </c>
      <c r="L291" s="64">
        <f>IF(AND(Tableau2[[#This Row],[CLASSE]]="CPU",Tableau2[[#This Row],[STATUT ]]="Admis"),1,0)</f>
        <v>0</v>
      </c>
      <c r="M291" s="64">
        <f>IF(AND(Tableau2[[#This Row],[CLASSE]]="CEU",Tableau2[[#This Row],[STATUT ]]="Admis"),1,0)</f>
        <v>1</v>
      </c>
      <c r="N291" s="64"/>
      <c r="O291" s="296"/>
      <c r="P2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92" spans="1:16" ht="18.5" x14ac:dyDescent="0.45">
      <c r="A292" s="310">
        <v>291</v>
      </c>
      <c r="B292" s="426" t="s">
        <v>2277</v>
      </c>
      <c r="C292" s="427" t="s">
        <v>2</v>
      </c>
      <c r="D292" s="428">
        <v>10</v>
      </c>
      <c r="E292" s="429">
        <v>4.4000000000000004</v>
      </c>
      <c r="F292" s="418" t="s">
        <v>2244</v>
      </c>
      <c r="G292" s="426" t="s">
        <v>2030</v>
      </c>
      <c r="H292" s="402" t="str">
        <f>IF(Tableau2[[#This Row],[Moyennes]]="Absent","Absent",IF(Tableau2[[#This Row],[Moyennes]]&lt;5,"Redouble",IF(Tableau2[[#This Row],[Moyennes]]&gt;=5,"Admis"," ")))</f>
        <v>Redouble</v>
      </c>
      <c r="I292" s="426"/>
      <c r="J292" s="300" t="s">
        <v>660</v>
      </c>
      <c r="K292" s="64" t="s">
        <v>355</v>
      </c>
      <c r="L292" s="64">
        <f>IF(AND(Tableau2[[#This Row],[CLASSE]]="CPU",Tableau2[[#This Row],[STATUT ]]="Admis"),1,0)</f>
        <v>0</v>
      </c>
      <c r="M292" s="64">
        <f>IF(AND(Tableau2[[#This Row],[CLASSE]]="CEU",Tableau2[[#This Row],[STATUT ]]="Admis"),1,0)</f>
        <v>0</v>
      </c>
      <c r="N292" s="64"/>
      <c r="O292" s="296"/>
      <c r="P2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93" spans="1:16" ht="18.5" x14ac:dyDescent="0.45">
      <c r="A293" s="310">
        <v>292</v>
      </c>
      <c r="B293" s="426" t="s">
        <v>2276</v>
      </c>
      <c r="C293" s="427" t="s">
        <v>2</v>
      </c>
      <c r="D293" s="453">
        <v>10</v>
      </c>
      <c r="E293" s="426">
        <v>4.3</v>
      </c>
      <c r="F293" s="418" t="s">
        <v>2244</v>
      </c>
      <c r="G293" s="426" t="s">
        <v>2066</v>
      </c>
      <c r="H293" s="402" t="str">
        <f>IF(Tableau2[[#This Row],[Moyennes]]="Absent","Absent",IF(Tableau2[[#This Row],[Moyennes]]&lt;5,"Redouble",IF(Tableau2[[#This Row],[Moyennes]]&gt;=5,"Admis"," ")))</f>
        <v>Redouble</v>
      </c>
      <c r="I293" s="429"/>
      <c r="J293" s="300" t="s">
        <v>660</v>
      </c>
      <c r="K293" s="64" t="s">
        <v>355</v>
      </c>
      <c r="L293" s="64">
        <f>IF(AND(Tableau2[[#This Row],[CLASSE]]="CPU",Tableau2[[#This Row],[STATUT ]]="Admis"),1,0)</f>
        <v>0</v>
      </c>
      <c r="M293" s="64">
        <f>IF(AND(Tableau2[[#This Row],[CLASSE]]="CEU",Tableau2[[#This Row],[STATUT ]]="Admis"),1,0)</f>
        <v>0</v>
      </c>
      <c r="N293" s="64"/>
      <c r="O293" s="296"/>
      <c r="P2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94" spans="1:16" ht="18.5" x14ac:dyDescent="0.45">
      <c r="A294" s="310">
        <v>293</v>
      </c>
      <c r="B294" s="426" t="s">
        <v>2263</v>
      </c>
      <c r="C294" s="64" t="s">
        <v>1</v>
      </c>
      <c r="D294" s="428">
        <v>9</v>
      </c>
      <c r="E294" s="495" t="s">
        <v>2165</v>
      </c>
      <c r="F294" s="496" t="s">
        <v>2244</v>
      </c>
      <c r="G294" s="446" t="s">
        <v>2165</v>
      </c>
      <c r="H294" s="300" t="str">
        <f>IF(Tableau2[[#This Row],[Moyennes]]="Absent","Absent",IF(Tableau2[[#This Row],[Moyennes]]&lt;5,"Redouble",IF(Tableau2[[#This Row],[Moyennes]]&gt;=5,"Admis"," ")))</f>
        <v>Absent</v>
      </c>
      <c r="I294" s="446"/>
      <c r="J294" s="300" t="s">
        <v>660</v>
      </c>
      <c r="K294" s="64" t="s">
        <v>355</v>
      </c>
      <c r="L294" s="64">
        <f>IF(AND(Tableau2[[#This Row],[CLASSE]]="CPU",Tableau2[[#This Row],[STATUT ]]="Admis"),1,0)</f>
        <v>0</v>
      </c>
      <c r="M294" s="64">
        <f>IF(AND(Tableau2[[#This Row],[CLASSE]]="CEU",Tableau2[[#This Row],[STATUT ]]="Admis"),1,0)</f>
        <v>0</v>
      </c>
      <c r="N294" s="64"/>
      <c r="O294" s="296"/>
      <c r="P2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295" spans="1:16" ht="18.5" x14ac:dyDescent="0.45">
      <c r="A295" s="310">
        <v>294</v>
      </c>
      <c r="B295" s="426" t="s">
        <v>2283</v>
      </c>
      <c r="C295" s="64" t="s">
        <v>1</v>
      </c>
      <c r="D295" s="453">
        <v>14</v>
      </c>
      <c r="E295" s="426">
        <v>9.5</v>
      </c>
      <c r="F295" s="418" t="s">
        <v>2009</v>
      </c>
      <c r="G295" s="426" t="s">
        <v>2035</v>
      </c>
      <c r="H295" s="402" t="str">
        <f>IF(Tableau2[[#This Row],[Moyennes]]="Absent","Absent",IF(Tableau2[[#This Row],[Moyennes]]&lt;5,"Redouble",IF(Tableau2[[#This Row],[Moyennes]]&gt;=5,"Admis"," ")))</f>
        <v>Admis</v>
      </c>
      <c r="I295" s="429"/>
      <c r="J295" s="300" t="s">
        <v>660</v>
      </c>
      <c r="K295" s="64" t="s">
        <v>254</v>
      </c>
      <c r="L295" s="64">
        <f>IF(AND(Tableau2[[#This Row],[CLASSE]]="CPU",Tableau2[[#This Row],[STATUT ]]="Admis"),1,0)</f>
        <v>1</v>
      </c>
      <c r="M295" s="64">
        <f>IF(AND(Tableau2[[#This Row],[CLASSE]]="CEU",Tableau2[[#This Row],[STATUT ]]="Admis"),1,0)</f>
        <v>0</v>
      </c>
      <c r="N295" s="64"/>
      <c r="O295" s="296"/>
      <c r="P2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296" spans="1:16" ht="19" thickBot="1" x14ac:dyDescent="0.5">
      <c r="A296" s="310">
        <v>295</v>
      </c>
      <c r="B296" s="426" t="s">
        <v>2280</v>
      </c>
      <c r="C296" s="64" t="s">
        <v>1</v>
      </c>
      <c r="D296" s="453">
        <v>13</v>
      </c>
      <c r="E296" s="426">
        <v>9.25</v>
      </c>
      <c r="F296" s="404" t="s">
        <v>2009</v>
      </c>
      <c r="G296" s="426" t="s">
        <v>2010</v>
      </c>
      <c r="H296" s="402" t="str">
        <f>IF(Tableau2[[#This Row],[Moyennes]]="Absent","Absent",IF(Tableau2[[#This Row],[Moyennes]]&lt;5,"Redouble",IF(Tableau2[[#This Row],[Moyennes]]&gt;=5,"Admis"," ")))</f>
        <v>Admis</v>
      </c>
      <c r="I296" s="426"/>
      <c r="J296" s="300" t="s">
        <v>660</v>
      </c>
      <c r="K296" s="334" t="s">
        <v>254</v>
      </c>
      <c r="L296" s="64">
        <f>IF(AND(Tableau2[[#This Row],[CLASSE]]="CPU",Tableau2[[#This Row],[STATUT ]]="Admis"),1,0)</f>
        <v>1</v>
      </c>
      <c r="M296" s="64">
        <f>IF(AND(Tableau2[[#This Row],[CLASSE]]="CEU",Tableau2[[#This Row],[STATUT ]]="Admis"),1,0)</f>
        <v>0</v>
      </c>
      <c r="N296" s="64"/>
      <c r="O296" s="296"/>
      <c r="P2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297" spans="1:16" ht="19" thickBot="1" x14ac:dyDescent="0.5">
      <c r="A297" s="310">
        <v>296</v>
      </c>
      <c r="B297" s="426" t="s">
        <v>3421</v>
      </c>
      <c r="C297" s="427" t="s">
        <v>2</v>
      </c>
      <c r="D297" s="428">
        <v>10</v>
      </c>
      <c r="E297" s="429">
        <v>8.8699999999999992</v>
      </c>
      <c r="F297" s="404" t="s">
        <v>2009</v>
      </c>
      <c r="G297" s="426" t="s">
        <v>815</v>
      </c>
      <c r="H297" s="402" t="str">
        <f>IF(Tableau2[[#This Row],[Moyennes]]="Absent","Absent",IF(Tableau2[[#This Row],[Moyennes]]&lt;5,"Redouble",IF(Tableau2[[#This Row],[Moyennes]]&gt;=5,"Admis"," ")))</f>
        <v>Admis</v>
      </c>
      <c r="I297" s="426"/>
      <c r="J297" s="300" t="s">
        <v>660</v>
      </c>
      <c r="K297" s="64" t="s">
        <v>254</v>
      </c>
      <c r="L297" s="64">
        <f>IF(AND(Tableau2[[#This Row],[CLASSE]]="CPU",Tableau2[[#This Row],[STATUT ]]="Admis"),1,0)</f>
        <v>1</v>
      </c>
      <c r="M297" s="64">
        <f>IF(AND(Tableau2[[#This Row],[CLASSE]]="CEU",Tableau2[[#This Row],[STATUT ]]="Admis"),1,0)</f>
        <v>0</v>
      </c>
      <c r="N297" s="64"/>
      <c r="O297" s="296"/>
      <c r="P2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98" spans="1:16" ht="19" thickBot="1" x14ac:dyDescent="0.5">
      <c r="A298" s="310">
        <v>297</v>
      </c>
      <c r="B298" s="447" t="s">
        <v>2289</v>
      </c>
      <c r="C298" s="446" t="s">
        <v>2</v>
      </c>
      <c r="D298" s="428">
        <v>10</v>
      </c>
      <c r="E298" s="429">
        <v>8.8699999999999992</v>
      </c>
      <c r="F298" s="404" t="s">
        <v>2009</v>
      </c>
      <c r="G298" s="429" t="s">
        <v>815</v>
      </c>
      <c r="H298" s="402" t="str">
        <f>IF(Tableau2[[#This Row],[Moyennes]]="Absent","Absent",IF(Tableau2[[#This Row],[Moyennes]]&lt;5,"Redouble",IF(Tableau2[[#This Row],[Moyennes]]&gt;=5,"Admis"," ")))</f>
        <v>Admis</v>
      </c>
      <c r="I298" s="429"/>
      <c r="J298" s="300" t="s">
        <v>660</v>
      </c>
      <c r="K298" s="334" t="s">
        <v>254</v>
      </c>
      <c r="L298" s="64">
        <f>IF(AND(Tableau2[[#This Row],[CLASSE]]="CPU",Tableau2[[#This Row],[STATUT ]]="Admis"),1,0)</f>
        <v>1</v>
      </c>
      <c r="M298" s="64">
        <f>IF(AND(Tableau2[[#This Row],[CLASSE]]="CEU",Tableau2[[#This Row],[STATUT ]]="Admis"),1,0)</f>
        <v>0</v>
      </c>
      <c r="N298" s="64"/>
      <c r="O298" s="296"/>
      <c r="P2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299" spans="1:16" ht="19" thickBot="1" x14ac:dyDescent="0.5">
      <c r="A299" s="310">
        <v>298</v>
      </c>
      <c r="B299" s="426" t="s">
        <v>2284</v>
      </c>
      <c r="C299" s="427" t="s">
        <v>2</v>
      </c>
      <c r="D299" s="428">
        <v>9</v>
      </c>
      <c r="E299" s="429">
        <v>8.75</v>
      </c>
      <c r="F299" s="404" t="s">
        <v>2009</v>
      </c>
      <c r="G299" s="426" t="s">
        <v>2018</v>
      </c>
      <c r="H299" s="402" t="str">
        <f>IF(Tableau2[[#This Row],[Moyennes]]="Absent","Absent",IF(Tableau2[[#This Row],[Moyennes]]&lt;5,"Redouble",IF(Tableau2[[#This Row],[Moyennes]]&gt;=5,"Admis"," ")))</f>
        <v>Admis</v>
      </c>
      <c r="I299" s="426"/>
      <c r="J299" s="300" t="s">
        <v>660</v>
      </c>
      <c r="K299" s="64" t="s">
        <v>254</v>
      </c>
      <c r="L299" s="64">
        <f>IF(AND(Tableau2[[#This Row],[CLASSE]]="CPU",Tableau2[[#This Row],[STATUT ]]="Admis"),1,0)</f>
        <v>1</v>
      </c>
      <c r="M299" s="64">
        <f>IF(AND(Tableau2[[#This Row],[CLASSE]]="CEU",Tableau2[[#This Row],[STATUT ]]="Admis"),1,0)</f>
        <v>0</v>
      </c>
      <c r="N299" s="64"/>
      <c r="O299" s="296"/>
      <c r="P2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0" spans="1:16" ht="19" thickBot="1" x14ac:dyDescent="0.5">
      <c r="A300" s="310">
        <v>299</v>
      </c>
      <c r="B300" s="426" t="s">
        <v>3422</v>
      </c>
      <c r="C300" s="434" t="s">
        <v>2</v>
      </c>
      <c r="D300" s="455">
        <v>9</v>
      </c>
      <c r="E300" s="426">
        <v>8.75</v>
      </c>
      <c r="F300" s="404" t="s">
        <v>2009</v>
      </c>
      <c r="G300" s="426" t="s">
        <v>2018</v>
      </c>
      <c r="H300" s="402" t="str">
        <f>IF(Tableau2[[#This Row],[Moyennes]]="Absent","Absent",IF(Tableau2[[#This Row],[Moyennes]]&lt;5,"Redouble",IF(Tableau2[[#This Row],[Moyennes]]&gt;=5,"Admis"," ")))</f>
        <v>Admis</v>
      </c>
      <c r="I300" s="429"/>
      <c r="J300" s="300" t="s">
        <v>660</v>
      </c>
      <c r="K300" s="334" t="s">
        <v>254</v>
      </c>
      <c r="L300" s="64">
        <f>IF(AND(Tableau2[[#This Row],[CLASSE]]="CPU",Tableau2[[#This Row],[STATUT ]]="Admis"),1,0)</f>
        <v>1</v>
      </c>
      <c r="M300" s="64">
        <f>IF(AND(Tableau2[[#This Row],[CLASSE]]="CEU",Tableau2[[#This Row],[STATUT ]]="Admis"),1,0)</f>
        <v>0</v>
      </c>
      <c r="N300" s="64"/>
      <c r="O300" s="296"/>
      <c r="P3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1" spans="1:16" ht="19" thickBot="1" x14ac:dyDescent="0.5">
      <c r="A301" s="310">
        <v>300</v>
      </c>
      <c r="B301" s="431" t="s">
        <v>2282</v>
      </c>
      <c r="C301" s="64" t="s">
        <v>1</v>
      </c>
      <c r="D301" s="453">
        <v>9</v>
      </c>
      <c r="E301" s="430">
        <v>8.6199999999999992</v>
      </c>
      <c r="F301" s="404" t="s">
        <v>2009</v>
      </c>
      <c r="G301" s="426" t="s">
        <v>2048</v>
      </c>
      <c r="H301" s="402" t="str">
        <f>IF(Tableau2[[#This Row],[Moyennes]]="Absent","Absent",IF(Tableau2[[#This Row],[Moyennes]]&lt;5,"Redouble",IF(Tableau2[[#This Row],[Moyennes]]&gt;=5,"Admis"," ")))</f>
        <v>Admis</v>
      </c>
      <c r="I301" s="429"/>
      <c r="J301" s="300" t="s">
        <v>660</v>
      </c>
      <c r="K301" s="64" t="s">
        <v>254</v>
      </c>
      <c r="L301" s="64">
        <f>IF(AND(Tableau2[[#This Row],[CLASSE]]="CPU",Tableau2[[#This Row],[STATUT ]]="Admis"),1,0)</f>
        <v>1</v>
      </c>
      <c r="M301" s="64">
        <f>IF(AND(Tableau2[[#This Row],[CLASSE]]="CEU",Tableau2[[#This Row],[STATUT ]]="Admis"),1,0)</f>
        <v>0</v>
      </c>
      <c r="N301" s="64"/>
      <c r="O301" s="296"/>
      <c r="P3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2" spans="1:16" ht="19" thickBot="1" x14ac:dyDescent="0.5">
      <c r="A302" s="310">
        <v>301</v>
      </c>
      <c r="B302" s="426" t="s">
        <v>2286</v>
      </c>
      <c r="C302" s="64" t="s">
        <v>1</v>
      </c>
      <c r="D302" s="428">
        <v>9</v>
      </c>
      <c r="E302" s="429">
        <v>7.87</v>
      </c>
      <c r="F302" s="404" t="s">
        <v>2009</v>
      </c>
      <c r="G302" s="426" t="s">
        <v>2027</v>
      </c>
      <c r="H302" s="402" t="str">
        <f>IF(Tableau2[[#This Row],[Moyennes]]="Absent","Absent",IF(Tableau2[[#This Row],[Moyennes]]&lt;5,"Redouble",IF(Tableau2[[#This Row],[Moyennes]]&gt;=5,"Admis"," ")))</f>
        <v>Admis</v>
      </c>
      <c r="I302" s="429"/>
      <c r="J302" s="300" t="s">
        <v>660</v>
      </c>
      <c r="K302" s="334" t="s">
        <v>254</v>
      </c>
      <c r="L302" s="64">
        <f>IF(AND(Tableau2[[#This Row],[CLASSE]]="CPU",Tableau2[[#This Row],[STATUT ]]="Admis"),1,0)</f>
        <v>1</v>
      </c>
      <c r="M302" s="64">
        <f>IF(AND(Tableau2[[#This Row],[CLASSE]]="CEU",Tableau2[[#This Row],[STATUT ]]="Admis"),1,0)</f>
        <v>0</v>
      </c>
      <c r="N302" s="64"/>
      <c r="O302" s="296"/>
      <c r="P3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3" spans="1:16" ht="19" thickBot="1" x14ac:dyDescent="0.5">
      <c r="A303" s="310">
        <v>302</v>
      </c>
      <c r="B303" s="426" t="s">
        <v>2291</v>
      </c>
      <c r="C303" s="434" t="s">
        <v>2</v>
      </c>
      <c r="D303" s="428">
        <v>10</v>
      </c>
      <c r="E303" s="429">
        <v>7.5</v>
      </c>
      <c r="F303" s="404" t="s">
        <v>2009</v>
      </c>
      <c r="G303" s="426" t="s">
        <v>2089</v>
      </c>
      <c r="H303" s="402" t="str">
        <f>IF(Tableau2[[#This Row],[Moyennes]]="Absent","Absent",IF(Tableau2[[#This Row],[Moyennes]]&lt;5,"Redouble",IF(Tableau2[[#This Row],[Moyennes]]&gt;=5,"Admis"," ")))</f>
        <v>Admis</v>
      </c>
      <c r="I303" s="426"/>
      <c r="J303" s="300" t="s">
        <v>660</v>
      </c>
      <c r="K303" s="64" t="s">
        <v>254</v>
      </c>
      <c r="L303" s="64">
        <f>IF(AND(Tableau2[[#This Row],[CLASSE]]="CPU",Tableau2[[#This Row],[STATUT ]]="Admis"),1,0)</f>
        <v>1</v>
      </c>
      <c r="M303" s="64">
        <f>IF(AND(Tableau2[[#This Row],[CLASSE]]="CEU",Tableau2[[#This Row],[STATUT ]]="Admis"),1,0)</f>
        <v>0</v>
      </c>
      <c r="N303" s="64"/>
      <c r="O303" s="296"/>
      <c r="P3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4" spans="1:16" ht="19" thickBot="1" x14ac:dyDescent="0.5">
      <c r="A304" s="310">
        <v>303</v>
      </c>
      <c r="B304" s="426" t="s">
        <v>2281</v>
      </c>
      <c r="C304" s="64" t="s">
        <v>1</v>
      </c>
      <c r="D304" s="428">
        <v>9</v>
      </c>
      <c r="E304" s="429">
        <v>7.5</v>
      </c>
      <c r="F304" s="404" t="s">
        <v>2009</v>
      </c>
      <c r="G304" s="429" t="s">
        <v>3423</v>
      </c>
      <c r="H304" s="402" t="str">
        <f>IF(Tableau2[[#This Row],[Moyennes]]="Absent","Absent",IF(Tableau2[[#This Row],[Moyennes]]&lt;5,"Redouble",IF(Tableau2[[#This Row],[Moyennes]]&gt;=5,"Admis"," ")))</f>
        <v>Admis</v>
      </c>
      <c r="I304" s="429"/>
      <c r="J304" s="300" t="s">
        <v>660</v>
      </c>
      <c r="K304" s="64" t="s">
        <v>254</v>
      </c>
      <c r="L304" s="64">
        <f>IF(AND(Tableau2[[#This Row],[CLASSE]]="CPU",Tableau2[[#This Row],[STATUT ]]="Admis"),1,0)</f>
        <v>1</v>
      </c>
      <c r="M304" s="64">
        <f>IF(AND(Tableau2[[#This Row],[CLASSE]]="CEU",Tableau2[[#This Row],[STATUT ]]="Admis"),1,0)</f>
        <v>0</v>
      </c>
      <c r="N304" s="64"/>
      <c r="O304" s="296"/>
      <c r="P3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5" spans="1:16" ht="19" thickBot="1" x14ac:dyDescent="0.5">
      <c r="A305" s="310">
        <v>304</v>
      </c>
      <c r="B305" s="426" t="s">
        <v>3424</v>
      </c>
      <c r="C305" s="427" t="s">
        <v>2</v>
      </c>
      <c r="D305" s="453">
        <v>11</v>
      </c>
      <c r="E305" s="426">
        <v>7.37</v>
      </c>
      <c r="F305" s="404" t="s">
        <v>2009</v>
      </c>
      <c r="G305" s="426" t="s">
        <v>2033</v>
      </c>
      <c r="H305" s="402" t="str">
        <f>IF(Tableau2[[#This Row],[Moyennes]]="Absent","Absent",IF(Tableau2[[#This Row],[Moyennes]]&lt;5,"Redouble",IF(Tableau2[[#This Row],[Moyennes]]&gt;=5,"Admis"," ")))</f>
        <v>Admis</v>
      </c>
      <c r="I305" s="429"/>
      <c r="J305" s="300" t="s">
        <v>660</v>
      </c>
      <c r="K305" s="64" t="s">
        <v>254</v>
      </c>
      <c r="L305" s="64">
        <f>IF(AND(Tableau2[[#This Row],[CLASSE]]="CPU",Tableau2[[#This Row],[STATUT ]]="Admis"),1,0)</f>
        <v>1</v>
      </c>
      <c r="M305" s="64">
        <f>IF(AND(Tableau2[[#This Row],[CLASSE]]="CEU",Tableau2[[#This Row],[STATUT ]]="Admis"),1,0)</f>
        <v>0</v>
      </c>
      <c r="N305" s="64"/>
      <c r="O305" s="296"/>
      <c r="P3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6" spans="1:16" ht="19" thickBot="1" x14ac:dyDescent="0.5">
      <c r="A306" s="310">
        <v>305</v>
      </c>
      <c r="B306" s="426" t="s">
        <v>2288</v>
      </c>
      <c r="C306" s="427" t="s">
        <v>2</v>
      </c>
      <c r="D306" s="428">
        <v>9</v>
      </c>
      <c r="E306" s="429">
        <v>7.37</v>
      </c>
      <c r="F306" s="404" t="s">
        <v>2009</v>
      </c>
      <c r="G306" s="426" t="s">
        <v>3425</v>
      </c>
      <c r="H306" s="402" t="str">
        <f>IF(Tableau2[[#This Row],[Moyennes]]="Absent","Absent",IF(Tableau2[[#This Row],[Moyennes]]&lt;5,"Redouble",IF(Tableau2[[#This Row],[Moyennes]]&gt;=5,"Admis"," ")))</f>
        <v>Admis</v>
      </c>
      <c r="I306" s="426"/>
      <c r="J306" s="300" t="s">
        <v>660</v>
      </c>
      <c r="K306" s="64" t="s">
        <v>254</v>
      </c>
      <c r="L306" s="64">
        <f>IF(AND(Tableau2[[#This Row],[CLASSE]]="CPU",Tableau2[[#This Row],[STATUT ]]="Admis"),1,0)</f>
        <v>1</v>
      </c>
      <c r="M306" s="64">
        <f>IF(AND(Tableau2[[#This Row],[CLASSE]]="CEU",Tableau2[[#This Row],[STATUT ]]="Admis"),1,0)</f>
        <v>0</v>
      </c>
      <c r="N306" s="64"/>
      <c r="O306" s="296"/>
      <c r="P3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7" spans="1:16" ht="19" thickBot="1" x14ac:dyDescent="0.5">
      <c r="A307" s="310">
        <v>306</v>
      </c>
      <c r="B307" s="426" t="s">
        <v>2285</v>
      </c>
      <c r="C307" s="64" t="s">
        <v>1</v>
      </c>
      <c r="D307" s="453">
        <v>9</v>
      </c>
      <c r="E307" s="426">
        <v>7.25</v>
      </c>
      <c r="F307" s="404" t="s">
        <v>2009</v>
      </c>
      <c r="G307" s="426" t="s">
        <v>2062</v>
      </c>
      <c r="H307" s="402" t="str">
        <f>IF(Tableau2[[#This Row],[Moyennes]]="Absent","Absent",IF(Tableau2[[#This Row],[Moyennes]]&lt;5,"Redouble",IF(Tableau2[[#This Row],[Moyennes]]&gt;=5,"Admis"," ")))</f>
        <v>Admis</v>
      </c>
      <c r="I307" s="429"/>
      <c r="J307" s="300" t="s">
        <v>660</v>
      </c>
      <c r="K307" s="64" t="s">
        <v>254</v>
      </c>
      <c r="L307" s="64">
        <f>IF(AND(Tableau2[[#This Row],[CLASSE]]="CPU",Tableau2[[#This Row],[STATUT ]]="Admis"),1,0)</f>
        <v>1</v>
      </c>
      <c r="M307" s="64">
        <f>IF(AND(Tableau2[[#This Row],[CLASSE]]="CEU",Tableau2[[#This Row],[STATUT ]]="Admis"),1,0)</f>
        <v>0</v>
      </c>
      <c r="N307" s="64"/>
      <c r="O307" s="296"/>
      <c r="P3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8" spans="1:16" ht="19" thickBot="1" x14ac:dyDescent="0.5">
      <c r="A308" s="310">
        <v>307</v>
      </c>
      <c r="B308" s="426" t="s">
        <v>2287</v>
      </c>
      <c r="C308" s="64" t="s">
        <v>1</v>
      </c>
      <c r="D308" s="428">
        <v>9</v>
      </c>
      <c r="E308" s="429">
        <v>6.37</v>
      </c>
      <c r="F308" s="404" t="s">
        <v>2009</v>
      </c>
      <c r="G308" s="429" t="s">
        <v>2023</v>
      </c>
      <c r="H308" s="402" t="str">
        <f>IF(Tableau2[[#This Row],[Moyennes]]="Absent","Absent",IF(Tableau2[[#This Row],[Moyennes]]&lt;5,"Redouble",IF(Tableau2[[#This Row],[Moyennes]]&gt;=5,"Admis"," ")))</f>
        <v>Admis</v>
      </c>
      <c r="I308" s="429"/>
      <c r="J308" s="300" t="s">
        <v>660</v>
      </c>
      <c r="K308" s="334" t="s">
        <v>254</v>
      </c>
      <c r="L308" s="64">
        <f>IF(AND(Tableau2[[#This Row],[CLASSE]]="CPU",Tableau2[[#This Row],[STATUT ]]="Admis"),1,0)</f>
        <v>1</v>
      </c>
      <c r="M308" s="64">
        <f>IF(AND(Tableau2[[#This Row],[CLASSE]]="CEU",Tableau2[[#This Row],[STATUT ]]="Admis"),1,0)</f>
        <v>0</v>
      </c>
      <c r="N308" s="64"/>
      <c r="O308" s="296"/>
      <c r="P3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09" spans="1:16" ht="19" thickBot="1" x14ac:dyDescent="0.5">
      <c r="A309" s="310">
        <v>308</v>
      </c>
      <c r="B309" s="426" t="s">
        <v>2292</v>
      </c>
      <c r="C309" s="427" t="s">
        <v>2</v>
      </c>
      <c r="D309" s="453">
        <v>9</v>
      </c>
      <c r="E309" s="426">
        <v>5.62</v>
      </c>
      <c r="F309" s="404" t="s">
        <v>2009</v>
      </c>
      <c r="G309" s="426" t="s">
        <v>2042</v>
      </c>
      <c r="H309" s="402" t="str">
        <f>IF(Tableau2[[#This Row],[Moyennes]]="Absent","Absent",IF(Tableau2[[#This Row],[Moyennes]]&lt;5,"Redouble",IF(Tableau2[[#This Row],[Moyennes]]&gt;=5,"Admis"," ")))</f>
        <v>Admis</v>
      </c>
      <c r="I309" s="429"/>
      <c r="J309" s="300" t="s">
        <v>660</v>
      </c>
      <c r="K309" s="64" t="s">
        <v>254</v>
      </c>
      <c r="L309" s="64">
        <f>IF(AND(Tableau2[[#This Row],[CLASSE]]="CPU",Tableau2[[#This Row],[STATUT ]]="Admis"),1,0)</f>
        <v>1</v>
      </c>
      <c r="M309" s="64">
        <f>IF(AND(Tableau2[[#This Row],[CLASSE]]="CEU",Tableau2[[#This Row],[STATUT ]]="Admis"),1,0)</f>
        <v>0</v>
      </c>
      <c r="N309" s="64"/>
      <c r="O309" s="296"/>
      <c r="P3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10" spans="1:16" ht="19" thickBot="1" x14ac:dyDescent="0.5">
      <c r="A310" s="310">
        <v>309</v>
      </c>
      <c r="B310" s="426" t="s">
        <v>2290</v>
      </c>
      <c r="C310" s="64" t="s">
        <v>1</v>
      </c>
      <c r="D310" s="455">
        <v>11</v>
      </c>
      <c r="E310" s="426">
        <v>5.62</v>
      </c>
      <c r="F310" s="469" t="s">
        <v>2009</v>
      </c>
      <c r="G310" s="426" t="s">
        <v>2042</v>
      </c>
      <c r="H310" s="402" t="str">
        <f>IF(Tableau2[[#This Row],[Moyennes]]="Absent","Absent",IF(Tableau2[[#This Row],[Moyennes]]&lt;5,"Redouble",IF(Tableau2[[#This Row],[Moyennes]]&gt;=5,"Admis"," ")))</f>
        <v>Admis</v>
      </c>
      <c r="I310" s="426"/>
      <c r="J310" s="300" t="s">
        <v>660</v>
      </c>
      <c r="K310" s="334" t="s">
        <v>254</v>
      </c>
      <c r="L310" s="64">
        <f>IF(AND(Tableau2[[#This Row],[CLASSE]]="CPU",Tableau2[[#This Row],[STATUT ]]="Admis"),1,0)</f>
        <v>1</v>
      </c>
      <c r="M310" s="64">
        <f>IF(AND(Tableau2[[#This Row],[CLASSE]]="CEU",Tableau2[[#This Row],[STATUT ]]="Admis"),1,0)</f>
        <v>0</v>
      </c>
      <c r="N310" s="64"/>
      <c r="O310" s="296"/>
      <c r="P3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11" spans="1:16" ht="19" thickBot="1" x14ac:dyDescent="0.5">
      <c r="A311" s="310">
        <v>310</v>
      </c>
      <c r="B311" s="426" t="s">
        <v>3426</v>
      </c>
      <c r="C311" s="446" t="s">
        <v>2</v>
      </c>
      <c r="D311" s="453">
        <v>9</v>
      </c>
      <c r="E311" s="426">
        <v>4.75</v>
      </c>
      <c r="F311" s="404" t="s">
        <v>2009</v>
      </c>
      <c r="G311" s="426" t="s">
        <v>2046</v>
      </c>
      <c r="H311" s="402" t="str">
        <f>IF(Tableau2[[#This Row],[Moyennes]]="Absent","Absent",IF(Tableau2[[#This Row],[Moyennes]]&lt;5,"Redouble",IF(Tableau2[[#This Row],[Moyennes]]&gt;=5,"Admis"," ")))</f>
        <v>Redouble</v>
      </c>
      <c r="I311" s="429"/>
      <c r="J311" s="300" t="s">
        <v>660</v>
      </c>
      <c r="K311" s="64" t="s">
        <v>254</v>
      </c>
      <c r="L311" s="64">
        <f>IF(AND(Tableau2[[#This Row],[CLASSE]]="CPU",Tableau2[[#This Row],[STATUT ]]="Admis"),1,0)</f>
        <v>0</v>
      </c>
      <c r="M311" s="64">
        <f>IF(AND(Tableau2[[#This Row],[CLASSE]]="CEU",Tableau2[[#This Row],[STATUT ]]="Admis"),1,0)</f>
        <v>0</v>
      </c>
      <c r="N311" s="64"/>
      <c r="O311" s="296"/>
      <c r="P3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12" spans="1:16" ht="19" thickBot="1" x14ac:dyDescent="0.5">
      <c r="A312" s="310">
        <v>311</v>
      </c>
      <c r="B312" s="426" t="s">
        <v>2293</v>
      </c>
      <c r="C312" s="427" t="s">
        <v>2</v>
      </c>
      <c r="D312" s="428">
        <v>10</v>
      </c>
      <c r="E312" s="429">
        <v>4.25</v>
      </c>
      <c r="F312" s="465" t="s">
        <v>2009</v>
      </c>
      <c r="G312" s="426" t="s">
        <v>2030</v>
      </c>
      <c r="H312" s="402" t="str">
        <f>IF(Tableau2[[#This Row],[Moyennes]]="Absent","Absent",IF(Tableau2[[#This Row],[Moyennes]]&lt;5,"Redouble",IF(Tableau2[[#This Row],[Moyennes]]&gt;=5,"Admis"," ")))</f>
        <v>Redouble</v>
      </c>
      <c r="I312" s="426"/>
      <c r="J312" s="300" t="s">
        <v>660</v>
      </c>
      <c r="K312" s="334" t="s">
        <v>254</v>
      </c>
      <c r="L312" s="64">
        <f>IF(AND(Tableau2[[#This Row],[CLASSE]]="CPU",Tableau2[[#This Row],[STATUT ]]="Admis"),1,0)</f>
        <v>0</v>
      </c>
      <c r="M312" s="64">
        <f>IF(AND(Tableau2[[#This Row],[CLASSE]]="CEU",Tableau2[[#This Row],[STATUT ]]="Admis"),1,0)</f>
        <v>0</v>
      </c>
      <c r="N312" s="64"/>
      <c r="O312" s="296"/>
      <c r="P3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13" spans="1:16" ht="19" thickBot="1" x14ac:dyDescent="0.5">
      <c r="A313" s="310">
        <v>312</v>
      </c>
      <c r="B313" s="426" t="s">
        <v>2295</v>
      </c>
      <c r="C313" s="64" t="s">
        <v>1</v>
      </c>
      <c r="D313" s="428">
        <v>9</v>
      </c>
      <c r="E313" s="429">
        <v>4.12</v>
      </c>
      <c r="F313" s="404" t="s">
        <v>2009</v>
      </c>
      <c r="G313" s="426" t="s">
        <v>2066</v>
      </c>
      <c r="H313" s="402" t="str">
        <f>IF(Tableau2[[#This Row],[Moyennes]]="Absent","Absent",IF(Tableau2[[#This Row],[Moyennes]]&lt;5,"Redouble",IF(Tableau2[[#This Row],[Moyennes]]&gt;=5,"Admis"," ")))</f>
        <v>Redouble</v>
      </c>
      <c r="I313" s="429"/>
      <c r="J313" s="300" t="s">
        <v>660</v>
      </c>
      <c r="K313" s="64" t="s">
        <v>254</v>
      </c>
      <c r="L313" s="64">
        <f>IF(AND(Tableau2[[#This Row],[CLASSE]]="CPU",Tableau2[[#This Row],[STATUT ]]="Admis"),1,0)</f>
        <v>0</v>
      </c>
      <c r="M313" s="64">
        <f>IF(AND(Tableau2[[#This Row],[CLASSE]]="CEU",Tableau2[[#This Row],[STATUT ]]="Admis"),1,0)</f>
        <v>0</v>
      </c>
      <c r="N313" s="64"/>
      <c r="O313" s="296"/>
      <c r="P3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14" spans="1:16" ht="19" thickBot="1" x14ac:dyDescent="0.5">
      <c r="A314" s="310">
        <v>313</v>
      </c>
      <c r="B314" s="426" t="s">
        <v>2296</v>
      </c>
      <c r="C314" s="64" t="s">
        <v>1</v>
      </c>
      <c r="D314" s="453">
        <v>10</v>
      </c>
      <c r="E314" s="426">
        <v>3.75</v>
      </c>
      <c r="F314" s="404" t="s">
        <v>2009</v>
      </c>
      <c r="G314" s="426" t="s">
        <v>2078</v>
      </c>
      <c r="H314" s="402" t="str">
        <f>IF(Tableau2[[#This Row],[Moyennes]]="Absent","Absent",IF(Tableau2[[#This Row],[Moyennes]]&lt;5,"Redouble",IF(Tableau2[[#This Row],[Moyennes]]&gt;=5,"Admis"," ")))</f>
        <v>Redouble</v>
      </c>
      <c r="I314" s="429"/>
      <c r="J314" s="300" t="s">
        <v>660</v>
      </c>
      <c r="K314" s="334" t="s">
        <v>254</v>
      </c>
      <c r="L314" s="64">
        <f>IF(AND(Tableau2[[#This Row],[CLASSE]]="CPU",Tableau2[[#This Row],[STATUT ]]="Admis"),1,0)</f>
        <v>0</v>
      </c>
      <c r="M314" s="64">
        <f>IF(AND(Tableau2[[#This Row],[CLASSE]]="CEU",Tableau2[[#This Row],[STATUT ]]="Admis"),1,0)</f>
        <v>0</v>
      </c>
      <c r="N314" s="64"/>
      <c r="O314" s="296"/>
      <c r="P3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15" spans="1:16" ht="19" thickBot="1" x14ac:dyDescent="0.5">
      <c r="A315" s="310">
        <v>314</v>
      </c>
      <c r="B315" s="426" t="s">
        <v>2294</v>
      </c>
      <c r="C315" s="427" t="s">
        <v>2</v>
      </c>
      <c r="D315" s="428">
        <v>10</v>
      </c>
      <c r="E315" s="429">
        <v>2</v>
      </c>
      <c r="F315" s="404" t="s">
        <v>2009</v>
      </c>
      <c r="G315" s="426" t="s">
        <v>2037</v>
      </c>
      <c r="H315" s="402" t="str">
        <f>IF(Tableau2[[#This Row],[Moyennes]]="Absent","Absent",IF(Tableau2[[#This Row],[Moyennes]]&lt;5,"Redouble",IF(Tableau2[[#This Row],[Moyennes]]&gt;=5,"Admis"," ")))</f>
        <v>Redouble</v>
      </c>
      <c r="I315" s="429"/>
      <c r="J315" s="300" t="s">
        <v>660</v>
      </c>
      <c r="K315" s="64" t="s">
        <v>254</v>
      </c>
      <c r="L315" s="64">
        <f>IF(AND(Tableau2[[#This Row],[CLASSE]]="CPU",Tableau2[[#This Row],[STATUT ]]="Admis"),1,0)</f>
        <v>0</v>
      </c>
      <c r="M315" s="64">
        <f>IF(AND(Tableau2[[#This Row],[CLASSE]]="CEU",Tableau2[[#This Row],[STATUT ]]="Admis"),1,0)</f>
        <v>0</v>
      </c>
      <c r="N315" s="64"/>
      <c r="O315" s="296"/>
      <c r="P3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16" spans="1:16" ht="19" thickBot="1" x14ac:dyDescent="0.5">
      <c r="A316" s="310">
        <v>315</v>
      </c>
      <c r="B316" s="426" t="s">
        <v>3338</v>
      </c>
      <c r="C316" s="64" t="s">
        <v>1</v>
      </c>
      <c r="D316" s="428">
        <v>12</v>
      </c>
      <c r="E316" s="495" t="s">
        <v>2165</v>
      </c>
      <c r="F316" s="497" t="s">
        <v>2009</v>
      </c>
      <c r="G316" s="446"/>
      <c r="H316" s="300" t="str">
        <f>IF(Tableau2[[#This Row],[Moyennes]]="Absent","Absent",IF(Tableau2[[#This Row],[Moyennes]]&lt;5,"Redouble",IF(Tableau2[[#This Row],[Moyennes]]&gt;=5,"Admis"," ")))</f>
        <v>Absent</v>
      </c>
      <c r="I316" s="446"/>
      <c r="J316" s="300" t="s">
        <v>660</v>
      </c>
      <c r="K316" s="334" t="s">
        <v>254</v>
      </c>
      <c r="L316" s="64">
        <f>IF(AND(Tableau2[[#This Row],[CLASSE]]="CPU",Tableau2[[#This Row],[STATUT ]]="Admis"),1,0)</f>
        <v>0</v>
      </c>
      <c r="M316" s="64">
        <f>IF(AND(Tableau2[[#This Row],[CLASSE]]="CEU",Tableau2[[#This Row],[STATUT ]]="Admis"),1,0)</f>
        <v>0</v>
      </c>
      <c r="N316" s="64"/>
      <c r="O316" s="296"/>
      <c r="P3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317" spans="1:16" ht="19" thickBot="1" x14ac:dyDescent="0.5">
      <c r="A317" s="310">
        <v>316</v>
      </c>
      <c r="B317" s="426" t="s">
        <v>3339</v>
      </c>
      <c r="C317" s="446" t="s">
        <v>2</v>
      </c>
      <c r="D317" s="428">
        <v>12</v>
      </c>
      <c r="E317" s="495" t="s">
        <v>2165</v>
      </c>
      <c r="F317" s="497" t="s">
        <v>2009</v>
      </c>
      <c r="G317" s="495"/>
      <c r="H317" s="300" t="str">
        <f>IF(Tableau2[[#This Row],[Moyennes]]="Absent","Absent",IF(Tableau2[[#This Row],[Moyennes]]&lt;5,"Redouble",IF(Tableau2[[#This Row],[Moyennes]]&gt;=5,"Admis"," ")))</f>
        <v>Absent</v>
      </c>
      <c r="I317" s="495"/>
      <c r="J317" s="300" t="s">
        <v>660</v>
      </c>
      <c r="K317" s="64" t="s">
        <v>254</v>
      </c>
      <c r="L317" s="64">
        <f>IF(AND(Tableau2[[#This Row],[CLASSE]]="CPU",Tableau2[[#This Row],[STATUT ]]="Admis"),1,0)</f>
        <v>0</v>
      </c>
      <c r="M317" s="64">
        <f>IF(AND(Tableau2[[#This Row],[CLASSE]]="CEU",Tableau2[[#This Row],[STATUT ]]="Admis"),1,0)</f>
        <v>0</v>
      </c>
      <c r="N317" s="64"/>
      <c r="O317" s="296"/>
      <c r="P3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318" spans="1:16" ht="19" thickBot="1" x14ac:dyDescent="0.5">
      <c r="A318" s="310">
        <v>317</v>
      </c>
      <c r="B318" s="441" t="s">
        <v>3427</v>
      </c>
      <c r="C318" s="64" t="s">
        <v>1</v>
      </c>
      <c r="D318" s="428">
        <v>13</v>
      </c>
      <c r="E318" s="429">
        <v>9.3699999999999992</v>
      </c>
      <c r="F318" s="404" t="s">
        <v>2009</v>
      </c>
      <c r="G318" s="429" t="s">
        <v>2035</v>
      </c>
      <c r="H318" s="402" t="str">
        <f>IF(Tableau2[[#This Row],[Moyennes]]="Absent","Absent",IF(Tableau2[[#This Row],[Moyennes]]&lt;5,"Redouble",IF(Tableau2[[#This Row],[Moyennes]]&gt;=5,"Admis"," ")))</f>
        <v>Admis</v>
      </c>
      <c r="I318" s="429"/>
      <c r="J318" s="300" t="s">
        <v>660</v>
      </c>
      <c r="K318" s="334" t="s">
        <v>2316</v>
      </c>
      <c r="L318" s="64">
        <f>IF(AND(Tableau2[[#This Row],[CLASSE]]="CPU",Tableau2[[#This Row],[STATUT ]]="Admis"),1,0)</f>
        <v>1</v>
      </c>
      <c r="M318" s="64">
        <f>IF(AND(Tableau2[[#This Row],[CLASSE]]="CEU",Tableau2[[#This Row],[STATUT ]]="Admis"),1,0)</f>
        <v>0</v>
      </c>
      <c r="N318" s="64"/>
      <c r="O318" s="296"/>
      <c r="P3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19" spans="1:16" ht="19" thickBot="1" x14ac:dyDescent="0.5">
      <c r="A319" s="310">
        <v>318</v>
      </c>
      <c r="B319" s="426" t="s">
        <v>2303</v>
      </c>
      <c r="C319" s="427" t="s">
        <v>2</v>
      </c>
      <c r="D319" s="428">
        <v>9</v>
      </c>
      <c r="E319" s="429">
        <v>9.25</v>
      </c>
      <c r="F319" s="404" t="s">
        <v>2009</v>
      </c>
      <c r="G319" s="426" t="s">
        <v>2010</v>
      </c>
      <c r="H319" s="402" t="str">
        <f>IF(Tableau2[[#This Row],[Moyennes]]="Absent","Absent",IF(Tableau2[[#This Row],[Moyennes]]&lt;5,"Redouble",IF(Tableau2[[#This Row],[Moyennes]]&gt;=5,"Admis"," ")))</f>
        <v>Admis</v>
      </c>
      <c r="I319" s="429"/>
      <c r="J319" s="300" t="s">
        <v>660</v>
      </c>
      <c r="K319" s="64" t="s">
        <v>2316</v>
      </c>
      <c r="L319" s="64">
        <f>IF(AND(Tableau2[[#This Row],[CLASSE]]="CPU",Tableau2[[#This Row],[STATUT ]]="Admis"),1,0)</f>
        <v>1</v>
      </c>
      <c r="M319" s="64">
        <f>IF(AND(Tableau2[[#This Row],[CLASSE]]="CEU",Tableau2[[#This Row],[STATUT ]]="Admis"),1,0)</f>
        <v>0</v>
      </c>
      <c r="N319" s="64"/>
      <c r="O319" s="296"/>
      <c r="P3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0" spans="1:16" ht="18.5" x14ac:dyDescent="0.45">
      <c r="A320" s="310">
        <v>319</v>
      </c>
      <c r="B320" s="431" t="s">
        <v>2297</v>
      </c>
      <c r="C320" s="64" t="s">
        <v>1</v>
      </c>
      <c r="D320" s="428">
        <v>11</v>
      </c>
      <c r="E320" s="429">
        <v>9.1199999999999992</v>
      </c>
      <c r="F320" s="467" t="s">
        <v>2009</v>
      </c>
      <c r="G320" s="426" t="s">
        <v>815</v>
      </c>
      <c r="H320" s="402" t="str">
        <f>IF(Tableau2[[#This Row],[Moyennes]]="Absent","Absent",IF(Tableau2[[#This Row],[Moyennes]]&lt;5,"Redouble",IF(Tableau2[[#This Row],[Moyennes]]&gt;=5,"Admis"," ")))</f>
        <v>Admis</v>
      </c>
      <c r="I320" s="426"/>
      <c r="J320" s="300" t="s">
        <v>660</v>
      </c>
      <c r="K320" s="334" t="s">
        <v>2316</v>
      </c>
      <c r="L320" s="64">
        <f>IF(AND(Tableau2[[#This Row],[CLASSE]]="CPU",Tableau2[[#This Row],[STATUT ]]="Admis"),1,0)</f>
        <v>1</v>
      </c>
      <c r="M320" s="64">
        <f>IF(AND(Tableau2[[#This Row],[CLASSE]]="CEU",Tableau2[[#This Row],[STATUT ]]="Admis"),1,0)</f>
        <v>0</v>
      </c>
      <c r="N320" s="64"/>
      <c r="O320" s="296"/>
      <c r="P3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1" spans="1:16" ht="18.5" x14ac:dyDescent="0.45">
      <c r="A321" s="310">
        <v>320</v>
      </c>
      <c r="B321" s="426" t="s">
        <v>3428</v>
      </c>
      <c r="C321" s="64" t="s">
        <v>1</v>
      </c>
      <c r="D321" s="428">
        <v>11</v>
      </c>
      <c r="E321" s="429">
        <v>9.1199999999999992</v>
      </c>
      <c r="F321" s="418" t="s">
        <v>2009</v>
      </c>
      <c r="G321" s="429" t="s">
        <v>2012</v>
      </c>
      <c r="H321" s="402" t="str">
        <f>IF(Tableau2[[#This Row],[Moyennes]]="Absent","Absent",IF(Tableau2[[#This Row],[Moyennes]]&lt;5,"Redouble",IF(Tableau2[[#This Row],[Moyennes]]&gt;=5,"Admis"," ")))</f>
        <v>Admis</v>
      </c>
      <c r="I321" s="429"/>
      <c r="J321" s="300" t="s">
        <v>660</v>
      </c>
      <c r="K321" s="64" t="s">
        <v>2316</v>
      </c>
      <c r="L321" s="64">
        <f>IF(AND(Tableau2[[#This Row],[CLASSE]]="CPU",Tableau2[[#This Row],[STATUT ]]="Admis"),1,0)</f>
        <v>1</v>
      </c>
      <c r="M321" s="64">
        <f>IF(AND(Tableau2[[#This Row],[CLASSE]]="CEU",Tableau2[[#This Row],[STATUT ]]="Admis"),1,0)</f>
        <v>0</v>
      </c>
      <c r="N321" s="64"/>
      <c r="O321" s="296"/>
      <c r="P3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2" spans="1:16" ht="18.5" x14ac:dyDescent="0.45">
      <c r="A322" s="310">
        <v>321</v>
      </c>
      <c r="B322" s="426" t="s">
        <v>3340</v>
      </c>
      <c r="C322" s="64" t="s">
        <v>1</v>
      </c>
      <c r="D322" s="428">
        <v>9</v>
      </c>
      <c r="E322" s="429">
        <v>9</v>
      </c>
      <c r="F322" s="418" t="s">
        <v>2009</v>
      </c>
      <c r="G322" s="426" t="s">
        <v>2018</v>
      </c>
      <c r="H322" s="402" t="str">
        <f>IF(Tableau2[[#This Row],[Moyennes]]="Absent","Absent",IF(Tableau2[[#This Row],[Moyennes]]&lt;5,"Redouble",IF(Tableau2[[#This Row],[Moyennes]]&gt;=5,"Admis"," ")))</f>
        <v>Admis</v>
      </c>
      <c r="I322" s="426"/>
      <c r="J322" s="300" t="s">
        <v>660</v>
      </c>
      <c r="K322" s="334" t="s">
        <v>2316</v>
      </c>
      <c r="L322" s="64">
        <f>IF(AND(Tableau2[[#This Row],[CLASSE]]="CPU",Tableau2[[#This Row],[STATUT ]]="Admis"),1,0)</f>
        <v>1</v>
      </c>
      <c r="M322" s="64">
        <f>IF(AND(Tableau2[[#This Row],[CLASSE]]="CEU",Tableau2[[#This Row],[STATUT ]]="Admis"),1,0)</f>
        <v>0</v>
      </c>
      <c r="N322" s="64"/>
      <c r="O322" s="296"/>
      <c r="P3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3" spans="1:16" ht="18.5" x14ac:dyDescent="0.45">
      <c r="A323" s="310">
        <v>322</v>
      </c>
      <c r="B323" s="426" t="s">
        <v>2298</v>
      </c>
      <c r="C323" s="427" t="s">
        <v>2</v>
      </c>
      <c r="D323" s="453">
        <v>14</v>
      </c>
      <c r="E323" s="426">
        <v>8.3699999999999992</v>
      </c>
      <c r="F323" s="418" t="s">
        <v>2009</v>
      </c>
      <c r="G323" s="426" t="s">
        <v>2044</v>
      </c>
      <c r="H323" s="402" t="str">
        <f>IF(Tableau2[[#This Row],[Moyennes]]="Absent","Absent",IF(Tableau2[[#This Row],[Moyennes]]&lt;5,"Redouble",IF(Tableau2[[#This Row],[Moyennes]]&gt;=5,"Admis"," ")))</f>
        <v>Admis</v>
      </c>
      <c r="I323" s="429"/>
      <c r="J323" s="300" t="s">
        <v>660</v>
      </c>
      <c r="K323" s="64" t="s">
        <v>2316</v>
      </c>
      <c r="L323" s="64">
        <f>IF(AND(Tableau2[[#This Row],[CLASSE]]="CPU",Tableau2[[#This Row],[STATUT ]]="Admis"),1,0)</f>
        <v>1</v>
      </c>
      <c r="M323" s="64">
        <f>IF(AND(Tableau2[[#This Row],[CLASSE]]="CEU",Tableau2[[#This Row],[STATUT ]]="Admis"),1,0)</f>
        <v>0</v>
      </c>
      <c r="N323" s="64"/>
      <c r="O323" s="296"/>
      <c r="P3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24" spans="1:16" ht="18.5" x14ac:dyDescent="0.45">
      <c r="A324" s="310">
        <v>323</v>
      </c>
      <c r="B324" s="426" t="s">
        <v>2302</v>
      </c>
      <c r="C324" s="64" t="s">
        <v>1</v>
      </c>
      <c r="D324" s="453">
        <v>11</v>
      </c>
      <c r="E324" s="426">
        <v>8.1199999999999992</v>
      </c>
      <c r="F324" s="418" t="s">
        <v>2009</v>
      </c>
      <c r="G324" s="426" t="s">
        <v>2048</v>
      </c>
      <c r="H324" s="402" t="str">
        <f>IF(Tableau2[[#This Row],[Moyennes]]="Absent","Absent",IF(Tableau2[[#This Row],[Moyennes]]&lt;5,"Redouble",IF(Tableau2[[#This Row],[Moyennes]]&gt;=5,"Admis"," ")))</f>
        <v>Admis</v>
      </c>
      <c r="I324" s="426"/>
      <c r="J324" s="300" t="s">
        <v>660</v>
      </c>
      <c r="K324" s="334" t="s">
        <v>2316</v>
      </c>
      <c r="L324" s="64">
        <f>IF(AND(Tableau2[[#This Row],[CLASSE]]="CPU",Tableau2[[#This Row],[STATUT ]]="Admis"),1,0)</f>
        <v>1</v>
      </c>
      <c r="M324" s="64">
        <f>IF(AND(Tableau2[[#This Row],[CLASSE]]="CEU",Tableau2[[#This Row],[STATUT ]]="Admis"),1,0)</f>
        <v>0</v>
      </c>
      <c r="N324" s="64"/>
      <c r="O324" s="296"/>
      <c r="P3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5" spans="1:16" ht="18.5" x14ac:dyDescent="0.45">
      <c r="A325" s="310">
        <v>324</v>
      </c>
      <c r="B325" s="426" t="s">
        <v>3429</v>
      </c>
      <c r="C325" s="64" t="s">
        <v>1</v>
      </c>
      <c r="D325" s="428">
        <v>12</v>
      </c>
      <c r="E325" s="429">
        <v>8.1199999999999992</v>
      </c>
      <c r="F325" s="418" t="s">
        <v>2009</v>
      </c>
      <c r="G325" s="429" t="s">
        <v>2027</v>
      </c>
      <c r="H325" s="402" t="str">
        <f>IF(Tableau2[[#This Row],[Moyennes]]="Absent","Absent",IF(Tableau2[[#This Row],[Moyennes]]&lt;5,"Redouble",IF(Tableau2[[#This Row],[Moyennes]]&gt;=5,"Admis"," ")))</f>
        <v>Admis</v>
      </c>
      <c r="I325" s="429"/>
      <c r="J325" s="300" t="s">
        <v>660</v>
      </c>
      <c r="K325" s="64" t="s">
        <v>2316</v>
      </c>
      <c r="L325" s="64">
        <f>IF(AND(Tableau2[[#This Row],[CLASSE]]="CPU",Tableau2[[#This Row],[STATUT ]]="Admis"),1,0)</f>
        <v>1</v>
      </c>
      <c r="M325" s="64">
        <f>IF(AND(Tableau2[[#This Row],[CLASSE]]="CEU",Tableau2[[#This Row],[STATUT ]]="Admis"),1,0)</f>
        <v>0</v>
      </c>
      <c r="N325" s="64"/>
      <c r="O325" s="296"/>
      <c r="P3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26" spans="1:16" ht="18.5" x14ac:dyDescent="0.45">
      <c r="A326" s="310">
        <v>325</v>
      </c>
      <c r="B326" s="426" t="s">
        <v>2312</v>
      </c>
      <c r="C326" s="427" t="s">
        <v>2</v>
      </c>
      <c r="D326" s="428">
        <v>11</v>
      </c>
      <c r="E326" s="436">
        <v>7.62</v>
      </c>
      <c r="F326" s="464" t="s">
        <v>2009</v>
      </c>
      <c r="G326" s="441" t="s">
        <v>2089</v>
      </c>
      <c r="H326" s="402" t="str">
        <f>IF(Tableau2[[#This Row],[Moyennes]]="Absent","Absent",IF(Tableau2[[#This Row],[Moyennes]]&lt;5,"Redouble",IF(Tableau2[[#This Row],[Moyennes]]&gt;=5,"Admis"," ")))</f>
        <v>Admis</v>
      </c>
      <c r="I326" s="436"/>
      <c r="J326" s="300" t="s">
        <v>660</v>
      </c>
      <c r="K326" s="334" t="s">
        <v>2316</v>
      </c>
      <c r="L326" s="64">
        <f>IF(AND(Tableau2[[#This Row],[CLASSE]]="CPU",Tableau2[[#This Row],[STATUT ]]="Admis"),1,0)</f>
        <v>1</v>
      </c>
      <c r="M326" s="64">
        <f>IF(AND(Tableau2[[#This Row],[CLASSE]]="CEU",Tableau2[[#This Row],[STATUT ]]="Admis"),1,0)</f>
        <v>0</v>
      </c>
      <c r="N326" s="64"/>
      <c r="O326" s="296"/>
      <c r="P3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7" spans="1:16" ht="18.5" x14ac:dyDescent="0.45">
      <c r="A327" s="310">
        <v>326</v>
      </c>
      <c r="B327" s="426" t="s">
        <v>3430</v>
      </c>
      <c r="C327" s="64" t="s">
        <v>1</v>
      </c>
      <c r="D327" s="428">
        <v>13</v>
      </c>
      <c r="E327" s="436">
        <v>7.37</v>
      </c>
      <c r="F327" s="464" t="s">
        <v>2009</v>
      </c>
      <c r="G327" s="441" t="s">
        <v>2021</v>
      </c>
      <c r="H327" s="402" t="str">
        <f>IF(Tableau2[[#This Row],[Moyennes]]="Absent","Absent",IF(Tableau2[[#This Row],[Moyennes]]&lt;5,"Redouble",IF(Tableau2[[#This Row],[Moyennes]]&gt;=5,"Admis"," ")))</f>
        <v>Admis</v>
      </c>
      <c r="I327" s="436"/>
      <c r="J327" s="300" t="s">
        <v>660</v>
      </c>
      <c r="K327" s="64" t="s">
        <v>2316</v>
      </c>
      <c r="L327" s="64">
        <f>IF(AND(Tableau2[[#This Row],[CLASSE]]="CPU",Tableau2[[#This Row],[STATUT ]]="Admis"),1,0)</f>
        <v>1</v>
      </c>
      <c r="M327" s="64">
        <f>IF(AND(Tableau2[[#This Row],[CLASSE]]="CEU",Tableau2[[#This Row],[STATUT ]]="Admis"),1,0)</f>
        <v>0</v>
      </c>
      <c r="N327" s="64"/>
      <c r="O327" s="296"/>
      <c r="P3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28" spans="1:16" ht="18.5" x14ac:dyDescent="0.45">
      <c r="A328" s="310">
        <v>327</v>
      </c>
      <c r="B328" s="426" t="s">
        <v>2307</v>
      </c>
      <c r="C328" s="427" t="s">
        <v>2</v>
      </c>
      <c r="D328" s="428">
        <v>10</v>
      </c>
      <c r="E328" s="436">
        <v>7.25</v>
      </c>
      <c r="F328" s="464" t="s">
        <v>2009</v>
      </c>
      <c r="G328" s="441" t="s">
        <v>2033</v>
      </c>
      <c r="H328" s="402" t="str">
        <f>IF(Tableau2[[#This Row],[Moyennes]]="Absent","Absent",IF(Tableau2[[#This Row],[Moyennes]]&lt;5,"Redouble",IF(Tableau2[[#This Row],[Moyennes]]&gt;=5,"Admis"," ")))</f>
        <v>Admis</v>
      </c>
      <c r="I328" s="436"/>
      <c r="J328" s="300" t="s">
        <v>660</v>
      </c>
      <c r="K328" s="334" t="s">
        <v>2316</v>
      </c>
      <c r="L328" s="64">
        <f>IF(AND(Tableau2[[#This Row],[CLASSE]]="CPU",Tableau2[[#This Row],[STATUT ]]="Admis"),1,0)</f>
        <v>1</v>
      </c>
      <c r="M328" s="64">
        <f>IF(AND(Tableau2[[#This Row],[CLASSE]]="CEU",Tableau2[[#This Row],[STATUT ]]="Admis"),1,0)</f>
        <v>0</v>
      </c>
      <c r="N328" s="64"/>
      <c r="O328" s="296"/>
      <c r="P3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29" spans="1:16" ht="18.5" x14ac:dyDescent="0.45">
      <c r="A329" s="310">
        <v>328</v>
      </c>
      <c r="B329" s="426" t="s">
        <v>2306</v>
      </c>
      <c r="C329" s="64" t="s">
        <v>1</v>
      </c>
      <c r="D329" s="428">
        <v>10</v>
      </c>
      <c r="E329" s="436">
        <v>7.25</v>
      </c>
      <c r="F329" s="464" t="s">
        <v>2009</v>
      </c>
      <c r="G329" s="441" t="s">
        <v>2016</v>
      </c>
      <c r="H329" s="402" t="str">
        <f>IF(Tableau2[[#This Row],[Moyennes]]="Absent","Absent",IF(Tableau2[[#This Row],[Moyennes]]&lt;5,"Redouble",IF(Tableau2[[#This Row],[Moyennes]]&gt;=5,"Admis"," ")))</f>
        <v>Admis</v>
      </c>
      <c r="I329" s="436"/>
      <c r="J329" s="300" t="s">
        <v>660</v>
      </c>
      <c r="K329" s="64" t="s">
        <v>2316</v>
      </c>
      <c r="L329" s="64">
        <f>IF(AND(Tableau2[[#This Row],[CLASSE]]="CPU",Tableau2[[#This Row],[STATUT ]]="Admis"),1,0)</f>
        <v>1</v>
      </c>
      <c r="M329" s="64">
        <f>IF(AND(Tableau2[[#This Row],[CLASSE]]="CEU",Tableau2[[#This Row],[STATUT ]]="Admis"),1,0)</f>
        <v>0</v>
      </c>
      <c r="N329" s="64"/>
      <c r="O329" s="296"/>
      <c r="P3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0" spans="1:16" ht="18.5" x14ac:dyDescent="0.45">
      <c r="A330" s="310">
        <v>329</v>
      </c>
      <c r="B330" s="426" t="s">
        <v>2301</v>
      </c>
      <c r="C330" s="64" t="s">
        <v>1</v>
      </c>
      <c r="D330" s="428">
        <v>10</v>
      </c>
      <c r="E330" s="436">
        <v>7.12</v>
      </c>
      <c r="F330" s="464" t="s">
        <v>2009</v>
      </c>
      <c r="G330" s="441" t="s">
        <v>2062</v>
      </c>
      <c r="H330" s="402" t="str">
        <f>IF(Tableau2[[#This Row],[Moyennes]]="Absent","Absent",IF(Tableau2[[#This Row],[Moyennes]]&lt;5,"Redouble",IF(Tableau2[[#This Row],[Moyennes]]&gt;=5,"Admis"," ")))</f>
        <v>Admis</v>
      </c>
      <c r="I330" s="436"/>
      <c r="J330" s="300" t="s">
        <v>660</v>
      </c>
      <c r="K330" s="334" t="s">
        <v>2316</v>
      </c>
      <c r="L330" s="64">
        <f>IF(AND(Tableau2[[#This Row],[CLASSE]]="CPU",Tableau2[[#This Row],[STATUT ]]="Admis"),1,0)</f>
        <v>1</v>
      </c>
      <c r="M330" s="64">
        <f>IF(AND(Tableau2[[#This Row],[CLASSE]]="CEU",Tableau2[[#This Row],[STATUT ]]="Admis"),1,0)</f>
        <v>0</v>
      </c>
      <c r="N330" s="64"/>
      <c r="O330" s="296"/>
      <c r="P3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1" spans="1:16" ht="18.5" x14ac:dyDescent="0.45">
      <c r="A331" s="310">
        <v>330</v>
      </c>
      <c r="B331" s="426" t="s">
        <v>2311</v>
      </c>
      <c r="C331" s="64" t="s">
        <v>1</v>
      </c>
      <c r="D331" s="428">
        <v>10</v>
      </c>
      <c r="E331" s="436">
        <v>7.12</v>
      </c>
      <c r="F331" s="464" t="s">
        <v>2009</v>
      </c>
      <c r="G331" s="441" t="s">
        <v>2023</v>
      </c>
      <c r="H331" s="402" t="str">
        <f>IF(Tableau2[[#This Row],[Moyennes]]="Absent","Absent",IF(Tableau2[[#This Row],[Moyennes]]&lt;5,"Redouble",IF(Tableau2[[#This Row],[Moyennes]]&gt;=5,"Admis"," ")))</f>
        <v>Admis</v>
      </c>
      <c r="I331" s="436"/>
      <c r="J331" s="300" t="s">
        <v>660</v>
      </c>
      <c r="K331" s="64" t="s">
        <v>2316</v>
      </c>
      <c r="L331" s="64">
        <f>IF(AND(Tableau2[[#This Row],[CLASSE]]="CPU",Tableau2[[#This Row],[STATUT ]]="Admis"),1,0)</f>
        <v>1</v>
      </c>
      <c r="M331" s="64">
        <f>IF(AND(Tableau2[[#This Row],[CLASSE]]="CEU",Tableau2[[#This Row],[STATUT ]]="Admis"),1,0)</f>
        <v>0</v>
      </c>
      <c r="N331" s="64"/>
      <c r="O331" s="296"/>
      <c r="P3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2" spans="1:16" ht="18.5" x14ac:dyDescent="0.45">
      <c r="A332" s="310">
        <v>331</v>
      </c>
      <c r="B332" s="426" t="s">
        <v>2308</v>
      </c>
      <c r="C332" s="64" t="s">
        <v>1</v>
      </c>
      <c r="D332" s="428">
        <v>9</v>
      </c>
      <c r="E332" s="436">
        <v>6.12</v>
      </c>
      <c r="F332" s="464" t="s">
        <v>2009</v>
      </c>
      <c r="G332" s="441" t="s">
        <v>2042</v>
      </c>
      <c r="H332" s="402" t="str">
        <f>IF(Tableau2[[#This Row],[Moyennes]]="Absent","Absent",IF(Tableau2[[#This Row],[Moyennes]]&lt;5,"Redouble",IF(Tableau2[[#This Row],[Moyennes]]&gt;=5,"Admis"," ")))</f>
        <v>Admis</v>
      </c>
      <c r="I332" s="436"/>
      <c r="J332" s="300" t="s">
        <v>660</v>
      </c>
      <c r="K332" s="334" t="s">
        <v>2316</v>
      </c>
      <c r="L332" s="64">
        <f>IF(AND(Tableau2[[#This Row],[CLASSE]]="CPU",Tableau2[[#This Row],[STATUT ]]="Admis"),1,0)</f>
        <v>1</v>
      </c>
      <c r="M332" s="64">
        <f>IF(AND(Tableau2[[#This Row],[CLASSE]]="CEU",Tableau2[[#This Row],[STATUT ]]="Admis"),1,0)</f>
        <v>0</v>
      </c>
      <c r="N332" s="64"/>
      <c r="O332" s="296"/>
      <c r="P3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3" spans="1:16" ht="18.5" x14ac:dyDescent="0.45">
      <c r="A333" s="310">
        <v>332</v>
      </c>
      <c r="B333" s="426" t="s">
        <v>2305</v>
      </c>
      <c r="C333" s="427" t="s">
        <v>2</v>
      </c>
      <c r="D333" s="428">
        <v>12</v>
      </c>
      <c r="E333" s="436">
        <v>5.62</v>
      </c>
      <c r="F333" s="464" t="s">
        <v>2009</v>
      </c>
      <c r="G333" s="441" t="s">
        <v>2025</v>
      </c>
      <c r="H333" s="402" t="str">
        <f>IF(Tableau2[[#This Row],[Moyennes]]="Absent","Absent",IF(Tableau2[[#This Row],[Moyennes]]&lt;5,"Redouble",IF(Tableau2[[#This Row],[Moyennes]]&gt;=5,"Admis"," ")))</f>
        <v>Admis</v>
      </c>
      <c r="I333" s="436"/>
      <c r="J333" s="300" t="s">
        <v>660</v>
      </c>
      <c r="K333" s="64" t="s">
        <v>2316</v>
      </c>
      <c r="L333" s="64">
        <f>IF(AND(Tableau2[[#This Row],[CLASSE]]="CPU",Tableau2[[#This Row],[STATUT ]]="Admis"),1,0)</f>
        <v>1</v>
      </c>
      <c r="M333" s="64">
        <f>IF(AND(Tableau2[[#This Row],[CLASSE]]="CEU",Tableau2[[#This Row],[STATUT ]]="Admis"),1,0)</f>
        <v>0</v>
      </c>
      <c r="N333" s="64"/>
      <c r="O333" s="296"/>
      <c r="P3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334" spans="1:16" ht="18.5" x14ac:dyDescent="0.45">
      <c r="A334" s="310">
        <v>333</v>
      </c>
      <c r="B334" s="426" t="s">
        <v>2313</v>
      </c>
      <c r="C334" s="64" t="s">
        <v>1</v>
      </c>
      <c r="D334" s="428">
        <v>10</v>
      </c>
      <c r="E334" s="436">
        <v>5.5</v>
      </c>
      <c r="F334" s="464" t="s">
        <v>2009</v>
      </c>
      <c r="G334" s="441" t="s">
        <v>2046</v>
      </c>
      <c r="H334" s="402" t="str">
        <f>IF(Tableau2[[#This Row],[Moyennes]]="Absent","Absent",IF(Tableau2[[#This Row],[Moyennes]]&lt;5,"Redouble",IF(Tableau2[[#This Row],[Moyennes]]&gt;=5,"Admis"," ")))</f>
        <v>Admis</v>
      </c>
      <c r="I334" s="436"/>
      <c r="J334" s="300" t="s">
        <v>660</v>
      </c>
      <c r="K334" s="334" t="s">
        <v>2316</v>
      </c>
      <c r="L334" s="64">
        <f>IF(AND(Tableau2[[#This Row],[CLASSE]]="CPU",Tableau2[[#This Row],[STATUT ]]="Admis"),1,0)</f>
        <v>1</v>
      </c>
      <c r="M334" s="64">
        <f>IF(AND(Tableau2[[#This Row],[CLASSE]]="CEU",Tableau2[[#This Row],[STATUT ]]="Admis"),1,0)</f>
        <v>0</v>
      </c>
      <c r="N334" s="64"/>
      <c r="O334" s="296"/>
      <c r="P3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5" spans="1:16" ht="18.5" x14ac:dyDescent="0.45">
      <c r="A335" s="310">
        <v>334</v>
      </c>
      <c r="B335" s="426" t="s">
        <v>2309</v>
      </c>
      <c r="C335" s="427" t="s">
        <v>2</v>
      </c>
      <c r="D335" s="428">
        <v>9</v>
      </c>
      <c r="E335" s="436">
        <v>5.12</v>
      </c>
      <c r="F335" s="464" t="s">
        <v>2009</v>
      </c>
      <c r="G335" s="441" t="s">
        <v>2030</v>
      </c>
      <c r="H335" s="402" t="str">
        <f>IF(Tableau2[[#This Row],[Moyennes]]="Absent","Absent",IF(Tableau2[[#This Row],[Moyennes]]&lt;5,"Redouble",IF(Tableau2[[#This Row],[Moyennes]]&gt;=5,"Admis"," ")))</f>
        <v>Admis</v>
      </c>
      <c r="I335" s="436"/>
      <c r="J335" s="300" t="s">
        <v>660</v>
      </c>
      <c r="K335" s="64" t="s">
        <v>2316</v>
      </c>
      <c r="L335" s="64">
        <f>IF(AND(Tableau2[[#This Row],[CLASSE]]="CPU",Tableau2[[#This Row],[STATUT ]]="Admis"),1,0)</f>
        <v>1</v>
      </c>
      <c r="M335" s="64">
        <f>IF(AND(Tableau2[[#This Row],[CLASSE]]="CEU",Tableau2[[#This Row],[STATUT ]]="Admis"),1,0)</f>
        <v>0</v>
      </c>
      <c r="N335" s="64"/>
      <c r="O335" s="296"/>
      <c r="P3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6" spans="1:16" ht="18.5" x14ac:dyDescent="0.45">
      <c r="A336" s="310">
        <v>335</v>
      </c>
      <c r="B336" s="426" t="s">
        <v>2310</v>
      </c>
      <c r="C336" s="427" t="s">
        <v>2</v>
      </c>
      <c r="D336" s="428">
        <v>11</v>
      </c>
      <c r="E336" s="436">
        <v>4.62</v>
      </c>
      <c r="F336" s="464" t="s">
        <v>2009</v>
      </c>
      <c r="G336" s="441" t="s">
        <v>2066</v>
      </c>
      <c r="H336" s="402" t="str">
        <f>IF(Tableau2[[#This Row],[Moyennes]]="Absent","Absent",IF(Tableau2[[#This Row],[Moyennes]]&lt;5,"Redouble",IF(Tableau2[[#This Row],[Moyennes]]&gt;=5,"Admis"," ")))</f>
        <v>Redouble</v>
      </c>
      <c r="I336" s="436"/>
      <c r="J336" s="300" t="s">
        <v>660</v>
      </c>
      <c r="K336" s="334" t="s">
        <v>2316</v>
      </c>
      <c r="L336" s="64">
        <f>IF(AND(Tableau2[[#This Row],[CLASSE]]="CPU",Tableau2[[#This Row],[STATUT ]]="Admis"),1,0)</f>
        <v>0</v>
      </c>
      <c r="M336" s="64">
        <f>IF(AND(Tableau2[[#This Row],[CLASSE]]="CEU",Tableau2[[#This Row],[STATUT ]]="Admis"),1,0)</f>
        <v>0</v>
      </c>
      <c r="N336" s="64"/>
      <c r="O336" s="296"/>
      <c r="P3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37" spans="1:16" ht="18.5" x14ac:dyDescent="0.45">
      <c r="A337" s="310">
        <v>336</v>
      </c>
      <c r="B337" s="426" t="s">
        <v>2314</v>
      </c>
      <c r="C337" s="64" t="s">
        <v>1</v>
      </c>
      <c r="D337" s="428">
        <v>9</v>
      </c>
      <c r="E337" s="441">
        <v>4.25</v>
      </c>
      <c r="F337" s="466" t="s">
        <v>2009</v>
      </c>
      <c r="G337" s="426" t="s">
        <v>2078</v>
      </c>
      <c r="H337" s="402" t="str">
        <f>IF(Tableau2[[#This Row],[Moyennes]]="Absent","Absent",IF(Tableau2[[#This Row],[Moyennes]]&lt;5,"Redouble",IF(Tableau2[[#This Row],[Moyennes]]&gt;=5,"Admis"," ")))</f>
        <v>Redouble</v>
      </c>
      <c r="I337" s="426"/>
      <c r="J337" s="300" t="s">
        <v>660</v>
      </c>
      <c r="K337" s="64" t="s">
        <v>2316</v>
      </c>
      <c r="L337" s="64">
        <f>IF(AND(Tableau2[[#This Row],[CLASSE]]="CPU",Tableau2[[#This Row],[STATUT ]]="Admis"),1,0)</f>
        <v>0</v>
      </c>
      <c r="M337" s="64">
        <f>IF(AND(Tableau2[[#This Row],[CLASSE]]="CEU",Tableau2[[#This Row],[STATUT ]]="Admis"),1,0)</f>
        <v>0</v>
      </c>
      <c r="N337" s="64"/>
      <c r="O337" s="296"/>
      <c r="P3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38" spans="1:16" ht="18.5" x14ac:dyDescent="0.45">
      <c r="A338" s="310">
        <v>337</v>
      </c>
      <c r="B338" s="426" t="s">
        <v>3431</v>
      </c>
      <c r="C338" s="64" t="s">
        <v>1</v>
      </c>
      <c r="D338" s="428">
        <v>12</v>
      </c>
      <c r="E338" s="441">
        <v>3.5</v>
      </c>
      <c r="F338" s="466" t="s">
        <v>2009</v>
      </c>
      <c r="G338" s="426" t="s">
        <v>2037</v>
      </c>
      <c r="H338" s="402" t="str">
        <f>IF(Tableau2[[#This Row],[Moyennes]]="Absent","Absent",IF(Tableau2[[#This Row],[Moyennes]]&lt;5,"Redouble",IF(Tableau2[[#This Row],[Moyennes]]&gt;=5,"Admis"," ")))</f>
        <v>Redouble</v>
      </c>
      <c r="I338" s="426"/>
      <c r="J338" s="300" t="s">
        <v>660</v>
      </c>
      <c r="K338" s="334" t="s">
        <v>2316</v>
      </c>
      <c r="L338" s="64">
        <f>IF(AND(Tableau2[[#This Row],[CLASSE]]="CPU",Tableau2[[#This Row],[STATUT ]]="Admis"),1,0)</f>
        <v>0</v>
      </c>
      <c r="M338" s="64">
        <f>IF(AND(Tableau2[[#This Row],[CLASSE]]="CEU",Tableau2[[#This Row],[STATUT ]]="Admis"),1,0)</f>
        <v>0</v>
      </c>
      <c r="N338" s="64"/>
      <c r="O338" s="296"/>
      <c r="P3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39" spans="1:16" ht="18.5" x14ac:dyDescent="0.45">
      <c r="A339" s="310">
        <v>338</v>
      </c>
      <c r="B339" s="426" t="s">
        <v>2315</v>
      </c>
      <c r="C339" s="64" t="s">
        <v>1</v>
      </c>
      <c r="D339" s="428">
        <v>9</v>
      </c>
      <c r="E339" s="441">
        <v>3</v>
      </c>
      <c r="F339" s="464" t="s">
        <v>2009</v>
      </c>
      <c r="G339" s="441" t="s">
        <v>2014</v>
      </c>
      <c r="H339" s="402" t="str">
        <f>IF(Tableau2[[#This Row],[Moyennes]]="Absent","Absent",IF(Tableau2[[#This Row],[Moyennes]]&lt;5,"Redouble",IF(Tableau2[[#This Row],[Moyennes]]&gt;=5,"Admis"," ")))</f>
        <v>Redouble</v>
      </c>
      <c r="I339" s="429"/>
      <c r="J339" s="300" t="s">
        <v>660</v>
      </c>
      <c r="K339" s="64" t="s">
        <v>2316</v>
      </c>
      <c r="L339" s="64">
        <f>IF(AND(Tableau2[[#This Row],[CLASSE]]="CPU",Tableau2[[#This Row],[STATUT ]]="Admis"),1,0)</f>
        <v>0</v>
      </c>
      <c r="M339" s="64">
        <f>IF(AND(Tableau2[[#This Row],[CLASSE]]="CEU",Tableau2[[#This Row],[STATUT ]]="Admis"),1,0)</f>
        <v>0</v>
      </c>
      <c r="N339" s="64"/>
      <c r="O339" s="296"/>
      <c r="P3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40" spans="1:16" ht="18.5" x14ac:dyDescent="0.45">
      <c r="A340" s="310">
        <v>339</v>
      </c>
      <c r="B340" s="426" t="s">
        <v>2300</v>
      </c>
      <c r="C340" s="64" t="s">
        <v>1</v>
      </c>
      <c r="D340" s="428">
        <v>10</v>
      </c>
      <c r="E340" s="495" t="s">
        <v>2165</v>
      </c>
      <c r="F340" s="498" t="s">
        <v>2009</v>
      </c>
      <c r="G340" s="499" t="s">
        <v>2040</v>
      </c>
      <c r="H340" s="300" t="str">
        <f>IF(Tableau2[[#This Row],[Moyennes]]="Absent","Absent",IF(Tableau2[[#This Row],[Moyennes]]&lt;5,"Redouble",IF(Tableau2[[#This Row],[Moyennes]]&gt;=5,"Admis"," ")))</f>
        <v>Absent</v>
      </c>
      <c r="I340" s="495"/>
      <c r="J340" s="300" t="s">
        <v>660</v>
      </c>
      <c r="K340" s="334" t="s">
        <v>2316</v>
      </c>
      <c r="L340" s="64">
        <f>IF(AND(Tableau2[[#This Row],[CLASSE]]="CPU",Tableau2[[#This Row],[STATUT ]]="Admis"),1,0)</f>
        <v>0</v>
      </c>
      <c r="M340" s="64">
        <f>IF(AND(Tableau2[[#This Row],[CLASSE]]="CEU",Tableau2[[#This Row],[STATUT ]]="Admis"),1,0)</f>
        <v>0</v>
      </c>
      <c r="N340" s="64"/>
      <c r="O340" s="296"/>
      <c r="P3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341" spans="1:16" ht="18.5" x14ac:dyDescent="0.45">
      <c r="A341" s="310">
        <v>340</v>
      </c>
      <c r="B341" s="426" t="s">
        <v>2304</v>
      </c>
      <c r="C341" s="64" t="s">
        <v>1</v>
      </c>
      <c r="D341" s="428">
        <v>13</v>
      </c>
      <c r="E341" s="495" t="s">
        <v>2165</v>
      </c>
      <c r="F341" s="500" t="s">
        <v>2009</v>
      </c>
      <c r="G341" s="446" t="s">
        <v>2214</v>
      </c>
      <c r="H341" s="300" t="str">
        <f>IF(Tableau2[[#This Row],[Moyennes]]="Absent","Absent",IF(Tableau2[[#This Row],[Moyennes]]&lt;5,"Redouble",IF(Tableau2[[#This Row],[Moyennes]]&gt;=5,"Admis"," ")))</f>
        <v>Absent</v>
      </c>
      <c r="I341" s="495"/>
      <c r="J341" s="300" t="s">
        <v>660</v>
      </c>
      <c r="K341" s="64" t="s">
        <v>2316</v>
      </c>
      <c r="L341" s="64">
        <f>IF(AND(Tableau2[[#This Row],[CLASSE]]="CPU",Tableau2[[#This Row],[STATUT ]]="Admis"),1,0)</f>
        <v>0</v>
      </c>
      <c r="M341" s="64">
        <f>IF(AND(Tableau2[[#This Row],[CLASSE]]="CEU",Tableau2[[#This Row],[STATUT ]]="Admis"),1,0)</f>
        <v>0</v>
      </c>
      <c r="N341" s="64"/>
      <c r="O341" s="296"/>
      <c r="P3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342" spans="1:16" ht="18.5" x14ac:dyDescent="0.45">
      <c r="A342" s="310">
        <v>341</v>
      </c>
      <c r="B342" s="426" t="s">
        <v>2299</v>
      </c>
      <c r="C342" s="427" t="s">
        <v>2</v>
      </c>
      <c r="D342" s="428">
        <v>14</v>
      </c>
      <c r="E342" s="495" t="s">
        <v>2165</v>
      </c>
      <c r="F342" s="498" t="s">
        <v>2009</v>
      </c>
      <c r="G342" s="499" t="s">
        <v>2053</v>
      </c>
      <c r="H342" s="300" t="str">
        <f>IF(Tableau2[[#This Row],[Moyennes]]="Absent","Absent",IF(Tableau2[[#This Row],[Moyennes]]&lt;5,"Redouble",IF(Tableau2[[#This Row],[Moyennes]]&gt;=5,"Admis"," ")))</f>
        <v>Absent</v>
      </c>
      <c r="I342" s="495"/>
      <c r="J342" s="300" t="s">
        <v>660</v>
      </c>
      <c r="K342" s="334" t="s">
        <v>2316</v>
      </c>
      <c r="L342" s="64">
        <f>IF(AND(Tableau2[[#This Row],[CLASSE]]="CPU",Tableau2[[#This Row],[STATUT ]]="Admis"),1,0)</f>
        <v>0</v>
      </c>
      <c r="M342" s="64">
        <f>IF(AND(Tableau2[[#This Row],[CLASSE]]="CEU",Tableau2[[#This Row],[STATUT ]]="Admis"),1,0)</f>
        <v>0</v>
      </c>
      <c r="N342" s="64"/>
      <c r="O342" s="296"/>
      <c r="P3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343" spans="1:16" ht="18.5" x14ac:dyDescent="0.45">
      <c r="A343" s="310">
        <v>342</v>
      </c>
      <c r="B343" s="426" t="s">
        <v>2318</v>
      </c>
      <c r="C343" s="427" t="s">
        <v>2</v>
      </c>
      <c r="D343" s="428">
        <v>9</v>
      </c>
      <c r="E343" s="441">
        <v>9</v>
      </c>
      <c r="F343" s="468" t="s">
        <v>2009</v>
      </c>
      <c r="G343" s="441" t="s">
        <v>2217</v>
      </c>
      <c r="H343" s="402" t="str">
        <f>IF(Tableau2[[#This Row],[Moyennes]]="Absent","Absent",IF(Tableau2[[#This Row],[Moyennes]]&lt;5,"Redouble",IF(Tableau2[[#This Row],[Moyennes]]&gt;=5,"Admis"," ")))</f>
        <v>Admis</v>
      </c>
      <c r="I343" s="429"/>
      <c r="J343" s="300" t="s">
        <v>660</v>
      </c>
      <c r="K343" s="64" t="s">
        <v>2338</v>
      </c>
      <c r="L343" s="64">
        <f>IF(AND(Tableau2[[#This Row],[CLASSE]]="CPU",Tableau2[[#This Row],[STATUT ]]="Admis"),1,0)</f>
        <v>1</v>
      </c>
      <c r="M343" s="64">
        <f>IF(AND(Tableau2[[#This Row],[CLASSE]]="CEU",Tableau2[[#This Row],[STATUT ]]="Admis"),1,0)</f>
        <v>0</v>
      </c>
      <c r="N343" s="64"/>
      <c r="O343" s="296"/>
      <c r="P3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44" spans="1:16" ht="18.5" x14ac:dyDescent="0.45">
      <c r="A344" s="310">
        <v>343</v>
      </c>
      <c r="B344" s="426" t="s">
        <v>2325</v>
      </c>
      <c r="C344" s="427" t="s">
        <v>2</v>
      </c>
      <c r="D344" s="428">
        <v>10</v>
      </c>
      <c r="E344" s="441">
        <v>8.5</v>
      </c>
      <c r="F344" s="464" t="s">
        <v>2009</v>
      </c>
      <c r="G344" s="441" t="s">
        <v>2010</v>
      </c>
      <c r="H344" s="402" t="str">
        <f>IF(Tableau2[[#This Row],[Moyennes]]="Absent","Absent",IF(Tableau2[[#This Row],[Moyennes]]&lt;5,"Redouble",IF(Tableau2[[#This Row],[Moyennes]]&gt;=5,"Admis"," ")))</f>
        <v>Admis</v>
      </c>
      <c r="I344" s="429"/>
      <c r="J344" s="300" t="s">
        <v>660</v>
      </c>
      <c r="K344" s="334" t="s">
        <v>2338</v>
      </c>
      <c r="L344" s="64">
        <f>IF(AND(Tableau2[[#This Row],[CLASSE]]="CPU",Tableau2[[#This Row],[STATUT ]]="Admis"),1,0)</f>
        <v>1</v>
      </c>
      <c r="M344" s="64">
        <f>IF(AND(Tableau2[[#This Row],[CLASSE]]="CEU",Tableau2[[#This Row],[STATUT ]]="Admis"),1,0)</f>
        <v>0</v>
      </c>
      <c r="N344" s="64"/>
      <c r="O344" s="296"/>
      <c r="P3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45" spans="1:16" ht="18.5" x14ac:dyDescent="0.45">
      <c r="A345" s="310">
        <v>344</v>
      </c>
      <c r="B345" s="426" t="s">
        <v>2320</v>
      </c>
      <c r="C345" s="427" t="s">
        <v>2</v>
      </c>
      <c r="D345" s="428">
        <v>9</v>
      </c>
      <c r="E345" s="441">
        <v>8.3699999999999992</v>
      </c>
      <c r="F345" s="464" t="s">
        <v>2009</v>
      </c>
      <c r="G345" s="441" t="s">
        <v>815</v>
      </c>
      <c r="H345" s="402" t="str">
        <f>IF(Tableau2[[#This Row],[Moyennes]]="Absent","Absent",IF(Tableau2[[#This Row],[Moyennes]]&lt;5,"Redouble",IF(Tableau2[[#This Row],[Moyennes]]&gt;=5,"Admis"," ")))</f>
        <v>Admis</v>
      </c>
      <c r="I345" s="429"/>
      <c r="J345" s="300" t="s">
        <v>660</v>
      </c>
      <c r="K345" s="64" t="s">
        <v>2338</v>
      </c>
      <c r="L345" s="64">
        <f>IF(AND(Tableau2[[#This Row],[CLASSE]]="CPU",Tableau2[[#This Row],[STATUT ]]="Admis"),1,0)</f>
        <v>1</v>
      </c>
      <c r="M345" s="64">
        <f>IF(AND(Tableau2[[#This Row],[CLASSE]]="CEU",Tableau2[[#This Row],[STATUT ]]="Admis"),1,0)</f>
        <v>0</v>
      </c>
      <c r="N345" s="64"/>
      <c r="O345" s="296"/>
      <c r="P3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46" spans="1:16" ht="18.5" x14ac:dyDescent="0.45">
      <c r="A346" s="310">
        <v>345</v>
      </c>
      <c r="B346" s="426" t="s">
        <v>2321</v>
      </c>
      <c r="C346" s="64" t="s">
        <v>1</v>
      </c>
      <c r="D346" s="428">
        <v>9</v>
      </c>
      <c r="E346" s="441">
        <v>8</v>
      </c>
      <c r="F346" s="464" t="s">
        <v>2009</v>
      </c>
      <c r="G346" s="441" t="s">
        <v>2012</v>
      </c>
      <c r="H346" s="402" t="str">
        <f>IF(Tableau2[[#This Row],[Moyennes]]="Absent","Absent",IF(Tableau2[[#This Row],[Moyennes]]&lt;5,"Redouble",IF(Tableau2[[#This Row],[Moyennes]]&gt;=5,"Admis"," ")))</f>
        <v>Admis</v>
      </c>
      <c r="I346" s="429"/>
      <c r="J346" s="300" t="s">
        <v>660</v>
      </c>
      <c r="K346" s="334" t="s">
        <v>2338</v>
      </c>
      <c r="L346" s="64">
        <f>IF(AND(Tableau2[[#This Row],[CLASSE]]="CPU",Tableau2[[#This Row],[STATUT ]]="Admis"),1,0)</f>
        <v>1</v>
      </c>
      <c r="M346" s="64">
        <f>IF(AND(Tableau2[[#This Row],[CLASSE]]="CEU",Tableau2[[#This Row],[STATUT ]]="Admis"),1,0)</f>
        <v>0</v>
      </c>
      <c r="N346" s="64"/>
      <c r="O346" s="296"/>
      <c r="P3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47" spans="1:16" ht="18.5" x14ac:dyDescent="0.45">
      <c r="A347" s="310">
        <v>346</v>
      </c>
      <c r="B347" s="426" t="s">
        <v>2317</v>
      </c>
      <c r="C347" s="427" t="s">
        <v>2</v>
      </c>
      <c r="D347" s="428">
        <v>10</v>
      </c>
      <c r="E347" s="441">
        <v>7.87</v>
      </c>
      <c r="F347" s="464" t="s">
        <v>2009</v>
      </c>
      <c r="G347" s="441" t="s">
        <v>2018</v>
      </c>
      <c r="H347" s="402" t="str">
        <f>IF(Tableau2[[#This Row],[Moyennes]]="Absent","Absent",IF(Tableau2[[#This Row],[Moyennes]]&lt;5,"Redouble",IF(Tableau2[[#This Row],[Moyennes]]&gt;=5,"Admis"," ")))</f>
        <v>Admis</v>
      </c>
      <c r="I347" s="429"/>
      <c r="J347" s="300" t="s">
        <v>660</v>
      </c>
      <c r="K347" s="64" t="s">
        <v>2338</v>
      </c>
      <c r="L347" s="64">
        <f>IF(AND(Tableau2[[#This Row],[CLASSE]]="CPU",Tableau2[[#This Row],[STATUT ]]="Admis"),1,0)</f>
        <v>1</v>
      </c>
      <c r="M347" s="64">
        <f>IF(AND(Tableau2[[#This Row],[CLASSE]]="CEU",Tableau2[[#This Row],[STATUT ]]="Admis"),1,0)</f>
        <v>0</v>
      </c>
      <c r="N347" s="64"/>
      <c r="O347" s="296"/>
      <c r="P3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48" spans="1:16" ht="18.5" x14ac:dyDescent="0.45">
      <c r="A348" s="310">
        <v>347</v>
      </c>
      <c r="B348" s="426" t="s">
        <v>2330</v>
      </c>
      <c r="C348" s="64" t="s">
        <v>1</v>
      </c>
      <c r="D348" s="428">
        <v>9</v>
      </c>
      <c r="E348" s="441">
        <v>7.75</v>
      </c>
      <c r="F348" s="464" t="s">
        <v>2009</v>
      </c>
      <c r="G348" s="441" t="s">
        <v>2044</v>
      </c>
      <c r="H348" s="402" t="str">
        <f>IF(Tableau2[[#This Row],[Moyennes]]="Absent","Absent",IF(Tableau2[[#This Row],[Moyennes]]&lt;5,"Redouble",IF(Tableau2[[#This Row],[Moyennes]]&gt;=5,"Admis"," ")))</f>
        <v>Admis</v>
      </c>
      <c r="I348" s="429"/>
      <c r="J348" s="300" t="s">
        <v>660</v>
      </c>
      <c r="K348" s="334" t="s">
        <v>2338</v>
      </c>
      <c r="L348" s="64">
        <f>IF(AND(Tableau2[[#This Row],[CLASSE]]="CPU",Tableau2[[#This Row],[STATUT ]]="Admis"),1,0)</f>
        <v>1</v>
      </c>
      <c r="M348" s="64">
        <f>IF(AND(Tableau2[[#This Row],[CLASSE]]="CEU",Tableau2[[#This Row],[STATUT ]]="Admis"),1,0)</f>
        <v>0</v>
      </c>
      <c r="N348" s="64"/>
      <c r="O348" s="296"/>
      <c r="P3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49" spans="1:16" ht="18.5" x14ac:dyDescent="0.45">
      <c r="A349" s="310">
        <v>348</v>
      </c>
      <c r="B349" s="426" t="s">
        <v>2329</v>
      </c>
      <c r="C349" s="427" t="s">
        <v>2</v>
      </c>
      <c r="D349" s="428">
        <v>9</v>
      </c>
      <c r="E349" s="436">
        <v>7.62</v>
      </c>
      <c r="F349" s="464" t="s">
        <v>2009</v>
      </c>
      <c r="G349" s="441" t="s">
        <v>2048</v>
      </c>
      <c r="H349" s="402" t="str">
        <f>IF(Tableau2[[#This Row],[Moyennes]]="Absent","Absent",IF(Tableau2[[#This Row],[Moyennes]]&lt;5,"Redouble",IF(Tableau2[[#This Row],[Moyennes]]&gt;=5,"Admis"," ")))</f>
        <v>Admis</v>
      </c>
      <c r="I349" s="429"/>
      <c r="J349" s="300" t="s">
        <v>660</v>
      </c>
      <c r="K349" s="64" t="s">
        <v>2338</v>
      </c>
      <c r="L349" s="64">
        <f>IF(AND(Tableau2[[#This Row],[CLASSE]]="CPU",Tableau2[[#This Row],[STATUT ]]="Admis"),1,0)</f>
        <v>1</v>
      </c>
      <c r="M349" s="64">
        <f>IF(AND(Tableau2[[#This Row],[CLASSE]]="CEU",Tableau2[[#This Row],[STATUT ]]="Admis"),1,0)</f>
        <v>0</v>
      </c>
      <c r="N349" s="64"/>
      <c r="O349" s="296"/>
      <c r="P3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0" spans="1:16" ht="18.5" x14ac:dyDescent="0.45">
      <c r="A350" s="310">
        <v>349</v>
      </c>
      <c r="B350" s="426" t="s">
        <v>2331</v>
      </c>
      <c r="C350" s="427" t="s">
        <v>2</v>
      </c>
      <c r="D350" s="428">
        <v>10</v>
      </c>
      <c r="E350" s="441">
        <v>7.62</v>
      </c>
      <c r="F350" s="464" t="s">
        <v>2009</v>
      </c>
      <c r="G350" s="441" t="s">
        <v>3432</v>
      </c>
      <c r="H350" s="402" t="str">
        <f>IF(Tableau2[[#This Row],[Moyennes]]="Absent","Absent",IF(Tableau2[[#This Row],[Moyennes]]&lt;5,"Redouble",IF(Tableau2[[#This Row],[Moyennes]]&gt;=5,"Admis"," ")))</f>
        <v>Admis</v>
      </c>
      <c r="I350" s="441"/>
      <c r="J350" s="300" t="s">
        <v>660</v>
      </c>
      <c r="K350" s="334" t="s">
        <v>2338</v>
      </c>
      <c r="L350" s="64">
        <f>IF(AND(Tableau2[[#This Row],[CLASSE]]="CPU",Tableau2[[#This Row],[STATUT ]]="Admis"),1,0)</f>
        <v>1</v>
      </c>
      <c r="M350" s="64">
        <f>IF(AND(Tableau2[[#This Row],[CLASSE]]="CEU",Tableau2[[#This Row],[STATUT ]]="Admis"),1,0)</f>
        <v>0</v>
      </c>
      <c r="N350" s="64"/>
      <c r="O350" s="296"/>
      <c r="P3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1" spans="1:16" ht="18.5" x14ac:dyDescent="0.45">
      <c r="A351" s="310">
        <v>350</v>
      </c>
      <c r="B351" s="426" t="s">
        <v>2333</v>
      </c>
      <c r="C351" s="427" t="s">
        <v>2</v>
      </c>
      <c r="D351" s="428">
        <v>10</v>
      </c>
      <c r="E351" s="436">
        <v>7.37</v>
      </c>
      <c r="F351" s="464" t="s">
        <v>2009</v>
      </c>
      <c r="G351" s="441" t="s">
        <v>2089</v>
      </c>
      <c r="H351" s="402" t="str">
        <f>IF(Tableau2[[#This Row],[Moyennes]]="Absent","Absent",IF(Tableau2[[#This Row],[Moyennes]]&lt;5,"Redouble",IF(Tableau2[[#This Row],[Moyennes]]&gt;=5,"Admis"," ")))</f>
        <v>Admis</v>
      </c>
      <c r="I351" s="436"/>
      <c r="J351" s="300" t="s">
        <v>660</v>
      </c>
      <c r="K351" s="64" t="s">
        <v>2338</v>
      </c>
      <c r="L351" s="64">
        <f>IF(AND(Tableau2[[#This Row],[CLASSE]]="CPU",Tableau2[[#This Row],[STATUT ]]="Admis"),1,0)</f>
        <v>1</v>
      </c>
      <c r="M351" s="64">
        <f>IF(AND(Tableau2[[#This Row],[CLASSE]]="CEU",Tableau2[[#This Row],[STATUT ]]="Admis"),1,0)</f>
        <v>0</v>
      </c>
      <c r="N351" s="64"/>
      <c r="O351" s="296"/>
      <c r="P3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2" spans="1:16" ht="18.5" x14ac:dyDescent="0.45">
      <c r="A352" s="310">
        <v>351</v>
      </c>
      <c r="B352" s="426" t="s">
        <v>2322</v>
      </c>
      <c r="C352" s="64" t="s">
        <v>1</v>
      </c>
      <c r="D352" s="428">
        <v>9</v>
      </c>
      <c r="E352" s="436">
        <v>7.37</v>
      </c>
      <c r="F352" s="464" t="s">
        <v>2009</v>
      </c>
      <c r="G352" s="441" t="s">
        <v>3423</v>
      </c>
      <c r="H352" s="402" t="str">
        <f>IF(Tableau2[[#This Row],[Moyennes]]="Absent","Absent",IF(Tableau2[[#This Row],[Moyennes]]&lt;5,"Redouble",IF(Tableau2[[#This Row],[Moyennes]]&gt;=5,"Admis"," ")))</f>
        <v>Admis</v>
      </c>
      <c r="I352" s="436"/>
      <c r="J352" s="300" t="s">
        <v>660</v>
      </c>
      <c r="K352" s="334" t="s">
        <v>2338</v>
      </c>
      <c r="L352" s="64">
        <f>IF(AND(Tableau2[[#This Row],[CLASSE]]="CPU",Tableau2[[#This Row],[STATUT ]]="Admis"),1,0)</f>
        <v>1</v>
      </c>
      <c r="M352" s="64">
        <f>IF(AND(Tableau2[[#This Row],[CLASSE]]="CEU",Tableau2[[#This Row],[STATUT ]]="Admis"),1,0)</f>
        <v>0</v>
      </c>
      <c r="N352" s="64"/>
      <c r="O352" s="296"/>
      <c r="P3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3" spans="1:16" ht="18.5" x14ac:dyDescent="0.45">
      <c r="A353" s="310">
        <v>352</v>
      </c>
      <c r="B353" s="426" t="s">
        <v>3433</v>
      </c>
      <c r="C353" s="427" t="s">
        <v>2</v>
      </c>
      <c r="D353" s="428">
        <v>9</v>
      </c>
      <c r="E353" s="436">
        <v>7.37</v>
      </c>
      <c r="F353" s="464" t="s">
        <v>2009</v>
      </c>
      <c r="G353" s="441" t="s">
        <v>3423</v>
      </c>
      <c r="H353" s="402" t="str">
        <f>IF(Tableau2[[#This Row],[Moyennes]]="Absent","Absent",IF(Tableau2[[#This Row],[Moyennes]]&lt;5,"Redouble",IF(Tableau2[[#This Row],[Moyennes]]&gt;=5,"Admis"," ")))</f>
        <v>Admis</v>
      </c>
      <c r="I353" s="436"/>
      <c r="J353" s="300" t="s">
        <v>660</v>
      </c>
      <c r="K353" s="64" t="s">
        <v>2338</v>
      </c>
      <c r="L353" s="64">
        <f>IF(AND(Tableau2[[#This Row],[CLASSE]]="CPU",Tableau2[[#This Row],[STATUT ]]="Admis"),1,0)</f>
        <v>1</v>
      </c>
      <c r="M353" s="64">
        <f>IF(AND(Tableau2[[#This Row],[CLASSE]]="CEU",Tableau2[[#This Row],[STATUT ]]="Admis"),1,0)</f>
        <v>0</v>
      </c>
      <c r="N353" s="64"/>
      <c r="O353" s="296"/>
      <c r="P3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4" spans="1:16" ht="18.5" x14ac:dyDescent="0.45">
      <c r="A354" s="310">
        <v>353</v>
      </c>
      <c r="B354" s="426" t="s">
        <v>2323</v>
      </c>
      <c r="C354" s="427" t="s">
        <v>2</v>
      </c>
      <c r="D354" s="428">
        <v>9</v>
      </c>
      <c r="E354" s="436">
        <v>7.25</v>
      </c>
      <c r="F354" s="464" t="s">
        <v>2009</v>
      </c>
      <c r="G354" s="441" t="s">
        <v>2016</v>
      </c>
      <c r="H354" s="402" t="str">
        <f>IF(Tableau2[[#This Row],[Moyennes]]="Absent","Absent",IF(Tableau2[[#This Row],[Moyennes]]&lt;5,"Redouble",IF(Tableau2[[#This Row],[Moyennes]]&gt;=5,"Admis"," ")))</f>
        <v>Admis</v>
      </c>
      <c r="I354" s="436"/>
      <c r="J354" s="300" t="s">
        <v>660</v>
      </c>
      <c r="K354" s="334" t="s">
        <v>2338</v>
      </c>
      <c r="L354" s="64">
        <f>IF(AND(Tableau2[[#This Row],[CLASSE]]="CPU",Tableau2[[#This Row],[STATUT ]]="Admis"),1,0)</f>
        <v>1</v>
      </c>
      <c r="M354" s="64">
        <f>IF(AND(Tableau2[[#This Row],[CLASSE]]="CEU",Tableau2[[#This Row],[STATUT ]]="Admis"),1,0)</f>
        <v>0</v>
      </c>
      <c r="N354" s="64"/>
      <c r="O354" s="296"/>
      <c r="P3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5" spans="1:16" ht="18.5" x14ac:dyDescent="0.45">
      <c r="A355" s="310">
        <v>354</v>
      </c>
      <c r="B355" s="426" t="s">
        <v>2336</v>
      </c>
      <c r="C355" s="427" t="s">
        <v>2</v>
      </c>
      <c r="D355" s="428">
        <v>9</v>
      </c>
      <c r="E355" s="436">
        <v>7.12</v>
      </c>
      <c r="F355" s="464" t="s">
        <v>2009</v>
      </c>
      <c r="G355" s="441" t="s">
        <v>2062</v>
      </c>
      <c r="H355" s="402" t="str">
        <f>IF(Tableau2[[#This Row],[Moyennes]]="Absent","Absent",IF(Tableau2[[#This Row],[Moyennes]]&lt;5,"Redouble",IF(Tableau2[[#This Row],[Moyennes]]&gt;=5,"Admis"," ")))</f>
        <v>Admis</v>
      </c>
      <c r="I355" s="441"/>
      <c r="J355" s="300" t="s">
        <v>660</v>
      </c>
      <c r="K355" s="64" t="s">
        <v>2338</v>
      </c>
      <c r="L355" s="64">
        <f>IF(AND(Tableau2[[#This Row],[CLASSE]]="CPU",Tableau2[[#This Row],[STATUT ]]="Admis"),1,0)</f>
        <v>1</v>
      </c>
      <c r="M355" s="64">
        <f>IF(AND(Tableau2[[#This Row],[CLASSE]]="CEU",Tableau2[[#This Row],[STATUT ]]="Admis"),1,0)</f>
        <v>0</v>
      </c>
      <c r="N355" s="64"/>
      <c r="O355" s="296"/>
      <c r="P3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6" spans="1:16" ht="18.5" x14ac:dyDescent="0.45">
      <c r="A356" s="310">
        <v>355</v>
      </c>
      <c r="B356" s="426" t="s">
        <v>2326</v>
      </c>
      <c r="C356" s="427" t="s">
        <v>2</v>
      </c>
      <c r="D356" s="428">
        <v>9</v>
      </c>
      <c r="E356" s="436">
        <v>7.12</v>
      </c>
      <c r="F356" s="464" t="s">
        <v>2009</v>
      </c>
      <c r="G356" s="441" t="s">
        <v>3434</v>
      </c>
      <c r="H356" s="402" t="str">
        <f>IF(Tableau2[[#This Row],[Moyennes]]="Absent","Absent",IF(Tableau2[[#This Row],[Moyennes]]&lt;5,"Redouble",IF(Tableau2[[#This Row],[Moyennes]]&gt;=5,"Admis"," ")))</f>
        <v>Admis</v>
      </c>
      <c r="I356" s="436"/>
      <c r="J356" s="300" t="s">
        <v>660</v>
      </c>
      <c r="K356" s="334" t="s">
        <v>2338</v>
      </c>
      <c r="L356" s="64">
        <f>IF(AND(Tableau2[[#This Row],[CLASSE]]="CPU",Tableau2[[#This Row],[STATUT ]]="Admis"),1,0)</f>
        <v>1</v>
      </c>
      <c r="M356" s="64">
        <f>IF(AND(Tableau2[[#This Row],[CLASSE]]="CEU",Tableau2[[#This Row],[STATUT ]]="Admis"),1,0)</f>
        <v>0</v>
      </c>
      <c r="N356" s="64"/>
      <c r="O356" s="296"/>
      <c r="P3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7" spans="1:16" ht="18.5" x14ac:dyDescent="0.45">
      <c r="A357" s="310">
        <v>356</v>
      </c>
      <c r="B357" s="426" t="s">
        <v>2319</v>
      </c>
      <c r="C357" s="427" t="s">
        <v>2</v>
      </c>
      <c r="D357" s="428">
        <v>10</v>
      </c>
      <c r="E357" s="436">
        <v>7.12</v>
      </c>
      <c r="F357" s="464" t="s">
        <v>2009</v>
      </c>
      <c r="G357" s="441" t="s">
        <v>2042</v>
      </c>
      <c r="H357" s="402" t="str">
        <f>IF(Tableau2[[#This Row],[Moyennes]]="Absent","Absent",IF(Tableau2[[#This Row],[Moyennes]]&lt;5,"Redouble",IF(Tableau2[[#This Row],[Moyennes]]&gt;=5,"Admis"," ")))</f>
        <v>Admis</v>
      </c>
      <c r="I357" s="436"/>
      <c r="J357" s="300" t="s">
        <v>660</v>
      </c>
      <c r="K357" s="64" t="s">
        <v>2338</v>
      </c>
      <c r="L357" s="64">
        <f>IF(AND(Tableau2[[#This Row],[CLASSE]]="CPU",Tableau2[[#This Row],[STATUT ]]="Admis"),1,0)</f>
        <v>1</v>
      </c>
      <c r="M357" s="64">
        <f>IF(AND(Tableau2[[#This Row],[CLASSE]]="CEU",Tableau2[[#This Row],[STATUT ]]="Admis"),1,0)</f>
        <v>0</v>
      </c>
      <c r="N357" s="64"/>
      <c r="O357" s="296"/>
      <c r="P3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8" spans="1:16" ht="18.5" x14ac:dyDescent="0.45">
      <c r="A358" s="310">
        <v>357</v>
      </c>
      <c r="B358" s="426" t="s">
        <v>2337</v>
      </c>
      <c r="C358" s="427" t="s">
        <v>2</v>
      </c>
      <c r="D358" s="428">
        <v>9</v>
      </c>
      <c r="E358" s="436">
        <v>7</v>
      </c>
      <c r="F358" s="464" t="s">
        <v>2009</v>
      </c>
      <c r="G358" s="441" t="s">
        <v>2025</v>
      </c>
      <c r="H358" s="402" t="str">
        <f>IF(Tableau2[[#This Row],[Moyennes]]="Absent","Absent",IF(Tableau2[[#This Row],[Moyennes]]&lt;5,"Redouble",IF(Tableau2[[#This Row],[Moyennes]]&gt;=5,"Admis"," ")))</f>
        <v>Admis</v>
      </c>
      <c r="I358" s="436"/>
      <c r="J358" s="300" t="s">
        <v>660</v>
      </c>
      <c r="K358" s="334" t="s">
        <v>2338</v>
      </c>
      <c r="L358" s="64">
        <f>IF(AND(Tableau2[[#This Row],[CLASSE]]="CPU",Tableau2[[#This Row],[STATUT ]]="Admis"),1,0)</f>
        <v>1</v>
      </c>
      <c r="M358" s="64">
        <f>IF(AND(Tableau2[[#This Row],[CLASSE]]="CEU",Tableau2[[#This Row],[STATUT ]]="Admis"),1,0)</f>
        <v>0</v>
      </c>
      <c r="N358" s="64"/>
      <c r="O358" s="296"/>
      <c r="P3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59" spans="1:16" ht="18.5" x14ac:dyDescent="0.45">
      <c r="A359" s="310">
        <v>358</v>
      </c>
      <c r="B359" s="426" t="s">
        <v>3435</v>
      </c>
      <c r="C359" s="427" t="s">
        <v>2</v>
      </c>
      <c r="D359" s="428">
        <v>9</v>
      </c>
      <c r="E359" s="436">
        <v>6.75</v>
      </c>
      <c r="F359" s="464" t="s">
        <v>2009</v>
      </c>
      <c r="G359" s="441" t="s">
        <v>3436</v>
      </c>
      <c r="H359" s="402" t="str">
        <f>IF(Tableau2[[#This Row],[Moyennes]]="Absent","Absent",IF(Tableau2[[#This Row],[Moyennes]]&lt;5,"Redouble",IF(Tableau2[[#This Row],[Moyennes]]&gt;=5,"Admis"," ")))</f>
        <v>Admis</v>
      </c>
      <c r="I359" s="436"/>
      <c r="J359" s="300" t="s">
        <v>660</v>
      </c>
      <c r="K359" s="64" t="s">
        <v>2338</v>
      </c>
      <c r="L359" s="64">
        <f>IF(AND(Tableau2[[#This Row],[CLASSE]]="CPU",Tableau2[[#This Row],[STATUT ]]="Admis"),1,0)</f>
        <v>1</v>
      </c>
      <c r="M359" s="64">
        <f>IF(AND(Tableau2[[#This Row],[CLASSE]]="CEU",Tableau2[[#This Row],[STATUT ]]="Admis"),1,0)</f>
        <v>0</v>
      </c>
      <c r="N359" s="64"/>
      <c r="O359" s="296"/>
      <c r="P3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0" spans="1:16" ht="19" thickBot="1" x14ac:dyDescent="0.5">
      <c r="A360" s="310">
        <v>359</v>
      </c>
      <c r="B360" s="426" t="s">
        <v>3437</v>
      </c>
      <c r="C360" s="427" t="s">
        <v>2</v>
      </c>
      <c r="D360" s="428">
        <v>10</v>
      </c>
      <c r="E360" s="436">
        <v>6.75</v>
      </c>
      <c r="F360" s="440" t="s">
        <v>2009</v>
      </c>
      <c r="G360" s="441" t="s">
        <v>3438</v>
      </c>
      <c r="H360" s="402" t="str">
        <f>IF(Tableau2[[#This Row],[Moyennes]]="Absent","Absent",IF(Tableau2[[#This Row],[Moyennes]]&lt;5,"Redouble",IF(Tableau2[[#This Row],[Moyennes]]&gt;=5,"Admis"," ")))</f>
        <v>Admis</v>
      </c>
      <c r="I360" s="436"/>
      <c r="J360" s="300" t="s">
        <v>660</v>
      </c>
      <c r="K360" s="334" t="s">
        <v>2338</v>
      </c>
      <c r="L360" s="64">
        <f>IF(AND(Tableau2[[#This Row],[CLASSE]]="CPU",Tableau2[[#This Row],[STATUT ]]="Admis"),1,0)</f>
        <v>1</v>
      </c>
      <c r="M360" s="64">
        <f>IF(AND(Tableau2[[#This Row],[CLASSE]]="CEU",Tableau2[[#This Row],[STATUT ]]="Admis"),1,0)</f>
        <v>0</v>
      </c>
      <c r="N360" s="64"/>
      <c r="O360" s="296"/>
      <c r="P3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1" spans="1:16" ht="19" thickBot="1" x14ac:dyDescent="0.5">
      <c r="A361" s="310">
        <v>360</v>
      </c>
      <c r="B361" s="426" t="s">
        <v>2332</v>
      </c>
      <c r="C361" s="427" t="s">
        <v>2</v>
      </c>
      <c r="D361" s="428">
        <v>11</v>
      </c>
      <c r="E361" s="441">
        <v>6.5</v>
      </c>
      <c r="F361" s="404" t="s">
        <v>2009</v>
      </c>
      <c r="G361" s="426" t="s">
        <v>2066</v>
      </c>
      <c r="H361" s="402" t="str">
        <f>IF(Tableau2[[#This Row],[Moyennes]]="Absent","Absent",IF(Tableau2[[#This Row],[Moyennes]]&lt;5,"Redouble",IF(Tableau2[[#This Row],[Moyennes]]&gt;=5,"Admis"," ")))</f>
        <v>Admis</v>
      </c>
      <c r="I361" s="429"/>
      <c r="J361" s="300" t="s">
        <v>660</v>
      </c>
      <c r="K361" s="64" t="s">
        <v>2338</v>
      </c>
      <c r="L361" s="64">
        <f>IF(AND(Tableau2[[#This Row],[CLASSE]]="CPU",Tableau2[[#This Row],[STATUT ]]="Admis"),1,0)</f>
        <v>1</v>
      </c>
      <c r="M361" s="64">
        <f>IF(AND(Tableau2[[#This Row],[CLASSE]]="CEU",Tableau2[[#This Row],[STATUT ]]="Admis"),1,0)</f>
        <v>0</v>
      </c>
      <c r="N361" s="64"/>
      <c r="O361" s="296"/>
      <c r="P3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2" spans="1:16" ht="19" thickBot="1" x14ac:dyDescent="0.5">
      <c r="A362" s="310">
        <v>361</v>
      </c>
      <c r="B362" s="426" t="s">
        <v>2328</v>
      </c>
      <c r="C362" s="64" t="s">
        <v>1</v>
      </c>
      <c r="D362" s="428">
        <v>9</v>
      </c>
      <c r="E362" s="441">
        <v>6.37</v>
      </c>
      <c r="F362" s="440" t="s">
        <v>2009</v>
      </c>
      <c r="G362" s="441" t="s">
        <v>2212</v>
      </c>
      <c r="H362" s="402" t="str">
        <f>IF(Tableau2[[#This Row],[Moyennes]]="Absent","Absent",IF(Tableau2[[#This Row],[Moyennes]]&lt;5,"Redouble",IF(Tableau2[[#This Row],[Moyennes]]&gt;=5,"Admis"," ")))</f>
        <v>Admis</v>
      </c>
      <c r="I362" s="429"/>
      <c r="J362" s="300" t="s">
        <v>660</v>
      </c>
      <c r="K362" s="334" t="s">
        <v>2338</v>
      </c>
      <c r="L362" s="64">
        <f>IF(AND(Tableau2[[#This Row],[CLASSE]]="CPU",Tableau2[[#This Row],[STATUT ]]="Admis"),1,0)</f>
        <v>1</v>
      </c>
      <c r="M362" s="64">
        <f>IF(AND(Tableau2[[#This Row],[CLASSE]]="CEU",Tableau2[[#This Row],[STATUT ]]="Admis"),1,0)</f>
        <v>0</v>
      </c>
      <c r="N362" s="64"/>
      <c r="O362" s="296"/>
      <c r="P3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3" spans="1:16" ht="19" thickBot="1" x14ac:dyDescent="0.5">
      <c r="A363" s="310">
        <v>362</v>
      </c>
      <c r="B363" s="430" t="s">
        <v>2324</v>
      </c>
      <c r="C363" s="64" t="s">
        <v>1</v>
      </c>
      <c r="D363" s="428">
        <v>9</v>
      </c>
      <c r="E363" s="441">
        <v>6.37</v>
      </c>
      <c r="F363" s="440" t="s">
        <v>2009</v>
      </c>
      <c r="G363" s="441" t="s">
        <v>2212</v>
      </c>
      <c r="H363" s="402" t="str">
        <f>IF(Tableau2[[#This Row],[Moyennes]]="Absent","Absent",IF(Tableau2[[#This Row],[Moyennes]]&lt;5,"Redouble",IF(Tableau2[[#This Row],[Moyennes]]&gt;=5,"Admis"," ")))</f>
        <v>Admis</v>
      </c>
      <c r="I363" s="429"/>
      <c r="J363" s="300" t="s">
        <v>660</v>
      </c>
      <c r="K363" s="64" t="s">
        <v>2338</v>
      </c>
      <c r="L363" s="64">
        <f>IF(AND(Tableau2[[#This Row],[CLASSE]]="CPU",Tableau2[[#This Row],[STATUT ]]="Admis"),1,0)</f>
        <v>1</v>
      </c>
      <c r="M363" s="64">
        <f>IF(AND(Tableau2[[#This Row],[CLASSE]]="CEU",Tableau2[[#This Row],[STATUT ]]="Admis"),1,0)</f>
        <v>0</v>
      </c>
      <c r="N363" s="64"/>
      <c r="O363" s="296"/>
      <c r="P3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4" spans="1:16" ht="19" thickBot="1" x14ac:dyDescent="0.5">
      <c r="A364" s="310">
        <v>363</v>
      </c>
      <c r="B364" s="426" t="s">
        <v>2334</v>
      </c>
      <c r="C364" s="64" t="s">
        <v>1</v>
      </c>
      <c r="D364" s="428">
        <v>9</v>
      </c>
      <c r="E364" s="441">
        <v>6.37</v>
      </c>
      <c r="F364" s="440" t="s">
        <v>2009</v>
      </c>
      <c r="G364" s="441" t="s">
        <v>2212</v>
      </c>
      <c r="H364" s="402" t="str">
        <f>IF(Tableau2[[#This Row],[Moyennes]]="Absent","Absent",IF(Tableau2[[#This Row],[Moyennes]]&lt;5,"Redouble",IF(Tableau2[[#This Row],[Moyennes]]&gt;=5,"Admis"," ")))</f>
        <v>Admis</v>
      </c>
      <c r="I364" s="426"/>
      <c r="J364" s="300" t="s">
        <v>660</v>
      </c>
      <c r="K364" s="334" t="s">
        <v>2338</v>
      </c>
      <c r="L364" s="64">
        <f>IF(AND(Tableau2[[#This Row],[CLASSE]]="CPU",Tableau2[[#This Row],[STATUT ]]="Admis"),1,0)</f>
        <v>1</v>
      </c>
      <c r="M364" s="64">
        <f>IF(AND(Tableau2[[#This Row],[CLASSE]]="CEU",Tableau2[[#This Row],[STATUT ]]="Admis"),1,0)</f>
        <v>0</v>
      </c>
      <c r="N364" s="64"/>
      <c r="O364" s="296"/>
      <c r="P3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5" spans="1:16" ht="19" thickBot="1" x14ac:dyDescent="0.5">
      <c r="A365" s="310">
        <v>364</v>
      </c>
      <c r="B365" s="426" t="s">
        <v>3439</v>
      </c>
      <c r="C365" s="427" t="s">
        <v>2</v>
      </c>
      <c r="D365" s="428">
        <v>9</v>
      </c>
      <c r="E365" s="441">
        <v>4.87</v>
      </c>
      <c r="F365" s="440" t="s">
        <v>2009</v>
      </c>
      <c r="G365" s="441" t="s">
        <v>2040</v>
      </c>
      <c r="H365" s="402" t="str">
        <f>IF(Tableau2[[#This Row],[Moyennes]]="Absent","Absent",IF(Tableau2[[#This Row],[Moyennes]]&lt;5,"Redouble",IF(Tableau2[[#This Row],[Moyennes]]&gt;=5,"Admis"," ")))</f>
        <v>Redouble</v>
      </c>
      <c r="I365" s="429"/>
      <c r="J365" s="300" t="s">
        <v>660</v>
      </c>
      <c r="K365" s="64" t="s">
        <v>2338</v>
      </c>
      <c r="L365" s="64">
        <f>IF(AND(Tableau2[[#This Row],[CLASSE]]="CPU",Tableau2[[#This Row],[STATUT ]]="Admis"),1,0)</f>
        <v>0</v>
      </c>
      <c r="M365" s="64">
        <f>IF(AND(Tableau2[[#This Row],[CLASSE]]="CEU",Tableau2[[#This Row],[STATUT ]]="Admis"),1,0)</f>
        <v>0</v>
      </c>
      <c r="N365" s="64"/>
      <c r="O365" s="296"/>
      <c r="P3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66" spans="1:16" ht="19" thickBot="1" x14ac:dyDescent="0.5">
      <c r="A366" s="310">
        <v>365</v>
      </c>
      <c r="B366" s="426" t="s">
        <v>2327</v>
      </c>
      <c r="C366" s="427" t="s">
        <v>2</v>
      </c>
      <c r="D366" s="428">
        <v>9</v>
      </c>
      <c r="E366" s="441">
        <v>4.12</v>
      </c>
      <c r="F366" s="440" t="s">
        <v>2009</v>
      </c>
      <c r="G366" s="441" t="s">
        <v>2214</v>
      </c>
      <c r="H366" s="402" t="str">
        <f>IF(Tableau2[[#This Row],[Moyennes]]="Absent","Absent",IF(Tableau2[[#This Row],[Moyennes]]&lt;5,"Redouble",IF(Tableau2[[#This Row],[Moyennes]]&gt;=5,"Admis"," ")))</f>
        <v>Redouble</v>
      </c>
      <c r="I366" s="429"/>
      <c r="J366" s="300" t="s">
        <v>660</v>
      </c>
      <c r="K366" s="334" t="s">
        <v>2338</v>
      </c>
      <c r="L366" s="64">
        <f>IF(AND(Tableau2[[#This Row],[CLASSE]]="CPU",Tableau2[[#This Row],[STATUT ]]="Admis"),1,0)</f>
        <v>0</v>
      </c>
      <c r="M366" s="64">
        <f>IF(AND(Tableau2[[#This Row],[CLASSE]]="CEU",Tableau2[[#This Row],[STATUT ]]="Admis"),1,0)</f>
        <v>0</v>
      </c>
      <c r="N366" s="64"/>
      <c r="O366" s="296"/>
      <c r="P3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67" spans="1:16" ht="19" thickBot="1" x14ac:dyDescent="0.5">
      <c r="A367" s="310">
        <v>366</v>
      </c>
      <c r="B367" s="426" t="s">
        <v>2335</v>
      </c>
      <c r="C367" s="64" t="s">
        <v>1</v>
      </c>
      <c r="D367" s="428">
        <v>9</v>
      </c>
      <c r="E367" s="441">
        <v>3.87</v>
      </c>
      <c r="F367" s="440" t="s">
        <v>2009</v>
      </c>
      <c r="G367" s="441" t="s">
        <v>2053</v>
      </c>
      <c r="H367" s="402" t="str">
        <f>IF(Tableau2[[#This Row],[Moyennes]]="Absent","Absent",IF(Tableau2[[#This Row],[Moyennes]]&lt;5,"Redouble",IF(Tableau2[[#This Row],[Moyennes]]&gt;=5,"Admis"," ")))</f>
        <v>Redouble</v>
      </c>
      <c r="I367" s="429"/>
      <c r="J367" s="300" t="s">
        <v>660</v>
      </c>
      <c r="K367" s="64" t="s">
        <v>2338</v>
      </c>
      <c r="L367" s="64">
        <f>IF(AND(Tableau2[[#This Row],[CLASSE]]="CPU",Tableau2[[#This Row],[STATUT ]]="Admis"),1,0)</f>
        <v>0</v>
      </c>
      <c r="M367" s="64">
        <f>IF(AND(Tableau2[[#This Row],[CLASSE]]="CEU",Tableau2[[#This Row],[STATUT ]]="Admis"),1,0)</f>
        <v>0</v>
      </c>
      <c r="N367" s="64"/>
      <c r="O367" s="296"/>
      <c r="P3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68" spans="1:16" ht="19" thickBot="1" x14ac:dyDescent="0.5">
      <c r="A368" s="310">
        <v>367</v>
      </c>
      <c r="B368" s="426" t="s">
        <v>3440</v>
      </c>
      <c r="C368" s="427" t="s">
        <v>2</v>
      </c>
      <c r="D368" s="428">
        <v>9</v>
      </c>
      <c r="E368" s="441">
        <v>8.1199999999999992</v>
      </c>
      <c r="F368" s="440" t="s">
        <v>2009</v>
      </c>
      <c r="G368" s="441" t="s">
        <v>2217</v>
      </c>
      <c r="H368" s="402" t="str">
        <f>IF(Tableau2[[#This Row],[Moyennes]]="Absent","Absent",IF(Tableau2[[#This Row],[Moyennes]]&lt;5,"Redouble",IF(Tableau2[[#This Row],[Moyennes]]&gt;=5,"Admis"," ")))</f>
        <v>Admis</v>
      </c>
      <c r="I368" s="429"/>
      <c r="J368" s="300" t="s">
        <v>660</v>
      </c>
      <c r="K368" s="334" t="s">
        <v>2355</v>
      </c>
      <c r="L368" s="64">
        <f>IF(AND(Tableau2[[#This Row],[CLASSE]]="CPU",Tableau2[[#This Row],[STATUT ]]="Admis"),1,0)</f>
        <v>1</v>
      </c>
      <c r="M368" s="64">
        <f>IF(AND(Tableau2[[#This Row],[CLASSE]]="CEU",Tableau2[[#This Row],[STATUT ]]="Admis"),1,0)</f>
        <v>0</v>
      </c>
      <c r="N368" s="64"/>
      <c r="O368" s="296"/>
      <c r="P3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69" spans="1:16" ht="19" thickBot="1" x14ac:dyDescent="0.5">
      <c r="A369" s="310">
        <v>368</v>
      </c>
      <c r="B369" s="426" t="s">
        <v>2344</v>
      </c>
      <c r="C369" s="64" t="s">
        <v>1</v>
      </c>
      <c r="D369" s="428">
        <v>9</v>
      </c>
      <c r="E369" s="441">
        <v>8</v>
      </c>
      <c r="F369" s="440" t="s">
        <v>2009</v>
      </c>
      <c r="G369" s="441" t="s">
        <v>2010</v>
      </c>
      <c r="H369" s="402" t="str">
        <f>IF(Tableau2[[#This Row],[Moyennes]]="Absent","Absent",IF(Tableau2[[#This Row],[Moyennes]]&lt;5,"Redouble",IF(Tableau2[[#This Row],[Moyennes]]&gt;=5,"Admis"," ")))</f>
        <v>Admis</v>
      </c>
      <c r="I369" s="429"/>
      <c r="J369" s="300" t="s">
        <v>660</v>
      </c>
      <c r="K369" s="64" t="s">
        <v>2355</v>
      </c>
      <c r="L369" s="64">
        <f>IF(AND(Tableau2[[#This Row],[CLASSE]]="CPU",Tableau2[[#This Row],[STATUT ]]="Admis"),1,0)</f>
        <v>1</v>
      </c>
      <c r="M369" s="64">
        <f>IF(AND(Tableau2[[#This Row],[CLASSE]]="CEU",Tableau2[[#This Row],[STATUT ]]="Admis"),1,0)</f>
        <v>0</v>
      </c>
      <c r="N369" s="64"/>
      <c r="O369" s="296"/>
      <c r="P3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0" spans="1:16" ht="19" thickBot="1" x14ac:dyDescent="0.5">
      <c r="A370" s="310">
        <v>369</v>
      </c>
      <c r="B370" s="426" t="s">
        <v>2342</v>
      </c>
      <c r="C370" s="64" t="s">
        <v>1</v>
      </c>
      <c r="D370" s="428">
        <v>10</v>
      </c>
      <c r="E370" s="436">
        <v>7.62</v>
      </c>
      <c r="F370" s="440" t="s">
        <v>2009</v>
      </c>
      <c r="G370" s="441" t="s">
        <v>815</v>
      </c>
      <c r="H370" s="402" t="str">
        <f>IF(Tableau2[[#This Row],[Moyennes]]="Absent","Absent",IF(Tableau2[[#This Row],[Moyennes]]&lt;5,"Redouble",IF(Tableau2[[#This Row],[Moyennes]]&gt;=5,"Admis"," ")))</f>
        <v>Admis</v>
      </c>
      <c r="I370" s="429"/>
      <c r="J370" s="300" t="s">
        <v>660</v>
      </c>
      <c r="K370" s="334" t="s">
        <v>2355</v>
      </c>
      <c r="L370" s="64">
        <f>IF(AND(Tableau2[[#This Row],[CLASSE]]="CPU",Tableau2[[#This Row],[STATUT ]]="Admis"),1,0)</f>
        <v>1</v>
      </c>
      <c r="M370" s="64">
        <f>IF(AND(Tableau2[[#This Row],[CLASSE]]="CEU",Tableau2[[#This Row],[STATUT ]]="Admis"),1,0)</f>
        <v>0</v>
      </c>
      <c r="N370" s="64"/>
      <c r="O370" s="296"/>
      <c r="P3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1" spans="1:16" ht="19" thickBot="1" x14ac:dyDescent="0.5">
      <c r="A371" s="310">
        <v>370</v>
      </c>
      <c r="B371" s="426" t="s">
        <v>2350</v>
      </c>
      <c r="C371" s="64" t="s">
        <v>1</v>
      </c>
      <c r="D371" s="428">
        <v>9</v>
      </c>
      <c r="E371" s="429">
        <v>7.62</v>
      </c>
      <c r="F371" s="404" t="s">
        <v>2009</v>
      </c>
      <c r="G371" s="426" t="s">
        <v>3441</v>
      </c>
      <c r="H371" s="402" t="str">
        <f>IF(Tableau2[[#This Row],[Moyennes]]="Absent","Absent",IF(Tableau2[[#This Row],[Moyennes]]&lt;5,"Redouble",IF(Tableau2[[#This Row],[Moyennes]]&gt;=5,"Admis"," ")))</f>
        <v>Admis</v>
      </c>
      <c r="I371" s="426"/>
      <c r="J371" s="300" t="s">
        <v>660</v>
      </c>
      <c r="K371" s="64" t="s">
        <v>2355</v>
      </c>
      <c r="L371" s="64">
        <f>IF(AND(Tableau2[[#This Row],[CLASSE]]="CPU",Tableau2[[#This Row],[STATUT ]]="Admis"),1,0)</f>
        <v>1</v>
      </c>
      <c r="M371" s="64">
        <f>IF(AND(Tableau2[[#This Row],[CLASSE]]="CEU",Tableau2[[#This Row],[STATUT ]]="Admis"),1,0)</f>
        <v>0</v>
      </c>
      <c r="N371" s="64"/>
      <c r="O371" s="296"/>
      <c r="P3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2" spans="1:16" ht="19" thickBot="1" x14ac:dyDescent="0.5">
      <c r="A372" s="310">
        <v>371</v>
      </c>
      <c r="B372" s="426" t="s">
        <v>3442</v>
      </c>
      <c r="C372" s="64" t="s">
        <v>1</v>
      </c>
      <c r="D372" s="428">
        <v>9</v>
      </c>
      <c r="E372" s="429">
        <v>7.12</v>
      </c>
      <c r="F372" s="404" t="s">
        <v>2009</v>
      </c>
      <c r="G372" s="429" t="s">
        <v>2018</v>
      </c>
      <c r="H372" s="402" t="str">
        <f>IF(Tableau2[[#This Row],[Moyennes]]="Absent","Absent",IF(Tableau2[[#This Row],[Moyennes]]&lt;5,"Redouble",IF(Tableau2[[#This Row],[Moyennes]]&gt;=5,"Admis"," ")))</f>
        <v>Admis</v>
      </c>
      <c r="I372" s="429"/>
      <c r="J372" s="300" t="s">
        <v>660</v>
      </c>
      <c r="K372" s="334" t="s">
        <v>2355</v>
      </c>
      <c r="L372" s="64">
        <f>IF(AND(Tableau2[[#This Row],[CLASSE]]="CPU",Tableau2[[#This Row],[STATUT ]]="Admis"),1,0)</f>
        <v>1</v>
      </c>
      <c r="M372" s="64">
        <f>IF(AND(Tableau2[[#This Row],[CLASSE]]="CEU",Tableau2[[#This Row],[STATUT ]]="Admis"),1,0)</f>
        <v>0</v>
      </c>
      <c r="N372" s="64"/>
      <c r="O372" s="296"/>
      <c r="P3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3" spans="1:16" ht="19" thickBot="1" x14ac:dyDescent="0.5">
      <c r="A373" s="310">
        <v>372</v>
      </c>
      <c r="B373" s="426" t="s">
        <v>2347</v>
      </c>
      <c r="C373" s="64" t="s">
        <v>1</v>
      </c>
      <c r="D373" s="428">
        <v>9</v>
      </c>
      <c r="E373" s="429">
        <v>6</v>
      </c>
      <c r="F373" s="404" t="s">
        <v>2009</v>
      </c>
      <c r="G373" s="426" t="s">
        <v>2044</v>
      </c>
      <c r="H373" s="402" t="str">
        <f>IF(Tableau2[[#This Row],[Moyennes]]="Absent","Absent",IF(Tableau2[[#This Row],[Moyennes]]&lt;5,"Redouble",IF(Tableau2[[#This Row],[Moyennes]]&gt;=5,"Admis"," ")))</f>
        <v>Admis</v>
      </c>
      <c r="I373" s="429"/>
      <c r="J373" s="300" t="s">
        <v>660</v>
      </c>
      <c r="K373" s="64" t="s">
        <v>2355</v>
      </c>
      <c r="L373" s="64">
        <f>IF(AND(Tableau2[[#This Row],[CLASSE]]="CPU",Tableau2[[#This Row],[STATUT ]]="Admis"),1,0)</f>
        <v>1</v>
      </c>
      <c r="M373" s="64">
        <f>IF(AND(Tableau2[[#This Row],[CLASSE]]="CEU",Tableau2[[#This Row],[STATUT ]]="Admis"),1,0)</f>
        <v>0</v>
      </c>
      <c r="N373" s="64"/>
      <c r="O373" s="296"/>
      <c r="P3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4" spans="1:16" ht="19" thickBot="1" x14ac:dyDescent="0.5">
      <c r="A374" s="310">
        <v>373</v>
      </c>
      <c r="B374" s="426" t="s">
        <v>2345</v>
      </c>
      <c r="C374" s="64" t="s">
        <v>1</v>
      </c>
      <c r="D374" s="428">
        <v>9</v>
      </c>
      <c r="E374" s="429">
        <v>5.87</v>
      </c>
      <c r="F374" s="404" t="s">
        <v>2009</v>
      </c>
      <c r="G374" s="426" t="s">
        <v>2048</v>
      </c>
      <c r="H374" s="402" t="str">
        <f>IF(Tableau2[[#This Row],[Moyennes]]="Absent","Absent",IF(Tableau2[[#This Row],[Moyennes]]&lt;5,"Redouble",IF(Tableau2[[#This Row],[Moyennes]]&gt;=5,"Admis"," ")))</f>
        <v>Admis</v>
      </c>
      <c r="I374" s="429"/>
      <c r="J374" s="300" t="s">
        <v>660</v>
      </c>
      <c r="K374" s="334" t="s">
        <v>2355</v>
      </c>
      <c r="L374" s="64">
        <f>IF(AND(Tableau2[[#This Row],[CLASSE]]="CPU",Tableau2[[#This Row],[STATUT ]]="Admis"),1,0)</f>
        <v>1</v>
      </c>
      <c r="M374" s="64">
        <f>IF(AND(Tableau2[[#This Row],[CLASSE]]="CEU",Tableau2[[#This Row],[STATUT ]]="Admis"),1,0)</f>
        <v>0</v>
      </c>
      <c r="N374" s="64"/>
      <c r="O374" s="296"/>
      <c r="P3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5" spans="1:16" ht="19" thickBot="1" x14ac:dyDescent="0.5">
      <c r="A375" s="310">
        <v>374</v>
      </c>
      <c r="B375" s="432" t="s">
        <v>3443</v>
      </c>
      <c r="C375" s="64" t="s">
        <v>1</v>
      </c>
      <c r="D375" s="428">
        <v>9</v>
      </c>
      <c r="E375" s="429">
        <v>5.37</v>
      </c>
      <c r="F375" s="404" t="s">
        <v>2009</v>
      </c>
      <c r="G375" s="426" t="s">
        <v>2027</v>
      </c>
      <c r="H375" s="402" t="str">
        <f>IF(Tableau2[[#This Row],[Moyennes]]="Absent","Absent",IF(Tableau2[[#This Row],[Moyennes]]&lt;5,"Redouble",IF(Tableau2[[#This Row],[Moyennes]]&gt;=5,"Admis"," ")))</f>
        <v>Admis</v>
      </c>
      <c r="I375" s="429"/>
      <c r="J375" s="300" t="s">
        <v>660</v>
      </c>
      <c r="K375" s="64" t="s">
        <v>2355</v>
      </c>
      <c r="L375" s="64">
        <f>IF(AND(Tableau2[[#This Row],[CLASSE]]="CPU",Tableau2[[#This Row],[STATUT ]]="Admis"),1,0)</f>
        <v>1</v>
      </c>
      <c r="M375" s="64">
        <f>IF(AND(Tableau2[[#This Row],[CLASSE]]="CEU",Tableau2[[#This Row],[STATUT ]]="Admis"),1,0)</f>
        <v>0</v>
      </c>
      <c r="N375" s="64"/>
      <c r="O375" s="296"/>
      <c r="P3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6" spans="1:16" ht="19" thickBot="1" x14ac:dyDescent="0.5">
      <c r="A376" s="310">
        <v>375</v>
      </c>
      <c r="B376" s="431" t="s">
        <v>2348</v>
      </c>
      <c r="C376" s="427" t="s">
        <v>2</v>
      </c>
      <c r="D376" s="428">
        <v>10</v>
      </c>
      <c r="E376" s="429">
        <v>5.25</v>
      </c>
      <c r="F376" s="404" t="s">
        <v>2009</v>
      </c>
      <c r="G376" s="429" t="s">
        <v>2089</v>
      </c>
      <c r="H376" s="402" t="str">
        <f>IF(Tableau2[[#This Row],[Moyennes]]="Absent","Absent",IF(Tableau2[[#This Row],[Moyennes]]&lt;5,"Redouble",IF(Tableau2[[#This Row],[Moyennes]]&gt;=5,"Admis"," ")))</f>
        <v>Admis</v>
      </c>
      <c r="I376" s="429"/>
      <c r="J376" s="300" t="s">
        <v>660</v>
      </c>
      <c r="K376" s="334" t="s">
        <v>2355</v>
      </c>
      <c r="L376" s="64">
        <f>IF(AND(Tableau2[[#This Row],[CLASSE]]="CPU",Tableau2[[#This Row],[STATUT ]]="Admis"),1,0)</f>
        <v>1</v>
      </c>
      <c r="M376" s="64">
        <f>IF(AND(Tableau2[[#This Row],[CLASSE]]="CEU",Tableau2[[#This Row],[STATUT ]]="Admis"),1,0)</f>
        <v>0</v>
      </c>
      <c r="N376" s="64"/>
      <c r="O376" s="296"/>
      <c r="P3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7" spans="1:16" ht="19" thickBot="1" x14ac:dyDescent="0.5">
      <c r="A377" s="310">
        <v>376</v>
      </c>
      <c r="B377" s="426" t="s">
        <v>2352</v>
      </c>
      <c r="C377" s="427" t="s">
        <v>2</v>
      </c>
      <c r="D377" s="428">
        <v>9</v>
      </c>
      <c r="E377" s="429">
        <v>5.25</v>
      </c>
      <c r="F377" s="404" t="s">
        <v>2009</v>
      </c>
      <c r="G377" s="426" t="s">
        <v>2346</v>
      </c>
      <c r="H377" s="402" t="str">
        <f>IF(Tableau2[[#This Row],[Moyennes]]="Absent","Absent",IF(Tableau2[[#This Row],[Moyennes]]&lt;5,"Redouble",IF(Tableau2[[#This Row],[Moyennes]]&gt;=5,"Admis"," ")))</f>
        <v>Admis</v>
      </c>
      <c r="I377" s="426"/>
      <c r="J377" s="300" t="s">
        <v>660</v>
      </c>
      <c r="K377" s="64" t="s">
        <v>2355</v>
      </c>
      <c r="L377" s="64">
        <f>IF(AND(Tableau2[[#This Row],[CLASSE]]="CPU",Tableau2[[#This Row],[STATUT ]]="Admis"),1,0)</f>
        <v>1</v>
      </c>
      <c r="M377" s="64">
        <f>IF(AND(Tableau2[[#This Row],[CLASSE]]="CEU",Tableau2[[#This Row],[STATUT ]]="Admis"),1,0)</f>
        <v>0</v>
      </c>
      <c r="N377" s="64"/>
      <c r="O377" s="296"/>
      <c r="P3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78" spans="1:16" ht="19" thickBot="1" x14ac:dyDescent="0.5">
      <c r="A378" s="310">
        <v>377</v>
      </c>
      <c r="B378" s="426" t="s">
        <v>3444</v>
      </c>
      <c r="C378" s="64" t="s">
        <v>1</v>
      </c>
      <c r="D378" s="428">
        <v>9</v>
      </c>
      <c r="E378" s="429">
        <v>4.8099999999999996</v>
      </c>
      <c r="F378" s="404" t="s">
        <v>2009</v>
      </c>
      <c r="G378" s="429" t="s">
        <v>2033</v>
      </c>
      <c r="H378" s="402" t="str">
        <f>IF(Tableau2[[#This Row],[Moyennes]]="Absent","Absent",IF(Tableau2[[#This Row],[Moyennes]]&lt;5,"Redouble",IF(Tableau2[[#This Row],[Moyennes]]&gt;=5,"Admis"," ")))</f>
        <v>Redouble</v>
      </c>
      <c r="I378" s="429"/>
      <c r="J378" s="300" t="s">
        <v>660</v>
      </c>
      <c r="K378" s="334" t="s">
        <v>2355</v>
      </c>
      <c r="L378" s="64">
        <f>IF(AND(Tableau2[[#This Row],[CLASSE]]="CPU",Tableau2[[#This Row],[STATUT ]]="Admis"),1,0)</f>
        <v>0</v>
      </c>
      <c r="M378" s="64">
        <f>IF(AND(Tableau2[[#This Row],[CLASSE]]="CEU",Tableau2[[#This Row],[STATUT ]]="Admis"),1,0)</f>
        <v>0</v>
      </c>
      <c r="N378" s="64"/>
      <c r="O378" s="296"/>
      <c r="P3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79" spans="1:16" ht="19" thickBot="1" x14ac:dyDescent="0.5">
      <c r="A379" s="310">
        <v>378</v>
      </c>
      <c r="B379" s="426" t="s">
        <v>2349</v>
      </c>
      <c r="C379" s="64" t="s">
        <v>1</v>
      </c>
      <c r="D379" s="428">
        <v>9</v>
      </c>
      <c r="E379" s="429">
        <v>4.12</v>
      </c>
      <c r="F379" s="404" t="s">
        <v>2009</v>
      </c>
      <c r="G379" s="429" t="s">
        <v>2016</v>
      </c>
      <c r="H379" s="402" t="str">
        <f>IF(Tableau2[[#This Row],[Moyennes]]="Absent","Absent",IF(Tableau2[[#This Row],[Moyennes]]&lt;5,"Redouble",IF(Tableau2[[#This Row],[Moyennes]]&gt;=5,"Admis"," ")))</f>
        <v>Redouble</v>
      </c>
      <c r="I379" s="429"/>
      <c r="J379" s="300" t="s">
        <v>660</v>
      </c>
      <c r="K379" s="64" t="s">
        <v>2355</v>
      </c>
      <c r="L379" s="64">
        <f>IF(AND(Tableau2[[#This Row],[CLASSE]]="CPU",Tableau2[[#This Row],[STATUT ]]="Admis"),1,0)</f>
        <v>0</v>
      </c>
      <c r="M379" s="64">
        <f>IF(AND(Tableau2[[#This Row],[CLASSE]]="CEU",Tableau2[[#This Row],[STATUT ]]="Admis"),1,0)</f>
        <v>0</v>
      </c>
      <c r="N379" s="64"/>
      <c r="O379" s="296"/>
      <c r="P3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0" spans="1:16" ht="19" thickBot="1" x14ac:dyDescent="0.5">
      <c r="A380" s="310">
        <v>379</v>
      </c>
      <c r="B380" s="426" t="s">
        <v>2353</v>
      </c>
      <c r="C380" s="64" t="s">
        <v>1</v>
      </c>
      <c r="D380" s="435">
        <v>10</v>
      </c>
      <c r="E380" s="429">
        <v>4</v>
      </c>
      <c r="F380" s="404" t="s">
        <v>2009</v>
      </c>
      <c r="G380" s="426" t="s">
        <v>2062</v>
      </c>
      <c r="H380" s="402" t="str">
        <f>IF(Tableau2[[#This Row],[Moyennes]]="Absent","Absent",IF(Tableau2[[#This Row],[Moyennes]]&lt;5,"Redouble",IF(Tableau2[[#This Row],[Moyennes]]&gt;=5,"Admis"," ")))</f>
        <v>Redouble</v>
      </c>
      <c r="I380" s="429"/>
      <c r="J380" s="300" t="s">
        <v>660</v>
      </c>
      <c r="K380" s="334" t="s">
        <v>2355</v>
      </c>
      <c r="L380" s="64">
        <f>IF(AND(Tableau2[[#This Row],[CLASSE]]="CPU",Tableau2[[#This Row],[STATUT ]]="Admis"),1,0)</f>
        <v>0</v>
      </c>
      <c r="M380" s="64">
        <f>IF(AND(Tableau2[[#This Row],[CLASSE]]="CEU",Tableau2[[#This Row],[STATUT ]]="Admis"),1,0)</f>
        <v>0</v>
      </c>
      <c r="N380" s="64"/>
      <c r="O380" s="296"/>
      <c r="P3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1" spans="1:16" ht="19" thickBot="1" x14ac:dyDescent="0.5">
      <c r="A381" s="310">
        <v>380</v>
      </c>
      <c r="B381" s="426" t="s">
        <v>3445</v>
      </c>
      <c r="C381" s="64" t="s">
        <v>1</v>
      </c>
      <c r="D381" s="428">
        <v>9</v>
      </c>
      <c r="E381" s="429">
        <v>2.75</v>
      </c>
      <c r="F381" s="404" t="s">
        <v>2009</v>
      </c>
      <c r="G381" s="429" t="s">
        <v>2023</v>
      </c>
      <c r="H381" s="402" t="str">
        <f>IF(Tableau2[[#This Row],[Moyennes]]="Absent","Absent",IF(Tableau2[[#This Row],[Moyennes]]&lt;5,"Redouble",IF(Tableau2[[#This Row],[Moyennes]]&gt;=5,"Admis"," ")))</f>
        <v>Redouble</v>
      </c>
      <c r="I381" s="429"/>
      <c r="J381" s="300" t="s">
        <v>660</v>
      </c>
      <c r="K381" s="64" t="s">
        <v>2355</v>
      </c>
      <c r="L381" s="64">
        <f>IF(AND(Tableau2[[#This Row],[CLASSE]]="CPU",Tableau2[[#This Row],[STATUT ]]="Admis"),1,0)</f>
        <v>0</v>
      </c>
      <c r="M381" s="64">
        <f>IF(AND(Tableau2[[#This Row],[CLASSE]]="CEU",Tableau2[[#This Row],[STATUT ]]="Admis"),1,0)</f>
        <v>0</v>
      </c>
      <c r="N381" s="64"/>
      <c r="O381" s="296"/>
      <c r="P3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2" spans="1:16" ht="19" thickBot="1" x14ac:dyDescent="0.5">
      <c r="A382" s="310">
        <v>381</v>
      </c>
      <c r="B382" s="431" t="s">
        <v>2341</v>
      </c>
      <c r="C382" s="64" t="s">
        <v>1</v>
      </c>
      <c r="D382" s="428">
        <v>9</v>
      </c>
      <c r="E382" s="429">
        <v>2.75</v>
      </c>
      <c r="F382" s="404" t="s">
        <v>2009</v>
      </c>
      <c r="G382" s="426" t="s">
        <v>2351</v>
      </c>
      <c r="H382" s="402" t="str">
        <f>IF(Tableau2[[#This Row],[Moyennes]]="Absent","Absent",IF(Tableau2[[#This Row],[Moyennes]]&lt;5,"Redouble",IF(Tableau2[[#This Row],[Moyennes]]&gt;=5,"Admis"," ")))</f>
        <v>Redouble</v>
      </c>
      <c r="I382" s="429"/>
      <c r="J382" s="300" t="s">
        <v>660</v>
      </c>
      <c r="K382" s="334" t="s">
        <v>2355</v>
      </c>
      <c r="L382" s="64">
        <f>IF(AND(Tableau2[[#This Row],[CLASSE]]="CPU",Tableau2[[#This Row],[STATUT ]]="Admis"),1,0)</f>
        <v>0</v>
      </c>
      <c r="M382" s="64">
        <f>IF(AND(Tableau2[[#This Row],[CLASSE]]="CEU",Tableau2[[#This Row],[STATUT ]]="Admis"),1,0)</f>
        <v>0</v>
      </c>
      <c r="N382" s="64"/>
      <c r="O382" s="296"/>
      <c r="P3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3" spans="1:16" ht="19" thickBot="1" x14ac:dyDescent="0.5">
      <c r="A383" s="310">
        <v>382</v>
      </c>
      <c r="B383" s="426" t="s">
        <v>2354</v>
      </c>
      <c r="C383" s="427" t="s">
        <v>2</v>
      </c>
      <c r="D383" s="428">
        <v>9</v>
      </c>
      <c r="E383" s="429">
        <v>2.1800000000000002</v>
      </c>
      <c r="F383" s="404" t="s">
        <v>2009</v>
      </c>
      <c r="G383" s="426" t="s">
        <v>2025</v>
      </c>
      <c r="H383" s="402" t="str">
        <f>IF(Tableau2[[#This Row],[Moyennes]]="Absent","Absent",IF(Tableau2[[#This Row],[Moyennes]]&lt;5,"Redouble",IF(Tableau2[[#This Row],[Moyennes]]&gt;=5,"Admis"," ")))</f>
        <v>Redouble</v>
      </c>
      <c r="I383" s="429"/>
      <c r="J383" s="300" t="s">
        <v>660</v>
      </c>
      <c r="K383" s="64" t="s">
        <v>2355</v>
      </c>
      <c r="L383" s="64">
        <f>IF(AND(Tableau2[[#This Row],[CLASSE]]="CPU",Tableau2[[#This Row],[STATUT ]]="Admis"),1,0)</f>
        <v>0</v>
      </c>
      <c r="M383" s="64">
        <f>IF(AND(Tableau2[[#This Row],[CLASSE]]="CEU",Tableau2[[#This Row],[STATUT ]]="Admis"),1,0)</f>
        <v>0</v>
      </c>
      <c r="N383" s="64"/>
      <c r="O383" s="296"/>
      <c r="P3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4" spans="1:16" ht="18.5" x14ac:dyDescent="0.45">
      <c r="A384" s="310">
        <v>383</v>
      </c>
      <c r="B384" s="426" t="s">
        <v>2343</v>
      </c>
      <c r="C384" s="434" t="s">
        <v>2</v>
      </c>
      <c r="D384" s="437">
        <v>9</v>
      </c>
      <c r="E384" s="458">
        <v>2.12</v>
      </c>
      <c r="F384" s="438" t="s">
        <v>2009</v>
      </c>
      <c r="G384" s="432" t="s">
        <v>2046</v>
      </c>
      <c r="H384" s="402" t="str">
        <f>IF(Tableau2[[#This Row],[Moyennes]]="Absent","Absent",IF(Tableau2[[#This Row],[Moyennes]]&lt;5,"Redouble",IF(Tableau2[[#This Row],[Moyennes]]&gt;=5,"Admis"," ")))</f>
        <v>Redouble</v>
      </c>
      <c r="I384" s="426"/>
      <c r="J384" s="300" t="s">
        <v>660</v>
      </c>
      <c r="K384" s="334" t="s">
        <v>2355</v>
      </c>
      <c r="L384" s="64">
        <f>IF(AND(Tableau2[[#This Row],[CLASSE]]="CPU",Tableau2[[#This Row],[STATUT ]]="Admis"),1,0)</f>
        <v>0</v>
      </c>
      <c r="M384" s="64">
        <f>IF(AND(Tableau2[[#This Row],[CLASSE]]="CEU",Tableau2[[#This Row],[STATUT ]]="Admis"),1,0)</f>
        <v>0</v>
      </c>
      <c r="N384" s="64"/>
      <c r="O384" s="296"/>
      <c r="P3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5" spans="1:16" ht="18.5" x14ac:dyDescent="0.45">
      <c r="A385" s="310">
        <v>384</v>
      </c>
      <c r="B385" s="426" t="s">
        <v>2340</v>
      </c>
      <c r="C385" s="64" t="s">
        <v>1</v>
      </c>
      <c r="D385" s="428">
        <v>10</v>
      </c>
      <c r="E385" s="429">
        <v>2</v>
      </c>
      <c r="F385" s="418" t="s">
        <v>2009</v>
      </c>
      <c r="G385" s="426" t="s">
        <v>2030</v>
      </c>
      <c r="H385" s="402" t="str">
        <f>IF(Tableau2[[#This Row],[Moyennes]]="Absent","Absent",IF(Tableau2[[#This Row],[Moyennes]]&lt;5,"Redouble",IF(Tableau2[[#This Row],[Moyennes]]&gt;=5,"Admis"," ")))</f>
        <v>Redouble</v>
      </c>
      <c r="I385" s="426"/>
      <c r="J385" s="300" t="s">
        <v>660</v>
      </c>
      <c r="K385" s="64" t="s">
        <v>2355</v>
      </c>
      <c r="L385" s="64">
        <f>IF(AND(Tableau2[[#This Row],[CLASSE]]="CPU",Tableau2[[#This Row],[STATUT ]]="Admis"),1,0)</f>
        <v>0</v>
      </c>
      <c r="M385" s="64">
        <f>IF(AND(Tableau2[[#This Row],[CLASSE]]="CEU",Tableau2[[#This Row],[STATUT ]]="Admis"),1,0)</f>
        <v>0</v>
      </c>
      <c r="N385" s="64"/>
      <c r="O385" s="296"/>
      <c r="P3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86" spans="1:16" ht="18.5" x14ac:dyDescent="0.45">
      <c r="A386" s="310">
        <v>385</v>
      </c>
      <c r="B386" s="426" t="s">
        <v>2339</v>
      </c>
      <c r="C386" s="64" t="s">
        <v>1</v>
      </c>
      <c r="D386" s="428">
        <v>9</v>
      </c>
      <c r="E386" s="495" t="s">
        <v>2165</v>
      </c>
      <c r="F386" s="500" t="s">
        <v>2009</v>
      </c>
      <c r="G386" s="446" t="s">
        <v>2165</v>
      </c>
      <c r="H386" s="300" t="str">
        <f>IF(Tableau2[[#This Row],[Moyennes]]="Absent","Absent",IF(Tableau2[[#This Row],[Moyennes]]&lt;5,"Redouble",IF(Tableau2[[#This Row],[Moyennes]]&gt;=5,"Admis"," ")))</f>
        <v>Absent</v>
      </c>
      <c r="I386" s="495"/>
      <c r="J386" s="300" t="s">
        <v>660</v>
      </c>
      <c r="K386" s="334" t="s">
        <v>2355</v>
      </c>
      <c r="L386" s="64">
        <f>IF(AND(Tableau2[[#This Row],[CLASSE]]="CPU",Tableau2[[#This Row],[STATUT ]]="Admis"),1,0)</f>
        <v>0</v>
      </c>
      <c r="M386" s="64">
        <f>IF(AND(Tableau2[[#This Row],[CLASSE]]="CEU",Tableau2[[#This Row],[STATUT ]]="Admis"),1,0)</f>
        <v>0</v>
      </c>
      <c r="N386" s="64"/>
      <c r="O386" s="296"/>
      <c r="P3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387" spans="1:16" ht="18.5" x14ac:dyDescent="0.45">
      <c r="A387" s="310">
        <v>386</v>
      </c>
      <c r="B387" s="426" t="s">
        <v>2356</v>
      </c>
      <c r="C387" s="64" t="s">
        <v>1</v>
      </c>
      <c r="D387" s="428">
        <v>9</v>
      </c>
      <c r="E387" s="429">
        <v>7.75</v>
      </c>
      <c r="F387" s="418" t="s">
        <v>2009</v>
      </c>
      <c r="G387" s="426" t="s">
        <v>2035</v>
      </c>
      <c r="H387" s="402" t="str">
        <f>IF(Tableau2[[#This Row],[Moyennes]]="Absent","Absent",IF(Tableau2[[#This Row],[Moyennes]]&lt;5,"Redouble",IF(Tableau2[[#This Row],[Moyennes]]&gt;=5,"Admis"," ")))</f>
        <v>Admis</v>
      </c>
      <c r="I387" s="426"/>
      <c r="J387" s="300" t="s">
        <v>660</v>
      </c>
      <c r="K387" s="64" t="s">
        <v>2355</v>
      </c>
      <c r="L387" s="64">
        <f>IF(AND(Tableau2[[#This Row],[CLASSE]]="CPU",Tableau2[[#This Row],[STATUT ]]="Admis"),1,0)</f>
        <v>1</v>
      </c>
      <c r="M387" s="64">
        <f>IF(AND(Tableau2[[#This Row],[CLASSE]]="CEU",Tableau2[[#This Row],[STATUT ]]="Admis"),1,0)</f>
        <v>0</v>
      </c>
      <c r="N387" s="64"/>
      <c r="O387" s="296"/>
      <c r="P3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88" spans="1:16" ht="18.5" x14ac:dyDescent="0.45">
      <c r="A388" s="310">
        <v>387</v>
      </c>
      <c r="B388" s="426" t="s">
        <v>2370</v>
      </c>
      <c r="C388" s="64" t="s">
        <v>1</v>
      </c>
      <c r="D388" s="428">
        <v>10</v>
      </c>
      <c r="E388" s="429">
        <v>7.5</v>
      </c>
      <c r="F388" s="418" t="s">
        <v>2009</v>
      </c>
      <c r="G388" s="426" t="s">
        <v>2010</v>
      </c>
      <c r="H388" s="402" t="str">
        <f>IF(Tableau2[[#This Row],[Moyennes]]="Absent","Absent",IF(Tableau2[[#This Row],[Moyennes]]&lt;5,"Redouble",IF(Tableau2[[#This Row],[Moyennes]]&gt;=5,"Admis"," ")))</f>
        <v>Admis</v>
      </c>
      <c r="I388" s="429"/>
      <c r="J388" s="300" t="s">
        <v>660</v>
      </c>
      <c r="K388" s="334" t="s">
        <v>2355</v>
      </c>
      <c r="L388" s="64">
        <f>IF(AND(Tableau2[[#This Row],[CLASSE]]="CPU",Tableau2[[#This Row],[STATUT ]]="Admis"),1,0)</f>
        <v>1</v>
      </c>
      <c r="M388" s="64">
        <f>IF(AND(Tableau2[[#This Row],[CLASSE]]="CEU",Tableau2[[#This Row],[STATUT ]]="Admis"),1,0)</f>
        <v>0</v>
      </c>
      <c r="N388" s="64"/>
      <c r="O388" s="296"/>
      <c r="P3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89" spans="1:16" ht="18.5" x14ac:dyDescent="0.45">
      <c r="A389" s="310">
        <v>388</v>
      </c>
      <c r="B389" s="426" t="s">
        <v>2367</v>
      </c>
      <c r="C389" s="427" t="s">
        <v>2</v>
      </c>
      <c r="D389" s="428">
        <v>10</v>
      </c>
      <c r="E389" s="429">
        <v>7.5</v>
      </c>
      <c r="F389" s="418" t="s">
        <v>2009</v>
      </c>
      <c r="G389" s="426" t="s">
        <v>3446</v>
      </c>
      <c r="H389" s="402" t="str">
        <f>IF(Tableau2[[#This Row],[Moyennes]]="Absent","Absent",IF(Tableau2[[#This Row],[Moyennes]]&lt;5,"Redouble",IF(Tableau2[[#This Row],[Moyennes]]&gt;=5,"Admis"," ")))</f>
        <v>Admis</v>
      </c>
      <c r="I389" s="429"/>
      <c r="J389" s="300" t="s">
        <v>660</v>
      </c>
      <c r="K389" s="64" t="s">
        <v>2355</v>
      </c>
      <c r="L389" s="64">
        <f>IF(AND(Tableau2[[#This Row],[CLASSE]]="CPU",Tableau2[[#This Row],[STATUT ]]="Admis"),1,0)</f>
        <v>1</v>
      </c>
      <c r="M389" s="64">
        <f>IF(AND(Tableau2[[#This Row],[CLASSE]]="CEU",Tableau2[[#This Row],[STATUT ]]="Admis"),1,0)</f>
        <v>0</v>
      </c>
      <c r="N389" s="64"/>
      <c r="O389" s="296"/>
      <c r="P3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0" spans="1:16" ht="18.5" x14ac:dyDescent="0.45">
      <c r="A390" s="310">
        <v>389</v>
      </c>
      <c r="B390" s="426" t="s">
        <v>2357</v>
      </c>
      <c r="C390" s="64" t="s">
        <v>1</v>
      </c>
      <c r="D390" s="428">
        <v>10</v>
      </c>
      <c r="E390" s="429">
        <v>7.12</v>
      </c>
      <c r="F390" s="418" t="s">
        <v>2009</v>
      </c>
      <c r="G390" s="426" t="s">
        <v>2012</v>
      </c>
      <c r="H390" s="402" t="str">
        <f>IF(Tableau2[[#This Row],[Moyennes]]="Absent","Absent",IF(Tableau2[[#This Row],[Moyennes]]&lt;5,"Redouble",IF(Tableau2[[#This Row],[Moyennes]]&gt;=5,"Admis"," ")))</f>
        <v>Admis</v>
      </c>
      <c r="I390" s="429"/>
      <c r="J390" s="300" t="s">
        <v>660</v>
      </c>
      <c r="K390" s="334" t="s">
        <v>2355</v>
      </c>
      <c r="L390" s="64">
        <f>IF(AND(Tableau2[[#This Row],[CLASSE]]="CPU",Tableau2[[#This Row],[STATUT ]]="Admis"),1,0)</f>
        <v>1</v>
      </c>
      <c r="M390" s="64">
        <f>IF(AND(Tableau2[[#This Row],[CLASSE]]="CEU",Tableau2[[#This Row],[STATUT ]]="Admis"),1,0)</f>
        <v>0</v>
      </c>
      <c r="N390" s="64"/>
      <c r="O390" s="296"/>
      <c r="P3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1" spans="1:16" ht="18.5" x14ac:dyDescent="0.45">
      <c r="A391" s="310">
        <v>390</v>
      </c>
      <c r="B391" s="426" t="s">
        <v>2366</v>
      </c>
      <c r="C391" s="427" t="s">
        <v>2</v>
      </c>
      <c r="D391" s="428">
        <v>9</v>
      </c>
      <c r="E391" s="429">
        <v>7.12</v>
      </c>
      <c r="F391" s="418" t="s">
        <v>2009</v>
      </c>
      <c r="G391" s="429" t="s">
        <v>3447</v>
      </c>
      <c r="H391" s="402" t="str">
        <f>IF(Tableau2[[#This Row],[Moyennes]]="Absent","Absent",IF(Tableau2[[#This Row],[Moyennes]]&lt;5,"Redouble",IF(Tableau2[[#This Row],[Moyennes]]&gt;=5,"Admis"," ")))</f>
        <v>Admis</v>
      </c>
      <c r="I391" s="429"/>
      <c r="J391" s="300" t="s">
        <v>660</v>
      </c>
      <c r="K391" s="64" t="s">
        <v>2355</v>
      </c>
      <c r="L391" s="64">
        <f>IF(AND(Tableau2[[#This Row],[CLASSE]]="CPU",Tableau2[[#This Row],[STATUT ]]="Admis"),1,0)</f>
        <v>1</v>
      </c>
      <c r="M391" s="64">
        <f>IF(AND(Tableau2[[#This Row],[CLASSE]]="CEU",Tableau2[[#This Row],[STATUT ]]="Admis"),1,0)</f>
        <v>0</v>
      </c>
      <c r="N391" s="64"/>
      <c r="O391" s="296"/>
      <c r="P3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2" spans="1:16" ht="18.5" x14ac:dyDescent="0.45">
      <c r="A392" s="310">
        <v>391</v>
      </c>
      <c r="B392" s="426" t="s">
        <v>2371</v>
      </c>
      <c r="C392" s="64" t="s">
        <v>1</v>
      </c>
      <c r="D392" s="428">
        <v>9</v>
      </c>
      <c r="E392" s="429">
        <v>6.5</v>
      </c>
      <c r="F392" s="418" t="s">
        <v>2009</v>
      </c>
      <c r="G392" s="426" t="s">
        <v>2044</v>
      </c>
      <c r="H392" s="402" t="str">
        <f>IF(Tableau2[[#This Row],[Moyennes]]="Absent","Absent",IF(Tableau2[[#This Row],[Moyennes]]&lt;5,"Redouble",IF(Tableau2[[#This Row],[Moyennes]]&gt;=5,"Admis"," ")))</f>
        <v>Admis</v>
      </c>
      <c r="I392" s="426"/>
      <c r="J392" s="300" t="s">
        <v>660</v>
      </c>
      <c r="K392" s="334" t="s">
        <v>2355</v>
      </c>
      <c r="L392" s="64">
        <f>IF(AND(Tableau2[[#This Row],[CLASSE]]="CPU",Tableau2[[#This Row],[STATUT ]]="Admis"),1,0)</f>
        <v>1</v>
      </c>
      <c r="M392" s="64">
        <f>IF(AND(Tableau2[[#This Row],[CLASSE]]="CEU",Tableau2[[#This Row],[STATUT ]]="Admis"),1,0)</f>
        <v>0</v>
      </c>
      <c r="N392" s="64"/>
      <c r="O392" s="296"/>
      <c r="P3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3" spans="1:16" ht="18.5" x14ac:dyDescent="0.45">
      <c r="A393" s="310">
        <v>392</v>
      </c>
      <c r="B393" s="426" t="s">
        <v>2362</v>
      </c>
      <c r="C393" s="427" t="s">
        <v>2</v>
      </c>
      <c r="D393" s="428">
        <v>9</v>
      </c>
      <c r="E393" s="429">
        <v>6.37</v>
      </c>
      <c r="F393" s="418" t="s">
        <v>2009</v>
      </c>
      <c r="G393" s="426" t="s">
        <v>2048</v>
      </c>
      <c r="H393" s="402" t="str">
        <f>IF(Tableau2[[#This Row],[Moyennes]]="Absent","Absent",IF(Tableau2[[#This Row],[Moyennes]]&lt;5,"Redouble",IF(Tableau2[[#This Row],[Moyennes]]&gt;=5,"Admis"," ")))</f>
        <v>Admis</v>
      </c>
      <c r="I393" s="429"/>
      <c r="J393" s="300" t="s">
        <v>660</v>
      </c>
      <c r="K393" s="64" t="s">
        <v>2355</v>
      </c>
      <c r="L393" s="64">
        <f>IF(AND(Tableau2[[#This Row],[CLASSE]]="CPU",Tableau2[[#This Row],[STATUT ]]="Admis"),1,0)</f>
        <v>1</v>
      </c>
      <c r="M393" s="64">
        <f>IF(AND(Tableau2[[#This Row],[CLASSE]]="CEU",Tableau2[[#This Row],[STATUT ]]="Admis"),1,0)</f>
        <v>0</v>
      </c>
      <c r="N393" s="64"/>
      <c r="O393" s="296"/>
      <c r="P3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4" spans="1:16" ht="18.5" x14ac:dyDescent="0.45">
      <c r="A394" s="310">
        <v>393</v>
      </c>
      <c r="B394" s="426" t="s">
        <v>2360</v>
      </c>
      <c r="C394" s="64" t="s">
        <v>1</v>
      </c>
      <c r="D394" s="428">
        <v>10</v>
      </c>
      <c r="E394" s="429">
        <v>6.37</v>
      </c>
      <c r="F394" s="418" t="s">
        <v>2009</v>
      </c>
      <c r="G394" s="426" t="s">
        <v>3432</v>
      </c>
      <c r="H394" s="402" t="str">
        <f>IF(Tableau2[[#This Row],[Moyennes]]="Absent","Absent",IF(Tableau2[[#This Row],[Moyennes]]&lt;5,"Redouble",IF(Tableau2[[#This Row],[Moyennes]]&gt;=5,"Admis"," ")))</f>
        <v>Admis</v>
      </c>
      <c r="I394" s="429"/>
      <c r="J394" s="300" t="s">
        <v>660</v>
      </c>
      <c r="K394" s="334" t="s">
        <v>2355</v>
      </c>
      <c r="L394" s="64">
        <f>IF(AND(Tableau2[[#This Row],[CLASSE]]="CPU",Tableau2[[#This Row],[STATUT ]]="Admis"),1,0)</f>
        <v>1</v>
      </c>
      <c r="M394" s="64">
        <f>IF(AND(Tableau2[[#This Row],[CLASSE]]="CEU",Tableau2[[#This Row],[STATUT ]]="Admis"),1,0)</f>
        <v>0</v>
      </c>
      <c r="N394" s="64"/>
      <c r="O394" s="296"/>
      <c r="P3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5" spans="1:16" ht="18.5" x14ac:dyDescent="0.45">
      <c r="A395" s="310">
        <v>394</v>
      </c>
      <c r="B395" s="426" t="s">
        <v>2364</v>
      </c>
      <c r="C395" s="427" t="s">
        <v>2</v>
      </c>
      <c r="D395" s="428">
        <v>9</v>
      </c>
      <c r="E395" s="429">
        <v>6</v>
      </c>
      <c r="F395" s="418" t="s">
        <v>2009</v>
      </c>
      <c r="G395" s="429" t="s">
        <v>2089</v>
      </c>
      <c r="H395" s="402" t="str">
        <f>IF(Tableau2[[#This Row],[Moyennes]]="Absent","Absent",IF(Tableau2[[#This Row],[Moyennes]]&lt;5,"Redouble",IF(Tableau2[[#This Row],[Moyennes]]&gt;=5,"Admis"," ")))</f>
        <v>Admis</v>
      </c>
      <c r="I395" s="429"/>
      <c r="J395" s="300" t="s">
        <v>660</v>
      </c>
      <c r="K395" s="64" t="s">
        <v>2355</v>
      </c>
      <c r="L395" s="64">
        <f>IF(AND(Tableau2[[#This Row],[CLASSE]]="CPU",Tableau2[[#This Row],[STATUT ]]="Admis"),1,0)</f>
        <v>1</v>
      </c>
      <c r="M395" s="64">
        <f>IF(AND(Tableau2[[#This Row],[CLASSE]]="CEU",Tableau2[[#This Row],[STATUT ]]="Admis"),1,0)</f>
        <v>0</v>
      </c>
      <c r="N395" s="64"/>
      <c r="O395" s="296"/>
      <c r="P3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6" spans="1:16" ht="18.5" x14ac:dyDescent="0.45">
      <c r="A396" s="310">
        <v>395</v>
      </c>
      <c r="B396" s="426" t="s">
        <v>2358</v>
      </c>
      <c r="C396" s="64" t="s">
        <v>1</v>
      </c>
      <c r="D396" s="428">
        <v>9</v>
      </c>
      <c r="E396" s="429">
        <v>5.75</v>
      </c>
      <c r="F396" s="418" t="s">
        <v>2009</v>
      </c>
      <c r="G396" s="426" t="s">
        <v>2021</v>
      </c>
      <c r="H396" s="402" t="str">
        <f>IF(Tableau2[[#This Row],[Moyennes]]="Absent","Absent",IF(Tableau2[[#This Row],[Moyennes]]&lt;5,"Redouble",IF(Tableau2[[#This Row],[Moyennes]]&gt;=5,"Admis"," ")))</f>
        <v>Admis</v>
      </c>
      <c r="I396" s="429"/>
      <c r="J396" s="300" t="s">
        <v>660</v>
      </c>
      <c r="K396" s="334" t="s">
        <v>2355</v>
      </c>
      <c r="L396" s="64">
        <f>IF(AND(Tableau2[[#This Row],[CLASSE]]="CPU",Tableau2[[#This Row],[STATUT ]]="Admis"),1,0)</f>
        <v>1</v>
      </c>
      <c r="M396" s="64">
        <f>IF(AND(Tableau2[[#This Row],[CLASSE]]="CEU",Tableau2[[#This Row],[STATUT ]]="Admis"),1,0)</f>
        <v>0</v>
      </c>
      <c r="N396" s="64"/>
      <c r="O396" s="296"/>
      <c r="P3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397" spans="1:16" ht="18.5" x14ac:dyDescent="0.45">
      <c r="A397" s="310">
        <v>396</v>
      </c>
      <c r="B397" s="426" t="s">
        <v>2369</v>
      </c>
      <c r="C397" s="64" t="s">
        <v>1</v>
      </c>
      <c r="D397" s="426">
        <v>10</v>
      </c>
      <c r="E397" s="429">
        <v>4.37</v>
      </c>
      <c r="F397" s="418" t="s">
        <v>2009</v>
      </c>
      <c r="G397" s="429" t="s">
        <v>2033</v>
      </c>
      <c r="H397" s="402" t="str">
        <f>IF(Tableau2[[#This Row],[Moyennes]]="Absent","Absent",IF(Tableau2[[#This Row],[Moyennes]]&lt;5,"Redouble",IF(Tableau2[[#This Row],[Moyennes]]&gt;=5,"Admis"," ")))</f>
        <v>Redouble</v>
      </c>
      <c r="I397" s="429"/>
      <c r="J397" s="300" t="s">
        <v>660</v>
      </c>
      <c r="K397" s="64" t="s">
        <v>2355</v>
      </c>
      <c r="L397" s="64">
        <f>IF(AND(Tableau2[[#This Row],[CLASSE]]="CPU",Tableau2[[#This Row],[STATUT ]]="Admis"),1,0)</f>
        <v>0</v>
      </c>
      <c r="M397" s="64">
        <f>IF(AND(Tableau2[[#This Row],[CLASSE]]="CEU",Tableau2[[#This Row],[STATUT ]]="Admis"),1,0)</f>
        <v>0</v>
      </c>
      <c r="N397" s="64"/>
      <c r="O397" s="296"/>
      <c r="P3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98" spans="1:16" ht="18.5" x14ac:dyDescent="0.45">
      <c r="A398" s="310">
        <v>397</v>
      </c>
      <c r="B398" s="426" t="s">
        <v>3448</v>
      </c>
      <c r="C398" s="427" t="s">
        <v>2</v>
      </c>
      <c r="D398" s="428">
        <v>9</v>
      </c>
      <c r="E398" s="429">
        <v>3</v>
      </c>
      <c r="F398" s="418" t="s">
        <v>2009</v>
      </c>
      <c r="G398" s="426" t="s">
        <v>2062</v>
      </c>
      <c r="H398" s="402" t="str">
        <f>IF(Tableau2[[#This Row],[Moyennes]]="Absent","Absent",IF(Tableau2[[#This Row],[Moyennes]]&lt;5,"Redouble",IF(Tableau2[[#This Row],[Moyennes]]&gt;=5,"Admis"," ")))</f>
        <v>Redouble</v>
      </c>
      <c r="I398" s="429"/>
      <c r="J398" s="300" t="s">
        <v>660</v>
      </c>
      <c r="K398" s="334" t="s">
        <v>2355</v>
      </c>
      <c r="L398" s="64">
        <f>IF(AND(Tableau2[[#This Row],[CLASSE]]="CPU",Tableau2[[#This Row],[STATUT ]]="Admis"),1,0)</f>
        <v>0</v>
      </c>
      <c r="M398" s="64">
        <f>IF(AND(Tableau2[[#This Row],[CLASSE]]="CEU",Tableau2[[#This Row],[STATUT ]]="Admis"),1,0)</f>
        <v>0</v>
      </c>
      <c r="N398" s="64"/>
      <c r="O398" s="296"/>
      <c r="P3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399" spans="1:16" ht="18.5" x14ac:dyDescent="0.45">
      <c r="A399" s="310">
        <v>398</v>
      </c>
      <c r="B399" s="426" t="s">
        <v>2368</v>
      </c>
      <c r="C399" s="64" t="s">
        <v>1</v>
      </c>
      <c r="D399" s="428">
        <v>9</v>
      </c>
      <c r="E399" s="429">
        <v>2.75</v>
      </c>
      <c r="F399" s="418" t="s">
        <v>2009</v>
      </c>
      <c r="G399" s="426" t="s">
        <v>2023</v>
      </c>
      <c r="H399" s="402" t="str">
        <f>IF(Tableau2[[#This Row],[Moyennes]]="Absent","Absent",IF(Tableau2[[#This Row],[Moyennes]]&lt;5,"Redouble",IF(Tableau2[[#This Row],[Moyennes]]&gt;=5,"Admis"," ")))</f>
        <v>Redouble</v>
      </c>
      <c r="I399" s="426"/>
      <c r="J399" s="300" t="s">
        <v>660</v>
      </c>
      <c r="K399" s="64" t="s">
        <v>2355</v>
      </c>
      <c r="L399" s="64">
        <f>IF(AND(Tableau2[[#This Row],[CLASSE]]="CPU",Tableau2[[#This Row],[STATUT ]]="Admis"),1,0)</f>
        <v>0</v>
      </c>
      <c r="M399" s="64">
        <f>IF(AND(Tableau2[[#This Row],[CLASSE]]="CEU",Tableau2[[#This Row],[STATUT ]]="Admis"),1,0)</f>
        <v>0</v>
      </c>
      <c r="N399" s="64"/>
      <c r="O399" s="296"/>
      <c r="P3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0" spans="1:16" ht="18.5" x14ac:dyDescent="0.45">
      <c r="A400" s="310">
        <v>399</v>
      </c>
      <c r="B400" s="426" t="s">
        <v>2365</v>
      </c>
      <c r="C400" s="446" t="s">
        <v>2</v>
      </c>
      <c r="D400" s="446">
        <v>10</v>
      </c>
      <c r="E400" s="429">
        <v>2.62</v>
      </c>
      <c r="F400" s="418" t="s">
        <v>2009</v>
      </c>
      <c r="G400" s="429" t="s">
        <v>2042</v>
      </c>
      <c r="H400" s="402" t="str">
        <f>IF(Tableau2[[#This Row],[Moyennes]]="Absent","Absent",IF(Tableau2[[#This Row],[Moyennes]]&lt;5,"Redouble",IF(Tableau2[[#This Row],[Moyennes]]&gt;=5,"Admis"," ")))</f>
        <v>Redouble</v>
      </c>
      <c r="I400" s="429"/>
      <c r="J400" s="300" t="s">
        <v>660</v>
      </c>
      <c r="K400" s="334" t="s">
        <v>2355</v>
      </c>
      <c r="L400" s="64">
        <f>IF(AND(Tableau2[[#This Row],[CLASSE]]="CPU",Tableau2[[#This Row],[STATUT ]]="Admis"),1,0)</f>
        <v>0</v>
      </c>
      <c r="M400" s="64">
        <f>IF(AND(Tableau2[[#This Row],[CLASSE]]="CEU",Tableau2[[#This Row],[STATUT ]]="Admis"),1,0)</f>
        <v>0</v>
      </c>
      <c r="N400" s="64"/>
      <c r="O400" s="296"/>
      <c r="P4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1" spans="1:16" ht="18.5" x14ac:dyDescent="0.45">
      <c r="A401" s="310">
        <v>400</v>
      </c>
      <c r="B401" s="426" t="s">
        <v>2359</v>
      </c>
      <c r="C401" s="64" t="s">
        <v>1</v>
      </c>
      <c r="D401" s="428">
        <v>10</v>
      </c>
      <c r="E401" s="429">
        <v>3.75</v>
      </c>
      <c r="F401" s="418" t="s">
        <v>2009</v>
      </c>
      <c r="G401" s="426" t="s">
        <v>2042</v>
      </c>
      <c r="H401" s="402" t="str">
        <f>IF(Tableau2[[#This Row],[Moyennes]]="Absent","Absent",IF(Tableau2[[#This Row],[Moyennes]]&lt;5,"Redouble",IF(Tableau2[[#This Row],[Moyennes]]&gt;=5,"Admis"," ")))</f>
        <v>Redouble</v>
      </c>
      <c r="I401" s="426"/>
      <c r="J401" s="300" t="s">
        <v>660</v>
      </c>
      <c r="K401" s="64" t="s">
        <v>2355</v>
      </c>
      <c r="L401" s="64">
        <f>IF(AND(Tableau2[[#This Row],[CLASSE]]="CPU",Tableau2[[#This Row],[STATUT ]]="Admis"),1,0)</f>
        <v>0</v>
      </c>
      <c r="M401" s="64">
        <f>IF(AND(Tableau2[[#This Row],[CLASSE]]="CEU",Tableau2[[#This Row],[STATUT ]]="Admis"),1,0)</f>
        <v>0</v>
      </c>
      <c r="N401" s="64"/>
      <c r="O401" s="296"/>
      <c r="P4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2" spans="1:16" ht="18.5" x14ac:dyDescent="0.45">
      <c r="A402" s="310">
        <v>401</v>
      </c>
      <c r="B402" s="426" t="s">
        <v>2372</v>
      </c>
      <c r="C402" s="427" t="s">
        <v>2</v>
      </c>
      <c r="D402" s="428">
        <v>9</v>
      </c>
      <c r="E402" s="429">
        <v>1.75</v>
      </c>
      <c r="F402" s="418" t="s">
        <v>2009</v>
      </c>
      <c r="G402" s="426" t="s">
        <v>2025</v>
      </c>
      <c r="H402" s="402" t="str">
        <f>IF(Tableau2[[#This Row],[Moyennes]]="Absent","Absent",IF(Tableau2[[#This Row],[Moyennes]]&lt;5,"Redouble",IF(Tableau2[[#This Row],[Moyennes]]&gt;=5,"Admis"," ")))</f>
        <v>Redouble</v>
      </c>
      <c r="I402" s="426"/>
      <c r="J402" s="300" t="s">
        <v>660</v>
      </c>
      <c r="K402" s="334" t="s">
        <v>2355</v>
      </c>
      <c r="L402" s="64">
        <f>IF(AND(Tableau2[[#This Row],[CLASSE]]="CPU",Tableau2[[#This Row],[STATUT ]]="Admis"),1,0)</f>
        <v>0</v>
      </c>
      <c r="M402" s="64">
        <f>IF(AND(Tableau2[[#This Row],[CLASSE]]="CEU",Tableau2[[#This Row],[STATUT ]]="Admis"),1,0)</f>
        <v>0</v>
      </c>
      <c r="N402" s="64"/>
      <c r="O402" s="296"/>
      <c r="P4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3" spans="1:16" ht="18.5" x14ac:dyDescent="0.45">
      <c r="A403" s="310">
        <v>402</v>
      </c>
      <c r="B403" s="426" t="s">
        <v>2373</v>
      </c>
      <c r="C403" s="64" t="s">
        <v>1</v>
      </c>
      <c r="D403" s="428">
        <v>9</v>
      </c>
      <c r="E403" s="429">
        <v>1.37</v>
      </c>
      <c r="F403" s="418" t="s">
        <v>2009</v>
      </c>
      <c r="G403" s="426" t="s">
        <v>2046</v>
      </c>
      <c r="H403" s="402" t="str">
        <f>IF(Tableau2[[#This Row],[Moyennes]]="Absent","Absent",IF(Tableau2[[#This Row],[Moyennes]]&lt;5,"Redouble",IF(Tableau2[[#This Row],[Moyennes]]&gt;=5,"Admis"," ")))</f>
        <v>Redouble</v>
      </c>
      <c r="I403" s="429"/>
      <c r="J403" s="300" t="s">
        <v>660</v>
      </c>
      <c r="K403" s="64" t="s">
        <v>2355</v>
      </c>
      <c r="L403" s="64">
        <f>IF(AND(Tableau2[[#This Row],[CLASSE]]="CPU",Tableau2[[#This Row],[STATUT ]]="Admis"),1,0)</f>
        <v>0</v>
      </c>
      <c r="M403" s="64">
        <f>IF(AND(Tableau2[[#This Row],[CLASSE]]="CEU",Tableau2[[#This Row],[STATUT ]]="Admis"),1,0)</f>
        <v>0</v>
      </c>
      <c r="N403" s="64"/>
      <c r="O403" s="296"/>
      <c r="P4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4" spans="1:16" ht="18.5" x14ac:dyDescent="0.45">
      <c r="A404" s="310">
        <v>403</v>
      </c>
      <c r="B404" s="426" t="s">
        <v>2363</v>
      </c>
      <c r="C404" s="64" t="s">
        <v>1</v>
      </c>
      <c r="D404" s="428">
        <v>10</v>
      </c>
      <c r="E404" s="429">
        <v>1.25</v>
      </c>
      <c r="F404" s="418" t="s">
        <v>2009</v>
      </c>
      <c r="G404" s="429" t="s">
        <v>2030</v>
      </c>
      <c r="H404" s="402" t="str">
        <f>IF(Tableau2[[#This Row],[Moyennes]]="Absent","Absent",IF(Tableau2[[#This Row],[Moyennes]]&lt;5,"Redouble",IF(Tableau2[[#This Row],[Moyennes]]&gt;=5,"Admis"," ")))</f>
        <v>Redouble</v>
      </c>
      <c r="I404" s="429"/>
      <c r="J404" s="300" t="s">
        <v>660</v>
      </c>
      <c r="K404" s="334" t="s">
        <v>2355</v>
      </c>
      <c r="L404" s="64">
        <f>IF(AND(Tableau2[[#This Row],[CLASSE]]="CPU",Tableau2[[#This Row],[STATUT ]]="Admis"),1,0)</f>
        <v>0</v>
      </c>
      <c r="M404" s="64">
        <f>IF(AND(Tableau2[[#This Row],[CLASSE]]="CEU",Tableau2[[#This Row],[STATUT ]]="Admis"),1,0)</f>
        <v>0</v>
      </c>
      <c r="N404" s="64"/>
      <c r="O404" s="296"/>
      <c r="P4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5" spans="1:16" ht="18.5" x14ac:dyDescent="0.45">
      <c r="A405" s="310">
        <v>404</v>
      </c>
      <c r="B405" s="426" t="s">
        <v>2361</v>
      </c>
      <c r="C405" s="64" t="s">
        <v>1</v>
      </c>
      <c r="D405" s="428">
        <v>10</v>
      </c>
      <c r="E405" s="429">
        <v>1.1200000000000001</v>
      </c>
      <c r="F405" s="418" t="s">
        <v>2009</v>
      </c>
      <c r="G405" s="426" t="s">
        <v>2066</v>
      </c>
      <c r="H405" s="402" t="str">
        <f>IF(Tableau2[[#This Row],[Moyennes]]="Absent","Absent",IF(Tableau2[[#This Row],[Moyennes]]&lt;5,"Redouble",IF(Tableau2[[#This Row],[Moyennes]]&gt;=5,"Admis"," ")))</f>
        <v>Redouble</v>
      </c>
      <c r="I405" s="429"/>
      <c r="J405" s="300" t="s">
        <v>660</v>
      </c>
      <c r="K405" s="64" t="s">
        <v>2355</v>
      </c>
      <c r="L405" s="64">
        <f>IF(AND(Tableau2[[#This Row],[CLASSE]]="CPU",Tableau2[[#This Row],[STATUT ]]="Admis"),1,0)</f>
        <v>0</v>
      </c>
      <c r="M405" s="64">
        <f>IF(AND(Tableau2[[#This Row],[CLASSE]]="CEU",Tableau2[[#This Row],[STATUT ]]="Admis"),1,0)</f>
        <v>0</v>
      </c>
      <c r="N405" s="64"/>
      <c r="O405" s="296"/>
      <c r="P4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06" spans="1:16" ht="19" thickBot="1" x14ac:dyDescent="0.5">
      <c r="A406" s="310">
        <v>405</v>
      </c>
      <c r="B406" s="426" t="s">
        <v>2374</v>
      </c>
      <c r="C406" s="64" t="s">
        <v>1</v>
      </c>
      <c r="D406" s="428">
        <v>10</v>
      </c>
      <c r="E406" s="429">
        <v>9.6199999999999992</v>
      </c>
      <c r="F406" s="418" t="s">
        <v>2009</v>
      </c>
      <c r="G406" s="429" t="s">
        <v>2035</v>
      </c>
      <c r="H406" s="402" t="str">
        <f>IF(Tableau2[[#This Row],[Moyennes]]="Absent","Absent",IF(Tableau2[[#This Row],[Moyennes]]&lt;5,"Redouble",IF(Tableau2[[#This Row],[Moyennes]]&gt;=5,"Admis"," ")))</f>
        <v>Admis</v>
      </c>
      <c r="I406" s="429"/>
      <c r="J406" s="300" t="s">
        <v>660</v>
      </c>
      <c r="K406" s="334" t="s">
        <v>2393</v>
      </c>
      <c r="L406" s="64">
        <f>IF(AND(Tableau2[[#This Row],[CLASSE]]="CPU",Tableau2[[#This Row],[STATUT ]]="Admis"),1,0)</f>
        <v>1</v>
      </c>
      <c r="M406" s="64">
        <f>IF(AND(Tableau2[[#This Row],[CLASSE]]="CEU",Tableau2[[#This Row],[STATUT ]]="Admis"),1,0)</f>
        <v>0</v>
      </c>
      <c r="N406" s="64"/>
      <c r="O406" s="296"/>
      <c r="P4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07" spans="1:16" ht="18.5" x14ac:dyDescent="0.45">
      <c r="A407" s="310">
        <v>406</v>
      </c>
      <c r="B407" s="426" t="s">
        <v>2375</v>
      </c>
      <c r="C407" s="427" t="s">
        <v>2</v>
      </c>
      <c r="D407" s="439">
        <v>9</v>
      </c>
      <c r="E407" s="429">
        <v>6.25</v>
      </c>
      <c r="F407" s="418" t="s">
        <v>2009</v>
      </c>
      <c r="G407" s="426" t="s">
        <v>2010</v>
      </c>
      <c r="H407" s="402" t="str">
        <f>IF(Tableau2[[#This Row],[Moyennes]]="Absent","Absent",IF(Tableau2[[#This Row],[Moyennes]]&lt;5,"Redouble",IF(Tableau2[[#This Row],[Moyennes]]&gt;=5,"Admis"," ")))</f>
        <v>Admis</v>
      </c>
      <c r="I407" s="426"/>
      <c r="J407" s="300" t="s">
        <v>660</v>
      </c>
      <c r="K407" s="64" t="s">
        <v>2393</v>
      </c>
      <c r="L407" s="64">
        <f>IF(AND(Tableau2[[#This Row],[CLASSE]]="CPU",Tableau2[[#This Row],[STATUT ]]="Admis"),1,0)</f>
        <v>1</v>
      </c>
      <c r="M407" s="64">
        <f>IF(AND(Tableau2[[#This Row],[CLASSE]]="CEU",Tableau2[[#This Row],[STATUT ]]="Admis"),1,0)</f>
        <v>0</v>
      </c>
      <c r="N407" s="64"/>
      <c r="O407" s="296"/>
      <c r="P4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08" spans="1:16" ht="18.5" x14ac:dyDescent="0.45">
      <c r="A408" s="310">
        <v>407</v>
      </c>
      <c r="B408" s="426" t="s">
        <v>2144</v>
      </c>
      <c r="C408" s="427" t="s">
        <v>2</v>
      </c>
      <c r="D408" s="442">
        <v>10</v>
      </c>
      <c r="E408" s="429">
        <v>5.5</v>
      </c>
      <c r="F408" s="418" t="s">
        <v>2009</v>
      </c>
      <c r="G408" s="429" t="s">
        <v>2078</v>
      </c>
      <c r="H408" s="402" t="str">
        <f>IF(Tableau2[[#This Row],[Moyennes]]="Absent","Absent",IF(Tableau2[[#This Row],[Moyennes]]&lt;5,"Redouble",IF(Tableau2[[#This Row],[Moyennes]]&gt;=5,"Admis"," ")))</f>
        <v>Admis</v>
      </c>
      <c r="I408" s="429"/>
      <c r="J408" s="300" t="s">
        <v>660</v>
      </c>
      <c r="K408" s="334" t="s">
        <v>2393</v>
      </c>
      <c r="L408" s="64">
        <f>IF(AND(Tableau2[[#This Row],[CLASSE]]="CPU",Tableau2[[#This Row],[STATUT ]]="Admis"),1,0)</f>
        <v>1</v>
      </c>
      <c r="M408" s="64">
        <f>IF(AND(Tableau2[[#This Row],[CLASSE]]="CEU",Tableau2[[#This Row],[STATUT ]]="Admis"),1,0)</f>
        <v>0</v>
      </c>
      <c r="N408" s="64"/>
      <c r="O408" s="296"/>
      <c r="P4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09" spans="1:16" ht="18.5" x14ac:dyDescent="0.45">
      <c r="A409" s="310">
        <v>408</v>
      </c>
      <c r="B409" s="426" t="s">
        <v>2376</v>
      </c>
      <c r="C409" s="64" t="s">
        <v>1</v>
      </c>
      <c r="D409" s="442">
        <v>12</v>
      </c>
      <c r="E409" s="436">
        <v>9.75</v>
      </c>
      <c r="F409" s="418" t="s">
        <v>2009</v>
      </c>
      <c r="G409" s="426" t="s">
        <v>2033</v>
      </c>
      <c r="H409" s="402" t="str">
        <f>IF(Tableau2[[#This Row],[Moyennes]]="Absent","Absent",IF(Tableau2[[#This Row],[Moyennes]]&lt;5,"Redouble",IF(Tableau2[[#This Row],[Moyennes]]&gt;=5,"Admis"," ")))</f>
        <v>Admis</v>
      </c>
      <c r="I409" s="429"/>
      <c r="J409" s="300" t="s">
        <v>660</v>
      </c>
      <c r="K409" s="64" t="s">
        <v>2393</v>
      </c>
      <c r="L409" s="64">
        <f>IF(AND(Tableau2[[#This Row],[CLASSE]]="CPU",Tableau2[[#This Row],[STATUT ]]="Admis"),1,0)</f>
        <v>1</v>
      </c>
      <c r="M409" s="64">
        <f>IF(AND(Tableau2[[#This Row],[CLASSE]]="CEU",Tableau2[[#This Row],[STATUT ]]="Admis"),1,0)</f>
        <v>0</v>
      </c>
      <c r="N409" s="64"/>
      <c r="O409" s="296"/>
      <c r="P4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10" spans="1:16" ht="18.5" x14ac:dyDescent="0.45">
      <c r="A410" s="310">
        <v>409</v>
      </c>
      <c r="B410" s="426" t="s">
        <v>2377</v>
      </c>
      <c r="C410" s="64" t="s">
        <v>1</v>
      </c>
      <c r="D410" s="442">
        <v>9</v>
      </c>
      <c r="E410" s="429">
        <v>8.1199999999999992</v>
      </c>
      <c r="F410" s="418" t="s">
        <v>2009</v>
      </c>
      <c r="G410" s="426" t="s">
        <v>2062</v>
      </c>
      <c r="H410" s="402" t="str">
        <f>IF(Tableau2[[#This Row],[Moyennes]]="Absent","Absent",IF(Tableau2[[#This Row],[Moyennes]]&lt;5,"Redouble",IF(Tableau2[[#This Row],[Moyennes]]&gt;=5,"Admis"," ")))</f>
        <v>Admis</v>
      </c>
      <c r="I410" s="429"/>
      <c r="J410" s="300" t="s">
        <v>660</v>
      </c>
      <c r="K410" s="334" t="s">
        <v>2393</v>
      </c>
      <c r="L410" s="64">
        <f>IF(AND(Tableau2[[#This Row],[CLASSE]]="CPU",Tableau2[[#This Row],[STATUT ]]="Admis"),1,0)</f>
        <v>1</v>
      </c>
      <c r="M410" s="64">
        <f>IF(AND(Tableau2[[#This Row],[CLASSE]]="CEU",Tableau2[[#This Row],[STATUT ]]="Admis"),1,0)</f>
        <v>0</v>
      </c>
      <c r="N410" s="64"/>
      <c r="O410" s="296"/>
      <c r="P4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1" spans="1:16" ht="18.5" x14ac:dyDescent="0.45">
      <c r="A411" s="310">
        <v>410</v>
      </c>
      <c r="B411" s="426" t="s">
        <v>2378</v>
      </c>
      <c r="C411" s="64" t="s">
        <v>1</v>
      </c>
      <c r="D411" s="442">
        <v>12</v>
      </c>
      <c r="E411" s="436">
        <v>9.75</v>
      </c>
      <c r="F411" s="418" t="s">
        <v>2009</v>
      </c>
      <c r="G411" s="426" t="s">
        <v>2035</v>
      </c>
      <c r="H411" s="402" t="str">
        <f>IF(Tableau2[[#This Row],[Moyennes]]="Absent","Absent",IF(Tableau2[[#This Row],[Moyennes]]&lt;5,"Redouble",IF(Tableau2[[#This Row],[Moyennes]]&gt;=5,"Admis"," ")))</f>
        <v>Admis</v>
      </c>
      <c r="I411" s="429"/>
      <c r="J411" s="300" t="s">
        <v>660</v>
      </c>
      <c r="K411" s="64" t="s">
        <v>2393</v>
      </c>
      <c r="L411" s="64">
        <f>IF(AND(Tableau2[[#This Row],[CLASSE]]="CPU",Tableau2[[#This Row],[STATUT ]]="Admis"),1,0)</f>
        <v>1</v>
      </c>
      <c r="M411" s="64">
        <f>IF(AND(Tableau2[[#This Row],[CLASSE]]="CEU",Tableau2[[#This Row],[STATUT ]]="Admis"),1,0)</f>
        <v>0</v>
      </c>
      <c r="N411" s="64"/>
      <c r="O411" s="296"/>
      <c r="P4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12" spans="1:16" ht="18.5" x14ac:dyDescent="0.45">
      <c r="A412" s="310">
        <v>411</v>
      </c>
      <c r="B412" s="426" t="s">
        <v>2380</v>
      </c>
      <c r="C412" s="64" t="s">
        <v>1</v>
      </c>
      <c r="D412" s="442">
        <v>9</v>
      </c>
      <c r="E412" s="429">
        <v>7.12</v>
      </c>
      <c r="F412" s="418" t="s">
        <v>2009</v>
      </c>
      <c r="G412" s="426" t="s">
        <v>2228</v>
      </c>
      <c r="H412" s="402" t="str">
        <f>IF(Tableau2[[#This Row],[Moyennes]]="Absent","Absent",IF(Tableau2[[#This Row],[Moyennes]]&lt;5,"Redouble",IF(Tableau2[[#This Row],[Moyennes]]&gt;=5,"Admis"," ")))</f>
        <v>Admis</v>
      </c>
      <c r="I412" s="429"/>
      <c r="J412" s="300" t="s">
        <v>660</v>
      </c>
      <c r="K412" s="334" t="s">
        <v>2393</v>
      </c>
      <c r="L412" s="64">
        <f>IF(AND(Tableau2[[#This Row],[CLASSE]]="CPU",Tableau2[[#This Row],[STATUT ]]="Admis"),1,0)</f>
        <v>1</v>
      </c>
      <c r="M412" s="64">
        <f>IF(AND(Tableau2[[#This Row],[CLASSE]]="CEU",Tableau2[[#This Row],[STATUT ]]="Admis"),1,0)</f>
        <v>0</v>
      </c>
      <c r="N412" s="64"/>
      <c r="O412" s="296"/>
      <c r="P4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3" spans="1:16" ht="18.5" x14ac:dyDescent="0.45">
      <c r="A413" s="310">
        <v>412</v>
      </c>
      <c r="B413" s="426" t="s">
        <v>2381</v>
      </c>
      <c r="C413" s="427" t="s">
        <v>2</v>
      </c>
      <c r="D413" s="442">
        <v>10</v>
      </c>
      <c r="E413" s="429">
        <v>9.25</v>
      </c>
      <c r="F413" s="418" t="s">
        <v>2009</v>
      </c>
      <c r="G413" s="426" t="s">
        <v>2025</v>
      </c>
      <c r="H413" s="402" t="str">
        <f>IF(Tableau2[[#This Row],[Moyennes]]="Absent","Absent",IF(Tableau2[[#This Row],[Moyennes]]&lt;5,"Redouble",IF(Tableau2[[#This Row],[Moyennes]]&gt;=5,"Admis"," ")))</f>
        <v>Admis</v>
      </c>
      <c r="I413" s="429"/>
      <c r="J413" s="300" t="s">
        <v>660</v>
      </c>
      <c r="K413" s="64" t="s">
        <v>2393</v>
      </c>
      <c r="L413" s="64">
        <f>IF(AND(Tableau2[[#This Row],[CLASSE]]="CPU",Tableau2[[#This Row],[STATUT ]]="Admis"),1,0)</f>
        <v>1</v>
      </c>
      <c r="M413" s="64">
        <f>IF(AND(Tableau2[[#This Row],[CLASSE]]="CEU",Tableau2[[#This Row],[STATUT ]]="Admis"),1,0)</f>
        <v>0</v>
      </c>
      <c r="N413" s="64"/>
      <c r="O413" s="296"/>
      <c r="P4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4" spans="1:16" ht="18.5" x14ac:dyDescent="0.45">
      <c r="A414" s="310">
        <v>413</v>
      </c>
      <c r="B414" s="426" t="s">
        <v>2382</v>
      </c>
      <c r="C414" s="64" t="s">
        <v>1</v>
      </c>
      <c r="D414" s="442">
        <v>10</v>
      </c>
      <c r="E414" s="436">
        <v>8.6199999999999992</v>
      </c>
      <c r="F414" s="418" t="s">
        <v>2009</v>
      </c>
      <c r="G414" s="426" t="s">
        <v>2042</v>
      </c>
      <c r="H414" s="402" t="str">
        <f>IF(Tableau2[[#This Row],[Moyennes]]="Absent","Absent",IF(Tableau2[[#This Row],[Moyennes]]&lt;5,"Redouble",IF(Tableau2[[#This Row],[Moyennes]]&gt;=5,"Admis"," ")))</f>
        <v>Admis</v>
      </c>
      <c r="I414" s="429"/>
      <c r="J414" s="300" t="s">
        <v>660</v>
      </c>
      <c r="K414" s="334" t="s">
        <v>2393</v>
      </c>
      <c r="L414" s="64">
        <f>IF(AND(Tableau2[[#This Row],[CLASSE]]="CPU",Tableau2[[#This Row],[STATUT ]]="Admis"),1,0)</f>
        <v>1</v>
      </c>
      <c r="M414" s="64">
        <f>IF(AND(Tableau2[[#This Row],[CLASSE]]="CEU",Tableau2[[#This Row],[STATUT ]]="Admis"),1,0)</f>
        <v>0</v>
      </c>
      <c r="N414" s="64"/>
      <c r="O414" s="296"/>
      <c r="P4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5" spans="1:16" ht="18.5" x14ac:dyDescent="0.45">
      <c r="A415" s="310">
        <v>414</v>
      </c>
      <c r="B415" s="426" t="s">
        <v>2383</v>
      </c>
      <c r="C415" s="64" t="s">
        <v>1</v>
      </c>
      <c r="D415" s="442">
        <v>11</v>
      </c>
      <c r="E415" s="429">
        <v>9.1199999999999992</v>
      </c>
      <c r="F415" s="418" t="s">
        <v>2009</v>
      </c>
      <c r="G415" s="429" t="s">
        <v>2089</v>
      </c>
      <c r="H415" s="402" t="str">
        <f>IF(Tableau2[[#This Row],[Moyennes]]="Absent","Absent",IF(Tableau2[[#This Row],[Moyennes]]&lt;5,"Redouble",IF(Tableau2[[#This Row],[Moyennes]]&gt;=5,"Admis"," ")))</f>
        <v>Admis</v>
      </c>
      <c r="I415" s="429"/>
      <c r="J415" s="300" t="s">
        <v>660</v>
      </c>
      <c r="K415" s="64" t="s">
        <v>2393</v>
      </c>
      <c r="L415" s="64">
        <f>IF(AND(Tableau2[[#This Row],[CLASSE]]="CPU",Tableau2[[#This Row],[STATUT ]]="Admis"),1,0)</f>
        <v>1</v>
      </c>
      <c r="M415" s="64">
        <f>IF(AND(Tableau2[[#This Row],[CLASSE]]="CEU",Tableau2[[#This Row],[STATUT ]]="Admis"),1,0)</f>
        <v>0</v>
      </c>
      <c r="N415" s="64"/>
      <c r="O415" s="296"/>
      <c r="P4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6" spans="1:16" ht="18.5" x14ac:dyDescent="0.45">
      <c r="A416" s="310">
        <v>415</v>
      </c>
      <c r="B416" s="426" t="s">
        <v>2384</v>
      </c>
      <c r="C416" s="64" t="s">
        <v>1</v>
      </c>
      <c r="D416" s="442">
        <v>10</v>
      </c>
      <c r="E416" s="436">
        <v>9.3699999999999992</v>
      </c>
      <c r="F416" s="418" t="s">
        <v>2009</v>
      </c>
      <c r="G416" s="426" t="s">
        <v>2048</v>
      </c>
      <c r="H416" s="402" t="str">
        <f>IF(Tableau2[[#This Row],[Moyennes]]="Absent","Absent",IF(Tableau2[[#This Row],[Moyennes]]&lt;5,"Redouble",IF(Tableau2[[#This Row],[Moyennes]]&gt;=5,"Admis"," ")))</f>
        <v>Admis</v>
      </c>
      <c r="I416" s="429"/>
      <c r="J416" s="300" t="s">
        <v>660</v>
      </c>
      <c r="K416" s="334" t="s">
        <v>2393</v>
      </c>
      <c r="L416" s="64">
        <f>IF(AND(Tableau2[[#This Row],[CLASSE]]="CPU",Tableau2[[#This Row],[STATUT ]]="Admis"),1,0)</f>
        <v>1</v>
      </c>
      <c r="M416" s="64">
        <f>IF(AND(Tableau2[[#This Row],[CLASSE]]="CEU",Tableau2[[#This Row],[STATUT ]]="Admis"),1,0)</f>
        <v>0</v>
      </c>
      <c r="N416" s="64"/>
      <c r="O416" s="296"/>
      <c r="P4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7" spans="1:16" ht="18.5" x14ac:dyDescent="0.45">
      <c r="A417" s="310">
        <v>416</v>
      </c>
      <c r="B417" s="426" t="s">
        <v>2385</v>
      </c>
      <c r="C417" s="427" t="s">
        <v>2</v>
      </c>
      <c r="D417" s="442">
        <v>11</v>
      </c>
      <c r="E417" s="429">
        <v>8.25</v>
      </c>
      <c r="F417" s="418" t="s">
        <v>2009</v>
      </c>
      <c r="G417" s="426" t="s">
        <v>2044</v>
      </c>
      <c r="H417" s="402" t="str">
        <f>IF(Tableau2[[#This Row],[Moyennes]]="Absent","Absent",IF(Tableau2[[#This Row],[Moyennes]]&lt;5,"Redouble",IF(Tableau2[[#This Row],[Moyennes]]&gt;=5,"Admis"," ")))</f>
        <v>Admis</v>
      </c>
      <c r="I417" s="429"/>
      <c r="J417" s="300" t="s">
        <v>660</v>
      </c>
      <c r="K417" s="64" t="s">
        <v>2393</v>
      </c>
      <c r="L417" s="64">
        <f>IF(AND(Tableau2[[#This Row],[CLASSE]]="CPU",Tableau2[[#This Row],[STATUT ]]="Admis"),1,0)</f>
        <v>1</v>
      </c>
      <c r="M417" s="64">
        <f>IF(AND(Tableau2[[#This Row],[CLASSE]]="CEU",Tableau2[[#This Row],[STATUT ]]="Admis"),1,0)</f>
        <v>0</v>
      </c>
      <c r="N417" s="64"/>
      <c r="O417" s="296"/>
      <c r="P4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8" spans="1:16" ht="18.5" x14ac:dyDescent="0.45">
      <c r="A418" s="310">
        <v>417</v>
      </c>
      <c r="B418" s="426" t="s">
        <v>2387</v>
      </c>
      <c r="C418" s="64" t="s">
        <v>1</v>
      </c>
      <c r="D418" s="442">
        <v>11</v>
      </c>
      <c r="E418" s="429">
        <v>6.87</v>
      </c>
      <c r="F418" s="418" t="s">
        <v>2009</v>
      </c>
      <c r="G418" s="426" t="s">
        <v>2018</v>
      </c>
      <c r="H418" s="402" t="str">
        <f>IF(Tableau2[[#This Row],[Moyennes]]="Absent","Absent",IF(Tableau2[[#This Row],[Moyennes]]&lt;5,"Redouble",IF(Tableau2[[#This Row],[Moyennes]]&gt;=5,"Admis"," ")))</f>
        <v>Admis</v>
      </c>
      <c r="I418" s="429"/>
      <c r="J418" s="300" t="s">
        <v>660</v>
      </c>
      <c r="K418" s="334" t="s">
        <v>2393</v>
      </c>
      <c r="L418" s="64">
        <f>IF(AND(Tableau2[[#This Row],[CLASSE]]="CPU",Tableau2[[#This Row],[STATUT ]]="Admis"),1,0)</f>
        <v>1</v>
      </c>
      <c r="M418" s="64">
        <f>IF(AND(Tableau2[[#This Row],[CLASSE]]="CEU",Tableau2[[#This Row],[STATUT ]]="Admis"),1,0)</f>
        <v>0</v>
      </c>
      <c r="N418" s="64"/>
      <c r="O418" s="296"/>
      <c r="P4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19" spans="1:16" ht="18.5" x14ac:dyDescent="0.45">
      <c r="A419" s="310">
        <v>418</v>
      </c>
      <c r="B419" s="426" t="s">
        <v>2388</v>
      </c>
      <c r="C419" s="64" t="s">
        <v>1</v>
      </c>
      <c r="D419" s="442">
        <v>9</v>
      </c>
      <c r="E419" s="429">
        <v>9</v>
      </c>
      <c r="F419" s="418" t="s">
        <v>2009</v>
      </c>
      <c r="G419" s="426" t="s">
        <v>2037</v>
      </c>
      <c r="H419" s="402" t="str">
        <f>IF(Tableau2[[#This Row],[Moyennes]]="Absent","Absent",IF(Tableau2[[#This Row],[Moyennes]]&lt;5,"Redouble",IF(Tableau2[[#This Row],[Moyennes]]&gt;=5,"Admis"," ")))</f>
        <v>Admis</v>
      </c>
      <c r="I419" s="429"/>
      <c r="J419" s="300" t="s">
        <v>660</v>
      </c>
      <c r="K419" s="64" t="s">
        <v>2393</v>
      </c>
      <c r="L419" s="64">
        <f>IF(AND(Tableau2[[#This Row],[CLASSE]]="CPU",Tableau2[[#This Row],[STATUT ]]="Admis"),1,0)</f>
        <v>1</v>
      </c>
      <c r="M419" s="64">
        <f>IF(AND(Tableau2[[#This Row],[CLASSE]]="CEU",Tableau2[[#This Row],[STATUT ]]="Admis"),1,0)</f>
        <v>0</v>
      </c>
      <c r="N419" s="64"/>
      <c r="O419" s="296"/>
      <c r="P4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0" spans="1:16" ht="18.5" x14ac:dyDescent="0.45">
      <c r="A420" s="310">
        <v>419</v>
      </c>
      <c r="B420" s="426" t="s">
        <v>3449</v>
      </c>
      <c r="C420" s="64" t="s">
        <v>1</v>
      </c>
      <c r="D420" s="442">
        <v>11</v>
      </c>
      <c r="E420" s="436">
        <v>9</v>
      </c>
      <c r="F420" s="418" t="s">
        <v>2009</v>
      </c>
      <c r="G420" s="426" t="s">
        <v>2023</v>
      </c>
      <c r="H420" s="402" t="str">
        <f>IF(Tableau2[[#This Row],[Moyennes]]="Absent","Absent",IF(Tableau2[[#This Row],[Moyennes]]&lt;5,"Redouble",IF(Tableau2[[#This Row],[Moyennes]]&gt;=5,"Admis"," ")))</f>
        <v>Admis</v>
      </c>
      <c r="I420" s="429"/>
      <c r="J420" s="300" t="s">
        <v>660</v>
      </c>
      <c r="K420" s="334" t="s">
        <v>2393</v>
      </c>
      <c r="L420" s="64">
        <f>IF(AND(Tableau2[[#This Row],[CLASSE]]="CPU",Tableau2[[#This Row],[STATUT ]]="Admis"),1,0)</f>
        <v>1</v>
      </c>
      <c r="M420" s="64">
        <f>IF(AND(Tableau2[[#This Row],[CLASSE]]="CEU",Tableau2[[#This Row],[STATUT ]]="Admis"),1,0)</f>
        <v>0</v>
      </c>
      <c r="N420" s="64"/>
      <c r="O420" s="296"/>
      <c r="P4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1" spans="1:16" ht="18.5" x14ac:dyDescent="0.45">
      <c r="A421" s="310">
        <v>420</v>
      </c>
      <c r="B421" s="426" t="s">
        <v>2389</v>
      </c>
      <c r="C421" s="427" t="s">
        <v>2</v>
      </c>
      <c r="D421" s="442">
        <v>10</v>
      </c>
      <c r="E421" s="429">
        <v>8.1199999999999992</v>
      </c>
      <c r="F421" s="418" t="s">
        <v>2009</v>
      </c>
      <c r="G421" s="429" t="s">
        <v>2066</v>
      </c>
      <c r="H421" s="402" t="str">
        <f>IF(Tableau2[[#This Row],[Moyennes]]="Absent","Absent",IF(Tableau2[[#This Row],[Moyennes]]&lt;5,"Redouble",IF(Tableau2[[#This Row],[Moyennes]]&gt;=5,"Admis"," ")))</f>
        <v>Admis</v>
      </c>
      <c r="I421" s="429"/>
      <c r="J421" s="300" t="s">
        <v>660</v>
      </c>
      <c r="K421" s="64" t="s">
        <v>2393</v>
      </c>
      <c r="L421" s="64">
        <f>IF(AND(Tableau2[[#This Row],[CLASSE]]="CPU",Tableau2[[#This Row],[STATUT ]]="Admis"),1,0)</f>
        <v>1</v>
      </c>
      <c r="M421" s="64">
        <f>IF(AND(Tableau2[[#This Row],[CLASSE]]="CEU",Tableau2[[#This Row],[STATUT ]]="Admis"),1,0)</f>
        <v>0</v>
      </c>
      <c r="N421" s="64"/>
      <c r="O421" s="296"/>
      <c r="P4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2" spans="1:16" ht="18.5" x14ac:dyDescent="0.45">
      <c r="A422" s="310">
        <v>421</v>
      </c>
      <c r="B422" s="426" t="s">
        <v>2390</v>
      </c>
      <c r="C422" s="64" t="s">
        <v>1</v>
      </c>
      <c r="D422" s="443">
        <v>9</v>
      </c>
      <c r="E422" s="429">
        <v>9.75</v>
      </c>
      <c r="F422" s="418" t="s">
        <v>2009</v>
      </c>
      <c r="G422" s="429" t="s">
        <v>2048</v>
      </c>
      <c r="H422" s="402" t="str">
        <f>IF(Tableau2[[#This Row],[Moyennes]]="Absent","Absent",IF(Tableau2[[#This Row],[Moyennes]]&lt;5,"Redouble",IF(Tableau2[[#This Row],[Moyennes]]&gt;=5,"Admis"," ")))</f>
        <v>Admis</v>
      </c>
      <c r="I422" s="429"/>
      <c r="J422" s="300" t="s">
        <v>660</v>
      </c>
      <c r="K422" s="334" t="s">
        <v>2393</v>
      </c>
      <c r="L422" s="64">
        <f>IF(AND(Tableau2[[#This Row],[CLASSE]]="CPU",Tableau2[[#This Row],[STATUT ]]="Admis"),1,0)</f>
        <v>1</v>
      </c>
      <c r="M422" s="64">
        <f>IF(AND(Tableau2[[#This Row],[CLASSE]]="CEU",Tableau2[[#This Row],[STATUT ]]="Admis"),1,0)</f>
        <v>0</v>
      </c>
      <c r="N422" s="64"/>
      <c r="O422" s="296"/>
      <c r="P4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3" spans="1:16" ht="18.5" x14ac:dyDescent="0.45">
      <c r="A423" s="310">
        <v>422</v>
      </c>
      <c r="B423" s="426" t="s">
        <v>2391</v>
      </c>
      <c r="C423" s="427" t="s">
        <v>2</v>
      </c>
      <c r="D423" s="442">
        <v>10</v>
      </c>
      <c r="E423" s="429">
        <v>8.6199999999999992</v>
      </c>
      <c r="F423" s="418" t="s">
        <v>2009</v>
      </c>
      <c r="G423" s="426" t="s">
        <v>2010</v>
      </c>
      <c r="H423" s="402" t="str">
        <f>IF(Tableau2[[#This Row],[Moyennes]]="Absent","Absent",IF(Tableau2[[#This Row],[Moyennes]]&lt;5,"Redouble",IF(Tableau2[[#This Row],[Moyennes]]&gt;=5,"Admis"," ")))</f>
        <v>Admis</v>
      </c>
      <c r="I423" s="429"/>
      <c r="J423" s="300" t="s">
        <v>660</v>
      </c>
      <c r="K423" s="64" t="s">
        <v>2393</v>
      </c>
      <c r="L423" s="64">
        <f>IF(AND(Tableau2[[#This Row],[CLASSE]]="CPU",Tableau2[[#This Row],[STATUT ]]="Admis"),1,0)</f>
        <v>1</v>
      </c>
      <c r="M423" s="64">
        <f>IF(AND(Tableau2[[#This Row],[CLASSE]]="CEU",Tableau2[[#This Row],[STATUT ]]="Admis"),1,0)</f>
        <v>0</v>
      </c>
      <c r="N423" s="64"/>
      <c r="O423" s="296"/>
      <c r="P4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4" spans="1:16" ht="18.5" x14ac:dyDescent="0.45">
      <c r="A424" s="310">
        <v>423</v>
      </c>
      <c r="B424" s="426" t="s">
        <v>2392</v>
      </c>
      <c r="C424" s="64" t="s">
        <v>1</v>
      </c>
      <c r="D424" s="442">
        <v>10</v>
      </c>
      <c r="E424" s="429">
        <v>9.75</v>
      </c>
      <c r="F424" s="418" t="s">
        <v>2009</v>
      </c>
      <c r="G424" s="429" t="s">
        <v>2021</v>
      </c>
      <c r="H424" s="402" t="str">
        <f>IF(Tableau2[[#This Row],[Moyennes]]="Absent","Absent",IF(Tableau2[[#This Row],[Moyennes]]&lt;5,"Redouble",IF(Tableau2[[#This Row],[Moyennes]]&gt;=5,"Admis"," ")))</f>
        <v>Admis</v>
      </c>
      <c r="I424" s="429"/>
      <c r="J424" s="300" t="s">
        <v>660</v>
      </c>
      <c r="K424" s="334" t="s">
        <v>2393</v>
      </c>
      <c r="L424" s="64">
        <f>IF(AND(Tableau2[[#This Row],[CLASSE]]="CPU",Tableau2[[#This Row],[STATUT ]]="Admis"),1,0)</f>
        <v>1</v>
      </c>
      <c r="M424" s="64">
        <f>IF(AND(Tableau2[[#This Row],[CLASSE]]="CEU",Tableau2[[#This Row],[STATUT ]]="Admis"),1,0)</f>
        <v>0</v>
      </c>
      <c r="N424" s="64"/>
      <c r="O424" s="296"/>
      <c r="P4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25" spans="1:16" ht="18.5" x14ac:dyDescent="0.45">
      <c r="A425" s="310">
        <v>424</v>
      </c>
      <c r="B425" s="426" t="s">
        <v>2386</v>
      </c>
      <c r="C425" s="427" t="s">
        <v>2</v>
      </c>
      <c r="D425" s="445">
        <v>10</v>
      </c>
      <c r="E425" s="501" t="s">
        <v>2165</v>
      </c>
      <c r="F425" s="500" t="s">
        <v>2009</v>
      </c>
      <c r="G425" s="446" t="s">
        <v>2165</v>
      </c>
      <c r="H425" s="300" t="str">
        <f>IF(Tableau2[[#This Row],[Moyennes]]="Absent","Absent",IF(Tableau2[[#This Row],[Moyennes]]&lt;5,"Redouble",IF(Tableau2[[#This Row],[Moyennes]]&gt;=5,"Admis"," ")))</f>
        <v>Absent</v>
      </c>
      <c r="I425" s="495"/>
      <c r="J425" s="300" t="s">
        <v>660</v>
      </c>
      <c r="K425" s="64" t="s">
        <v>2393</v>
      </c>
      <c r="L425" s="64">
        <f>IF(AND(Tableau2[[#This Row],[CLASSE]]="CPU",Tableau2[[#This Row],[STATUT ]]="Admis"),1,0)</f>
        <v>0</v>
      </c>
      <c r="M425" s="64">
        <f>IF(AND(Tableau2[[#This Row],[CLASSE]]="CEU",Tableau2[[#This Row],[STATUT ]]="Admis"),1,0)</f>
        <v>0</v>
      </c>
      <c r="N425" s="64"/>
      <c r="O425" s="296"/>
      <c r="P4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26" spans="1:16" ht="18.5" x14ac:dyDescent="0.45">
      <c r="A426" s="310">
        <v>425</v>
      </c>
      <c r="B426" s="426" t="s">
        <v>2379</v>
      </c>
      <c r="C426" s="427" t="s">
        <v>2</v>
      </c>
      <c r="D426" s="445">
        <v>10</v>
      </c>
      <c r="E426" s="495" t="s">
        <v>2165</v>
      </c>
      <c r="F426" s="500" t="s">
        <v>2009</v>
      </c>
      <c r="G426" s="446" t="s">
        <v>2165</v>
      </c>
      <c r="H426" s="300" t="str">
        <f>IF(Tableau2[[#This Row],[Moyennes]]="Absent","Absent",IF(Tableau2[[#This Row],[Moyennes]]&lt;5,"Redouble",IF(Tableau2[[#This Row],[Moyennes]]&gt;=5,"Admis"," ")))</f>
        <v>Absent</v>
      </c>
      <c r="I426" s="495"/>
      <c r="J426" s="300" t="s">
        <v>660</v>
      </c>
      <c r="K426" s="334" t="s">
        <v>2393</v>
      </c>
      <c r="L426" s="64">
        <f>IF(AND(Tableau2[[#This Row],[CLASSE]]="CPU",Tableau2[[#This Row],[STATUT ]]="Admis"),1,0)</f>
        <v>0</v>
      </c>
      <c r="M426" s="64">
        <f>IF(AND(Tableau2[[#This Row],[CLASSE]]="CEU",Tableau2[[#This Row],[STATUT ]]="Admis"),1,0)</f>
        <v>0</v>
      </c>
      <c r="N426" s="64"/>
      <c r="O426" s="296"/>
      <c r="P4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27" spans="1:16" ht="18.5" x14ac:dyDescent="0.45">
      <c r="A427" s="310">
        <v>426</v>
      </c>
      <c r="B427" s="426" t="s">
        <v>3341</v>
      </c>
      <c r="C427" s="64" t="s">
        <v>1</v>
      </c>
      <c r="D427" s="445">
        <v>10</v>
      </c>
      <c r="E427" s="501" t="s">
        <v>2165</v>
      </c>
      <c r="F427" s="500" t="s">
        <v>2009</v>
      </c>
      <c r="G427" s="446" t="s">
        <v>2165</v>
      </c>
      <c r="H427" s="300" t="str">
        <f>IF(Tableau2[[#This Row],[Moyennes]]="Absent","Absent",IF(Tableau2[[#This Row],[Moyennes]]&lt;5,"Redouble",IF(Tableau2[[#This Row],[Moyennes]]&gt;=5,"Admis"," ")))</f>
        <v>Absent</v>
      </c>
      <c r="I427" s="495"/>
      <c r="J427" s="300" t="s">
        <v>660</v>
      </c>
      <c r="K427" s="64" t="s">
        <v>2393</v>
      </c>
      <c r="L427" s="64">
        <f>IF(AND(Tableau2[[#This Row],[CLASSE]]="CPU",Tableau2[[#This Row],[STATUT ]]="Admis"),1,0)</f>
        <v>0</v>
      </c>
      <c r="M427" s="64">
        <f>IF(AND(Tableau2[[#This Row],[CLASSE]]="CEU",Tableau2[[#This Row],[STATUT ]]="Admis"),1,0)</f>
        <v>0</v>
      </c>
      <c r="N427" s="64"/>
      <c r="O427" s="296"/>
      <c r="P4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28" spans="1:16" ht="18.5" x14ac:dyDescent="0.45">
      <c r="A428" s="310">
        <v>427</v>
      </c>
      <c r="B428" s="432" t="s">
        <v>3342</v>
      </c>
      <c r="C428" s="444" t="s">
        <v>2</v>
      </c>
      <c r="D428" s="445">
        <v>10</v>
      </c>
      <c r="E428" s="502" t="s">
        <v>2165</v>
      </c>
      <c r="F428" s="500" t="s">
        <v>2009</v>
      </c>
      <c r="G428" s="495" t="s">
        <v>2165</v>
      </c>
      <c r="H428" s="300" t="str">
        <f>IF(Tableau2[[#This Row],[Moyennes]]="Absent","Absent",IF(Tableau2[[#This Row],[Moyennes]]&lt;5,"Redouble",IF(Tableau2[[#This Row],[Moyennes]]&gt;=5,"Admis"," ")))</f>
        <v>Absent</v>
      </c>
      <c r="I428" s="495"/>
      <c r="J428" s="300" t="s">
        <v>660</v>
      </c>
      <c r="K428" s="334" t="s">
        <v>2393</v>
      </c>
      <c r="L428" s="64">
        <f>IF(AND(Tableau2[[#This Row],[CLASSE]]="CPU",Tableau2[[#This Row],[STATUT ]]="Admis"),1,0)</f>
        <v>0</v>
      </c>
      <c r="M428" s="64">
        <f>IF(AND(Tableau2[[#This Row],[CLASSE]]="CEU",Tableau2[[#This Row],[STATUT ]]="Admis"),1,0)</f>
        <v>0</v>
      </c>
      <c r="N428" s="64"/>
      <c r="O428" s="296"/>
      <c r="P4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29" spans="1:16" ht="18.5" x14ac:dyDescent="0.45">
      <c r="A429" s="310">
        <v>428</v>
      </c>
      <c r="B429" s="432" t="s">
        <v>2394</v>
      </c>
      <c r="C429" s="64" t="s">
        <v>1</v>
      </c>
      <c r="D429" s="445">
        <v>9</v>
      </c>
      <c r="E429" s="460">
        <v>8.75</v>
      </c>
      <c r="F429" s="418" t="s">
        <v>2009</v>
      </c>
      <c r="G429" s="429" t="s">
        <v>2089</v>
      </c>
      <c r="H429" s="402" t="str">
        <f>IF(Tableau2[[#This Row],[Moyennes]]="Absent","Absent",IF(Tableau2[[#This Row],[Moyennes]]&lt;5,"Redouble",IF(Tableau2[[#This Row],[Moyennes]]&gt;=5,"Admis"," ")))</f>
        <v>Admis</v>
      </c>
      <c r="I429" s="429"/>
      <c r="J429" s="300" t="s">
        <v>660</v>
      </c>
      <c r="K429" s="64" t="s">
        <v>2393</v>
      </c>
      <c r="L429" s="64">
        <f>IF(AND(Tableau2[[#This Row],[CLASSE]]="CPU",Tableau2[[#This Row],[STATUT ]]="Admis"),1,0)</f>
        <v>1</v>
      </c>
      <c r="M429" s="64">
        <f>IF(AND(Tableau2[[#This Row],[CLASSE]]="CEU",Tableau2[[#This Row],[STATUT ]]="Admis"),1,0)</f>
        <v>0</v>
      </c>
      <c r="N429" s="64"/>
      <c r="O429" s="296"/>
      <c r="P4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0" spans="1:16" ht="19" thickBot="1" x14ac:dyDescent="0.5">
      <c r="A430" s="310">
        <v>429</v>
      </c>
      <c r="B430" s="426" t="s">
        <v>3450</v>
      </c>
      <c r="C430" s="427" t="s">
        <v>2</v>
      </c>
      <c r="D430" s="428">
        <v>9</v>
      </c>
      <c r="E430" s="436">
        <v>7</v>
      </c>
      <c r="F430" s="418" t="s">
        <v>2009</v>
      </c>
      <c r="G430" s="426" t="s">
        <v>2042</v>
      </c>
      <c r="H430" s="402" t="str">
        <f>IF(Tableau2[[#This Row],[Moyennes]]="Absent","Absent",IF(Tableau2[[#This Row],[Moyennes]]&lt;5,"Redouble",IF(Tableau2[[#This Row],[Moyennes]]&gt;=5,"Admis"," ")))</f>
        <v>Admis</v>
      </c>
      <c r="I430" s="429"/>
      <c r="J430" s="300" t="s">
        <v>660</v>
      </c>
      <c r="K430" s="334" t="s">
        <v>2393</v>
      </c>
      <c r="L430" s="64">
        <f>IF(AND(Tableau2[[#This Row],[CLASSE]]="CPU",Tableau2[[#This Row],[STATUT ]]="Admis"),1,0)</f>
        <v>1</v>
      </c>
      <c r="M430" s="64">
        <f>IF(AND(Tableau2[[#This Row],[CLASSE]]="CEU",Tableau2[[#This Row],[STATUT ]]="Admis"),1,0)</f>
        <v>0</v>
      </c>
      <c r="N430" s="64"/>
      <c r="O430" s="296"/>
      <c r="P4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1" spans="1:16" ht="18.5" x14ac:dyDescent="0.45">
      <c r="A431" s="310">
        <v>430</v>
      </c>
      <c r="B431" s="426" t="s">
        <v>2395</v>
      </c>
      <c r="C431" s="64" t="s">
        <v>1</v>
      </c>
      <c r="D431" s="439">
        <v>10</v>
      </c>
      <c r="E431" s="462">
        <v>8</v>
      </c>
      <c r="F431" s="438" t="s">
        <v>2009</v>
      </c>
      <c r="G431" s="426" t="s">
        <v>2048</v>
      </c>
      <c r="H431" s="402" t="str">
        <f>IF(Tableau2[[#This Row],[Moyennes]]="Absent","Absent",IF(Tableau2[[#This Row],[Moyennes]]&lt;5,"Redouble",IF(Tableau2[[#This Row],[Moyennes]]&gt;=5,"Admis"," ")))</f>
        <v>Admis</v>
      </c>
      <c r="I431" s="429"/>
      <c r="J431" s="300" t="s">
        <v>660</v>
      </c>
      <c r="K431" s="64" t="s">
        <v>2393</v>
      </c>
      <c r="L431" s="64">
        <f>IF(AND(Tableau2[[#This Row],[CLASSE]]="CPU",Tableau2[[#This Row],[STATUT ]]="Admis"),1,0)</f>
        <v>1</v>
      </c>
      <c r="M431" s="64">
        <f>IF(AND(Tableau2[[#This Row],[CLASSE]]="CEU",Tableau2[[#This Row],[STATUT ]]="Admis"),1,0)</f>
        <v>0</v>
      </c>
      <c r="N431" s="64"/>
      <c r="O431" s="296"/>
      <c r="P4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2" spans="1:16" ht="18.5" x14ac:dyDescent="0.45">
      <c r="A432" s="310">
        <v>431</v>
      </c>
      <c r="B432" s="426" t="s">
        <v>2396</v>
      </c>
      <c r="C432" s="64" t="s">
        <v>1</v>
      </c>
      <c r="D432" s="442">
        <v>10</v>
      </c>
      <c r="E432" s="463">
        <v>9.5</v>
      </c>
      <c r="F432" s="438" t="s">
        <v>2009</v>
      </c>
      <c r="G432" s="426" t="s">
        <v>2035</v>
      </c>
      <c r="H432" s="402" t="str">
        <f>IF(Tableau2[[#This Row],[Moyennes]]="Absent","Absent",IF(Tableau2[[#This Row],[Moyennes]]&lt;5,"Redouble",IF(Tableau2[[#This Row],[Moyennes]]&gt;=5,"Admis"," ")))</f>
        <v>Admis</v>
      </c>
      <c r="I432" s="429"/>
      <c r="J432" s="300" t="s">
        <v>660</v>
      </c>
      <c r="K432" s="334" t="s">
        <v>2393</v>
      </c>
      <c r="L432" s="64">
        <f>IF(AND(Tableau2[[#This Row],[CLASSE]]="CPU",Tableau2[[#This Row],[STATUT ]]="Admis"),1,0)</f>
        <v>1</v>
      </c>
      <c r="M432" s="64">
        <f>IF(AND(Tableau2[[#This Row],[CLASSE]]="CEU",Tableau2[[#This Row],[STATUT ]]="Admis"),1,0)</f>
        <v>0</v>
      </c>
      <c r="N432" s="64"/>
      <c r="O432" s="296"/>
      <c r="P4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3" spans="1:16" ht="18.5" x14ac:dyDescent="0.45">
      <c r="A433" s="310">
        <v>432</v>
      </c>
      <c r="B433" s="426" t="s">
        <v>2397</v>
      </c>
      <c r="C433" s="427" t="s">
        <v>2</v>
      </c>
      <c r="D433" s="428">
        <v>9</v>
      </c>
      <c r="E433" s="436">
        <v>7.75</v>
      </c>
      <c r="F433" s="418" t="s">
        <v>2009</v>
      </c>
      <c r="G433" s="426" t="s">
        <v>2018</v>
      </c>
      <c r="H433" s="402" t="str">
        <f>IF(Tableau2[[#This Row],[Moyennes]]="Absent","Absent",IF(Tableau2[[#This Row],[Moyennes]]&lt;5,"Redouble",IF(Tableau2[[#This Row],[Moyennes]]&gt;=5,"Admis"," ")))</f>
        <v>Admis</v>
      </c>
      <c r="I433" s="429"/>
      <c r="J433" s="300" t="s">
        <v>660</v>
      </c>
      <c r="K433" s="64" t="s">
        <v>2393</v>
      </c>
      <c r="L433" s="64">
        <f>IF(AND(Tableau2[[#This Row],[CLASSE]]="CPU",Tableau2[[#This Row],[STATUT ]]="Admis"),1,0)</f>
        <v>1</v>
      </c>
      <c r="M433" s="64">
        <f>IF(AND(Tableau2[[#This Row],[CLASSE]]="CEU",Tableau2[[#This Row],[STATUT ]]="Admis"),1,0)</f>
        <v>0</v>
      </c>
      <c r="N433" s="64"/>
      <c r="O433" s="296"/>
      <c r="P4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4" spans="1:16" ht="18.5" x14ac:dyDescent="0.45">
      <c r="A434" s="310">
        <v>433</v>
      </c>
      <c r="B434" s="426" t="s">
        <v>2398</v>
      </c>
      <c r="C434" s="427" t="s">
        <v>2</v>
      </c>
      <c r="D434" s="428">
        <v>9</v>
      </c>
      <c r="E434" s="429">
        <v>6.13</v>
      </c>
      <c r="F434" s="418" t="s">
        <v>2009</v>
      </c>
      <c r="G434" s="426" t="s">
        <v>2066</v>
      </c>
      <c r="H434" s="402" t="str">
        <f>IF(Tableau2[[#This Row],[Moyennes]]="Absent","Absent",IF(Tableau2[[#This Row],[Moyennes]]&lt;5,"Redouble",IF(Tableau2[[#This Row],[Moyennes]]&gt;=5,"Admis"," ")))</f>
        <v>Admis</v>
      </c>
      <c r="I434" s="429"/>
      <c r="J434" s="300" t="s">
        <v>660</v>
      </c>
      <c r="K434" s="334" t="s">
        <v>2393</v>
      </c>
      <c r="L434" s="64">
        <f>IF(AND(Tableau2[[#This Row],[CLASSE]]="CPU",Tableau2[[#This Row],[STATUT ]]="Admis"),1,0)</f>
        <v>1</v>
      </c>
      <c r="M434" s="64">
        <f>IF(AND(Tableau2[[#This Row],[CLASSE]]="CEU",Tableau2[[#This Row],[STATUT ]]="Admis"),1,0)</f>
        <v>0</v>
      </c>
      <c r="N434" s="64"/>
      <c r="O434" s="296"/>
      <c r="P4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5" spans="1:16" ht="18.5" x14ac:dyDescent="0.45">
      <c r="A435" s="310">
        <v>434</v>
      </c>
      <c r="B435" s="426" t="s">
        <v>2399</v>
      </c>
      <c r="C435" s="64" t="s">
        <v>1</v>
      </c>
      <c r="D435" s="428">
        <v>10</v>
      </c>
      <c r="E435" s="429">
        <v>4.5</v>
      </c>
      <c r="F435" s="418" t="s">
        <v>2009</v>
      </c>
      <c r="G435" s="426" t="s">
        <v>2014</v>
      </c>
      <c r="H435" s="402" t="str">
        <f>IF(Tableau2[[#This Row],[Moyennes]]="Absent","Absent",IF(Tableau2[[#This Row],[Moyennes]]&lt;5,"Redouble",IF(Tableau2[[#This Row],[Moyennes]]&gt;=5,"Admis"," ")))</f>
        <v>Redouble</v>
      </c>
      <c r="I435" s="429"/>
      <c r="J435" s="300" t="s">
        <v>660</v>
      </c>
      <c r="K435" s="64" t="s">
        <v>2393</v>
      </c>
      <c r="L435" s="64">
        <f>IF(AND(Tableau2[[#This Row],[CLASSE]]="CPU",Tableau2[[#This Row],[STATUT ]]="Admis"),1,0)</f>
        <v>0</v>
      </c>
      <c r="M435" s="64">
        <f>IF(AND(Tableau2[[#This Row],[CLASSE]]="CEU",Tableau2[[#This Row],[STATUT ]]="Admis"),1,0)</f>
        <v>0</v>
      </c>
      <c r="N435" s="64"/>
      <c r="O435" s="296"/>
      <c r="P4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36" spans="1:16" ht="18.5" x14ac:dyDescent="0.45">
      <c r="A436" s="310">
        <v>435</v>
      </c>
      <c r="B436" s="426" t="s">
        <v>2400</v>
      </c>
      <c r="C436" s="449" t="s">
        <v>2</v>
      </c>
      <c r="D436" s="428">
        <v>9</v>
      </c>
      <c r="E436" s="429">
        <v>5.5</v>
      </c>
      <c r="F436" s="418" t="s">
        <v>2009</v>
      </c>
      <c r="G436" s="426" t="s">
        <v>2016</v>
      </c>
      <c r="H436" s="402" t="str">
        <f>IF(Tableau2[[#This Row],[Moyennes]]="Absent","Absent",IF(Tableau2[[#This Row],[Moyennes]]&lt;5,"Redouble",IF(Tableau2[[#This Row],[Moyennes]]&gt;=5,"Admis"," ")))</f>
        <v>Admis</v>
      </c>
      <c r="I436" s="429"/>
      <c r="J436" s="300" t="s">
        <v>660</v>
      </c>
      <c r="K436" s="334" t="s">
        <v>2393</v>
      </c>
      <c r="L436" s="64">
        <f>IF(AND(Tableau2[[#This Row],[CLASSE]]="CPU",Tableau2[[#This Row],[STATUT ]]="Admis"),1,0)</f>
        <v>1</v>
      </c>
      <c r="M436" s="64">
        <f>IF(AND(Tableau2[[#This Row],[CLASSE]]="CEU",Tableau2[[#This Row],[STATUT ]]="Admis"),1,0)</f>
        <v>0</v>
      </c>
      <c r="N436" s="64"/>
      <c r="O436" s="296"/>
      <c r="P4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7" spans="1:16" ht="18.5" x14ac:dyDescent="0.45">
      <c r="A437" s="310">
        <v>436</v>
      </c>
      <c r="B437" s="426" t="s">
        <v>3451</v>
      </c>
      <c r="C437" s="427" t="s">
        <v>2</v>
      </c>
      <c r="D437" s="428">
        <v>9</v>
      </c>
      <c r="E437" s="429">
        <v>7.63</v>
      </c>
      <c r="F437" s="418" t="s">
        <v>2009</v>
      </c>
      <c r="G437" s="426" t="s">
        <v>815</v>
      </c>
      <c r="H437" s="402" t="str">
        <f>IF(Tableau2[[#This Row],[Moyennes]]="Absent","Absent",IF(Tableau2[[#This Row],[Moyennes]]&lt;5,"Redouble",IF(Tableau2[[#This Row],[Moyennes]]&gt;=5,"Admis"," ")))</f>
        <v>Admis</v>
      </c>
      <c r="I437" s="429"/>
      <c r="J437" s="300" t="s">
        <v>660</v>
      </c>
      <c r="K437" s="64" t="s">
        <v>2393</v>
      </c>
      <c r="L437" s="64">
        <f>IF(AND(Tableau2[[#This Row],[CLASSE]]="CPU",Tableau2[[#This Row],[STATUT ]]="Admis"),1,0)</f>
        <v>1</v>
      </c>
      <c r="M437" s="64">
        <f>IF(AND(Tableau2[[#This Row],[CLASSE]]="CEU",Tableau2[[#This Row],[STATUT ]]="Admis"),1,0)</f>
        <v>0</v>
      </c>
      <c r="N437" s="64"/>
      <c r="O437" s="296"/>
      <c r="P4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8" spans="1:16" ht="18.5" x14ac:dyDescent="0.45">
      <c r="A438" s="310">
        <v>437</v>
      </c>
      <c r="B438" s="426" t="s">
        <v>2401</v>
      </c>
      <c r="C438" s="64" t="s">
        <v>1</v>
      </c>
      <c r="D438" s="428">
        <v>9</v>
      </c>
      <c r="E438" s="429">
        <v>7.13</v>
      </c>
      <c r="F438" s="418" t="s">
        <v>2009</v>
      </c>
      <c r="G438" s="429" t="s">
        <v>2010</v>
      </c>
      <c r="H438" s="402" t="str">
        <f>IF(Tableau2[[#This Row],[Moyennes]]="Absent","Absent",IF(Tableau2[[#This Row],[Moyennes]]&lt;5,"Redouble",IF(Tableau2[[#This Row],[Moyennes]]&gt;=5,"Admis"," ")))</f>
        <v>Admis</v>
      </c>
      <c r="I438" s="429"/>
      <c r="J438" s="300" t="s">
        <v>660</v>
      </c>
      <c r="K438" s="334" t="s">
        <v>2393</v>
      </c>
      <c r="L438" s="64">
        <f>IF(AND(Tableau2[[#This Row],[CLASSE]]="CPU",Tableau2[[#This Row],[STATUT ]]="Admis"),1,0)</f>
        <v>1</v>
      </c>
      <c r="M438" s="64">
        <f>IF(AND(Tableau2[[#This Row],[CLASSE]]="CEU",Tableau2[[#This Row],[STATUT ]]="Admis"),1,0)</f>
        <v>0</v>
      </c>
      <c r="N438" s="64"/>
      <c r="O438" s="296"/>
      <c r="P4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39" spans="1:16" ht="18.5" x14ac:dyDescent="0.45">
      <c r="A439" s="310">
        <v>438</v>
      </c>
      <c r="B439" s="426" t="s">
        <v>2402</v>
      </c>
      <c r="C439" s="64" t="s">
        <v>1</v>
      </c>
      <c r="D439" s="428">
        <v>9</v>
      </c>
      <c r="E439" s="429">
        <v>6.75</v>
      </c>
      <c r="F439" s="418" t="s">
        <v>2009</v>
      </c>
      <c r="G439" s="426" t="s">
        <v>2023</v>
      </c>
      <c r="H439" s="402" t="str">
        <f>IF(Tableau2[[#This Row],[Moyennes]]="Absent","Absent",IF(Tableau2[[#This Row],[Moyennes]]&lt;5,"Redouble",IF(Tableau2[[#This Row],[Moyennes]]&gt;=5,"Admis"," ")))</f>
        <v>Admis</v>
      </c>
      <c r="I439" s="426"/>
      <c r="J439" s="300" t="s">
        <v>660</v>
      </c>
      <c r="K439" s="64" t="s">
        <v>2393</v>
      </c>
      <c r="L439" s="64">
        <f>IF(AND(Tableau2[[#This Row],[CLASSE]]="CPU",Tableau2[[#This Row],[STATUT ]]="Admis"),1,0)</f>
        <v>1</v>
      </c>
      <c r="M439" s="64">
        <f>IF(AND(Tableau2[[#This Row],[CLASSE]]="CEU",Tableau2[[#This Row],[STATUT ]]="Admis"),1,0)</f>
        <v>0</v>
      </c>
      <c r="N439" s="64"/>
      <c r="O439" s="296"/>
      <c r="P4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0" spans="1:16" ht="18.5" x14ac:dyDescent="0.45">
      <c r="A440" s="310">
        <v>439</v>
      </c>
      <c r="B440" s="426" t="s">
        <v>2403</v>
      </c>
      <c r="C440" s="64" t="s">
        <v>1</v>
      </c>
      <c r="D440" s="428">
        <v>9</v>
      </c>
      <c r="E440" s="429">
        <v>7.5</v>
      </c>
      <c r="F440" s="418" t="s">
        <v>2009</v>
      </c>
      <c r="G440" s="429" t="s">
        <v>2016</v>
      </c>
      <c r="H440" s="402" t="str">
        <f>IF(Tableau2[[#This Row],[Moyennes]]="Absent","Absent",IF(Tableau2[[#This Row],[Moyennes]]&lt;5,"Redouble",IF(Tableau2[[#This Row],[Moyennes]]&gt;=5,"Admis"," ")))</f>
        <v>Admis</v>
      </c>
      <c r="I440" s="429"/>
      <c r="J440" s="300" t="s">
        <v>660</v>
      </c>
      <c r="K440" s="334" t="s">
        <v>2393</v>
      </c>
      <c r="L440" s="64">
        <f>IF(AND(Tableau2[[#This Row],[CLASSE]]="CPU",Tableau2[[#This Row],[STATUT ]]="Admis"),1,0)</f>
        <v>1</v>
      </c>
      <c r="M440" s="64">
        <f>IF(AND(Tableau2[[#This Row],[CLASSE]]="CEU",Tableau2[[#This Row],[STATUT ]]="Admis"),1,0)</f>
        <v>0</v>
      </c>
      <c r="N440" s="64"/>
      <c r="O440" s="296"/>
      <c r="P4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1" spans="1:16" ht="18.5" x14ac:dyDescent="0.45">
      <c r="A441" s="310">
        <v>440</v>
      </c>
      <c r="B441" s="426" t="s">
        <v>3452</v>
      </c>
      <c r="C441" s="64" t="s">
        <v>1</v>
      </c>
      <c r="D441" s="428">
        <v>9</v>
      </c>
      <c r="E441" s="429">
        <v>4.13</v>
      </c>
      <c r="F441" s="418" t="s">
        <v>2009</v>
      </c>
      <c r="G441" s="429" t="s">
        <v>2037</v>
      </c>
      <c r="H441" s="402" t="str">
        <f>IF(Tableau2[[#This Row],[Moyennes]]="Absent","Absent",IF(Tableau2[[#This Row],[Moyennes]]&lt;5,"Redouble",IF(Tableau2[[#This Row],[Moyennes]]&gt;=5,"Admis"," ")))</f>
        <v>Redouble</v>
      </c>
      <c r="I441" s="429"/>
      <c r="J441" s="300" t="s">
        <v>660</v>
      </c>
      <c r="K441" s="64" t="s">
        <v>2393</v>
      </c>
      <c r="L441" s="64">
        <f>IF(AND(Tableau2[[#This Row],[CLASSE]]="CPU",Tableau2[[#This Row],[STATUT ]]="Admis"),1,0)</f>
        <v>0</v>
      </c>
      <c r="M441" s="64">
        <f>IF(AND(Tableau2[[#This Row],[CLASSE]]="CEU",Tableau2[[#This Row],[STATUT ]]="Admis"),1,0)</f>
        <v>0</v>
      </c>
      <c r="N441" s="64"/>
      <c r="O441" s="296"/>
      <c r="P4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42" spans="1:16" ht="18.5" x14ac:dyDescent="0.45">
      <c r="A442" s="310">
        <v>441</v>
      </c>
      <c r="B442" s="426" t="s">
        <v>2404</v>
      </c>
      <c r="C442" s="64" t="s">
        <v>1</v>
      </c>
      <c r="D442" s="428">
        <v>9</v>
      </c>
      <c r="E442" s="429">
        <v>8.6300000000000008</v>
      </c>
      <c r="F442" s="418" t="s">
        <v>2009</v>
      </c>
      <c r="G442" s="426" t="s">
        <v>2018</v>
      </c>
      <c r="H442" s="402" t="str">
        <f>IF(Tableau2[[#This Row],[Moyennes]]="Absent","Absent",IF(Tableau2[[#This Row],[Moyennes]]&lt;5,"Redouble",IF(Tableau2[[#This Row],[Moyennes]]&gt;=5,"Admis"," ")))</f>
        <v>Admis</v>
      </c>
      <c r="I442" s="429"/>
      <c r="J442" s="300" t="s">
        <v>660</v>
      </c>
      <c r="K442" s="334" t="s">
        <v>2393</v>
      </c>
      <c r="L442" s="64">
        <f>IF(AND(Tableau2[[#This Row],[CLASSE]]="CPU",Tableau2[[#This Row],[STATUT ]]="Admis"),1,0)</f>
        <v>1</v>
      </c>
      <c r="M442" s="64">
        <f>IF(AND(Tableau2[[#This Row],[CLASSE]]="CEU",Tableau2[[#This Row],[STATUT ]]="Admis"),1,0)</f>
        <v>0</v>
      </c>
      <c r="N442" s="64"/>
      <c r="O442" s="296"/>
      <c r="P4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3" spans="1:16" ht="18.5" x14ac:dyDescent="0.45">
      <c r="A443" s="310">
        <v>442</v>
      </c>
      <c r="B443" s="426" t="s">
        <v>2405</v>
      </c>
      <c r="C443" s="64" t="s">
        <v>1</v>
      </c>
      <c r="D443" s="428">
        <v>9</v>
      </c>
      <c r="E443" s="429">
        <v>3.13</v>
      </c>
      <c r="F443" s="418" t="s">
        <v>2009</v>
      </c>
      <c r="G443" s="426" t="s">
        <v>2040</v>
      </c>
      <c r="H443" s="402" t="str">
        <f>IF(Tableau2[[#This Row],[Moyennes]]="Absent","Absent",IF(Tableau2[[#This Row],[Moyennes]]&lt;5,"Redouble",IF(Tableau2[[#This Row],[Moyennes]]&gt;=5,"Admis"," ")))</f>
        <v>Redouble</v>
      </c>
      <c r="I443" s="429"/>
      <c r="J443" s="300" t="s">
        <v>660</v>
      </c>
      <c r="K443" s="64" t="s">
        <v>2393</v>
      </c>
      <c r="L443" s="64">
        <f>IF(AND(Tableau2[[#This Row],[CLASSE]]="CPU",Tableau2[[#This Row],[STATUT ]]="Admis"),1,0)</f>
        <v>0</v>
      </c>
      <c r="M443" s="64">
        <f>IF(AND(Tableau2[[#This Row],[CLASSE]]="CEU",Tableau2[[#This Row],[STATUT ]]="Admis"),1,0)</f>
        <v>0</v>
      </c>
      <c r="N443" s="64"/>
      <c r="O443" s="296"/>
      <c r="P4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44" spans="1:16" ht="18.5" x14ac:dyDescent="0.45">
      <c r="A444" s="310">
        <v>443</v>
      </c>
      <c r="B444" s="426" t="s">
        <v>2406</v>
      </c>
      <c r="C444" s="64" t="s">
        <v>1</v>
      </c>
      <c r="D444" s="428">
        <v>9</v>
      </c>
      <c r="E444" s="429">
        <v>7.5</v>
      </c>
      <c r="F444" s="418" t="s">
        <v>2009</v>
      </c>
      <c r="G444" s="426" t="s">
        <v>2025</v>
      </c>
      <c r="H444" s="402" t="str">
        <f>IF(Tableau2[[#This Row],[Moyennes]]="Absent","Absent",IF(Tableau2[[#This Row],[Moyennes]]&lt;5,"Redouble",IF(Tableau2[[#This Row],[Moyennes]]&gt;=5,"Admis"," ")))</f>
        <v>Admis</v>
      </c>
      <c r="I444" s="429"/>
      <c r="J444" s="300" t="s">
        <v>660</v>
      </c>
      <c r="K444" s="334" t="s">
        <v>2393</v>
      </c>
      <c r="L444" s="64">
        <f>IF(AND(Tableau2[[#This Row],[CLASSE]]="CPU",Tableau2[[#This Row],[STATUT ]]="Admis"),1,0)</f>
        <v>1</v>
      </c>
      <c r="M444" s="64">
        <f>IF(AND(Tableau2[[#This Row],[CLASSE]]="CEU",Tableau2[[#This Row],[STATUT ]]="Admis"),1,0)</f>
        <v>0</v>
      </c>
      <c r="N444" s="64"/>
      <c r="O444" s="296"/>
      <c r="P4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5" spans="1:16" ht="18.5" x14ac:dyDescent="0.45">
      <c r="A445" s="310">
        <v>444</v>
      </c>
      <c r="B445" s="426" t="s">
        <v>2407</v>
      </c>
      <c r="C445" s="64" t="s">
        <v>1</v>
      </c>
      <c r="D445" s="428">
        <v>9</v>
      </c>
      <c r="E445" s="429">
        <v>8.5</v>
      </c>
      <c r="F445" s="418" t="s">
        <v>2009</v>
      </c>
      <c r="G445" s="426" t="s">
        <v>2048</v>
      </c>
      <c r="H445" s="402" t="str">
        <f>IF(Tableau2[[#This Row],[Moyennes]]="Absent","Absent",IF(Tableau2[[#This Row],[Moyennes]]&lt;5,"Redouble",IF(Tableau2[[#This Row],[Moyennes]]&gt;=5,"Admis"," ")))</f>
        <v>Admis</v>
      </c>
      <c r="I445" s="429"/>
      <c r="J445" s="300" t="s">
        <v>660</v>
      </c>
      <c r="K445" s="64" t="s">
        <v>2393</v>
      </c>
      <c r="L445" s="64">
        <f>IF(AND(Tableau2[[#This Row],[CLASSE]]="CPU",Tableau2[[#This Row],[STATUT ]]="Admis"),1,0)</f>
        <v>1</v>
      </c>
      <c r="M445" s="64">
        <f>IF(AND(Tableau2[[#This Row],[CLASSE]]="CEU",Tableau2[[#This Row],[STATUT ]]="Admis"),1,0)</f>
        <v>0</v>
      </c>
      <c r="N445" s="64"/>
      <c r="O445" s="296"/>
      <c r="P4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6" spans="1:16" ht="18.5" x14ac:dyDescent="0.45">
      <c r="A446" s="310">
        <v>445</v>
      </c>
      <c r="B446" s="426" t="s">
        <v>2414</v>
      </c>
      <c r="C446" s="427" t="s">
        <v>2</v>
      </c>
      <c r="D446" s="428">
        <v>9</v>
      </c>
      <c r="E446" s="429">
        <v>8.5</v>
      </c>
      <c r="F446" s="418" t="s">
        <v>2009</v>
      </c>
      <c r="G446" s="426" t="s">
        <v>815</v>
      </c>
      <c r="H446" s="402" t="str">
        <f>IF(Tableau2[[#This Row],[Moyennes]]="Absent","Absent",IF(Tableau2[[#This Row],[Moyennes]]&lt;5,"Redouble",IF(Tableau2[[#This Row],[Moyennes]]&gt;=5,"Admis"," ")))</f>
        <v>Admis</v>
      </c>
      <c r="I446" s="429"/>
      <c r="J446" s="300" t="s">
        <v>660</v>
      </c>
      <c r="K446" s="334" t="s">
        <v>2393</v>
      </c>
      <c r="L446" s="64">
        <f>IF(AND(Tableau2[[#This Row],[CLASSE]]="CPU",Tableau2[[#This Row],[STATUT ]]="Admis"),1,0)</f>
        <v>1</v>
      </c>
      <c r="M446" s="64">
        <f>IF(AND(Tableau2[[#This Row],[CLASSE]]="CEU",Tableau2[[#This Row],[STATUT ]]="Admis"),1,0)</f>
        <v>0</v>
      </c>
      <c r="N446" s="64"/>
      <c r="O446" s="296"/>
      <c r="P4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7" spans="1:16" ht="18.5" x14ac:dyDescent="0.45">
      <c r="A447" s="310">
        <v>446</v>
      </c>
      <c r="B447" s="426" t="s">
        <v>2409</v>
      </c>
      <c r="C447" s="64" t="s">
        <v>1</v>
      </c>
      <c r="D447" s="428">
        <v>9</v>
      </c>
      <c r="E447" s="426">
        <v>5.5</v>
      </c>
      <c r="F447" s="418" t="s">
        <v>2009</v>
      </c>
      <c r="G447" s="429" t="s">
        <v>2078</v>
      </c>
      <c r="H447" s="402" t="str">
        <f>IF(Tableau2[[#This Row],[Moyennes]]="Absent","Absent",IF(Tableau2[[#This Row],[Moyennes]]&lt;5,"Redouble",IF(Tableau2[[#This Row],[Moyennes]]&gt;=5,"Admis"," ")))</f>
        <v>Admis</v>
      </c>
      <c r="I447" s="429"/>
      <c r="J447" s="300" t="s">
        <v>660</v>
      </c>
      <c r="K447" s="64" t="s">
        <v>2393</v>
      </c>
      <c r="L447" s="64">
        <f>IF(AND(Tableau2[[#This Row],[CLASSE]]="CPU",Tableau2[[#This Row],[STATUT ]]="Admis"),1,0)</f>
        <v>1</v>
      </c>
      <c r="M447" s="64">
        <f>IF(AND(Tableau2[[#This Row],[CLASSE]]="CEU",Tableau2[[#This Row],[STATUT ]]="Admis"),1,0)</f>
        <v>0</v>
      </c>
      <c r="N447" s="64"/>
      <c r="O447" s="296"/>
      <c r="P4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8" spans="1:16" ht="18.5" x14ac:dyDescent="0.45">
      <c r="A448" s="310">
        <v>447</v>
      </c>
      <c r="B448" s="426" t="s">
        <v>2410</v>
      </c>
      <c r="C448" s="64" t="s">
        <v>1</v>
      </c>
      <c r="D448" s="428">
        <v>9</v>
      </c>
      <c r="E448" s="429">
        <v>8.8800000000000008</v>
      </c>
      <c r="F448" s="418" t="s">
        <v>2009</v>
      </c>
      <c r="G448" s="426" t="s">
        <v>2021</v>
      </c>
      <c r="H448" s="402" t="str">
        <f>IF(Tableau2[[#This Row],[Moyennes]]="Absent","Absent",IF(Tableau2[[#This Row],[Moyennes]]&lt;5,"Redouble",IF(Tableau2[[#This Row],[Moyennes]]&gt;=5,"Admis"," ")))</f>
        <v>Admis</v>
      </c>
      <c r="I448" s="429"/>
      <c r="J448" s="300" t="s">
        <v>660</v>
      </c>
      <c r="K448" s="334" t="s">
        <v>2393</v>
      </c>
      <c r="L448" s="64">
        <f>IF(AND(Tableau2[[#This Row],[CLASSE]]="CPU",Tableau2[[#This Row],[STATUT ]]="Admis"),1,0)</f>
        <v>1</v>
      </c>
      <c r="M448" s="64">
        <f>IF(AND(Tableau2[[#This Row],[CLASSE]]="CEU",Tableau2[[#This Row],[STATUT ]]="Admis"),1,0)</f>
        <v>0</v>
      </c>
      <c r="N448" s="64"/>
      <c r="O448" s="296"/>
      <c r="P4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49" spans="1:16" ht="18.5" x14ac:dyDescent="0.45">
      <c r="A449" s="310">
        <v>448</v>
      </c>
      <c r="B449" s="426" t="s">
        <v>2411</v>
      </c>
      <c r="C449" s="427" t="s">
        <v>2</v>
      </c>
      <c r="D449" s="428">
        <v>9</v>
      </c>
      <c r="E449" s="429">
        <v>6.75</v>
      </c>
      <c r="F449" s="418" t="s">
        <v>2009</v>
      </c>
      <c r="G449" s="426" t="s">
        <v>2030</v>
      </c>
      <c r="H449" s="402" t="str">
        <f>IF(Tableau2[[#This Row],[Moyennes]]="Absent","Absent",IF(Tableau2[[#This Row],[Moyennes]]&lt;5,"Redouble",IF(Tableau2[[#This Row],[Moyennes]]&gt;=5,"Admis"," ")))</f>
        <v>Admis</v>
      </c>
      <c r="I449" s="429"/>
      <c r="J449" s="300" t="s">
        <v>660</v>
      </c>
      <c r="K449" s="64" t="s">
        <v>2393</v>
      </c>
      <c r="L449" s="64">
        <f>IF(AND(Tableau2[[#This Row],[CLASSE]]="CPU",Tableau2[[#This Row],[STATUT ]]="Admis"),1,0)</f>
        <v>1</v>
      </c>
      <c r="M449" s="64">
        <f>IF(AND(Tableau2[[#This Row],[CLASSE]]="CEU",Tableau2[[#This Row],[STATUT ]]="Admis"),1,0)</f>
        <v>0</v>
      </c>
      <c r="N449" s="64"/>
      <c r="O449" s="296"/>
      <c r="P4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0" spans="1:16" ht="18.5" x14ac:dyDescent="0.45">
      <c r="A450" s="310">
        <v>449</v>
      </c>
      <c r="B450" s="426" t="s">
        <v>2412</v>
      </c>
      <c r="C450" s="64" t="s">
        <v>1</v>
      </c>
      <c r="D450" s="428">
        <v>9</v>
      </c>
      <c r="E450" s="429">
        <v>5.63</v>
      </c>
      <c r="F450" s="418" t="s">
        <v>2009</v>
      </c>
      <c r="G450" s="429" t="s">
        <v>2033</v>
      </c>
      <c r="H450" s="402" t="str">
        <f>IF(Tableau2[[#This Row],[Moyennes]]="Absent","Absent",IF(Tableau2[[#This Row],[Moyennes]]&lt;5,"Redouble",IF(Tableau2[[#This Row],[Moyennes]]&gt;=5,"Admis"," ")))</f>
        <v>Admis</v>
      </c>
      <c r="I450" s="429"/>
      <c r="J450" s="300" t="s">
        <v>660</v>
      </c>
      <c r="K450" s="334" t="s">
        <v>2393</v>
      </c>
      <c r="L450" s="64">
        <f>IF(AND(Tableau2[[#This Row],[CLASSE]]="CPU",Tableau2[[#This Row],[STATUT ]]="Admis"),1,0)</f>
        <v>1</v>
      </c>
      <c r="M450" s="64">
        <f>IF(AND(Tableau2[[#This Row],[CLASSE]]="CEU",Tableau2[[#This Row],[STATUT ]]="Admis"),1,0)</f>
        <v>0</v>
      </c>
      <c r="N450" s="64"/>
      <c r="O450" s="296"/>
      <c r="P4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1" spans="1:16" ht="18.5" x14ac:dyDescent="0.45">
      <c r="A451" s="310">
        <v>450</v>
      </c>
      <c r="B451" s="426" t="s">
        <v>2413</v>
      </c>
      <c r="C451" s="64" t="s">
        <v>1</v>
      </c>
      <c r="D451" s="428">
        <v>9</v>
      </c>
      <c r="E451" s="429">
        <v>8.75</v>
      </c>
      <c r="F451" s="418" t="s">
        <v>2009</v>
      </c>
      <c r="G451" s="426" t="s">
        <v>2025</v>
      </c>
      <c r="H451" s="402" t="str">
        <f>IF(Tableau2[[#This Row],[Moyennes]]="Absent","Absent",IF(Tableau2[[#This Row],[Moyennes]]&lt;5,"Redouble",IF(Tableau2[[#This Row],[Moyennes]]&gt;=5,"Admis"," ")))</f>
        <v>Admis</v>
      </c>
      <c r="I451" s="426"/>
      <c r="J451" s="300" t="s">
        <v>660</v>
      </c>
      <c r="K451" s="64" t="s">
        <v>2393</v>
      </c>
      <c r="L451" s="64">
        <f>IF(AND(Tableau2[[#This Row],[CLASSE]]="CPU",Tableau2[[#This Row],[STATUT ]]="Admis"),1,0)</f>
        <v>1</v>
      </c>
      <c r="M451" s="64">
        <f>IF(AND(Tableau2[[#This Row],[CLASSE]]="CEU",Tableau2[[#This Row],[STATUT ]]="Admis"),1,0)</f>
        <v>0</v>
      </c>
      <c r="N451" s="64"/>
      <c r="O451" s="296"/>
      <c r="P4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2" spans="1:16" ht="18.5" x14ac:dyDescent="0.45">
      <c r="A452" s="310">
        <v>451</v>
      </c>
      <c r="B452" s="426" t="s">
        <v>2408</v>
      </c>
      <c r="C452" s="427" t="s">
        <v>2</v>
      </c>
      <c r="D452" s="428">
        <v>9</v>
      </c>
      <c r="E452" s="495" t="s">
        <v>2165</v>
      </c>
      <c r="F452" s="500" t="s">
        <v>2009</v>
      </c>
      <c r="G452" s="446" t="s">
        <v>2165</v>
      </c>
      <c r="H452" s="300" t="str">
        <f>IF(Tableau2[[#This Row],[Moyennes]]="Absent","Absent",IF(Tableau2[[#This Row],[Moyennes]]&lt;5,"Redouble",IF(Tableau2[[#This Row],[Moyennes]]&gt;=5,"Admis"," ")))</f>
        <v>Absent</v>
      </c>
      <c r="I452" s="495"/>
      <c r="J452" s="300" t="s">
        <v>660</v>
      </c>
      <c r="K452" s="334" t="s">
        <v>2393</v>
      </c>
      <c r="L452" s="64">
        <f>IF(AND(Tableau2[[#This Row],[CLASSE]]="CPU",Tableau2[[#This Row],[STATUT ]]="Admis"),1,0)</f>
        <v>0</v>
      </c>
      <c r="M452" s="64">
        <f>IF(AND(Tableau2[[#This Row],[CLASSE]]="CEU",Tableau2[[#This Row],[STATUT ]]="Admis"),1,0)</f>
        <v>0</v>
      </c>
      <c r="N452" s="64"/>
      <c r="O452" s="296"/>
      <c r="P4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53" spans="1:16" ht="18.5" x14ac:dyDescent="0.45">
      <c r="A453" s="310">
        <v>452</v>
      </c>
      <c r="B453" s="426" t="s">
        <v>2416</v>
      </c>
      <c r="C453" s="427" t="s">
        <v>2</v>
      </c>
      <c r="D453" s="428">
        <v>10</v>
      </c>
      <c r="E453" s="429">
        <v>8.75</v>
      </c>
      <c r="F453" s="418" t="s">
        <v>2009</v>
      </c>
      <c r="G453" s="426" t="s">
        <v>2035</v>
      </c>
      <c r="H453" s="402" t="str">
        <f>IF(Tableau2[[#This Row],[Moyennes]]="Absent","Absent",IF(Tableau2[[#This Row],[Moyennes]]&lt;5,"Redouble",IF(Tableau2[[#This Row],[Moyennes]]&gt;=5,"Admis"," ")))</f>
        <v>Admis</v>
      </c>
      <c r="I453" s="429"/>
      <c r="J453" s="300" t="s">
        <v>660</v>
      </c>
      <c r="K453" s="64" t="s">
        <v>190</v>
      </c>
      <c r="L453" s="64">
        <f>IF(AND(Tableau2[[#This Row],[CLASSE]]="CPU",Tableau2[[#This Row],[STATUT ]]="Admis"),1,0)</f>
        <v>1</v>
      </c>
      <c r="M453" s="64">
        <f>IF(AND(Tableau2[[#This Row],[CLASSE]]="CEU",Tableau2[[#This Row],[STATUT ]]="Admis"),1,0)</f>
        <v>0</v>
      </c>
      <c r="N453" s="64"/>
      <c r="O453" s="296"/>
      <c r="P4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4" spans="1:16" ht="18.5" x14ac:dyDescent="0.45">
      <c r="A454" s="310">
        <v>453</v>
      </c>
      <c r="B454" s="426" t="s">
        <v>2415</v>
      </c>
      <c r="C454" s="427" t="s">
        <v>2</v>
      </c>
      <c r="D454" s="428">
        <v>11</v>
      </c>
      <c r="E454" s="429">
        <v>8.25</v>
      </c>
      <c r="F454" s="418" t="s">
        <v>2009</v>
      </c>
      <c r="G454" s="429" t="s">
        <v>2010</v>
      </c>
      <c r="H454" s="402" t="str">
        <f>IF(Tableau2[[#This Row],[Moyennes]]="Absent","Absent",IF(Tableau2[[#This Row],[Moyennes]]&lt;5,"Redouble",IF(Tableau2[[#This Row],[Moyennes]]&gt;=5,"Admis"," ")))</f>
        <v>Admis</v>
      </c>
      <c r="I454" s="429"/>
      <c r="J454" s="300" t="s">
        <v>660</v>
      </c>
      <c r="K454" s="334" t="s">
        <v>190</v>
      </c>
      <c r="L454" s="64">
        <f>IF(AND(Tableau2[[#This Row],[CLASSE]]="CPU",Tableau2[[#This Row],[STATUT ]]="Admis"),1,0)</f>
        <v>1</v>
      </c>
      <c r="M454" s="64">
        <f>IF(AND(Tableau2[[#This Row],[CLASSE]]="CEU",Tableau2[[#This Row],[STATUT ]]="Admis"),1,0)</f>
        <v>0</v>
      </c>
      <c r="N454" s="64"/>
      <c r="O454" s="296"/>
      <c r="P4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5" spans="1:16" ht="18.5" x14ac:dyDescent="0.45">
      <c r="A455" s="310">
        <v>454</v>
      </c>
      <c r="B455" s="426" t="s">
        <v>2418</v>
      </c>
      <c r="C455" s="64" t="s">
        <v>1</v>
      </c>
      <c r="D455" s="428">
        <v>11</v>
      </c>
      <c r="E455" s="429">
        <v>7.5</v>
      </c>
      <c r="F455" s="433" t="s">
        <v>2009</v>
      </c>
      <c r="G455" s="426" t="s">
        <v>815</v>
      </c>
      <c r="H455" s="402" t="str">
        <f>IF(Tableau2[[#This Row],[Moyennes]]="Absent","Absent",IF(Tableau2[[#This Row],[Moyennes]]&lt;5,"Redouble",IF(Tableau2[[#This Row],[Moyennes]]&gt;=5,"Admis"," ")))</f>
        <v>Admis</v>
      </c>
      <c r="I455" s="426"/>
      <c r="J455" s="300" t="s">
        <v>660</v>
      </c>
      <c r="K455" s="64" t="s">
        <v>190</v>
      </c>
      <c r="L455" s="64">
        <f>IF(AND(Tableau2[[#This Row],[CLASSE]]="CPU",Tableau2[[#This Row],[STATUT ]]="Admis"),1,0)</f>
        <v>1</v>
      </c>
      <c r="M455" s="64">
        <f>IF(AND(Tableau2[[#This Row],[CLASSE]]="CEU",Tableau2[[#This Row],[STATUT ]]="Admis"),1,0)</f>
        <v>0</v>
      </c>
      <c r="N455" s="64"/>
      <c r="O455" s="296"/>
      <c r="P4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6" spans="1:16" ht="18.5" x14ac:dyDescent="0.45">
      <c r="A456" s="310">
        <v>455</v>
      </c>
      <c r="B456" s="426" t="s">
        <v>3453</v>
      </c>
      <c r="C456" s="427" t="s">
        <v>2</v>
      </c>
      <c r="D456" s="428">
        <v>9</v>
      </c>
      <c r="E456" s="429">
        <v>7.37</v>
      </c>
      <c r="F456" s="418" t="s">
        <v>2009</v>
      </c>
      <c r="G456" s="426" t="s">
        <v>2012</v>
      </c>
      <c r="H456" s="402" t="str">
        <f>IF(Tableau2[[#This Row],[Moyennes]]="Absent","Absent",IF(Tableau2[[#This Row],[Moyennes]]&lt;5,"Redouble",IF(Tableau2[[#This Row],[Moyennes]]&gt;=5,"Admis"," ")))</f>
        <v>Admis</v>
      </c>
      <c r="I456" s="429"/>
      <c r="J456" s="300" t="s">
        <v>660</v>
      </c>
      <c r="K456" s="334" t="s">
        <v>190</v>
      </c>
      <c r="L456" s="64">
        <f>IF(AND(Tableau2[[#This Row],[CLASSE]]="CPU",Tableau2[[#This Row],[STATUT ]]="Admis"),1,0)</f>
        <v>1</v>
      </c>
      <c r="M456" s="64">
        <f>IF(AND(Tableau2[[#This Row],[CLASSE]]="CEU",Tableau2[[#This Row],[STATUT ]]="Admis"),1,0)</f>
        <v>0</v>
      </c>
      <c r="N456" s="64"/>
      <c r="O456" s="296"/>
      <c r="P4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7" spans="1:16" ht="18.5" x14ac:dyDescent="0.45">
      <c r="A457" s="310">
        <v>456</v>
      </c>
      <c r="B457" s="426" t="s">
        <v>2420</v>
      </c>
      <c r="C457" s="427" t="s">
        <v>2</v>
      </c>
      <c r="D457" s="428">
        <v>11</v>
      </c>
      <c r="E457" s="429">
        <v>7.37</v>
      </c>
      <c r="F457" s="418" t="s">
        <v>2009</v>
      </c>
      <c r="G457" s="426" t="s">
        <v>3447</v>
      </c>
      <c r="H457" s="402" t="str">
        <f>IF(Tableau2[[#This Row],[Moyennes]]="Absent","Absent",IF(Tableau2[[#This Row],[Moyennes]]&lt;5,"Redouble",IF(Tableau2[[#This Row],[Moyennes]]&gt;=5,"Admis"," ")))</f>
        <v>Admis</v>
      </c>
      <c r="I457" s="429"/>
      <c r="J457" s="300" t="s">
        <v>660</v>
      </c>
      <c r="K457" s="64" t="s">
        <v>190</v>
      </c>
      <c r="L457" s="64">
        <f>IF(AND(Tableau2[[#This Row],[CLASSE]]="CPU",Tableau2[[#This Row],[STATUT ]]="Admis"),1,0)</f>
        <v>1</v>
      </c>
      <c r="M457" s="64">
        <f>IF(AND(Tableau2[[#This Row],[CLASSE]]="CEU",Tableau2[[#This Row],[STATUT ]]="Admis"),1,0)</f>
        <v>0</v>
      </c>
      <c r="N457" s="64"/>
      <c r="O457" s="296"/>
      <c r="P4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8" spans="1:16" ht="18.5" x14ac:dyDescent="0.45">
      <c r="A458" s="310">
        <v>457</v>
      </c>
      <c r="B458" s="426" t="s">
        <v>2425</v>
      </c>
      <c r="C458" s="64" t="s">
        <v>1</v>
      </c>
      <c r="D458" s="428">
        <v>10</v>
      </c>
      <c r="E458" s="429">
        <v>7</v>
      </c>
      <c r="F458" s="418" t="s">
        <v>2009</v>
      </c>
      <c r="G458" s="429" t="s">
        <v>2044</v>
      </c>
      <c r="H458" s="402" t="str">
        <f>IF(Tableau2[[#This Row],[Moyennes]]="Absent","Absent",IF(Tableau2[[#This Row],[Moyennes]]&lt;5,"Redouble",IF(Tableau2[[#This Row],[Moyennes]]&gt;=5,"Admis"," ")))</f>
        <v>Admis</v>
      </c>
      <c r="I458" s="429"/>
      <c r="J458" s="300" t="s">
        <v>660</v>
      </c>
      <c r="K458" s="334" t="s">
        <v>190</v>
      </c>
      <c r="L458" s="64">
        <f>IF(AND(Tableau2[[#This Row],[CLASSE]]="CPU",Tableau2[[#This Row],[STATUT ]]="Admis"),1,0)</f>
        <v>1</v>
      </c>
      <c r="M458" s="64">
        <f>IF(AND(Tableau2[[#This Row],[CLASSE]]="CEU",Tableau2[[#This Row],[STATUT ]]="Admis"),1,0)</f>
        <v>0</v>
      </c>
      <c r="N458" s="64"/>
      <c r="O458" s="296"/>
      <c r="P4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59" spans="1:16" ht="18.5" x14ac:dyDescent="0.45">
      <c r="A459" s="310">
        <v>458</v>
      </c>
      <c r="B459" s="426" t="s">
        <v>2417</v>
      </c>
      <c r="C459" s="427" t="s">
        <v>2</v>
      </c>
      <c r="D459" s="428">
        <v>12</v>
      </c>
      <c r="E459" s="429">
        <v>6.87</v>
      </c>
      <c r="F459" s="418" t="s">
        <v>2009</v>
      </c>
      <c r="G459" s="426" t="s">
        <v>2048</v>
      </c>
      <c r="H459" s="402" t="str">
        <f>IF(Tableau2[[#This Row],[Moyennes]]="Absent","Absent",IF(Tableau2[[#This Row],[Moyennes]]&lt;5,"Redouble",IF(Tableau2[[#This Row],[Moyennes]]&gt;=5,"Admis"," ")))</f>
        <v>Admis</v>
      </c>
      <c r="I459" s="429"/>
      <c r="J459" s="300" t="s">
        <v>660</v>
      </c>
      <c r="K459" s="64" t="s">
        <v>190</v>
      </c>
      <c r="L459" s="64">
        <f>IF(AND(Tableau2[[#This Row],[CLASSE]]="CPU",Tableau2[[#This Row],[STATUT ]]="Admis"),1,0)</f>
        <v>1</v>
      </c>
      <c r="M459" s="64">
        <f>IF(AND(Tableau2[[#This Row],[CLASSE]]="CEU",Tableau2[[#This Row],[STATUT ]]="Admis"),1,0)</f>
        <v>0</v>
      </c>
      <c r="N459" s="64"/>
      <c r="O459" s="296"/>
      <c r="P4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60" spans="1:16" ht="18.5" x14ac:dyDescent="0.45">
      <c r="A460" s="310">
        <v>459</v>
      </c>
      <c r="B460" s="426" t="s">
        <v>2424</v>
      </c>
      <c r="C460" s="64" t="s">
        <v>1</v>
      </c>
      <c r="D460" s="428">
        <v>9</v>
      </c>
      <c r="E460" s="429">
        <v>6.75</v>
      </c>
      <c r="F460" s="418" t="s">
        <v>2009</v>
      </c>
      <c r="G460" s="429" t="s">
        <v>2027</v>
      </c>
      <c r="H460" s="402" t="str">
        <f>IF(Tableau2[[#This Row],[Moyennes]]="Absent","Absent",IF(Tableau2[[#This Row],[Moyennes]]&lt;5,"Redouble",IF(Tableau2[[#This Row],[Moyennes]]&gt;=5,"Admis"," ")))</f>
        <v>Admis</v>
      </c>
      <c r="I460" s="429"/>
      <c r="J460" s="300" t="s">
        <v>660</v>
      </c>
      <c r="K460" s="334" t="s">
        <v>190</v>
      </c>
      <c r="L460" s="64">
        <f>IF(AND(Tableau2[[#This Row],[CLASSE]]="CPU",Tableau2[[#This Row],[STATUT ]]="Admis"),1,0)</f>
        <v>1</v>
      </c>
      <c r="M460" s="64">
        <f>IF(AND(Tableau2[[#This Row],[CLASSE]]="CEU",Tableau2[[#This Row],[STATUT ]]="Admis"),1,0)</f>
        <v>0</v>
      </c>
      <c r="N460" s="64"/>
      <c r="O460" s="296"/>
      <c r="P4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1" spans="1:16" ht="18.5" x14ac:dyDescent="0.45">
      <c r="A461" s="310">
        <v>460</v>
      </c>
      <c r="B461" s="426" t="s">
        <v>3454</v>
      </c>
      <c r="C461" s="64" t="s">
        <v>1</v>
      </c>
      <c r="D461" s="428">
        <v>11</v>
      </c>
      <c r="E461" s="429">
        <v>6.5</v>
      </c>
      <c r="F461" s="418" t="s">
        <v>2009</v>
      </c>
      <c r="G461" s="426" t="s">
        <v>2089</v>
      </c>
      <c r="H461" s="402" t="str">
        <f>IF(Tableau2[[#This Row],[Moyennes]]="Absent","Absent",IF(Tableau2[[#This Row],[Moyennes]]&lt;5,"Redouble",IF(Tableau2[[#This Row],[Moyennes]]&gt;=5,"Admis"," ")))</f>
        <v>Admis</v>
      </c>
      <c r="I461" s="426"/>
      <c r="J461" s="300" t="s">
        <v>660</v>
      </c>
      <c r="K461" s="64" t="s">
        <v>190</v>
      </c>
      <c r="L461" s="64">
        <f>IF(AND(Tableau2[[#This Row],[CLASSE]]="CPU",Tableau2[[#This Row],[STATUT ]]="Admis"),1,0)</f>
        <v>1</v>
      </c>
      <c r="M461" s="64">
        <f>IF(AND(Tableau2[[#This Row],[CLASSE]]="CEU",Tableau2[[#This Row],[STATUT ]]="Admis"),1,0)</f>
        <v>0</v>
      </c>
      <c r="N461" s="64"/>
      <c r="O461" s="296"/>
      <c r="P4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2" spans="1:16" ht="18.5" x14ac:dyDescent="0.45">
      <c r="A462" s="310">
        <v>461</v>
      </c>
      <c r="B462" s="426" t="s">
        <v>3455</v>
      </c>
      <c r="C462" s="64" t="s">
        <v>1</v>
      </c>
      <c r="D462" s="428">
        <v>10</v>
      </c>
      <c r="E462" s="429">
        <v>6.5</v>
      </c>
      <c r="F462" s="418" t="s">
        <v>2009</v>
      </c>
      <c r="G462" s="429" t="s">
        <v>3423</v>
      </c>
      <c r="H462" s="402" t="str">
        <f>IF(Tableau2[[#This Row],[Moyennes]]="Absent","Absent",IF(Tableau2[[#This Row],[Moyennes]]&lt;5,"Redouble",IF(Tableau2[[#This Row],[Moyennes]]&gt;=5,"Admis"," ")))</f>
        <v>Admis</v>
      </c>
      <c r="I462" s="429"/>
      <c r="J462" s="300" t="s">
        <v>660</v>
      </c>
      <c r="K462" s="334" t="s">
        <v>190</v>
      </c>
      <c r="L462" s="64">
        <f>IF(AND(Tableau2[[#This Row],[CLASSE]]="CPU",Tableau2[[#This Row],[STATUT ]]="Admis"),1,0)</f>
        <v>1</v>
      </c>
      <c r="M462" s="64">
        <f>IF(AND(Tableau2[[#This Row],[CLASSE]]="CEU",Tableau2[[#This Row],[STATUT ]]="Admis"),1,0)</f>
        <v>0</v>
      </c>
      <c r="N462" s="64"/>
      <c r="O462" s="296"/>
      <c r="P4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3" spans="1:16" ht="19" thickBot="1" x14ac:dyDescent="0.5">
      <c r="A463" s="310">
        <v>462</v>
      </c>
      <c r="B463" s="426" t="s">
        <v>2401</v>
      </c>
      <c r="C463" s="64" t="s">
        <v>1</v>
      </c>
      <c r="D463" s="428">
        <v>11</v>
      </c>
      <c r="E463" s="429">
        <v>6.37</v>
      </c>
      <c r="F463" s="433" t="s">
        <v>2009</v>
      </c>
      <c r="G463" s="426" t="s">
        <v>2033</v>
      </c>
      <c r="H463" s="402" t="str">
        <f>IF(Tableau2[[#This Row],[Moyennes]]="Absent","Absent",IF(Tableau2[[#This Row],[Moyennes]]&lt;5,"Redouble",IF(Tableau2[[#This Row],[Moyennes]]&gt;=5,"Admis"," ")))</f>
        <v>Admis</v>
      </c>
      <c r="I463" s="426"/>
      <c r="J463" s="300" t="s">
        <v>660</v>
      </c>
      <c r="K463" s="64" t="s">
        <v>190</v>
      </c>
      <c r="L463" s="64">
        <f>IF(AND(Tableau2[[#This Row],[CLASSE]]="CPU",Tableau2[[#This Row],[STATUT ]]="Admis"),1,0)</f>
        <v>1</v>
      </c>
      <c r="M463" s="64">
        <f>IF(AND(Tableau2[[#This Row],[CLASSE]]="CEU",Tableau2[[#This Row],[STATUT ]]="Admis"),1,0)</f>
        <v>0</v>
      </c>
      <c r="N463" s="64"/>
      <c r="O463" s="296"/>
      <c r="P4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4" spans="1:16" ht="18.5" x14ac:dyDescent="0.45">
      <c r="A464" s="310">
        <v>463</v>
      </c>
      <c r="B464" s="426" t="s">
        <v>2422</v>
      </c>
      <c r="C464" s="64" t="s">
        <v>1</v>
      </c>
      <c r="D464" s="439">
        <v>10</v>
      </c>
      <c r="E464" s="429">
        <v>6.12</v>
      </c>
      <c r="F464" s="418" t="s">
        <v>2009</v>
      </c>
      <c r="G464" s="429" t="s">
        <v>2016</v>
      </c>
      <c r="H464" s="402" t="str">
        <f>IF(Tableau2[[#This Row],[Moyennes]]="Absent","Absent",IF(Tableau2[[#This Row],[Moyennes]]&lt;5,"Redouble",IF(Tableau2[[#This Row],[Moyennes]]&gt;=5,"Admis"," ")))</f>
        <v>Admis</v>
      </c>
      <c r="I464" s="429"/>
      <c r="J464" s="300" t="s">
        <v>660</v>
      </c>
      <c r="K464" s="334" t="s">
        <v>190</v>
      </c>
      <c r="L464" s="64">
        <f>IF(AND(Tableau2[[#This Row],[CLASSE]]="CPU",Tableau2[[#This Row],[STATUT ]]="Admis"),1,0)</f>
        <v>1</v>
      </c>
      <c r="M464" s="64">
        <f>IF(AND(Tableau2[[#This Row],[CLASSE]]="CEU",Tableau2[[#This Row],[STATUT ]]="Admis"),1,0)</f>
        <v>0</v>
      </c>
      <c r="N464" s="64"/>
      <c r="O464" s="296"/>
      <c r="P4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5" spans="1:16" ht="18.5" x14ac:dyDescent="0.45">
      <c r="A465" s="310">
        <v>464</v>
      </c>
      <c r="B465" s="426" t="s">
        <v>3456</v>
      </c>
      <c r="C465" s="427" t="s">
        <v>2</v>
      </c>
      <c r="D465" s="442">
        <v>11</v>
      </c>
      <c r="E465" s="429">
        <v>5.75</v>
      </c>
      <c r="F465" s="418" t="s">
        <v>2009</v>
      </c>
      <c r="G465" s="426" t="s">
        <v>2062</v>
      </c>
      <c r="H465" s="402" t="str">
        <f>IF(Tableau2[[#This Row],[Moyennes]]="Absent","Absent",IF(Tableau2[[#This Row],[Moyennes]]&lt;5,"Redouble",IF(Tableau2[[#This Row],[Moyennes]]&gt;=5,"Admis"," ")))</f>
        <v>Admis</v>
      </c>
      <c r="I465" s="429"/>
      <c r="J465" s="300" t="s">
        <v>660</v>
      </c>
      <c r="K465" s="64" t="s">
        <v>190</v>
      </c>
      <c r="L465" s="64">
        <f>IF(AND(Tableau2[[#This Row],[CLASSE]]="CPU",Tableau2[[#This Row],[STATUT ]]="Admis"),1,0)</f>
        <v>1</v>
      </c>
      <c r="M465" s="64">
        <f>IF(AND(Tableau2[[#This Row],[CLASSE]]="CEU",Tableau2[[#This Row],[STATUT ]]="Admis"),1,0)</f>
        <v>0</v>
      </c>
      <c r="N465" s="64"/>
      <c r="O465" s="296"/>
      <c r="P4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6" spans="1:16" ht="18.5" x14ac:dyDescent="0.45">
      <c r="A466" s="310">
        <v>465</v>
      </c>
      <c r="B466" s="426" t="s">
        <v>2421</v>
      </c>
      <c r="C466" s="427" t="s">
        <v>2</v>
      </c>
      <c r="D466" s="442">
        <v>9</v>
      </c>
      <c r="E466" s="429">
        <v>5.62</v>
      </c>
      <c r="F466" s="418" t="s">
        <v>2009</v>
      </c>
      <c r="G466" s="429" t="s">
        <v>2023</v>
      </c>
      <c r="H466" s="402" t="str">
        <f>IF(Tableau2[[#This Row],[Moyennes]]="Absent","Absent",IF(Tableau2[[#This Row],[Moyennes]]&lt;5,"Redouble",IF(Tableau2[[#This Row],[Moyennes]]&gt;=5,"Admis"," ")))</f>
        <v>Admis</v>
      </c>
      <c r="I466" s="429"/>
      <c r="J466" s="300" t="s">
        <v>660</v>
      </c>
      <c r="K466" s="334" t="s">
        <v>190</v>
      </c>
      <c r="L466" s="64">
        <f>IF(AND(Tableau2[[#This Row],[CLASSE]]="CPU",Tableau2[[#This Row],[STATUT ]]="Admis"),1,0)</f>
        <v>1</v>
      </c>
      <c r="M466" s="64">
        <f>IF(AND(Tableau2[[#This Row],[CLASSE]]="CEU",Tableau2[[#This Row],[STATUT ]]="Admis"),1,0)</f>
        <v>0</v>
      </c>
      <c r="N466" s="64"/>
      <c r="O466" s="296"/>
      <c r="P4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7" spans="1:16" ht="18.5" x14ac:dyDescent="0.45">
      <c r="A467" s="310">
        <v>466</v>
      </c>
      <c r="B467" s="426" t="s">
        <v>2426</v>
      </c>
      <c r="C467" s="427" t="s">
        <v>2</v>
      </c>
      <c r="D467" s="442">
        <v>9</v>
      </c>
      <c r="E467" s="429">
        <v>5.5</v>
      </c>
      <c r="F467" s="418" t="s">
        <v>2009</v>
      </c>
      <c r="G467" s="426" t="s">
        <v>2042</v>
      </c>
      <c r="H467" s="402" t="str">
        <f>IF(Tableau2[[#This Row],[Moyennes]]="Absent","Absent",IF(Tableau2[[#This Row],[Moyennes]]&lt;5,"Redouble",IF(Tableau2[[#This Row],[Moyennes]]&gt;=5,"Admis"," ")))</f>
        <v>Admis</v>
      </c>
      <c r="I467" s="426"/>
      <c r="J467" s="300" t="s">
        <v>660</v>
      </c>
      <c r="K467" s="64" t="s">
        <v>190</v>
      </c>
      <c r="L467" s="64">
        <f>IF(AND(Tableau2[[#This Row],[CLASSE]]="CPU",Tableau2[[#This Row],[STATUT ]]="Admis"),1,0)</f>
        <v>1</v>
      </c>
      <c r="M467" s="64">
        <f>IF(AND(Tableau2[[#This Row],[CLASSE]]="CEU",Tableau2[[#This Row],[STATUT ]]="Admis"),1,0)</f>
        <v>0</v>
      </c>
      <c r="N467" s="64"/>
      <c r="O467" s="296"/>
      <c r="P4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8" spans="1:16" ht="18.5" x14ac:dyDescent="0.45">
      <c r="A468" s="310">
        <v>467</v>
      </c>
      <c r="B468" s="426" t="s">
        <v>2423</v>
      </c>
      <c r="C468" s="64" t="s">
        <v>1</v>
      </c>
      <c r="D468" s="442">
        <v>9</v>
      </c>
      <c r="E468" s="429">
        <v>5</v>
      </c>
      <c r="F468" s="433" t="s">
        <v>2009</v>
      </c>
      <c r="G468" s="426" t="s">
        <v>2025</v>
      </c>
      <c r="H468" s="402" t="str">
        <f>IF(Tableau2[[#This Row],[Moyennes]]="Absent","Absent",IF(Tableau2[[#This Row],[Moyennes]]&lt;5,"Redouble",IF(Tableau2[[#This Row],[Moyennes]]&gt;=5,"Admis"," ")))</f>
        <v>Admis</v>
      </c>
      <c r="I468" s="426"/>
      <c r="J468" s="300" t="s">
        <v>660</v>
      </c>
      <c r="K468" s="334" t="s">
        <v>190</v>
      </c>
      <c r="L468" s="64">
        <f>IF(AND(Tableau2[[#This Row],[CLASSE]]="CPU",Tableau2[[#This Row],[STATUT ]]="Admis"),1,0)</f>
        <v>1</v>
      </c>
      <c r="M468" s="64">
        <f>IF(AND(Tableau2[[#This Row],[CLASSE]]="CEU",Tableau2[[#This Row],[STATUT ]]="Admis"),1,0)</f>
        <v>0</v>
      </c>
      <c r="N468" s="64"/>
      <c r="O468" s="296"/>
      <c r="P4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69" spans="1:16" ht="18.5" x14ac:dyDescent="0.45">
      <c r="A469" s="310">
        <v>468</v>
      </c>
      <c r="B469" s="426" t="s">
        <v>2428</v>
      </c>
      <c r="C469" s="64" t="s">
        <v>1</v>
      </c>
      <c r="D469" s="442">
        <v>10</v>
      </c>
      <c r="E469" s="429">
        <v>3.5</v>
      </c>
      <c r="F469" s="418" t="s">
        <v>2009</v>
      </c>
      <c r="G469" s="426" t="s">
        <v>2046</v>
      </c>
      <c r="H469" s="402" t="str">
        <f>IF(Tableau2[[#This Row],[Moyennes]]="Absent","Absent",IF(Tableau2[[#This Row],[Moyennes]]&lt;5,"Redouble",IF(Tableau2[[#This Row],[Moyennes]]&gt;=5,"Admis"," ")))</f>
        <v>Redouble</v>
      </c>
      <c r="I469" s="429"/>
      <c r="J469" s="300" t="s">
        <v>660</v>
      </c>
      <c r="K469" s="64" t="s">
        <v>190</v>
      </c>
      <c r="L469" s="64">
        <f>IF(AND(Tableau2[[#This Row],[CLASSE]]="CPU",Tableau2[[#This Row],[STATUT ]]="Admis"),1,0)</f>
        <v>0</v>
      </c>
      <c r="M469" s="64">
        <f>IF(AND(Tableau2[[#This Row],[CLASSE]]="CEU",Tableau2[[#This Row],[STATUT ]]="Admis"),1,0)</f>
        <v>0</v>
      </c>
      <c r="N469" s="64"/>
      <c r="O469" s="296"/>
      <c r="P4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70" spans="1:16" ht="18.5" x14ac:dyDescent="0.45">
      <c r="A470" s="310">
        <v>469</v>
      </c>
      <c r="B470" s="426" t="s">
        <v>2427</v>
      </c>
      <c r="C470" s="64" t="s">
        <v>1</v>
      </c>
      <c r="D470" s="442">
        <v>9</v>
      </c>
      <c r="E470" s="429">
        <v>2.62</v>
      </c>
      <c r="F470" s="418" t="s">
        <v>2009</v>
      </c>
      <c r="G470" s="426" t="s">
        <v>2030</v>
      </c>
      <c r="H470" s="402" t="str">
        <f>IF(Tableau2[[#This Row],[Moyennes]]="Absent","Absent",IF(Tableau2[[#This Row],[Moyennes]]&lt;5,"Redouble",IF(Tableau2[[#This Row],[Moyennes]]&gt;=5,"Admis"," ")))</f>
        <v>Redouble</v>
      </c>
      <c r="I470" s="429"/>
      <c r="J470" s="300" t="s">
        <v>660</v>
      </c>
      <c r="K470" s="334" t="s">
        <v>190</v>
      </c>
      <c r="L470" s="64">
        <f>IF(AND(Tableau2[[#This Row],[CLASSE]]="CPU",Tableau2[[#This Row],[STATUT ]]="Admis"),1,0)</f>
        <v>0</v>
      </c>
      <c r="M470" s="64">
        <f>IF(AND(Tableau2[[#This Row],[CLASSE]]="CEU",Tableau2[[#This Row],[STATUT ]]="Admis"),1,0)</f>
        <v>0</v>
      </c>
      <c r="N470" s="64"/>
      <c r="O470" s="296"/>
      <c r="P4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71" spans="1:16" ht="18.5" x14ac:dyDescent="0.45">
      <c r="A471" s="310">
        <v>470</v>
      </c>
      <c r="B471" s="426" t="s">
        <v>2429</v>
      </c>
      <c r="C471" s="427" t="s">
        <v>2</v>
      </c>
      <c r="D471" s="442">
        <v>9</v>
      </c>
      <c r="E471" s="429">
        <v>1.62</v>
      </c>
      <c r="F471" s="418" t="s">
        <v>2009</v>
      </c>
      <c r="G471" s="426" t="s">
        <v>2066</v>
      </c>
      <c r="H471" s="402" t="str">
        <f>IF(Tableau2[[#This Row],[Moyennes]]="Absent","Absent",IF(Tableau2[[#This Row],[Moyennes]]&lt;5,"Redouble",IF(Tableau2[[#This Row],[Moyennes]]&gt;=5,"Admis"," ")))</f>
        <v>Redouble</v>
      </c>
      <c r="I471" s="429"/>
      <c r="J471" s="300" t="s">
        <v>660</v>
      </c>
      <c r="K471" s="64" t="s">
        <v>190</v>
      </c>
      <c r="L471" s="64">
        <f>IF(AND(Tableau2[[#This Row],[CLASSE]]="CPU",Tableau2[[#This Row],[STATUT ]]="Admis"),1,0)</f>
        <v>0</v>
      </c>
      <c r="M471" s="64">
        <f>IF(AND(Tableau2[[#This Row],[CLASSE]]="CEU",Tableau2[[#This Row],[STATUT ]]="Admis"),1,0)</f>
        <v>0</v>
      </c>
      <c r="N471" s="64"/>
      <c r="O471" s="296"/>
      <c r="P4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72" spans="1:16" ht="18.5" x14ac:dyDescent="0.45">
      <c r="A472" s="310">
        <v>471</v>
      </c>
      <c r="B472" s="426" t="s">
        <v>2678</v>
      </c>
      <c r="C472" s="427" t="s">
        <v>2</v>
      </c>
      <c r="D472" s="442">
        <v>9</v>
      </c>
      <c r="E472" s="495" t="s">
        <v>2165</v>
      </c>
      <c r="F472" s="500" t="s">
        <v>2009</v>
      </c>
      <c r="G472" s="446" t="s">
        <v>2165</v>
      </c>
      <c r="H472" s="300" t="str">
        <f>IF(Tableau2[[#This Row],[Moyennes]]="Absent","Absent",IF(Tableau2[[#This Row],[Moyennes]]&lt;5,"Redouble",IF(Tableau2[[#This Row],[Moyennes]]&gt;=5,"Admis"," ")))</f>
        <v>Absent</v>
      </c>
      <c r="I472" s="495"/>
      <c r="J472" s="300" t="s">
        <v>660</v>
      </c>
      <c r="K472" s="334" t="s">
        <v>190</v>
      </c>
      <c r="L472" s="64">
        <f>IF(AND(Tableau2[[#This Row],[CLASSE]]="CPU",Tableau2[[#This Row],[STATUT ]]="Admis"),1,0)</f>
        <v>0</v>
      </c>
      <c r="M472" s="64">
        <f>IF(AND(Tableau2[[#This Row],[CLASSE]]="CEU",Tableau2[[#This Row],[STATUT ]]="Admis"),1,0)</f>
        <v>0</v>
      </c>
      <c r="N472" s="64"/>
      <c r="O472" s="296"/>
      <c r="P4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73" spans="1:16" ht="18.5" x14ac:dyDescent="0.45">
      <c r="A473" s="310">
        <v>472</v>
      </c>
      <c r="B473" s="426" t="s">
        <v>2911</v>
      </c>
      <c r="C473" s="427" t="s">
        <v>2</v>
      </c>
      <c r="D473" s="442">
        <v>9</v>
      </c>
      <c r="E473" s="495" t="s">
        <v>2165</v>
      </c>
      <c r="F473" s="500" t="s">
        <v>2009</v>
      </c>
      <c r="G473" s="446" t="s">
        <v>2165</v>
      </c>
      <c r="H473" s="300" t="str">
        <f>IF(Tableau2[[#This Row],[Moyennes]]="Absent","Absent",IF(Tableau2[[#This Row],[Moyennes]]&lt;5,"Redouble",IF(Tableau2[[#This Row],[Moyennes]]&gt;=5,"Admis"," ")))</f>
        <v>Absent</v>
      </c>
      <c r="I473" s="495"/>
      <c r="J473" s="300" t="s">
        <v>660</v>
      </c>
      <c r="K473" s="64" t="s">
        <v>190</v>
      </c>
      <c r="L473" s="64">
        <f>IF(AND(Tableau2[[#This Row],[CLASSE]]="CPU",Tableau2[[#This Row],[STATUT ]]="Admis"),1,0)</f>
        <v>0</v>
      </c>
      <c r="M473" s="64">
        <f>IF(AND(Tableau2[[#This Row],[CLASSE]]="CEU",Tableau2[[#This Row],[STATUT ]]="Admis"),1,0)</f>
        <v>0</v>
      </c>
      <c r="N473" s="64"/>
      <c r="O473" s="296"/>
      <c r="P4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74" spans="1:16" ht="18.5" x14ac:dyDescent="0.45">
      <c r="A474" s="310">
        <v>473</v>
      </c>
      <c r="B474" s="426" t="s">
        <v>2430</v>
      </c>
      <c r="C474" s="427" t="s">
        <v>2</v>
      </c>
      <c r="D474" s="442">
        <v>9</v>
      </c>
      <c r="E474" s="429">
        <v>9.6199999999999992</v>
      </c>
      <c r="F474" s="418" t="s">
        <v>2009</v>
      </c>
      <c r="G474" s="426" t="s">
        <v>2035</v>
      </c>
      <c r="H474" s="402" t="str">
        <f>IF(Tableau2[[#This Row],[Moyennes]]="Absent","Absent",IF(Tableau2[[#This Row],[Moyennes]]&lt;5,"Redouble",IF(Tableau2[[#This Row],[Moyennes]]&gt;=5,"Admis"," ")))</f>
        <v>Admis</v>
      </c>
      <c r="I474" s="429"/>
      <c r="J474" s="300" t="s">
        <v>660</v>
      </c>
      <c r="K474" s="334" t="s">
        <v>190</v>
      </c>
      <c r="L474" s="64">
        <f>IF(AND(Tableau2[[#This Row],[CLASSE]]="CPU",Tableau2[[#This Row],[STATUT ]]="Admis"),1,0)</f>
        <v>1</v>
      </c>
      <c r="M474" s="64">
        <f>IF(AND(Tableau2[[#This Row],[CLASSE]]="CEU",Tableau2[[#This Row],[STATUT ]]="Admis"),1,0)</f>
        <v>0</v>
      </c>
      <c r="N474" s="64"/>
      <c r="O474" s="296"/>
      <c r="P4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75" spans="1:16" ht="18.5" x14ac:dyDescent="0.45">
      <c r="A475" s="310">
        <v>474</v>
      </c>
      <c r="B475" s="426" t="s">
        <v>2432</v>
      </c>
      <c r="C475" s="64" t="s">
        <v>1</v>
      </c>
      <c r="D475" s="442">
        <v>12</v>
      </c>
      <c r="E475" s="429">
        <v>9.5</v>
      </c>
      <c r="F475" s="418" t="s">
        <v>2009</v>
      </c>
      <c r="G475" s="429" t="s">
        <v>2010</v>
      </c>
      <c r="H475" s="402" t="str">
        <f>IF(Tableau2[[#This Row],[Moyennes]]="Absent","Absent",IF(Tableau2[[#This Row],[Moyennes]]&lt;5,"Redouble",IF(Tableau2[[#This Row],[Moyennes]]&gt;=5,"Admis"," ")))</f>
        <v>Admis</v>
      </c>
      <c r="I475" s="429"/>
      <c r="J475" s="300" t="s">
        <v>660</v>
      </c>
      <c r="K475" s="64" t="s">
        <v>190</v>
      </c>
      <c r="L475" s="64">
        <f>IF(AND(Tableau2[[#This Row],[CLASSE]]="CPU",Tableau2[[#This Row],[STATUT ]]="Admis"),1,0)</f>
        <v>1</v>
      </c>
      <c r="M475" s="64">
        <f>IF(AND(Tableau2[[#This Row],[CLASSE]]="CEU",Tableau2[[#This Row],[STATUT ]]="Admis"),1,0)</f>
        <v>0</v>
      </c>
      <c r="N475" s="64"/>
      <c r="O475" s="296"/>
      <c r="P4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76" spans="1:16" ht="18.5" x14ac:dyDescent="0.45">
      <c r="A476" s="310">
        <v>475</v>
      </c>
      <c r="B476" s="426" t="s">
        <v>2074</v>
      </c>
      <c r="C476" s="427" t="s">
        <v>2</v>
      </c>
      <c r="D476" s="442">
        <v>10</v>
      </c>
      <c r="E476" s="429">
        <v>9.1199999999999992</v>
      </c>
      <c r="F476" s="418" t="s">
        <v>2009</v>
      </c>
      <c r="G476" s="426" t="s">
        <v>815</v>
      </c>
      <c r="H476" s="402" t="str">
        <f>IF(Tableau2[[#This Row],[Moyennes]]="Absent","Absent",IF(Tableau2[[#This Row],[Moyennes]]&lt;5,"Redouble",IF(Tableau2[[#This Row],[Moyennes]]&gt;=5,"Admis"," ")))</f>
        <v>Admis</v>
      </c>
      <c r="I476" s="426"/>
      <c r="J476" s="300" t="s">
        <v>660</v>
      </c>
      <c r="K476" s="334" t="s">
        <v>190</v>
      </c>
      <c r="L476" s="64">
        <f>IF(AND(Tableau2[[#This Row],[CLASSE]]="CPU",Tableau2[[#This Row],[STATUT ]]="Admis"),1,0)</f>
        <v>1</v>
      </c>
      <c r="M476" s="64">
        <f>IF(AND(Tableau2[[#This Row],[CLASSE]]="CEU",Tableau2[[#This Row],[STATUT ]]="Admis"),1,0)</f>
        <v>0</v>
      </c>
      <c r="N476" s="64"/>
      <c r="O476" s="296"/>
      <c r="P4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77" spans="1:16" ht="18.5" x14ac:dyDescent="0.45">
      <c r="A477" s="310">
        <v>476</v>
      </c>
      <c r="B477" s="426" t="s">
        <v>2433</v>
      </c>
      <c r="C477" s="64" t="s">
        <v>1</v>
      </c>
      <c r="D477" s="442">
        <v>11</v>
      </c>
      <c r="E477" s="429">
        <v>8.75</v>
      </c>
      <c r="F477" s="418" t="s">
        <v>2009</v>
      </c>
      <c r="G477" s="426" t="s">
        <v>2012</v>
      </c>
      <c r="H477" s="402" t="str">
        <f>IF(Tableau2[[#This Row],[Moyennes]]="Absent","Absent",IF(Tableau2[[#This Row],[Moyennes]]&lt;5,"Redouble",IF(Tableau2[[#This Row],[Moyennes]]&gt;=5,"Admis"," ")))</f>
        <v>Admis</v>
      </c>
      <c r="I477" s="426"/>
      <c r="J477" s="300" t="s">
        <v>660</v>
      </c>
      <c r="K477" s="64" t="s">
        <v>190</v>
      </c>
      <c r="L477" s="64">
        <f>IF(AND(Tableau2[[#This Row],[CLASSE]]="CPU",Tableau2[[#This Row],[STATUT ]]="Admis"),1,0)</f>
        <v>1</v>
      </c>
      <c r="M477" s="64">
        <f>IF(AND(Tableau2[[#This Row],[CLASSE]]="CEU",Tableau2[[#This Row],[STATUT ]]="Admis"),1,0)</f>
        <v>0</v>
      </c>
      <c r="N477" s="64"/>
      <c r="O477" s="296"/>
      <c r="P4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78" spans="1:16" ht="18.5" x14ac:dyDescent="0.45">
      <c r="A478" s="310">
        <v>477</v>
      </c>
      <c r="B478" s="426" t="s">
        <v>2438</v>
      </c>
      <c r="C478" s="64" t="s">
        <v>1</v>
      </c>
      <c r="D478" s="442">
        <v>11</v>
      </c>
      <c r="E478" s="429">
        <v>7.12</v>
      </c>
      <c r="F478" s="418" t="s">
        <v>2009</v>
      </c>
      <c r="G478" s="426" t="s">
        <v>2018</v>
      </c>
      <c r="H478" s="402" t="str">
        <f>IF(Tableau2[[#This Row],[Moyennes]]="Absent","Absent",IF(Tableau2[[#This Row],[Moyennes]]&lt;5,"Redouble",IF(Tableau2[[#This Row],[Moyennes]]&gt;=5,"Admis"," ")))</f>
        <v>Admis</v>
      </c>
      <c r="I478" s="429"/>
      <c r="J478" s="300" t="s">
        <v>660</v>
      </c>
      <c r="K478" s="334" t="s">
        <v>190</v>
      </c>
      <c r="L478" s="64">
        <f>IF(AND(Tableau2[[#This Row],[CLASSE]]="CPU",Tableau2[[#This Row],[STATUT ]]="Admis"),1,0)</f>
        <v>1</v>
      </c>
      <c r="M478" s="64">
        <f>IF(AND(Tableau2[[#This Row],[CLASSE]]="CEU",Tableau2[[#This Row],[STATUT ]]="Admis"),1,0)</f>
        <v>0</v>
      </c>
      <c r="N478" s="64"/>
      <c r="O478" s="296"/>
      <c r="P4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79" spans="1:16" ht="21" x14ac:dyDescent="0.35">
      <c r="A479" s="310">
        <v>478</v>
      </c>
      <c r="B479" s="64" t="s">
        <v>2434</v>
      </c>
      <c r="C479" s="64" t="s">
        <v>2</v>
      </c>
      <c r="D479" s="389">
        <v>10</v>
      </c>
      <c r="E479" s="299">
        <v>7</v>
      </c>
      <c r="F479" s="306" t="s">
        <v>2009</v>
      </c>
      <c r="G479" s="300" t="s">
        <v>2044</v>
      </c>
      <c r="H479" s="402" t="str">
        <f>IF(Tableau2[[#This Row],[Moyennes]]="Absent","Absent",IF(Tableau2[[#This Row],[Moyennes]]&lt;5,"Redouble",IF(Tableau2[[#This Row],[Moyennes]]&gt;=5,"Admis"," ")))</f>
        <v>Admis</v>
      </c>
      <c r="I479" s="302"/>
      <c r="J479" s="300" t="s">
        <v>660</v>
      </c>
      <c r="K479" s="64" t="s">
        <v>190</v>
      </c>
      <c r="L479" s="64">
        <f>IF(AND(Tableau2[[#This Row],[CLASSE]]="CPU",Tableau2[[#This Row],[STATUT ]]="Admis"),1,0)</f>
        <v>1</v>
      </c>
      <c r="M479" s="64">
        <f>IF(AND(Tableau2[[#This Row],[CLASSE]]="CEU",Tableau2[[#This Row],[STATUT ]]="Admis"),1,0)</f>
        <v>0</v>
      </c>
      <c r="N479" s="64"/>
      <c r="O479" s="296"/>
      <c r="P4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80" spans="1:16" ht="21" x14ac:dyDescent="0.35">
      <c r="A480" s="310">
        <v>479</v>
      </c>
      <c r="B480" s="64" t="s">
        <v>2437</v>
      </c>
      <c r="C480" s="64" t="s">
        <v>2</v>
      </c>
      <c r="D480" s="389">
        <v>10</v>
      </c>
      <c r="E480" s="299">
        <v>6.87</v>
      </c>
      <c r="F480" s="306" t="s">
        <v>2009</v>
      </c>
      <c r="G480" s="300" t="s">
        <v>2048</v>
      </c>
      <c r="H480" s="402" t="str">
        <f>IF(Tableau2[[#This Row],[Moyennes]]="Absent","Absent",IF(Tableau2[[#This Row],[Moyennes]]&lt;5,"Redouble",IF(Tableau2[[#This Row],[Moyennes]]&gt;=5,"Admis"," ")))</f>
        <v>Admis</v>
      </c>
      <c r="I480" s="302"/>
      <c r="J480" s="300" t="s">
        <v>660</v>
      </c>
      <c r="K480" s="334" t="s">
        <v>190</v>
      </c>
      <c r="L480" s="64">
        <f>IF(AND(Tableau2[[#This Row],[CLASSE]]="CPU",Tableau2[[#This Row],[STATUT ]]="Admis"),1,0)</f>
        <v>1</v>
      </c>
      <c r="M480" s="64">
        <f>IF(AND(Tableau2[[#This Row],[CLASSE]]="CEU",Tableau2[[#This Row],[STATUT ]]="Admis"),1,0)</f>
        <v>0</v>
      </c>
      <c r="N480" s="64"/>
      <c r="O480" s="296"/>
      <c r="P4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81" spans="1:16" ht="21" x14ac:dyDescent="0.35">
      <c r="A481" s="310">
        <v>480</v>
      </c>
      <c r="B481" s="64" t="s">
        <v>2436</v>
      </c>
      <c r="C481" s="64" t="s">
        <v>2</v>
      </c>
      <c r="D481" s="389">
        <v>10</v>
      </c>
      <c r="E481" s="299">
        <v>6.87</v>
      </c>
      <c r="F481" s="306" t="s">
        <v>2009</v>
      </c>
      <c r="G481" s="300" t="s">
        <v>3432</v>
      </c>
      <c r="H481" s="402" t="str">
        <f>IF(Tableau2[[#This Row],[Moyennes]]="Absent","Absent",IF(Tableau2[[#This Row],[Moyennes]]&lt;5,"Redouble",IF(Tableau2[[#This Row],[Moyennes]]&gt;=5,"Admis"," ")))</f>
        <v>Admis</v>
      </c>
      <c r="I481" s="302"/>
      <c r="J481" s="300" t="s">
        <v>660</v>
      </c>
      <c r="K481" s="64" t="s">
        <v>190</v>
      </c>
      <c r="L481" s="64">
        <f>IF(AND(Tableau2[[#This Row],[CLASSE]]="CPU",Tableau2[[#This Row],[STATUT ]]="Admis"),1,0)</f>
        <v>1</v>
      </c>
      <c r="M481" s="64">
        <f>IF(AND(Tableau2[[#This Row],[CLASSE]]="CEU",Tableau2[[#This Row],[STATUT ]]="Admis"),1,0)</f>
        <v>0</v>
      </c>
      <c r="N481" s="64"/>
      <c r="O481" s="296"/>
      <c r="P4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82" spans="1:16" ht="21" x14ac:dyDescent="0.35">
      <c r="A482" s="310">
        <v>481</v>
      </c>
      <c r="B482" s="309" t="s">
        <v>2435</v>
      </c>
      <c r="C482" s="64" t="s">
        <v>2</v>
      </c>
      <c r="D482" s="389">
        <v>12</v>
      </c>
      <c r="E482" s="299">
        <v>6.87</v>
      </c>
      <c r="F482" s="306" t="s">
        <v>2009</v>
      </c>
      <c r="G482" s="300" t="s">
        <v>3432</v>
      </c>
      <c r="H482" s="402" t="str">
        <f>IF(Tableau2[[#This Row],[Moyennes]]="Absent","Absent",IF(Tableau2[[#This Row],[Moyennes]]&lt;5,"Redouble",IF(Tableau2[[#This Row],[Moyennes]]&gt;=5,"Admis"," ")))</f>
        <v>Admis</v>
      </c>
      <c r="I482" s="302"/>
      <c r="J482" s="300" t="s">
        <v>660</v>
      </c>
      <c r="K482" s="334" t="s">
        <v>190</v>
      </c>
      <c r="L482" s="64">
        <f>IF(AND(Tableau2[[#This Row],[CLASSE]]="CPU",Tableau2[[#This Row],[STATUT ]]="Admis"),1,0)</f>
        <v>1</v>
      </c>
      <c r="M482" s="64">
        <f>IF(AND(Tableau2[[#This Row],[CLASSE]]="CEU",Tableau2[[#This Row],[STATUT ]]="Admis"),1,0)</f>
        <v>0</v>
      </c>
      <c r="N482" s="64"/>
      <c r="O482" s="296"/>
      <c r="P4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83" spans="1:16" ht="21" x14ac:dyDescent="0.35">
      <c r="A483" s="310">
        <v>482</v>
      </c>
      <c r="B483" s="64" t="s">
        <v>2106</v>
      </c>
      <c r="C483" s="64" t="s">
        <v>2</v>
      </c>
      <c r="D483" s="414">
        <v>10</v>
      </c>
      <c r="E483" s="299">
        <v>4.37</v>
      </c>
      <c r="F483" s="306" t="s">
        <v>2009</v>
      </c>
      <c r="G483" s="300" t="s">
        <v>2021</v>
      </c>
      <c r="H483" s="402" t="str">
        <f>IF(Tableau2[[#This Row],[Moyennes]]="Absent","Absent",IF(Tableau2[[#This Row],[Moyennes]]&lt;5,"Redouble",IF(Tableau2[[#This Row],[Moyennes]]&gt;=5,"Admis"," ")))</f>
        <v>Redouble</v>
      </c>
      <c r="I483" s="302"/>
      <c r="J483" s="300" t="s">
        <v>660</v>
      </c>
      <c r="K483" s="64" t="s">
        <v>190</v>
      </c>
      <c r="L483" s="64">
        <f>IF(AND(Tableau2[[#This Row],[CLASSE]]="CPU",Tableau2[[#This Row],[STATUT ]]="Admis"),1,0)</f>
        <v>0</v>
      </c>
      <c r="M483" s="64">
        <f>IF(AND(Tableau2[[#This Row],[CLASSE]]="CEU",Tableau2[[#This Row],[STATUT ]]="Admis"),1,0)</f>
        <v>0</v>
      </c>
      <c r="N483" s="64"/>
      <c r="O483" s="296"/>
      <c r="P4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84" spans="1:16" ht="21" x14ac:dyDescent="0.35">
      <c r="A484" s="310">
        <v>483</v>
      </c>
      <c r="B484" s="64" t="s">
        <v>2439</v>
      </c>
      <c r="C484" s="64" t="s">
        <v>2</v>
      </c>
      <c r="D484" s="414">
        <v>9</v>
      </c>
      <c r="E484" s="299">
        <v>3.5</v>
      </c>
      <c r="F484" s="306" t="s">
        <v>2009</v>
      </c>
      <c r="G484" s="300" t="s">
        <v>2033</v>
      </c>
      <c r="H484" s="402" t="str">
        <f>IF(Tableau2[[#This Row],[Moyennes]]="Absent","Absent",IF(Tableau2[[#This Row],[Moyennes]]&lt;5,"Redouble",IF(Tableau2[[#This Row],[Moyennes]]&gt;=5,"Admis"," ")))</f>
        <v>Redouble</v>
      </c>
      <c r="I484" s="302"/>
      <c r="J484" s="300" t="s">
        <v>660</v>
      </c>
      <c r="K484" s="334" t="s">
        <v>190</v>
      </c>
      <c r="L484" s="64">
        <f>IF(AND(Tableau2[[#This Row],[CLASSE]]="CPU",Tableau2[[#This Row],[STATUT ]]="Admis"),1,0)</f>
        <v>0</v>
      </c>
      <c r="M484" s="64">
        <f>IF(AND(Tableau2[[#This Row],[CLASSE]]="CEU",Tableau2[[#This Row],[STATUT ]]="Admis"),1,0)</f>
        <v>0</v>
      </c>
      <c r="N484" s="64"/>
      <c r="O484" s="296"/>
      <c r="P4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485" spans="1:16" ht="21" x14ac:dyDescent="0.35">
      <c r="A485" s="310">
        <v>484</v>
      </c>
      <c r="B485" s="64" t="s">
        <v>3343</v>
      </c>
      <c r="C485" s="64" t="s">
        <v>2</v>
      </c>
      <c r="D485" s="295">
        <v>11</v>
      </c>
      <c r="E485" s="299" t="s">
        <v>2165</v>
      </c>
      <c r="F485" s="306" t="s">
        <v>2009</v>
      </c>
      <c r="G485" s="300" t="s">
        <v>2165</v>
      </c>
      <c r="H485" s="300" t="str">
        <f>IF(Tableau2[[#This Row],[Moyennes]]="Absent","Absent",IF(Tableau2[[#This Row],[Moyennes]]&lt;5,"Redouble",IF(Tableau2[[#This Row],[Moyennes]]&gt;=5,"Admis"," ")))</f>
        <v>Absent</v>
      </c>
      <c r="I485" s="302"/>
      <c r="J485" s="300" t="s">
        <v>660</v>
      </c>
      <c r="K485" s="64" t="s">
        <v>190</v>
      </c>
      <c r="L485" s="64">
        <f>IF(AND(Tableau2[[#This Row],[CLASSE]]="CPU",Tableau2[[#This Row],[STATUT ]]="Admis"),1,0)</f>
        <v>0</v>
      </c>
      <c r="M485" s="64">
        <f>IF(AND(Tableau2[[#This Row],[CLASSE]]="CEU",Tableau2[[#This Row],[STATUT ]]="Admis"),1,0)</f>
        <v>0</v>
      </c>
      <c r="N485" s="64"/>
      <c r="O485" s="296"/>
      <c r="P4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86" spans="1:16" ht="21" x14ac:dyDescent="0.35">
      <c r="A486" s="310">
        <v>485</v>
      </c>
      <c r="B486" s="64" t="s">
        <v>3344</v>
      </c>
      <c r="C486" s="64" t="s">
        <v>2</v>
      </c>
      <c r="D486" s="295">
        <v>13</v>
      </c>
      <c r="E486" s="299" t="s">
        <v>2165</v>
      </c>
      <c r="F486" s="306" t="s">
        <v>2009</v>
      </c>
      <c r="G486" s="300" t="s">
        <v>2165</v>
      </c>
      <c r="H486" s="300" t="str">
        <f>IF(Tableau2[[#This Row],[Moyennes]]="Absent","Absent",IF(Tableau2[[#This Row],[Moyennes]]&lt;5,"Redouble",IF(Tableau2[[#This Row],[Moyennes]]&gt;=5,"Admis"," ")))</f>
        <v>Absent</v>
      </c>
      <c r="I486" s="302"/>
      <c r="J486" s="300" t="s">
        <v>660</v>
      </c>
      <c r="K486" s="334" t="s">
        <v>190</v>
      </c>
      <c r="L486" s="64">
        <f>IF(AND(Tableau2[[#This Row],[CLASSE]]="CPU",Tableau2[[#This Row],[STATUT ]]="Admis"),1,0)</f>
        <v>0</v>
      </c>
      <c r="M486" s="64">
        <f>IF(AND(Tableau2[[#This Row],[CLASSE]]="CEU",Tableau2[[#This Row],[STATUT ]]="Admis"),1,0)</f>
        <v>0</v>
      </c>
      <c r="N486" s="64"/>
      <c r="O486" s="296"/>
      <c r="P4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87" spans="1:16" ht="21" x14ac:dyDescent="0.35">
      <c r="A487" s="310">
        <v>486</v>
      </c>
      <c r="B487" s="64" t="s">
        <v>3345</v>
      </c>
      <c r="C487" s="64" t="s">
        <v>2</v>
      </c>
      <c r="D487" s="295">
        <v>10</v>
      </c>
      <c r="E487" s="299" t="s">
        <v>2165</v>
      </c>
      <c r="F487" s="306" t="s">
        <v>2009</v>
      </c>
      <c r="G487" s="300" t="s">
        <v>2165</v>
      </c>
      <c r="H487" s="300" t="str">
        <f>IF(Tableau2[[#This Row],[Moyennes]]="Absent","Absent",IF(Tableau2[[#This Row],[Moyennes]]&lt;5,"Redouble",IF(Tableau2[[#This Row],[Moyennes]]&gt;=5,"Admis"," ")))</f>
        <v>Absent</v>
      </c>
      <c r="I487" s="302"/>
      <c r="J487" s="300" t="s">
        <v>660</v>
      </c>
      <c r="K487" s="64" t="s">
        <v>190</v>
      </c>
      <c r="L487" s="64">
        <f>IF(AND(Tableau2[[#This Row],[CLASSE]]="CPU",Tableau2[[#This Row],[STATUT ]]="Admis"),1,0)</f>
        <v>0</v>
      </c>
      <c r="M487" s="64">
        <f>IF(AND(Tableau2[[#This Row],[CLASSE]]="CEU",Tableau2[[#This Row],[STATUT ]]="Admis"),1,0)</f>
        <v>0</v>
      </c>
      <c r="N487" s="64"/>
      <c r="O487" s="296"/>
      <c r="P4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88" spans="1:16" ht="21" x14ac:dyDescent="0.35">
      <c r="A488" s="310">
        <v>487</v>
      </c>
      <c r="B488" s="64" t="s">
        <v>3346</v>
      </c>
      <c r="C488" s="64" t="s">
        <v>1</v>
      </c>
      <c r="D488" s="295">
        <v>11</v>
      </c>
      <c r="E488" s="299" t="s">
        <v>2165</v>
      </c>
      <c r="F488" s="306" t="s">
        <v>2009</v>
      </c>
      <c r="G488" s="300" t="s">
        <v>2165</v>
      </c>
      <c r="H488" s="300" t="str">
        <f>IF(Tableau2[[#This Row],[Moyennes]]="Absent","Absent",IF(Tableau2[[#This Row],[Moyennes]]&lt;5,"Redouble",IF(Tableau2[[#This Row],[Moyennes]]&gt;=5,"Admis"," ")))</f>
        <v>Absent</v>
      </c>
      <c r="I488" s="302"/>
      <c r="J488" s="300" t="s">
        <v>660</v>
      </c>
      <c r="K488" s="334" t="s">
        <v>190</v>
      </c>
      <c r="L488" s="64">
        <f>IF(AND(Tableau2[[#This Row],[CLASSE]]="CPU",Tableau2[[#This Row],[STATUT ]]="Admis"),1,0)</f>
        <v>0</v>
      </c>
      <c r="M488" s="64">
        <f>IF(AND(Tableau2[[#This Row],[CLASSE]]="CEU",Tableau2[[#This Row],[STATUT ]]="Admis"),1,0)</f>
        <v>0</v>
      </c>
      <c r="N488" s="64"/>
      <c r="O488" s="296"/>
      <c r="P4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489" spans="1:16" ht="21" x14ac:dyDescent="0.35">
      <c r="A489" s="310">
        <v>488</v>
      </c>
      <c r="B489" s="64" t="s">
        <v>2440</v>
      </c>
      <c r="C489" s="64" t="s">
        <v>1</v>
      </c>
      <c r="D489" s="295">
        <v>11</v>
      </c>
      <c r="E489" s="299">
        <v>9.6199999999999992</v>
      </c>
      <c r="F489" s="306" t="s">
        <v>2009</v>
      </c>
      <c r="G489" s="300" t="s">
        <v>2035</v>
      </c>
      <c r="H489" s="402" t="str">
        <f>IF(Tableau2[[#This Row],[Moyennes]]="Absent","Absent",IF(Tableau2[[#This Row],[Moyennes]]&lt;5,"Redouble",IF(Tableau2[[#This Row],[Moyennes]]&gt;=5,"Admis"," ")))</f>
        <v>Admis</v>
      </c>
      <c r="I489" s="302"/>
      <c r="J489" s="300" t="s">
        <v>660</v>
      </c>
      <c r="K489" s="64" t="s">
        <v>190</v>
      </c>
      <c r="L489" s="64">
        <f>IF(AND(Tableau2[[#This Row],[CLASSE]]="CPU",Tableau2[[#This Row],[STATUT ]]="Admis"),1,0)</f>
        <v>1</v>
      </c>
      <c r="M489" s="64">
        <f>IF(AND(Tableau2[[#This Row],[CLASSE]]="CEU",Tableau2[[#This Row],[STATUT ]]="Admis"),1,0)</f>
        <v>0</v>
      </c>
      <c r="N489" s="64"/>
      <c r="O489" s="296"/>
      <c r="P4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0" spans="1:16" ht="21" x14ac:dyDescent="0.35">
      <c r="A490" s="310">
        <v>489</v>
      </c>
      <c r="B490" s="64" t="s">
        <v>2443</v>
      </c>
      <c r="C490" s="64" t="s">
        <v>2</v>
      </c>
      <c r="D490" s="295">
        <v>9</v>
      </c>
      <c r="E490" s="299">
        <v>9.6199999999999992</v>
      </c>
      <c r="F490" s="306" t="s">
        <v>2009</v>
      </c>
      <c r="G490" s="300" t="s">
        <v>2442</v>
      </c>
      <c r="H490" s="402" t="str">
        <f>IF(Tableau2[[#This Row],[Moyennes]]="Absent","Absent",IF(Tableau2[[#This Row],[Moyennes]]&lt;5,"Redouble",IF(Tableau2[[#This Row],[Moyennes]]&gt;=5,"Admis"," ")))</f>
        <v>Admis</v>
      </c>
      <c r="I490" s="302"/>
      <c r="J490" s="300" t="s">
        <v>660</v>
      </c>
      <c r="K490" s="334" t="s">
        <v>190</v>
      </c>
      <c r="L490" s="64">
        <f>IF(AND(Tableau2[[#This Row],[CLASSE]]="CPU",Tableau2[[#This Row],[STATUT ]]="Admis"),1,0)</f>
        <v>1</v>
      </c>
      <c r="M490" s="64">
        <f>IF(AND(Tableau2[[#This Row],[CLASSE]]="CEU",Tableau2[[#This Row],[STATUT ]]="Admis"),1,0)</f>
        <v>0</v>
      </c>
      <c r="N490" s="64"/>
      <c r="O490" s="296"/>
      <c r="P4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1" spans="1:16" ht="21" x14ac:dyDescent="0.35">
      <c r="A491" s="310">
        <v>490</v>
      </c>
      <c r="B491" s="64" t="s">
        <v>2441</v>
      </c>
      <c r="C491" s="64" t="s">
        <v>1</v>
      </c>
      <c r="D491" s="295">
        <v>12</v>
      </c>
      <c r="E491" s="299">
        <v>9.3699999999999992</v>
      </c>
      <c r="F491" s="306" t="s">
        <v>2009</v>
      </c>
      <c r="G491" s="300" t="s">
        <v>815</v>
      </c>
      <c r="H491" s="402" t="str">
        <f>IF(Tableau2[[#This Row],[Moyennes]]="Absent","Absent",IF(Tableau2[[#This Row],[Moyennes]]&lt;5,"Redouble",IF(Tableau2[[#This Row],[Moyennes]]&gt;=5,"Admis"," ")))</f>
        <v>Admis</v>
      </c>
      <c r="I491" s="302"/>
      <c r="J491" s="300" t="s">
        <v>660</v>
      </c>
      <c r="K491" s="64" t="s">
        <v>190</v>
      </c>
      <c r="L491" s="64">
        <f>IF(AND(Tableau2[[#This Row],[CLASSE]]="CPU",Tableau2[[#This Row],[STATUT ]]="Admis"),1,0)</f>
        <v>1</v>
      </c>
      <c r="M491" s="64">
        <f>IF(AND(Tableau2[[#This Row],[CLASSE]]="CEU",Tableau2[[#This Row],[STATUT ]]="Admis"),1,0)</f>
        <v>0</v>
      </c>
      <c r="N491" s="64"/>
      <c r="O491" s="296"/>
      <c r="P4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92" spans="1:16" ht="21" x14ac:dyDescent="0.35">
      <c r="A492" s="310">
        <v>491</v>
      </c>
      <c r="B492" s="64" t="s">
        <v>2444</v>
      </c>
      <c r="C492" s="64" t="s">
        <v>1</v>
      </c>
      <c r="D492" s="295">
        <v>10</v>
      </c>
      <c r="E492" s="299">
        <v>9.3699999999999992</v>
      </c>
      <c r="F492" s="306" t="s">
        <v>2009</v>
      </c>
      <c r="G492" s="300" t="s">
        <v>2220</v>
      </c>
      <c r="H492" s="402" t="str">
        <f>IF(Tableau2[[#This Row],[Moyennes]]="Absent","Absent",IF(Tableau2[[#This Row],[Moyennes]]&lt;5,"Redouble",IF(Tableau2[[#This Row],[Moyennes]]&gt;=5,"Admis"," ")))</f>
        <v>Admis</v>
      </c>
      <c r="I492" s="302"/>
      <c r="J492" s="300" t="s">
        <v>660</v>
      </c>
      <c r="K492" s="334" t="s">
        <v>190</v>
      </c>
      <c r="L492" s="64">
        <f>IF(AND(Tableau2[[#This Row],[CLASSE]]="CPU",Tableau2[[#This Row],[STATUT ]]="Admis"),1,0)</f>
        <v>1</v>
      </c>
      <c r="M492" s="64">
        <f>IF(AND(Tableau2[[#This Row],[CLASSE]]="CEU",Tableau2[[#This Row],[STATUT ]]="Admis"),1,0)</f>
        <v>0</v>
      </c>
      <c r="N492" s="64"/>
      <c r="O492" s="296"/>
      <c r="P4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3" spans="1:16" ht="21" x14ac:dyDescent="0.35">
      <c r="A493" s="310">
        <v>492</v>
      </c>
      <c r="B493" s="64" t="s">
        <v>2446</v>
      </c>
      <c r="C493" s="64" t="s">
        <v>1</v>
      </c>
      <c r="D493" s="295">
        <v>11</v>
      </c>
      <c r="E493" s="299">
        <v>8.8699999999999992</v>
      </c>
      <c r="F493" s="306" t="s">
        <v>2009</v>
      </c>
      <c r="G493" s="300" t="s">
        <v>2018</v>
      </c>
      <c r="H493" s="402" t="str">
        <f>IF(Tableau2[[#This Row],[Moyennes]]="Absent","Absent",IF(Tableau2[[#This Row],[Moyennes]]&lt;5,"Redouble",IF(Tableau2[[#This Row],[Moyennes]]&gt;=5,"Admis"," ")))</f>
        <v>Admis</v>
      </c>
      <c r="I493" s="302"/>
      <c r="J493" s="300" t="s">
        <v>660</v>
      </c>
      <c r="K493" s="64" t="s">
        <v>190</v>
      </c>
      <c r="L493" s="64">
        <f>IF(AND(Tableau2[[#This Row],[CLASSE]]="CPU",Tableau2[[#This Row],[STATUT ]]="Admis"),1,0)</f>
        <v>1</v>
      </c>
      <c r="M493" s="64">
        <f>IF(AND(Tableau2[[#This Row],[CLASSE]]="CEU",Tableau2[[#This Row],[STATUT ]]="Admis"),1,0)</f>
        <v>0</v>
      </c>
      <c r="N493" s="64"/>
      <c r="O493" s="296"/>
      <c r="P4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4" spans="1:16" ht="21" x14ac:dyDescent="0.35">
      <c r="A494" s="310">
        <v>493</v>
      </c>
      <c r="B494" s="64" t="s">
        <v>3485</v>
      </c>
      <c r="C494" s="64" t="s">
        <v>1</v>
      </c>
      <c r="D494" s="295">
        <v>9</v>
      </c>
      <c r="E494" s="299">
        <v>8.8699999999999992</v>
      </c>
      <c r="F494" s="306" t="s">
        <v>2009</v>
      </c>
      <c r="G494" s="300" t="s">
        <v>2419</v>
      </c>
      <c r="H494" s="402" t="str">
        <f>IF(Tableau2[[#This Row],[Moyennes]]="Absent","Absent",IF(Tableau2[[#This Row],[Moyennes]]&lt;5,"Redouble",IF(Tableau2[[#This Row],[Moyennes]]&gt;=5,"Admis"," ")))</f>
        <v>Admis</v>
      </c>
      <c r="I494" s="302"/>
      <c r="J494" s="300" t="s">
        <v>660</v>
      </c>
      <c r="K494" s="334" t="s">
        <v>190</v>
      </c>
      <c r="L494" s="64">
        <f>IF(AND(Tableau2[[#This Row],[CLASSE]]="CPU",Tableau2[[#This Row],[STATUT ]]="Admis"),1,0)</f>
        <v>1</v>
      </c>
      <c r="M494" s="64">
        <f>IF(AND(Tableau2[[#This Row],[CLASSE]]="CEU",Tableau2[[#This Row],[STATUT ]]="Admis"),1,0)</f>
        <v>0</v>
      </c>
      <c r="N494" s="64"/>
      <c r="O494" s="296"/>
      <c r="P4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5" spans="1:16" ht="21" x14ac:dyDescent="0.35">
      <c r="A495" s="310">
        <v>494</v>
      </c>
      <c r="B495" s="64" t="s">
        <v>2445</v>
      </c>
      <c r="C495" s="64" t="s">
        <v>1</v>
      </c>
      <c r="D495" s="295">
        <v>12</v>
      </c>
      <c r="E495" s="299">
        <v>8.3699999999999992</v>
      </c>
      <c r="F495" s="306" t="s">
        <v>2009</v>
      </c>
      <c r="G495" s="300" t="s">
        <v>3486</v>
      </c>
      <c r="H495" s="402" t="str">
        <f>IF(Tableau2[[#This Row],[Moyennes]]="Absent","Absent",IF(Tableau2[[#This Row],[Moyennes]]&lt;5,"Redouble",IF(Tableau2[[#This Row],[Moyennes]]&gt;=5,"Admis"," ")))</f>
        <v>Admis</v>
      </c>
      <c r="I495" s="302"/>
      <c r="J495" s="300" t="s">
        <v>660</v>
      </c>
      <c r="K495" s="64" t="s">
        <v>190</v>
      </c>
      <c r="L495" s="64">
        <f>IF(AND(Tableau2[[#This Row],[CLASSE]]="CPU",Tableau2[[#This Row],[STATUT ]]="Admis"),1,0)</f>
        <v>1</v>
      </c>
      <c r="M495" s="64">
        <f>IF(AND(Tableau2[[#This Row],[CLASSE]]="CEU",Tableau2[[#This Row],[STATUT ]]="Admis"),1,0)</f>
        <v>0</v>
      </c>
      <c r="N495" s="64"/>
      <c r="O495" s="296"/>
      <c r="P4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96" spans="1:16" ht="21" x14ac:dyDescent="0.35">
      <c r="A496" s="310">
        <v>495</v>
      </c>
      <c r="B496" s="64" t="s">
        <v>3487</v>
      </c>
      <c r="C496" s="64" t="s">
        <v>1</v>
      </c>
      <c r="D496" s="295">
        <v>10</v>
      </c>
      <c r="E496" s="299">
        <v>8.6199999999999992</v>
      </c>
      <c r="F496" s="306" t="s">
        <v>2009</v>
      </c>
      <c r="G496" s="300" t="s">
        <v>2027</v>
      </c>
      <c r="H496" s="402" t="str">
        <f>IF(Tableau2[[#This Row],[Moyennes]]="Absent","Absent",IF(Tableau2[[#This Row],[Moyennes]]&lt;5,"Redouble",IF(Tableau2[[#This Row],[Moyennes]]&gt;=5,"Admis"," ")))</f>
        <v>Admis</v>
      </c>
      <c r="I496" s="302"/>
      <c r="J496" s="300" t="s">
        <v>660</v>
      </c>
      <c r="K496" s="334" t="s">
        <v>190</v>
      </c>
      <c r="L496" s="64">
        <f>IF(AND(Tableau2[[#This Row],[CLASSE]]="CPU",Tableau2[[#This Row],[STATUT ]]="Admis"),1,0)</f>
        <v>1</v>
      </c>
      <c r="M496" s="64">
        <f>IF(AND(Tableau2[[#This Row],[CLASSE]]="CEU",Tableau2[[#This Row],[STATUT ]]="Admis"),1,0)</f>
        <v>0</v>
      </c>
      <c r="N496" s="64"/>
      <c r="O496" s="296"/>
      <c r="P4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7" spans="1:16" ht="21" x14ac:dyDescent="0.35">
      <c r="A497" s="310">
        <v>496</v>
      </c>
      <c r="B497" s="64" t="s">
        <v>2451</v>
      </c>
      <c r="C497" s="64" t="s">
        <v>2</v>
      </c>
      <c r="D497" s="295">
        <v>12</v>
      </c>
      <c r="E497" s="299">
        <v>8.5</v>
      </c>
      <c r="F497" s="306" t="s">
        <v>2009</v>
      </c>
      <c r="G497" s="300" t="s">
        <v>2089</v>
      </c>
      <c r="H497" s="402" t="str">
        <f>IF(Tableau2[[#This Row],[Moyennes]]="Absent","Absent",IF(Tableau2[[#This Row],[Moyennes]]&lt;5,"Redouble",IF(Tableau2[[#This Row],[Moyennes]]&gt;=5,"Admis"," ")))</f>
        <v>Admis</v>
      </c>
      <c r="I497" s="302"/>
      <c r="J497" s="300" t="s">
        <v>660</v>
      </c>
      <c r="K497" s="64" t="s">
        <v>190</v>
      </c>
      <c r="L497" s="64">
        <f>IF(AND(Tableau2[[#This Row],[CLASSE]]="CPU",Tableau2[[#This Row],[STATUT ]]="Admis"),1,0)</f>
        <v>1</v>
      </c>
      <c r="M497" s="64">
        <f>IF(AND(Tableau2[[#This Row],[CLASSE]]="CEU",Tableau2[[#This Row],[STATUT ]]="Admis"),1,0)</f>
        <v>0</v>
      </c>
      <c r="N497" s="64"/>
      <c r="O497" s="296"/>
      <c r="P4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498" spans="1:16" ht="21" x14ac:dyDescent="0.35">
      <c r="A498" s="310">
        <v>497</v>
      </c>
      <c r="B498" s="64" t="s">
        <v>2450</v>
      </c>
      <c r="C498" s="64" t="s">
        <v>2</v>
      </c>
      <c r="D498" s="295">
        <v>9</v>
      </c>
      <c r="E498" s="299">
        <v>8.25</v>
      </c>
      <c r="F498" s="306" t="s">
        <v>2009</v>
      </c>
      <c r="G498" s="300" t="s">
        <v>2021</v>
      </c>
      <c r="H498" s="402" t="str">
        <f>IF(Tableau2[[#This Row],[Moyennes]]="Absent","Absent",IF(Tableau2[[#This Row],[Moyennes]]&lt;5,"Redouble",IF(Tableau2[[#This Row],[Moyennes]]&gt;=5,"Admis"," ")))</f>
        <v>Admis</v>
      </c>
      <c r="I498" s="302"/>
      <c r="J498" s="300" t="s">
        <v>660</v>
      </c>
      <c r="K498" s="334" t="s">
        <v>190</v>
      </c>
      <c r="L498" s="64">
        <f>IF(AND(Tableau2[[#This Row],[CLASSE]]="CPU",Tableau2[[#This Row],[STATUT ]]="Admis"),1,0)</f>
        <v>1</v>
      </c>
      <c r="M498" s="64">
        <f>IF(AND(Tableau2[[#This Row],[CLASSE]]="CEU",Tableau2[[#This Row],[STATUT ]]="Admis"),1,0)</f>
        <v>0</v>
      </c>
      <c r="N498" s="64"/>
      <c r="O498" s="296"/>
      <c r="P4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499" spans="1:16" ht="18.5" x14ac:dyDescent="0.35">
      <c r="A499" s="310">
        <v>498</v>
      </c>
      <c r="B499" s="64" t="s">
        <v>2449</v>
      </c>
      <c r="C499" s="64" t="s">
        <v>1</v>
      </c>
      <c r="D499" s="412">
        <v>10</v>
      </c>
      <c r="E499" s="64">
        <v>8</v>
      </c>
      <c r="F499" s="306" t="s">
        <v>2009</v>
      </c>
      <c r="G499" s="64" t="s">
        <v>2033</v>
      </c>
      <c r="H499" s="402" t="str">
        <f>IF(Tableau2[[#This Row],[Moyennes]]="Absent","Absent",IF(Tableau2[[#This Row],[Moyennes]]&lt;5,"Redouble",IF(Tableau2[[#This Row],[Moyennes]]&gt;=5,"Admis"," ")))</f>
        <v>Admis</v>
      </c>
      <c r="I499" s="64"/>
      <c r="J499" s="300" t="s">
        <v>660</v>
      </c>
      <c r="K499" s="64" t="s">
        <v>190</v>
      </c>
      <c r="L499" s="64">
        <f>IF(AND(Tableau2[[#This Row],[CLASSE]]="CPU",Tableau2[[#This Row],[STATUT ]]="Admis"),1,0)</f>
        <v>1</v>
      </c>
      <c r="M499" s="64">
        <f>IF(AND(Tableau2[[#This Row],[CLASSE]]="CEU",Tableau2[[#This Row],[STATUT ]]="Admis"),1,0)</f>
        <v>0</v>
      </c>
      <c r="N499" s="64"/>
      <c r="O499" s="296"/>
      <c r="P4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0" spans="1:16" ht="18.5" x14ac:dyDescent="0.35">
      <c r="A500" s="310">
        <v>499</v>
      </c>
      <c r="B500" s="64" t="s">
        <v>2448</v>
      </c>
      <c r="C500" s="64" t="s">
        <v>2</v>
      </c>
      <c r="D500" s="412">
        <v>9</v>
      </c>
      <c r="E500" s="64">
        <v>7.25</v>
      </c>
      <c r="F500" s="306" t="s">
        <v>2009</v>
      </c>
      <c r="G500" s="64" t="s">
        <v>2016</v>
      </c>
      <c r="H500" s="402" t="str">
        <f>IF(Tableau2[[#This Row],[Moyennes]]="Absent","Absent",IF(Tableau2[[#This Row],[Moyennes]]&lt;5,"Redouble",IF(Tableau2[[#This Row],[Moyennes]]&gt;=5,"Admis"," ")))</f>
        <v>Admis</v>
      </c>
      <c r="I500" s="64"/>
      <c r="J500" s="300" t="s">
        <v>660</v>
      </c>
      <c r="K500" s="334" t="s">
        <v>190</v>
      </c>
      <c r="L500" s="64">
        <f>IF(AND(Tableau2[[#This Row],[CLASSE]]="CPU",Tableau2[[#This Row],[STATUT ]]="Admis"),1,0)</f>
        <v>1</v>
      </c>
      <c r="M500" s="64">
        <f>IF(AND(Tableau2[[#This Row],[CLASSE]]="CEU",Tableau2[[#This Row],[STATUT ]]="Admis"),1,0)</f>
        <v>0</v>
      </c>
      <c r="N500" s="64"/>
      <c r="O500" s="296"/>
      <c r="P5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1" spans="1:16" ht="21" x14ac:dyDescent="0.35">
      <c r="A501" s="310">
        <v>500</v>
      </c>
      <c r="B501" s="64" t="s">
        <v>3488</v>
      </c>
      <c r="C501" s="64" t="s">
        <v>1</v>
      </c>
      <c r="D501" s="412">
        <v>9</v>
      </c>
      <c r="E501" s="64">
        <v>7.25</v>
      </c>
      <c r="F501" s="306" t="s">
        <v>2009</v>
      </c>
      <c r="G501" s="64" t="s">
        <v>3489</v>
      </c>
      <c r="H501" s="402" t="str">
        <f>IF(Tableau2[[#This Row],[Moyennes]]="Absent","Absent",IF(Tableau2[[#This Row],[Moyennes]]&lt;5,"Redouble",IF(Tableau2[[#This Row],[Moyennes]]&gt;=5,"Admis"," ")))</f>
        <v>Admis</v>
      </c>
      <c r="I501" s="302"/>
      <c r="J501" s="300" t="s">
        <v>660</v>
      </c>
      <c r="K501" s="64" t="s">
        <v>190</v>
      </c>
      <c r="L501" s="64">
        <f>IF(AND(Tableau2[[#This Row],[CLASSE]]="CPU",Tableau2[[#This Row],[STATUT ]]="Admis"),1,0)</f>
        <v>1</v>
      </c>
      <c r="M501" s="64">
        <f>IF(AND(Tableau2[[#This Row],[CLASSE]]="CEU",Tableau2[[#This Row],[STATUT ]]="Admis"),1,0)</f>
        <v>0</v>
      </c>
      <c r="N501" s="64"/>
      <c r="O501" s="296"/>
      <c r="P5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2" spans="1:16" ht="21" x14ac:dyDescent="0.35">
      <c r="A502" s="310">
        <v>501</v>
      </c>
      <c r="B502" s="64" t="s">
        <v>3490</v>
      </c>
      <c r="C502" s="64" t="s">
        <v>1</v>
      </c>
      <c r="D502" s="412">
        <v>9</v>
      </c>
      <c r="E502" s="64">
        <v>7</v>
      </c>
      <c r="F502" s="306" t="s">
        <v>2009</v>
      </c>
      <c r="G502" s="64" t="s">
        <v>2023</v>
      </c>
      <c r="H502" s="402" t="str">
        <f>IF(Tableau2[[#This Row],[Moyennes]]="Absent","Absent",IF(Tableau2[[#This Row],[Moyennes]]&lt;5,"Redouble",IF(Tableau2[[#This Row],[Moyennes]]&gt;=5,"Admis"," ")))</f>
        <v>Admis</v>
      </c>
      <c r="I502" s="302"/>
      <c r="J502" s="300" t="s">
        <v>660</v>
      </c>
      <c r="K502" s="334" t="s">
        <v>190</v>
      </c>
      <c r="L502" s="64">
        <f>IF(AND(Tableau2[[#This Row],[CLASSE]]="CPU",Tableau2[[#This Row],[STATUT ]]="Admis"),1,0)</f>
        <v>1</v>
      </c>
      <c r="M502" s="64">
        <f>IF(AND(Tableau2[[#This Row],[CLASSE]]="CEU",Tableau2[[#This Row],[STATUT ]]="Admis"),1,0)</f>
        <v>0</v>
      </c>
      <c r="N502" s="64"/>
      <c r="O502" s="296"/>
      <c r="P5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3" spans="1:16" ht="21" x14ac:dyDescent="0.35">
      <c r="A503" s="310">
        <v>502</v>
      </c>
      <c r="B503" s="64" t="s">
        <v>2452</v>
      </c>
      <c r="C503" s="64" t="s">
        <v>2</v>
      </c>
      <c r="D503" s="412">
        <v>9</v>
      </c>
      <c r="E503" s="64">
        <v>6.25</v>
      </c>
      <c r="F503" s="306" t="s">
        <v>2009</v>
      </c>
      <c r="G503" s="64" t="s">
        <v>2042</v>
      </c>
      <c r="H503" s="402" t="str">
        <f>IF(Tableau2[[#This Row],[Moyennes]]="Absent","Absent",IF(Tableau2[[#This Row],[Moyennes]]&lt;5,"Redouble",IF(Tableau2[[#This Row],[Moyennes]]&gt;=5,"Admis"," ")))</f>
        <v>Admis</v>
      </c>
      <c r="I503" s="302"/>
      <c r="J503" s="300" t="s">
        <v>660</v>
      </c>
      <c r="K503" s="334" t="s">
        <v>190</v>
      </c>
      <c r="L503" s="64">
        <f>IF(AND(Tableau2[[#This Row],[CLASSE]]="CPU",Tableau2[[#This Row],[STATUT ]]="Admis"),1,0)</f>
        <v>1</v>
      </c>
      <c r="M503" s="64">
        <f>IF(AND(Tableau2[[#This Row],[CLASSE]]="CEU",Tableau2[[#This Row],[STATUT ]]="Admis"),1,0)</f>
        <v>0</v>
      </c>
      <c r="N503" s="64"/>
      <c r="O503" s="296"/>
      <c r="P5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4" spans="1:16" ht="21" x14ac:dyDescent="0.35">
      <c r="A504" s="310">
        <v>503</v>
      </c>
      <c r="B504" s="64" t="s">
        <v>3353</v>
      </c>
      <c r="C504" s="64" t="s">
        <v>1</v>
      </c>
      <c r="D504" s="412">
        <v>9</v>
      </c>
      <c r="E504" s="64">
        <v>6.37</v>
      </c>
      <c r="F504" s="306" t="s">
        <v>2009</v>
      </c>
      <c r="G504" s="64" t="s">
        <v>2025</v>
      </c>
      <c r="H504" s="402" t="str">
        <f>IF(Tableau2[[#This Row],[Moyennes]]="Absent","Absent",IF(Tableau2[[#This Row],[Moyennes]]&lt;5,"Redouble",IF(Tableau2[[#This Row],[Moyennes]]&gt;=5,"Admis"," ")))</f>
        <v>Admis</v>
      </c>
      <c r="I504" s="302"/>
      <c r="J504" s="300" t="s">
        <v>660</v>
      </c>
      <c r="K504" s="64" t="s">
        <v>190</v>
      </c>
      <c r="L504" s="64">
        <f>IF(AND(Tableau2[[#This Row],[CLASSE]]="CPU",Tableau2[[#This Row],[STATUT ]]="Admis"),1,0)</f>
        <v>1</v>
      </c>
      <c r="M504" s="64">
        <f>IF(AND(Tableau2[[#This Row],[CLASSE]]="CEU",Tableau2[[#This Row],[STATUT ]]="Admis"),1,0)</f>
        <v>0</v>
      </c>
      <c r="N504" s="64"/>
      <c r="O504" s="296"/>
      <c r="P5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5" spans="1:16" ht="21" x14ac:dyDescent="0.35">
      <c r="A505" s="310">
        <v>504</v>
      </c>
      <c r="B505" s="64" t="s">
        <v>3347</v>
      </c>
      <c r="C505" s="64" t="s">
        <v>2</v>
      </c>
      <c r="D505" s="412">
        <v>10</v>
      </c>
      <c r="E505" s="64">
        <v>6.25</v>
      </c>
      <c r="F505" s="306" t="s">
        <v>2009</v>
      </c>
      <c r="G505" s="64" t="s">
        <v>2046</v>
      </c>
      <c r="H505" s="402" t="str">
        <f>IF(Tableau2[[#This Row],[Moyennes]]="Absent","Absent",IF(Tableau2[[#This Row],[Moyennes]]&lt;5,"Redouble",IF(Tableau2[[#This Row],[Moyennes]]&gt;=5,"Admis"," ")))</f>
        <v>Admis</v>
      </c>
      <c r="I505" s="302"/>
      <c r="J505" s="300" t="s">
        <v>660</v>
      </c>
      <c r="K505" s="334" t="s">
        <v>190</v>
      </c>
      <c r="L505" s="64">
        <f>IF(AND(Tableau2[[#This Row],[CLASSE]]="CPU",Tableau2[[#This Row],[STATUT ]]="Admis"),1,0)</f>
        <v>1</v>
      </c>
      <c r="M505" s="64">
        <f>IF(AND(Tableau2[[#This Row],[CLASSE]]="CEU",Tableau2[[#This Row],[STATUT ]]="Admis"),1,0)</f>
        <v>0</v>
      </c>
      <c r="N505" s="64"/>
      <c r="O505" s="296"/>
      <c r="P5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6" spans="1:16" ht="21.5" thickBot="1" x14ac:dyDescent="0.4">
      <c r="A506" s="310">
        <v>505</v>
      </c>
      <c r="B506" s="64" t="s">
        <v>3351</v>
      </c>
      <c r="C506" s="19" t="s">
        <v>2</v>
      </c>
      <c r="D506" s="454">
        <v>9</v>
      </c>
      <c r="E506" s="64">
        <v>6.25</v>
      </c>
      <c r="F506" s="419" t="s">
        <v>2009</v>
      </c>
      <c r="G506" s="64" t="s">
        <v>3436</v>
      </c>
      <c r="H506" s="402" t="str">
        <f>IF(Tableau2[[#This Row],[Moyennes]]="Absent","Absent",IF(Tableau2[[#This Row],[Moyennes]]&lt;5,"Redouble",IF(Tableau2[[#This Row],[Moyennes]]&gt;=5,"Admis"," ")))</f>
        <v>Admis</v>
      </c>
      <c r="I506" s="302"/>
      <c r="J506" s="300" t="s">
        <v>660</v>
      </c>
      <c r="K506" s="64" t="s">
        <v>190</v>
      </c>
      <c r="L506" s="64">
        <f>IF(AND(Tableau2[[#This Row],[CLASSE]]="CPU",Tableau2[[#This Row],[STATUT ]]="Admis"),1,0)</f>
        <v>1</v>
      </c>
      <c r="M506" s="64">
        <f>IF(AND(Tableau2[[#This Row],[CLASSE]]="CEU",Tableau2[[#This Row],[STATUT ]]="Admis"),1,0)</f>
        <v>0</v>
      </c>
      <c r="N506" s="64"/>
      <c r="O506" s="296"/>
      <c r="P5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07" spans="1:16" ht="21.5" thickBot="1" x14ac:dyDescent="0.4">
      <c r="A507" s="310">
        <v>506</v>
      </c>
      <c r="B507" s="64" t="s">
        <v>3350</v>
      </c>
      <c r="C507" s="64" t="s">
        <v>1</v>
      </c>
      <c r="D507" s="412">
        <v>9</v>
      </c>
      <c r="E507" s="64">
        <v>4.25</v>
      </c>
      <c r="F507" s="419" t="s">
        <v>2009</v>
      </c>
      <c r="G507" s="64" t="s">
        <v>2066</v>
      </c>
      <c r="H507" s="402" t="str">
        <f>IF(Tableau2[[#This Row],[Moyennes]]="Absent","Absent",IF(Tableau2[[#This Row],[Moyennes]]&lt;5,"Redouble",IF(Tableau2[[#This Row],[Moyennes]]&gt;=5,"Admis"," ")))</f>
        <v>Redouble</v>
      </c>
      <c r="I507" s="302"/>
      <c r="J507" s="300" t="s">
        <v>660</v>
      </c>
      <c r="K507" s="64" t="s">
        <v>190</v>
      </c>
      <c r="L507" s="64">
        <f>IF(AND(Tableau2[[#This Row],[CLASSE]]="CPU",Tableau2[[#This Row],[STATUT ]]="Admis"),1,0)</f>
        <v>0</v>
      </c>
      <c r="M507" s="64">
        <f>IF(AND(Tableau2[[#This Row],[CLASSE]]="CEU",Tableau2[[#This Row],[STATUT ]]="Admis"),1,0)</f>
        <v>0</v>
      </c>
      <c r="N507" s="64"/>
      <c r="O507" s="296"/>
      <c r="P5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08" spans="1:16" ht="21.5" thickBot="1" x14ac:dyDescent="0.4">
      <c r="A508" s="310">
        <v>507</v>
      </c>
      <c r="B508" s="64" t="s">
        <v>3352</v>
      </c>
      <c r="C508" s="64" t="s">
        <v>2</v>
      </c>
      <c r="D508" s="412">
        <v>9</v>
      </c>
      <c r="E508" s="64">
        <v>4.25</v>
      </c>
      <c r="F508" s="419" t="s">
        <v>2009</v>
      </c>
      <c r="G508" s="64" t="s">
        <v>2066</v>
      </c>
      <c r="H508" s="402" t="str">
        <f>IF(Tableau2[[#This Row],[Moyennes]]="Absent","Absent",IF(Tableau2[[#This Row],[Moyennes]]&lt;5,"Redouble",IF(Tableau2[[#This Row],[Moyennes]]&gt;=5,"Admis"," ")))</f>
        <v>Redouble</v>
      </c>
      <c r="I508" s="302"/>
      <c r="J508" s="300" t="s">
        <v>660</v>
      </c>
      <c r="K508" s="334" t="s">
        <v>190</v>
      </c>
      <c r="L508" s="64">
        <f>IF(AND(Tableau2[[#This Row],[CLASSE]]="CPU",Tableau2[[#This Row],[STATUT ]]="Admis"),1,0)</f>
        <v>0</v>
      </c>
      <c r="M508" s="64">
        <f>IF(AND(Tableau2[[#This Row],[CLASSE]]="CEU",Tableau2[[#This Row],[STATUT ]]="Admis"),1,0)</f>
        <v>0</v>
      </c>
      <c r="N508" s="64"/>
      <c r="O508" s="296"/>
      <c r="P5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09" spans="1:16" ht="21.5" thickBot="1" x14ac:dyDescent="0.65">
      <c r="A509" s="310">
        <v>508</v>
      </c>
      <c r="B509" s="422" t="s">
        <v>2454</v>
      </c>
      <c r="C509" s="450" t="s">
        <v>2</v>
      </c>
      <c r="D509" s="451">
        <v>9</v>
      </c>
      <c r="E509" s="423">
        <v>4</v>
      </c>
      <c r="F509" s="425" t="s">
        <v>2009</v>
      </c>
      <c r="G509" s="423" t="s">
        <v>2037</v>
      </c>
      <c r="H509" s="402" t="str">
        <f>IF(Tableau2[[#This Row],[Moyennes]]="Absent","Absent",IF(Tableau2[[#This Row],[Moyennes]]&lt;5,"Redouble",IF(Tableau2[[#This Row],[Moyennes]]&gt;=5,"Admis"," ")))</f>
        <v>Redouble</v>
      </c>
      <c r="I509" s="423"/>
      <c r="J509" s="300" t="s">
        <v>660</v>
      </c>
      <c r="K509" s="334" t="s">
        <v>190</v>
      </c>
      <c r="L509" s="64">
        <f>IF(AND(Tableau2[[#This Row],[CLASSE]]="CPU",Tableau2[[#This Row],[STATUT ]]="Admis"),1,0)</f>
        <v>0</v>
      </c>
      <c r="M509" s="64">
        <f>IF(AND(Tableau2[[#This Row],[CLASSE]]="CEU",Tableau2[[#This Row],[STATUT ]]="Admis"),1,0)</f>
        <v>0</v>
      </c>
      <c r="N509" s="64"/>
      <c r="O509" s="296"/>
      <c r="P5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10" spans="1:16" ht="21.5" thickBot="1" x14ac:dyDescent="0.65">
      <c r="A510" s="310">
        <v>509</v>
      </c>
      <c r="B510" s="422" t="s">
        <v>3349</v>
      </c>
      <c r="C510" s="64" t="s">
        <v>1</v>
      </c>
      <c r="D510" s="451">
        <v>9</v>
      </c>
      <c r="E510" s="450" t="s">
        <v>2165</v>
      </c>
      <c r="F510" s="503" t="s">
        <v>2009</v>
      </c>
      <c r="G510" s="450" t="s">
        <v>2165</v>
      </c>
      <c r="H510" s="300" t="str">
        <f>IF(Tableau2[[#This Row],[Moyennes]]="Absent","Absent",IF(Tableau2[[#This Row],[Moyennes]]&lt;5,"Redouble",IF(Tableau2[[#This Row],[Moyennes]]&gt;=5,"Admis"," ")))</f>
        <v>Absent</v>
      </c>
      <c r="I510" s="504"/>
      <c r="J510" s="300" t="s">
        <v>660</v>
      </c>
      <c r="K510" s="334" t="s">
        <v>190</v>
      </c>
      <c r="L510" s="64">
        <f>IF(AND(Tableau2[[#This Row],[CLASSE]]="CPU",Tableau2[[#This Row],[STATUT ]]="Admis"),1,0)</f>
        <v>0</v>
      </c>
      <c r="M510" s="64">
        <f>IF(AND(Tableau2[[#This Row],[CLASSE]]="CEU",Tableau2[[#This Row],[STATUT ]]="Admis"),1,0)</f>
        <v>0</v>
      </c>
      <c r="N510" s="64"/>
      <c r="O510" s="296"/>
      <c r="P5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11" spans="1:16" ht="21.5" thickBot="1" x14ac:dyDescent="0.65">
      <c r="A511" s="310">
        <v>510</v>
      </c>
      <c r="B511" s="422" t="s">
        <v>3348</v>
      </c>
      <c r="C511" s="64" t="s">
        <v>1</v>
      </c>
      <c r="D511" s="451">
        <v>9</v>
      </c>
      <c r="E511" s="450" t="s">
        <v>2165</v>
      </c>
      <c r="F511" s="503" t="s">
        <v>2009</v>
      </c>
      <c r="G511" s="450" t="s">
        <v>2165</v>
      </c>
      <c r="H511" s="300" t="str">
        <f>IF(Tableau2[[#This Row],[Moyennes]]="Absent","Absent",IF(Tableau2[[#This Row],[Moyennes]]&lt;5,"Redouble",IF(Tableau2[[#This Row],[Moyennes]]&gt;=5,"Admis"," ")))</f>
        <v>Absent</v>
      </c>
      <c r="I511" s="504"/>
      <c r="J511" s="300" t="s">
        <v>660</v>
      </c>
      <c r="K511" s="334" t="s">
        <v>190</v>
      </c>
      <c r="L511" s="64">
        <f>IF(AND(Tableau2[[#This Row],[CLASSE]]="CPU",Tableau2[[#This Row],[STATUT ]]="Admis"),1,0)</f>
        <v>0</v>
      </c>
      <c r="M511" s="64">
        <f>IF(AND(Tableau2[[#This Row],[CLASSE]]="CEU",Tableau2[[#This Row],[STATUT ]]="Admis"),1,0)</f>
        <v>0</v>
      </c>
      <c r="N511" s="64"/>
      <c r="O511" s="296"/>
      <c r="P5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12" spans="1:16" ht="21.5" thickBot="1" x14ac:dyDescent="0.65">
      <c r="A512" s="310">
        <v>511</v>
      </c>
      <c r="B512" s="424" t="s">
        <v>2447</v>
      </c>
      <c r="C512" s="64" t="s">
        <v>1</v>
      </c>
      <c r="D512" s="451">
        <v>11</v>
      </c>
      <c r="E512" s="450" t="s">
        <v>2165</v>
      </c>
      <c r="F512" s="503" t="s">
        <v>2009</v>
      </c>
      <c r="G512" s="450" t="s">
        <v>2165</v>
      </c>
      <c r="H512" s="300" t="str">
        <f>IF(Tableau2[[#This Row],[Moyennes]]="Absent","Absent",IF(Tableau2[[#This Row],[Moyennes]]&lt;5,"Redouble",IF(Tableau2[[#This Row],[Moyennes]]&gt;=5,"Admis"," ")))</f>
        <v>Absent</v>
      </c>
      <c r="I512" s="504"/>
      <c r="J512" s="300" t="s">
        <v>660</v>
      </c>
      <c r="K512" s="334" t="s">
        <v>190</v>
      </c>
      <c r="L512" s="64">
        <f>IF(AND(Tableau2[[#This Row],[CLASSE]]="CPU",Tableau2[[#This Row],[STATUT ]]="Admis"),1,0)</f>
        <v>0</v>
      </c>
      <c r="M512" s="64">
        <f>IF(AND(Tableau2[[#This Row],[CLASSE]]="CEU",Tableau2[[#This Row],[STATUT ]]="Admis"),1,0)</f>
        <v>0</v>
      </c>
      <c r="N512" s="64"/>
      <c r="O512" s="296"/>
      <c r="P5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13" spans="1:16" ht="21.5" thickBot="1" x14ac:dyDescent="0.65">
      <c r="A513" s="310">
        <v>512</v>
      </c>
      <c r="B513" s="422" t="s">
        <v>2453</v>
      </c>
      <c r="C513" s="273" t="s">
        <v>2</v>
      </c>
      <c r="D513" s="451">
        <v>9</v>
      </c>
      <c r="E513" s="450" t="s">
        <v>2165</v>
      </c>
      <c r="F513" s="503" t="s">
        <v>2009</v>
      </c>
      <c r="G513" s="450" t="s">
        <v>2165</v>
      </c>
      <c r="H513" s="300" t="str">
        <f>IF(Tableau2[[#This Row],[Moyennes]]="Absent","Absent",IF(Tableau2[[#This Row],[Moyennes]]&lt;5,"Redouble",IF(Tableau2[[#This Row],[Moyennes]]&gt;=5,"Admis"," ")))</f>
        <v>Absent</v>
      </c>
      <c r="I513" s="504"/>
      <c r="J513" s="300" t="s">
        <v>660</v>
      </c>
      <c r="K513" s="334" t="s">
        <v>190</v>
      </c>
      <c r="L513" s="64">
        <f>IF(AND(Tableau2[[#This Row],[CLASSE]]="CPU",Tableau2[[#This Row],[STATUT ]]="Admis"),1,0)</f>
        <v>0</v>
      </c>
      <c r="M513" s="64">
        <f>IF(AND(Tableau2[[#This Row],[CLASSE]]="CEU",Tableau2[[#This Row],[STATUT ]]="Admis"),1,0)</f>
        <v>0</v>
      </c>
      <c r="N513" s="64"/>
      <c r="O513" s="296"/>
      <c r="P5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14" spans="1:16" ht="21.5" thickBot="1" x14ac:dyDescent="0.65">
      <c r="A514" s="310">
        <v>513</v>
      </c>
      <c r="B514" s="422" t="s">
        <v>2455</v>
      </c>
      <c r="C514" s="64" t="s">
        <v>1</v>
      </c>
      <c r="D514" s="451">
        <v>10</v>
      </c>
      <c r="E514" s="423">
        <v>8.8699999999999992</v>
      </c>
      <c r="F514" s="425" t="s">
        <v>2009</v>
      </c>
      <c r="G514" s="423" t="s">
        <v>2035</v>
      </c>
      <c r="H514" s="402" t="str">
        <f>IF(Tableau2[[#This Row],[Moyennes]]="Absent","Absent",IF(Tableau2[[#This Row],[Moyennes]]&lt;5,"Redouble",IF(Tableau2[[#This Row],[Moyennes]]&gt;=5,"Admis"," ")))</f>
        <v>Admis</v>
      </c>
      <c r="I514" s="423"/>
      <c r="J514" s="300" t="s">
        <v>660</v>
      </c>
      <c r="K514" s="334" t="s">
        <v>2466</v>
      </c>
      <c r="L514" s="64">
        <f>IF(AND(Tableau2[[#This Row],[CLASSE]]="CPU",Tableau2[[#This Row],[STATUT ]]="Admis"),1,0)</f>
        <v>1</v>
      </c>
      <c r="M514" s="64">
        <f>IF(AND(Tableau2[[#This Row],[CLASSE]]="CEU",Tableau2[[#This Row],[STATUT ]]="Admis"),1,0)</f>
        <v>0</v>
      </c>
      <c r="N514" s="64"/>
      <c r="O514" s="296"/>
      <c r="P5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15" spans="1:16" ht="21.5" thickBot="1" x14ac:dyDescent="0.65">
      <c r="A515" s="310">
        <v>514</v>
      </c>
      <c r="B515" s="422" t="s">
        <v>2457</v>
      </c>
      <c r="C515" s="273" t="s">
        <v>2</v>
      </c>
      <c r="D515" s="451">
        <v>10</v>
      </c>
      <c r="E515" s="423">
        <v>8.25</v>
      </c>
      <c r="F515" s="425" t="s">
        <v>2009</v>
      </c>
      <c r="G515" s="423" t="s">
        <v>2010</v>
      </c>
      <c r="H515" s="402" t="str">
        <f>IF(Tableau2[[#This Row],[Moyennes]]="Absent","Absent",IF(Tableau2[[#This Row],[Moyennes]]&lt;5,"Redouble",IF(Tableau2[[#This Row],[Moyennes]]&gt;=5,"Admis"," ")))</f>
        <v>Admis</v>
      </c>
      <c r="I515" s="423"/>
      <c r="J515" s="300" t="s">
        <v>660</v>
      </c>
      <c r="K515" s="64" t="s">
        <v>2466</v>
      </c>
      <c r="L515" s="64">
        <f>IF(AND(Tableau2[[#This Row],[CLASSE]]="CPU",Tableau2[[#This Row],[STATUT ]]="Admis"),1,0)</f>
        <v>1</v>
      </c>
      <c r="M515" s="64">
        <f>IF(AND(Tableau2[[#This Row],[CLASSE]]="CEU",Tableau2[[#This Row],[STATUT ]]="Admis"),1,0)</f>
        <v>0</v>
      </c>
      <c r="N515" s="64"/>
      <c r="O515" s="296"/>
      <c r="P5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16" spans="1:16" ht="21.5" thickBot="1" x14ac:dyDescent="0.65">
      <c r="A516" s="310">
        <v>515</v>
      </c>
      <c r="B516" s="422" t="s">
        <v>3355</v>
      </c>
      <c r="C516" s="64" t="s">
        <v>1</v>
      </c>
      <c r="D516" s="451">
        <v>11</v>
      </c>
      <c r="E516" s="423">
        <v>8.1199999999999992</v>
      </c>
      <c r="F516" s="425" t="s">
        <v>2009</v>
      </c>
      <c r="G516" s="423" t="s">
        <v>815</v>
      </c>
      <c r="H516" s="402" t="str">
        <f>IF(Tableau2[[#This Row],[Moyennes]]="Absent","Absent",IF(Tableau2[[#This Row],[Moyennes]]&lt;5,"Redouble",IF(Tableau2[[#This Row],[Moyennes]]&gt;=5,"Admis"," ")))</f>
        <v>Admis</v>
      </c>
      <c r="I516" s="421"/>
      <c r="J516" s="300" t="s">
        <v>660</v>
      </c>
      <c r="K516" s="334" t="s">
        <v>2466</v>
      </c>
      <c r="L516" s="64">
        <f>IF(AND(Tableau2[[#This Row],[CLASSE]]="CPU",Tableau2[[#This Row],[STATUT ]]="Admis"),1,0)</f>
        <v>1</v>
      </c>
      <c r="M516" s="64">
        <f>IF(AND(Tableau2[[#This Row],[CLASSE]]="CEU",Tableau2[[#This Row],[STATUT ]]="Admis"),1,0)</f>
        <v>0</v>
      </c>
      <c r="N516" s="64"/>
      <c r="O516" s="296"/>
      <c r="P5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17" spans="1:16" ht="21.5" thickBot="1" x14ac:dyDescent="0.65">
      <c r="A517" s="310">
        <v>516</v>
      </c>
      <c r="B517" s="422" t="s">
        <v>2461</v>
      </c>
      <c r="C517" s="64" t="s">
        <v>1</v>
      </c>
      <c r="D517" s="451">
        <v>9</v>
      </c>
      <c r="E517" s="423">
        <v>8</v>
      </c>
      <c r="F517" s="425" t="s">
        <v>2009</v>
      </c>
      <c r="G517" s="423" t="s">
        <v>2012</v>
      </c>
      <c r="H517" s="402" t="str">
        <f>IF(Tableau2[[#This Row],[Moyennes]]="Absent","Absent",IF(Tableau2[[#This Row],[Moyennes]]&lt;5,"Redouble",IF(Tableau2[[#This Row],[Moyennes]]&gt;=5,"Admis"," ")))</f>
        <v>Admis</v>
      </c>
      <c r="I517" s="423"/>
      <c r="J517" s="300" t="s">
        <v>660</v>
      </c>
      <c r="K517" s="64" t="s">
        <v>2466</v>
      </c>
      <c r="L517" s="64">
        <f>IF(AND(Tableau2[[#This Row],[CLASSE]]="CPU",Tableau2[[#This Row],[STATUT ]]="Admis"),1,0)</f>
        <v>1</v>
      </c>
      <c r="M517" s="64">
        <f>IF(AND(Tableau2[[#This Row],[CLASSE]]="CEU",Tableau2[[#This Row],[STATUT ]]="Admis"),1,0)</f>
        <v>0</v>
      </c>
      <c r="N517" s="64"/>
      <c r="O517" s="296"/>
      <c r="P5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18" spans="1:16" ht="21.5" thickBot="1" x14ac:dyDescent="0.65">
      <c r="A518" s="310">
        <v>517</v>
      </c>
      <c r="B518" s="422" t="s">
        <v>2456</v>
      </c>
      <c r="C518" s="64" t="s">
        <v>1</v>
      </c>
      <c r="D518" s="451">
        <v>9</v>
      </c>
      <c r="E518" s="423">
        <v>7.37</v>
      </c>
      <c r="F518" s="425" t="s">
        <v>2009</v>
      </c>
      <c r="G518" s="423" t="s">
        <v>2018</v>
      </c>
      <c r="H518" s="402" t="str">
        <f>IF(Tableau2[[#This Row],[Moyennes]]="Absent","Absent",IF(Tableau2[[#This Row],[Moyennes]]&lt;5,"Redouble",IF(Tableau2[[#This Row],[Moyennes]]&gt;=5,"Admis"," ")))</f>
        <v>Admis</v>
      </c>
      <c r="I518" s="421"/>
      <c r="J518" s="300" t="s">
        <v>660</v>
      </c>
      <c r="K518" s="334" t="s">
        <v>2466</v>
      </c>
      <c r="L518" s="64">
        <f>IF(AND(Tableau2[[#This Row],[CLASSE]]="CPU",Tableau2[[#This Row],[STATUT ]]="Admis"),1,0)</f>
        <v>1</v>
      </c>
      <c r="M518" s="64">
        <f>IF(AND(Tableau2[[#This Row],[CLASSE]]="CEU",Tableau2[[#This Row],[STATUT ]]="Admis"),1,0)</f>
        <v>0</v>
      </c>
      <c r="N518" s="64"/>
      <c r="O518" s="296"/>
      <c r="P5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19" spans="1:16" ht="21.5" thickBot="1" x14ac:dyDescent="0.65">
      <c r="A519" s="310">
        <v>518</v>
      </c>
      <c r="B519" s="422" t="s">
        <v>2459</v>
      </c>
      <c r="C519" s="273" t="s">
        <v>2</v>
      </c>
      <c r="D519" s="451">
        <v>9</v>
      </c>
      <c r="E519" s="423">
        <v>7.12</v>
      </c>
      <c r="F519" s="425" t="s">
        <v>2009</v>
      </c>
      <c r="G519" s="423" t="s">
        <v>2044</v>
      </c>
      <c r="H519" s="402" t="str">
        <f>IF(Tableau2[[#This Row],[Moyennes]]="Absent","Absent",IF(Tableau2[[#This Row],[Moyennes]]&lt;5,"Redouble",IF(Tableau2[[#This Row],[Moyennes]]&gt;=5,"Admis"," ")))</f>
        <v>Admis</v>
      </c>
      <c r="I519" s="421"/>
      <c r="J519" s="300" t="s">
        <v>660</v>
      </c>
      <c r="K519" s="64" t="s">
        <v>2466</v>
      </c>
      <c r="L519" s="64">
        <f>IF(AND(Tableau2[[#This Row],[CLASSE]]="CPU",Tableau2[[#This Row],[STATUT ]]="Admis"),1,0)</f>
        <v>1</v>
      </c>
      <c r="M519" s="64">
        <f>IF(AND(Tableau2[[#This Row],[CLASSE]]="CEU",Tableau2[[#This Row],[STATUT ]]="Admis"),1,0)</f>
        <v>0</v>
      </c>
      <c r="N519" s="64"/>
      <c r="O519" s="296"/>
      <c r="P5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20" spans="1:16" ht="21.5" thickBot="1" x14ac:dyDescent="0.65">
      <c r="A520" s="310">
        <v>519</v>
      </c>
      <c r="B520" s="424" t="s">
        <v>2463</v>
      </c>
      <c r="C520" s="64" t="s">
        <v>1</v>
      </c>
      <c r="D520" s="456">
        <v>9</v>
      </c>
      <c r="E520" s="423">
        <v>6.5</v>
      </c>
      <c r="F520" s="425" t="s">
        <v>2009</v>
      </c>
      <c r="G520" s="423" t="s">
        <v>2048</v>
      </c>
      <c r="H520" s="402" t="str">
        <f>IF(Tableau2[[#This Row],[Moyennes]]="Absent","Absent",IF(Tableau2[[#This Row],[Moyennes]]&lt;5,"Redouble",IF(Tableau2[[#This Row],[Moyennes]]&gt;=5,"Admis"," ")))</f>
        <v>Admis</v>
      </c>
      <c r="I520" s="421"/>
      <c r="J520" s="300" t="s">
        <v>660</v>
      </c>
      <c r="K520" s="334" t="s">
        <v>2466</v>
      </c>
      <c r="L520" s="64">
        <f>IF(AND(Tableau2[[#This Row],[CLASSE]]="CPU",Tableau2[[#This Row],[STATUT ]]="Admis"),1,0)</f>
        <v>1</v>
      </c>
      <c r="M520" s="64">
        <f>IF(AND(Tableau2[[#This Row],[CLASSE]]="CEU",Tableau2[[#This Row],[STATUT ]]="Admis"),1,0)</f>
        <v>0</v>
      </c>
      <c r="N520" s="64"/>
      <c r="O520" s="296"/>
      <c r="P5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21" spans="1:16" ht="21.5" thickBot="1" x14ac:dyDescent="0.65">
      <c r="A521" s="310">
        <v>520</v>
      </c>
      <c r="B521" s="422" t="s">
        <v>3457</v>
      </c>
      <c r="C521" s="273" t="s">
        <v>2</v>
      </c>
      <c r="D521" s="451">
        <v>9</v>
      </c>
      <c r="E521" s="423">
        <v>5.75</v>
      </c>
      <c r="F521" s="425" t="s">
        <v>2009</v>
      </c>
      <c r="G521" s="423" t="s">
        <v>2027</v>
      </c>
      <c r="H521" s="402" t="str">
        <f>IF(Tableau2[[#This Row],[Moyennes]]="Absent","Absent",IF(Tableau2[[#This Row],[Moyennes]]&lt;5,"Redouble",IF(Tableau2[[#This Row],[Moyennes]]&gt;=5,"Admis"," ")))</f>
        <v>Admis</v>
      </c>
      <c r="I521" s="421"/>
      <c r="J521" s="300" t="s">
        <v>660</v>
      </c>
      <c r="K521" s="64" t="s">
        <v>2466</v>
      </c>
      <c r="L521" s="64">
        <f>IF(AND(Tableau2[[#This Row],[CLASSE]]="CPU",Tableau2[[#This Row],[STATUT ]]="Admis"),1,0)</f>
        <v>1</v>
      </c>
      <c r="M521" s="64">
        <f>IF(AND(Tableau2[[#This Row],[CLASSE]]="CEU",Tableau2[[#This Row],[STATUT ]]="Admis"),1,0)</f>
        <v>0</v>
      </c>
      <c r="N521" s="64"/>
      <c r="O521" s="296"/>
      <c r="P5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22" spans="1:16" ht="21.5" thickBot="1" x14ac:dyDescent="0.65">
      <c r="A522" s="310">
        <v>521</v>
      </c>
      <c r="B522" s="422" t="s">
        <v>2458</v>
      </c>
      <c r="C522" s="64" t="s">
        <v>1</v>
      </c>
      <c r="D522" s="451">
        <v>9</v>
      </c>
      <c r="E522" s="423">
        <v>5.12</v>
      </c>
      <c r="F522" s="425" t="s">
        <v>2009</v>
      </c>
      <c r="G522" s="423" t="s">
        <v>2089</v>
      </c>
      <c r="H522" s="402" t="str">
        <f>IF(Tableau2[[#This Row],[Moyennes]]="Absent","Absent",IF(Tableau2[[#This Row],[Moyennes]]&lt;5,"Redouble",IF(Tableau2[[#This Row],[Moyennes]]&gt;=5,"Admis"," ")))</f>
        <v>Admis</v>
      </c>
      <c r="I522" s="421"/>
      <c r="J522" s="300" t="s">
        <v>660</v>
      </c>
      <c r="K522" s="334" t="s">
        <v>2466</v>
      </c>
      <c r="L522" s="64">
        <f>IF(AND(Tableau2[[#This Row],[CLASSE]]="CPU",Tableau2[[#This Row],[STATUT ]]="Admis"),1,0)</f>
        <v>1</v>
      </c>
      <c r="M522" s="64">
        <f>IF(AND(Tableau2[[#This Row],[CLASSE]]="CEU",Tableau2[[#This Row],[STATUT ]]="Admis"),1,0)</f>
        <v>0</v>
      </c>
      <c r="N522" s="64"/>
      <c r="O522" s="296"/>
      <c r="P5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23" spans="1:16" ht="21.5" thickBot="1" x14ac:dyDescent="0.65">
      <c r="A523" s="310">
        <v>522</v>
      </c>
      <c r="B523" s="422" t="s">
        <v>2460</v>
      </c>
      <c r="C523" s="64" t="s">
        <v>1</v>
      </c>
      <c r="D523" s="451">
        <v>9</v>
      </c>
      <c r="E523" s="423">
        <v>4.25</v>
      </c>
      <c r="F523" s="425" t="s">
        <v>2009</v>
      </c>
      <c r="G523" s="423" t="s">
        <v>2021</v>
      </c>
      <c r="H523" s="402" t="str">
        <f>IF(Tableau2[[#This Row],[Moyennes]]="Absent","Absent",IF(Tableau2[[#This Row],[Moyennes]]&lt;5,"Redouble",IF(Tableau2[[#This Row],[Moyennes]]&gt;=5,"Admis"," ")))</f>
        <v>Redouble</v>
      </c>
      <c r="I523" s="421"/>
      <c r="J523" s="300" t="s">
        <v>660</v>
      </c>
      <c r="K523" s="64" t="s">
        <v>2466</v>
      </c>
      <c r="L523" s="64">
        <f>IF(AND(Tableau2[[#This Row],[CLASSE]]="CPU",Tableau2[[#This Row],[STATUT ]]="Admis"),1,0)</f>
        <v>0</v>
      </c>
      <c r="M523" s="64">
        <f>IF(AND(Tableau2[[#This Row],[CLASSE]]="CEU",Tableau2[[#This Row],[STATUT ]]="Admis"),1,0)</f>
        <v>0</v>
      </c>
      <c r="N523" s="64"/>
      <c r="O523" s="296"/>
      <c r="P5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24" spans="1:16" ht="21.5" thickBot="1" x14ac:dyDescent="0.65">
      <c r="A524" s="310">
        <v>523</v>
      </c>
      <c r="B524" s="422" t="s">
        <v>2462</v>
      </c>
      <c r="C524" s="64" t="s">
        <v>1</v>
      </c>
      <c r="D524" s="451">
        <v>9</v>
      </c>
      <c r="E524" s="423">
        <v>3.25</v>
      </c>
      <c r="F524" s="425" t="s">
        <v>2009</v>
      </c>
      <c r="G524" s="423" t="s">
        <v>2033</v>
      </c>
      <c r="H524" s="402" t="str">
        <f>IF(Tableau2[[#This Row],[Moyennes]]="Absent","Absent",IF(Tableau2[[#This Row],[Moyennes]]&lt;5,"Redouble",IF(Tableau2[[#This Row],[Moyennes]]&gt;=5,"Admis"," ")))</f>
        <v>Redouble</v>
      </c>
      <c r="I524" s="421"/>
      <c r="J524" s="300" t="s">
        <v>660</v>
      </c>
      <c r="K524" s="334" t="s">
        <v>2466</v>
      </c>
      <c r="L524" s="64">
        <f>IF(AND(Tableau2[[#This Row],[CLASSE]]="CPU",Tableau2[[#This Row],[STATUT ]]="Admis"),1,0)</f>
        <v>0</v>
      </c>
      <c r="M524" s="64">
        <f>IF(AND(Tableau2[[#This Row],[CLASSE]]="CEU",Tableau2[[#This Row],[STATUT ]]="Admis"),1,0)</f>
        <v>0</v>
      </c>
      <c r="N524" s="64"/>
      <c r="O524" s="296"/>
      <c r="P5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25" spans="1:16" ht="21.5" thickBot="1" x14ac:dyDescent="0.65">
      <c r="A525" s="310">
        <v>524</v>
      </c>
      <c r="B525" s="422" t="s">
        <v>3458</v>
      </c>
      <c r="C525" s="273" t="s">
        <v>2</v>
      </c>
      <c r="D525" s="451">
        <v>9</v>
      </c>
      <c r="E525" s="423">
        <v>1.75</v>
      </c>
      <c r="F525" s="425" t="s">
        <v>2009</v>
      </c>
      <c r="G525" s="423" t="s">
        <v>2016</v>
      </c>
      <c r="H525" s="402" t="str">
        <f>IF(Tableau2[[#This Row],[Moyennes]]="Absent","Absent",IF(Tableau2[[#This Row],[Moyennes]]&lt;5,"Redouble",IF(Tableau2[[#This Row],[Moyennes]]&gt;=5,"Admis"," ")))</f>
        <v>Redouble</v>
      </c>
      <c r="I525" s="421"/>
      <c r="J525" s="300" t="s">
        <v>660</v>
      </c>
      <c r="K525" s="64" t="s">
        <v>2466</v>
      </c>
      <c r="L525" s="64">
        <f>IF(AND(Tableau2[[#This Row],[CLASSE]]="CPU",Tableau2[[#This Row],[STATUT ]]="Admis"),1,0)</f>
        <v>0</v>
      </c>
      <c r="M525" s="64">
        <f>IF(AND(Tableau2[[#This Row],[CLASSE]]="CEU",Tableau2[[#This Row],[STATUT ]]="Admis"),1,0)</f>
        <v>0</v>
      </c>
      <c r="N525" s="64"/>
      <c r="O525" s="296"/>
      <c r="P5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26" spans="1:16" ht="21.5" thickBot="1" x14ac:dyDescent="0.65">
      <c r="A526" s="310">
        <v>525</v>
      </c>
      <c r="B526" s="422" t="s">
        <v>2464</v>
      </c>
      <c r="C526" s="273" t="s">
        <v>2</v>
      </c>
      <c r="D526" s="451">
        <v>9</v>
      </c>
      <c r="E526" s="423">
        <v>1.25</v>
      </c>
      <c r="F526" s="425" t="s">
        <v>2009</v>
      </c>
      <c r="G526" s="423" t="s">
        <v>2062</v>
      </c>
      <c r="H526" s="402" t="str">
        <f>IF(Tableau2[[#This Row],[Moyennes]]="Absent","Absent",IF(Tableau2[[#This Row],[Moyennes]]&lt;5,"Redouble",IF(Tableau2[[#This Row],[Moyennes]]&gt;=5,"Admis"," ")))</f>
        <v>Redouble</v>
      </c>
      <c r="I526" s="421"/>
      <c r="J526" s="300" t="s">
        <v>660</v>
      </c>
      <c r="K526" s="334" t="s">
        <v>2466</v>
      </c>
      <c r="L526" s="64">
        <f>IF(AND(Tableau2[[#This Row],[CLASSE]]="CPU",Tableau2[[#This Row],[STATUT ]]="Admis"),1,0)</f>
        <v>0</v>
      </c>
      <c r="M526" s="64">
        <f>IF(AND(Tableau2[[#This Row],[CLASSE]]="CEU",Tableau2[[#This Row],[STATUT ]]="Admis"),1,0)</f>
        <v>0</v>
      </c>
      <c r="N526" s="64"/>
      <c r="O526" s="296"/>
      <c r="P5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27" spans="1:16" ht="21.5" thickBot="1" x14ac:dyDescent="0.65">
      <c r="A527" s="310">
        <v>526</v>
      </c>
      <c r="B527" s="64" t="s">
        <v>3459</v>
      </c>
      <c r="C527" s="64" t="s">
        <v>2</v>
      </c>
      <c r="D527" s="405">
        <v>9</v>
      </c>
      <c r="E527" s="505" t="s">
        <v>2165</v>
      </c>
      <c r="F527" s="419" t="s">
        <v>2009</v>
      </c>
      <c r="G527" s="64"/>
      <c r="H527" s="300" t="str">
        <f>IF(Tableau2[[#This Row],[Moyennes]]="Absent","Absent",IF(Tableau2[[#This Row],[Moyennes]]&lt;5,"Redouble",IF(Tableau2[[#This Row],[Moyennes]]&gt;=5,"Admis"," ")))</f>
        <v>Absent</v>
      </c>
      <c r="I527" s="64"/>
      <c r="J527" s="300" t="s">
        <v>660</v>
      </c>
      <c r="K527" s="64" t="s">
        <v>2466</v>
      </c>
      <c r="L527" s="64">
        <f>IF(AND(Tableau2[[#This Row],[CLASSE]]="CPU",Tableau2[[#This Row],[STATUT ]]="Admis"),1,0)</f>
        <v>0</v>
      </c>
      <c r="M527" s="64">
        <f>IF(AND(Tableau2[[#This Row],[CLASSE]]="CEU",Tableau2[[#This Row],[STATUT ]]="Admis"),1,0)</f>
        <v>0</v>
      </c>
      <c r="N527" s="64"/>
      <c r="O527" s="296"/>
      <c r="P5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28" spans="1:16" ht="21.5" thickBot="1" x14ac:dyDescent="0.65">
      <c r="A528" s="310">
        <v>527</v>
      </c>
      <c r="B528" s="64" t="s">
        <v>2465</v>
      </c>
      <c r="C528" s="64" t="s">
        <v>1</v>
      </c>
      <c r="D528" s="295">
        <v>9</v>
      </c>
      <c r="E528" s="505" t="s">
        <v>2165</v>
      </c>
      <c r="F528" s="419" t="s">
        <v>2009</v>
      </c>
      <c r="G528" s="64"/>
      <c r="H528" s="300" t="str">
        <f>IF(Tableau2[[#This Row],[Moyennes]]="Absent","Absent",IF(Tableau2[[#This Row],[Moyennes]]&lt;5,"Redouble",IF(Tableau2[[#This Row],[Moyennes]]&gt;=5,"Admis"," ")))</f>
        <v>Absent</v>
      </c>
      <c r="I528" s="64"/>
      <c r="J528" s="300" t="s">
        <v>660</v>
      </c>
      <c r="K528" s="334" t="s">
        <v>2466</v>
      </c>
      <c r="L528" s="64">
        <f>IF(AND(Tableau2[[#This Row],[CLASSE]]="CPU",Tableau2[[#This Row],[STATUT ]]="Admis"),1,0)</f>
        <v>0</v>
      </c>
      <c r="M528" s="64">
        <f>IF(AND(Tableau2[[#This Row],[CLASSE]]="CEU",Tableau2[[#This Row],[STATUT ]]="Admis"),1,0)</f>
        <v>0</v>
      </c>
      <c r="N528" s="64"/>
      <c r="O528" s="296"/>
      <c r="P5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29" spans="1:16" ht="21.5" thickBot="1" x14ac:dyDescent="0.65">
      <c r="A529" s="310">
        <v>528</v>
      </c>
      <c r="B529" s="64" t="s">
        <v>3354</v>
      </c>
      <c r="C529" s="411" t="s">
        <v>2</v>
      </c>
      <c r="D529" s="295">
        <v>9</v>
      </c>
      <c r="E529" s="505" t="s">
        <v>2165</v>
      </c>
      <c r="F529" s="419" t="s">
        <v>2009</v>
      </c>
      <c r="G529" s="64"/>
      <c r="H529" s="300" t="str">
        <f>IF(Tableau2[[#This Row],[Moyennes]]="Absent","Absent",IF(Tableau2[[#This Row],[Moyennes]]&lt;5,"Redouble",IF(Tableau2[[#This Row],[Moyennes]]&gt;=5,"Admis"," ")))</f>
        <v>Absent</v>
      </c>
      <c r="I529" s="302"/>
      <c r="J529" s="300" t="s">
        <v>660</v>
      </c>
      <c r="K529" s="64" t="s">
        <v>2466</v>
      </c>
      <c r="L529" s="64">
        <f>IF(AND(Tableau2[[#This Row],[CLASSE]]="CPU",Tableau2[[#This Row],[STATUT ]]="Admis"),1,0)</f>
        <v>0</v>
      </c>
      <c r="M529" s="64">
        <f>IF(AND(Tableau2[[#This Row],[CLASSE]]="CEU",Tableau2[[#This Row],[STATUT ]]="Admis"),1,0)</f>
        <v>0</v>
      </c>
      <c r="N529" s="64"/>
      <c r="O529" s="296"/>
      <c r="P5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30" spans="1:16" ht="21.5" thickBot="1" x14ac:dyDescent="0.65">
      <c r="A530" s="310">
        <v>529</v>
      </c>
      <c r="B530" s="64" t="s">
        <v>3460</v>
      </c>
      <c r="C530" s="64" t="s">
        <v>2</v>
      </c>
      <c r="D530" s="295">
        <v>9</v>
      </c>
      <c r="E530" s="505" t="s">
        <v>2165</v>
      </c>
      <c r="F530" s="419" t="s">
        <v>2009</v>
      </c>
      <c r="G530" s="64"/>
      <c r="H530" s="300" t="str">
        <f>IF(Tableau2[[#This Row],[Moyennes]]="Absent","Absent",IF(Tableau2[[#This Row],[Moyennes]]&lt;5,"Redouble",IF(Tableau2[[#This Row],[Moyennes]]&gt;=5,"Admis"," ")))</f>
        <v>Absent</v>
      </c>
      <c r="I530" s="302"/>
      <c r="J530" s="300" t="s">
        <v>660</v>
      </c>
      <c r="K530" s="334" t="s">
        <v>2466</v>
      </c>
      <c r="L530" s="64">
        <f>IF(AND(Tableau2[[#This Row],[CLASSE]]="CPU",Tableau2[[#This Row],[STATUT ]]="Admis"),1,0)</f>
        <v>0</v>
      </c>
      <c r="M530" s="64">
        <f>IF(AND(Tableau2[[#This Row],[CLASSE]]="CEU",Tableau2[[#This Row],[STATUT ]]="Admis"),1,0)</f>
        <v>0</v>
      </c>
      <c r="N530" s="64"/>
      <c r="O530" s="296"/>
      <c r="P5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31" spans="1:16" ht="21.5" thickBot="1" x14ac:dyDescent="0.65">
      <c r="A531" s="310">
        <v>530</v>
      </c>
      <c r="B531" s="64" t="s">
        <v>195</v>
      </c>
      <c r="C531" s="64" t="s">
        <v>2</v>
      </c>
      <c r="D531" s="295">
        <v>10</v>
      </c>
      <c r="E531" s="457">
        <v>8.82</v>
      </c>
      <c r="F531" s="419" t="s">
        <v>2244</v>
      </c>
      <c r="G531" s="64" t="s">
        <v>2431</v>
      </c>
      <c r="H531" s="402" t="str">
        <f>IF(Tableau2[[#This Row],[Moyennes]]="Absent","Absent",IF(Tableau2[[#This Row],[Moyennes]]&lt;5,"Redouble",IF(Tableau2[[#This Row],[Moyennes]]&gt;=5,"Admis"," ")))</f>
        <v>Admis</v>
      </c>
      <c r="I531" s="302"/>
      <c r="J531" s="300" t="s">
        <v>660</v>
      </c>
      <c r="K531" s="64" t="s">
        <v>2477</v>
      </c>
      <c r="L531" s="64">
        <f>IF(AND(Tableau2[[#This Row],[CLASSE]]="CPU",Tableau2[[#This Row],[STATUT ]]="Admis"),1,0)</f>
        <v>0</v>
      </c>
      <c r="M531" s="64">
        <f>IF(AND(Tableau2[[#This Row],[CLASSE]]="CEU",Tableau2[[#This Row],[STATUT ]]="Admis"),1,0)</f>
        <v>1</v>
      </c>
      <c r="N531" s="64"/>
      <c r="O531" s="296"/>
      <c r="P5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2" spans="1:16" ht="21.5" thickBot="1" x14ac:dyDescent="0.65">
      <c r="A532" s="310">
        <v>531</v>
      </c>
      <c r="B532" s="64" t="s">
        <v>3461</v>
      </c>
      <c r="C532" s="64" t="s">
        <v>2</v>
      </c>
      <c r="D532" s="295">
        <v>11</v>
      </c>
      <c r="E532" s="457">
        <v>8.6999999999999993</v>
      </c>
      <c r="F532" s="419" t="s">
        <v>2244</v>
      </c>
      <c r="G532" s="64" t="s">
        <v>2010</v>
      </c>
      <c r="H532" s="402" t="str">
        <f>IF(Tableau2[[#This Row],[Moyennes]]="Absent","Absent",IF(Tableau2[[#This Row],[Moyennes]]&lt;5,"Redouble",IF(Tableau2[[#This Row],[Moyennes]]&gt;=5,"Admis"," ")))</f>
        <v>Admis</v>
      </c>
      <c r="I532" s="302"/>
      <c r="J532" s="300" t="s">
        <v>660</v>
      </c>
      <c r="K532" s="64" t="s">
        <v>2477</v>
      </c>
      <c r="L532" s="64">
        <f>IF(AND(Tableau2[[#This Row],[CLASSE]]="CPU",Tableau2[[#This Row],[STATUT ]]="Admis"),1,0)</f>
        <v>0</v>
      </c>
      <c r="M532" s="64">
        <f>IF(AND(Tableau2[[#This Row],[CLASSE]]="CEU",Tableau2[[#This Row],[STATUT ]]="Admis"),1,0)</f>
        <v>1</v>
      </c>
      <c r="N532" s="64"/>
      <c r="O532" s="296"/>
      <c r="P5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3" spans="1:16" ht="21.5" thickBot="1" x14ac:dyDescent="0.65">
      <c r="A533" s="310">
        <v>532</v>
      </c>
      <c r="B533" s="64" t="s">
        <v>2467</v>
      </c>
      <c r="C533" s="64" t="s">
        <v>1</v>
      </c>
      <c r="D533" s="295">
        <v>10</v>
      </c>
      <c r="E533" s="457">
        <v>8.2899999999999991</v>
      </c>
      <c r="F533" s="419" t="s">
        <v>2244</v>
      </c>
      <c r="G533" s="64" t="s">
        <v>815</v>
      </c>
      <c r="H533" s="402" t="str">
        <f>IF(Tableau2[[#This Row],[Moyennes]]="Absent","Absent",IF(Tableau2[[#This Row],[Moyennes]]&lt;5,"Redouble",IF(Tableau2[[#This Row],[Moyennes]]&gt;=5,"Admis"," ")))</f>
        <v>Admis</v>
      </c>
      <c r="I533" s="302"/>
      <c r="J533" s="300" t="s">
        <v>660</v>
      </c>
      <c r="K533" s="64" t="s">
        <v>2477</v>
      </c>
      <c r="L533" s="64">
        <f>IF(AND(Tableau2[[#This Row],[CLASSE]]="CPU",Tableau2[[#This Row],[STATUT ]]="Admis"),1,0)</f>
        <v>0</v>
      </c>
      <c r="M533" s="64">
        <f>IF(AND(Tableau2[[#This Row],[CLASSE]]="CEU",Tableau2[[#This Row],[STATUT ]]="Admis"),1,0)</f>
        <v>1</v>
      </c>
      <c r="N533" s="64"/>
      <c r="O533" s="296"/>
      <c r="P5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4" spans="1:16" ht="21.5" thickBot="1" x14ac:dyDescent="0.65">
      <c r="A534" s="310">
        <v>533</v>
      </c>
      <c r="B534" s="64" t="s">
        <v>2470</v>
      </c>
      <c r="C534" s="448" t="s">
        <v>2</v>
      </c>
      <c r="D534" s="452">
        <v>13</v>
      </c>
      <c r="E534" s="457">
        <v>8.17</v>
      </c>
      <c r="F534" s="419" t="s">
        <v>2244</v>
      </c>
      <c r="G534" s="64" t="s">
        <v>2012</v>
      </c>
      <c r="H534" s="402" t="str">
        <f>IF(Tableau2[[#This Row],[Moyennes]]="Absent","Absent",IF(Tableau2[[#This Row],[Moyennes]]&lt;5,"Redouble",IF(Tableau2[[#This Row],[Moyennes]]&gt;=5,"Admis"," ")))</f>
        <v>Admis</v>
      </c>
      <c r="I534" s="302"/>
      <c r="J534" s="300" t="s">
        <v>660</v>
      </c>
      <c r="K534" s="64" t="s">
        <v>2477</v>
      </c>
      <c r="L534" s="64">
        <f>IF(AND(Tableau2[[#This Row],[CLASSE]]="CPU",Tableau2[[#This Row],[STATUT ]]="Admis"),1,0)</f>
        <v>0</v>
      </c>
      <c r="M534" s="64">
        <f>IF(AND(Tableau2[[#This Row],[CLASSE]]="CEU",Tableau2[[#This Row],[STATUT ]]="Admis"),1,0)</f>
        <v>1</v>
      </c>
      <c r="N534" s="64"/>
      <c r="O534" s="296"/>
      <c r="P5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5" spans="1:16" ht="21.5" thickBot="1" x14ac:dyDescent="0.65">
      <c r="A535" s="310">
        <v>534</v>
      </c>
      <c r="B535" s="64" t="s">
        <v>2469</v>
      </c>
      <c r="C535" s="64" t="s">
        <v>1</v>
      </c>
      <c r="D535" s="452">
        <v>11</v>
      </c>
      <c r="E535" s="457">
        <v>8</v>
      </c>
      <c r="F535" s="419" t="s">
        <v>2244</v>
      </c>
      <c r="G535" s="64" t="s">
        <v>2018</v>
      </c>
      <c r="H535" s="402" t="str">
        <f>IF(Tableau2[[#This Row],[Moyennes]]="Absent","Absent",IF(Tableau2[[#This Row],[Moyennes]]&lt;5,"Redouble",IF(Tableau2[[#This Row],[Moyennes]]&gt;=5,"Admis"," ")))</f>
        <v>Admis</v>
      </c>
      <c r="I535" s="302"/>
      <c r="J535" s="300" t="s">
        <v>660</v>
      </c>
      <c r="K535" s="64" t="s">
        <v>2477</v>
      </c>
      <c r="L535" s="64">
        <f>IF(AND(Tableau2[[#This Row],[CLASSE]]="CPU",Tableau2[[#This Row],[STATUT ]]="Admis"),1,0)</f>
        <v>0</v>
      </c>
      <c r="M535" s="64">
        <f>IF(AND(Tableau2[[#This Row],[CLASSE]]="CEU",Tableau2[[#This Row],[STATUT ]]="Admis"),1,0)</f>
        <v>1</v>
      </c>
      <c r="N535" s="64"/>
      <c r="O535" s="296"/>
      <c r="P5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6" spans="1:16" ht="21.5" thickBot="1" x14ac:dyDescent="0.65">
      <c r="A536" s="310">
        <v>535</v>
      </c>
      <c r="B536" s="64" t="s">
        <v>3462</v>
      </c>
      <c r="C536" s="64" t="s">
        <v>1</v>
      </c>
      <c r="D536" s="295">
        <v>12</v>
      </c>
      <c r="E536" s="457">
        <v>7.88</v>
      </c>
      <c r="F536" s="419" t="s">
        <v>2244</v>
      </c>
      <c r="G536" s="64" t="s">
        <v>2044</v>
      </c>
      <c r="H536" s="402" t="str">
        <f>IF(Tableau2[[#This Row],[Moyennes]]="Absent","Absent",IF(Tableau2[[#This Row],[Moyennes]]&lt;5,"Redouble",IF(Tableau2[[#This Row],[Moyennes]]&gt;=5,"Admis"," ")))</f>
        <v>Admis</v>
      </c>
      <c r="I536" s="302"/>
      <c r="J536" s="300" t="s">
        <v>660</v>
      </c>
      <c r="K536" s="64" t="s">
        <v>2477</v>
      </c>
      <c r="L536" s="64">
        <f>IF(AND(Tableau2[[#This Row],[CLASSE]]="CPU",Tableau2[[#This Row],[STATUT ]]="Admis"),1,0)</f>
        <v>0</v>
      </c>
      <c r="M536" s="64">
        <f>IF(AND(Tableau2[[#This Row],[CLASSE]]="CEU",Tableau2[[#This Row],[STATUT ]]="Admis"),1,0)</f>
        <v>1</v>
      </c>
      <c r="N536" s="64"/>
      <c r="O536" s="296"/>
      <c r="P5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7" spans="1:16" ht="21.5" thickBot="1" x14ac:dyDescent="0.4">
      <c r="A537" s="310">
        <v>536</v>
      </c>
      <c r="B537" s="64" t="s">
        <v>3463</v>
      </c>
      <c r="C537" s="64" t="s">
        <v>1</v>
      </c>
      <c r="D537" s="452">
        <v>10</v>
      </c>
      <c r="E537" s="459">
        <v>7.76</v>
      </c>
      <c r="F537" s="419" t="s">
        <v>2244</v>
      </c>
      <c r="G537" s="64" t="s">
        <v>2048</v>
      </c>
      <c r="H537" s="402" t="str">
        <f>IF(Tableau2[[#This Row],[Moyennes]]="Absent","Absent",IF(Tableau2[[#This Row],[Moyennes]]&lt;5,"Redouble",IF(Tableau2[[#This Row],[Moyennes]]&gt;=5,"Admis"," ")))</f>
        <v>Admis</v>
      </c>
      <c r="I537" s="302"/>
      <c r="J537" s="300" t="s">
        <v>660</v>
      </c>
      <c r="K537" s="64" t="s">
        <v>2477</v>
      </c>
      <c r="L537" s="64">
        <f>IF(AND(Tableau2[[#This Row],[CLASSE]]="CPU",Tableau2[[#This Row],[STATUT ]]="Admis"),1,0)</f>
        <v>0</v>
      </c>
      <c r="M537" s="64">
        <f>IF(AND(Tableau2[[#This Row],[CLASSE]]="CEU",Tableau2[[#This Row],[STATUT ]]="Admis"),1,0)</f>
        <v>1</v>
      </c>
      <c r="N537" s="64"/>
      <c r="O537" s="296"/>
      <c r="P5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8" spans="1:16" ht="21.5" thickBot="1" x14ac:dyDescent="0.65">
      <c r="A538" s="310">
        <v>537</v>
      </c>
      <c r="B538" s="64" t="s">
        <v>3464</v>
      </c>
      <c r="C538" s="64" t="s">
        <v>1</v>
      </c>
      <c r="D538" s="295">
        <v>10</v>
      </c>
      <c r="E538" s="457">
        <v>7.7</v>
      </c>
      <c r="F538" s="419" t="s">
        <v>2244</v>
      </c>
      <c r="G538" s="64" t="s">
        <v>2027</v>
      </c>
      <c r="H538" s="402" t="str">
        <f>IF(Tableau2[[#This Row],[Moyennes]]="Absent","Absent",IF(Tableau2[[#This Row],[Moyennes]]&lt;5,"Redouble",IF(Tableau2[[#This Row],[Moyennes]]&gt;=5,"Admis"," ")))</f>
        <v>Admis</v>
      </c>
      <c r="I538" s="302"/>
      <c r="J538" s="300" t="s">
        <v>660</v>
      </c>
      <c r="K538" s="64" t="s">
        <v>2477</v>
      </c>
      <c r="L538" s="64">
        <f>IF(AND(Tableau2[[#This Row],[CLASSE]]="CPU",Tableau2[[#This Row],[STATUT ]]="Admis"),1,0)</f>
        <v>0</v>
      </c>
      <c r="M538" s="64">
        <f>IF(AND(Tableau2[[#This Row],[CLASSE]]="CEU",Tableau2[[#This Row],[STATUT ]]="Admis"),1,0)</f>
        <v>1</v>
      </c>
      <c r="N538" s="64"/>
      <c r="O538" s="296"/>
      <c r="P5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39" spans="1:16" ht="21.5" thickBot="1" x14ac:dyDescent="0.65">
      <c r="A539" s="310">
        <v>538</v>
      </c>
      <c r="B539" s="411" t="s">
        <v>3465</v>
      </c>
      <c r="C539" s="64" t="s">
        <v>1</v>
      </c>
      <c r="D539" s="295">
        <v>12</v>
      </c>
      <c r="E539" s="457">
        <v>7.64</v>
      </c>
      <c r="F539" s="419" t="s">
        <v>2244</v>
      </c>
      <c r="G539" s="64" t="s">
        <v>2089</v>
      </c>
      <c r="H539" s="402" t="str">
        <f>IF(Tableau2[[#This Row],[Moyennes]]="Absent","Absent",IF(Tableau2[[#This Row],[Moyennes]]&lt;5,"Redouble",IF(Tableau2[[#This Row],[Moyennes]]&gt;=5,"Admis"," ")))</f>
        <v>Admis</v>
      </c>
      <c r="I539" s="302"/>
      <c r="J539" s="300" t="s">
        <v>660</v>
      </c>
      <c r="K539" s="64" t="s">
        <v>2477</v>
      </c>
      <c r="L539" s="64">
        <f>IF(AND(Tableau2[[#This Row],[CLASSE]]="CPU",Tableau2[[#This Row],[STATUT ]]="Admis"),1,0)</f>
        <v>0</v>
      </c>
      <c r="M539" s="64">
        <f>IF(AND(Tableau2[[#This Row],[CLASSE]]="CEU",Tableau2[[#This Row],[STATUT ]]="Admis"),1,0)</f>
        <v>1</v>
      </c>
      <c r="N539" s="64"/>
      <c r="O539" s="296"/>
      <c r="P5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0" spans="1:16" ht="21.5" thickBot="1" x14ac:dyDescent="0.65">
      <c r="A540" s="310">
        <v>539</v>
      </c>
      <c r="B540" s="64" t="s">
        <v>3466</v>
      </c>
      <c r="C540" s="64" t="s">
        <v>1</v>
      </c>
      <c r="D540" s="295">
        <v>9</v>
      </c>
      <c r="E540" s="457">
        <v>7.35</v>
      </c>
      <c r="F540" s="419" t="s">
        <v>2244</v>
      </c>
      <c r="G540" s="64" t="s">
        <v>2021</v>
      </c>
      <c r="H540" s="402" t="str">
        <f>IF(Tableau2[[#This Row],[Moyennes]]="Absent","Absent",IF(Tableau2[[#This Row],[Moyennes]]&lt;5,"Redouble",IF(Tableau2[[#This Row],[Moyennes]]&gt;=5,"Admis"," ")))</f>
        <v>Admis</v>
      </c>
      <c r="I540" s="302"/>
      <c r="J540" s="300" t="s">
        <v>660</v>
      </c>
      <c r="K540" s="64" t="s">
        <v>2477</v>
      </c>
      <c r="L540" s="64">
        <f>IF(AND(Tableau2[[#This Row],[CLASSE]]="CPU",Tableau2[[#This Row],[STATUT ]]="Admis"),1,0)</f>
        <v>0</v>
      </c>
      <c r="M540" s="64">
        <f>IF(AND(Tableau2[[#This Row],[CLASSE]]="CEU",Tableau2[[#This Row],[STATUT ]]="Admis"),1,0)</f>
        <v>1</v>
      </c>
      <c r="N540" s="64"/>
      <c r="O540" s="296"/>
      <c r="P5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1" spans="1:16" ht="21.5" thickBot="1" x14ac:dyDescent="0.65">
      <c r="A541" s="310">
        <v>540</v>
      </c>
      <c r="B541" s="64" t="s">
        <v>2471</v>
      </c>
      <c r="C541" s="64" t="s">
        <v>2</v>
      </c>
      <c r="D541" s="295">
        <v>12</v>
      </c>
      <c r="E541" s="457">
        <v>7.17</v>
      </c>
      <c r="F541" s="419" t="s">
        <v>2244</v>
      </c>
      <c r="G541" s="64" t="s">
        <v>2033</v>
      </c>
      <c r="H541" s="402" t="str">
        <f>IF(Tableau2[[#This Row],[Moyennes]]="Absent","Absent",IF(Tableau2[[#This Row],[Moyennes]]&lt;5,"Redouble",IF(Tableau2[[#This Row],[Moyennes]]&gt;=5,"Admis"," ")))</f>
        <v>Admis</v>
      </c>
      <c r="I541" s="302"/>
      <c r="J541" s="300" t="s">
        <v>660</v>
      </c>
      <c r="K541" s="64" t="s">
        <v>2477</v>
      </c>
      <c r="L541" s="64">
        <f>IF(AND(Tableau2[[#This Row],[CLASSE]]="CPU",Tableau2[[#This Row],[STATUT ]]="Admis"),1,0)</f>
        <v>0</v>
      </c>
      <c r="M541" s="64">
        <f>IF(AND(Tableau2[[#This Row],[CLASSE]]="CEU",Tableau2[[#This Row],[STATUT ]]="Admis"),1,0)</f>
        <v>1</v>
      </c>
      <c r="N541" s="64"/>
      <c r="O541" s="296"/>
      <c r="P5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2" spans="1:16" ht="21.5" thickBot="1" x14ac:dyDescent="0.65">
      <c r="A542" s="310">
        <v>541</v>
      </c>
      <c r="B542" s="64" t="s">
        <v>3467</v>
      </c>
      <c r="C542" s="64" t="s">
        <v>2</v>
      </c>
      <c r="D542" s="295">
        <v>9</v>
      </c>
      <c r="E542" s="457">
        <v>7.17</v>
      </c>
      <c r="F542" s="419" t="s">
        <v>2244</v>
      </c>
      <c r="G542" s="64" t="s">
        <v>2016</v>
      </c>
      <c r="H542" s="402" t="str">
        <f>IF(Tableau2[[#This Row],[Moyennes]]="Absent","Absent",IF(Tableau2[[#This Row],[Moyennes]]&lt;5,"Redouble",IF(Tableau2[[#This Row],[Moyennes]]&gt;=5,"Admis"," ")))</f>
        <v>Admis</v>
      </c>
      <c r="I542" s="302"/>
      <c r="J542" s="300" t="s">
        <v>660</v>
      </c>
      <c r="K542" s="64" t="s">
        <v>2477</v>
      </c>
      <c r="L542" s="64">
        <f>IF(AND(Tableau2[[#This Row],[CLASSE]]="CPU",Tableau2[[#This Row],[STATUT ]]="Admis"),1,0)</f>
        <v>0</v>
      </c>
      <c r="M542" s="64">
        <f>IF(AND(Tableau2[[#This Row],[CLASSE]]="CEU",Tableau2[[#This Row],[STATUT ]]="Admis"),1,0)</f>
        <v>1</v>
      </c>
      <c r="N542" s="64"/>
      <c r="O542" s="296"/>
      <c r="P5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3" spans="1:16" ht="21.5" thickBot="1" x14ac:dyDescent="0.65">
      <c r="A543" s="310">
        <v>542</v>
      </c>
      <c r="B543" s="64" t="s">
        <v>3468</v>
      </c>
      <c r="C543" s="64" t="s">
        <v>1</v>
      </c>
      <c r="D543" s="295">
        <v>11</v>
      </c>
      <c r="E543" s="457">
        <v>7.05</v>
      </c>
      <c r="F543" s="419" t="s">
        <v>2244</v>
      </c>
      <c r="G543" s="64" t="s">
        <v>2062</v>
      </c>
      <c r="H543" s="402" t="str">
        <f>IF(Tableau2[[#This Row],[Moyennes]]="Absent","Absent",IF(Tableau2[[#This Row],[Moyennes]]&lt;5,"Redouble",IF(Tableau2[[#This Row],[Moyennes]]&gt;=5,"Admis"," ")))</f>
        <v>Admis</v>
      </c>
      <c r="I543" s="302"/>
      <c r="J543" s="300" t="s">
        <v>660</v>
      </c>
      <c r="K543" s="64" t="s">
        <v>2477</v>
      </c>
      <c r="L543" s="64">
        <f>IF(AND(Tableau2[[#This Row],[CLASSE]]="CPU",Tableau2[[#This Row],[STATUT ]]="Admis"),1,0)</f>
        <v>0</v>
      </c>
      <c r="M543" s="64">
        <f>IF(AND(Tableau2[[#This Row],[CLASSE]]="CEU",Tableau2[[#This Row],[STATUT ]]="Admis"),1,0)</f>
        <v>1</v>
      </c>
      <c r="N543" s="64"/>
      <c r="O543" s="296"/>
      <c r="P5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4" spans="1:16" ht="21" x14ac:dyDescent="0.6">
      <c r="A544" s="310">
        <v>543</v>
      </c>
      <c r="B544" s="64" t="s">
        <v>2472</v>
      </c>
      <c r="C544" s="64" t="s">
        <v>1</v>
      </c>
      <c r="D544" s="295">
        <v>12</v>
      </c>
      <c r="E544" s="457">
        <v>7.03</v>
      </c>
      <c r="F544" s="306" t="s">
        <v>2244</v>
      </c>
      <c r="G544" s="64" t="s">
        <v>2023</v>
      </c>
      <c r="H544" s="402" t="str">
        <f>IF(Tableau2[[#This Row],[Moyennes]]="Absent","Absent",IF(Tableau2[[#This Row],[Moyennes]]&lt;5,"Redouble",IF(Tableau2[[#This Row],[Moyennes]]&gt;=5,"Admis"," ")))</f>
        <v>Admis</v>
      </c>
      <c r="I544" s="302"/>
      <c r="J544" s="300" t="s">
        <v>660</v>
      </c>
      <c r="K544" s="64" t="s">
        <v>2477</v>
      </c>
      <c r="L544" s="64">
        <f>IF(AND(Tableau2[[#This Row],[CLASSE]]="CPU",Tableau2[[#This Row],[STATUT ]]="Admis"),1,0)</f>
        <v>0</v>
      </c>
      <c r="M544" s="64">
        <f>IF(AND(Tableau2[[#This Row],[CLASSE]]="CEU",Tableau2[[#This Row],[STATUT ]]="Admis"),1,0)</f>
        <v>1</v>
      </c>
      <c r="N544" s="64"/>
      <c r="O544" s="296"/>
      <c r="P5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5" spans="1:16" ht="21" x14ac:dyDescent="0.6">
      <c r="A545" s="310">
        <v>544</v>
      </c>
      <c r="B545" s="64" t="s">
        <v>2474</v>
      </c>
      <c r="C545" s="64" t="s">
        <v>2</v>
      </c>
      <c r="D545" s="295">
        <v>10</v>
      </c>
      <c r="E545" s="457">
        <v>6.58</v>
      </c>
      <c r="F545" s="306" t="s">
        <v>2244</v>
      </c>
      <c r="G545" s="64" t="s">
        <v>2042</v>
      </c>
      <c r="H545" s="402" t="str">
        <f>IF(Tableau2[[#This Row],[Moyennes]]="Absent","Absent",IF(Tableau2[[#This Row],[Moyennes]]&lt;5,"Redouble",IF(Tableau2[[#This Row],[Moyennes]]&gt;=5,"Admis"," ")))</f>
        <v>Admis</v>
      </c>
      <c r="I545" s="302"/>
      <c r="J545" s="300" t="s">
        <v>660</v>
      </c>
      <c r="K545" s="64" t="s">
        <v>2477</v>
      </c>
      <c r="L545" s="64">
        <f>IF(AND(Tableau2[[#This Row],[CLASSE]]="CPU",Tableau2[[#This Row],[STATUT ]]="Admis"),1,0)</f>
        <v>0</v>
      </c>
      <c r="M545" s="64">
        <f>IF(AND(Tableau2[[#This Row],[CLASSE]]="CEU",Tableau2[[#This Row],[STATUT ]]="Admis"),1,0)</f>
        <v>1</v>
      </c>
      <c r="N545" s="64"/>
      <c r="O545" s="296"/>
      <c r="P5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6" spans="1:16" ht="21" x14ac:dyDescent="0.6">
      <c r="A546" s="310">
        <v>545</v>
      </c>
      <c r="B546" s="64" t="s">
        <v>2473</v>
      </c>
      <c r="C546" s="64" t="s">
        <v>2</v>
      </c>
      <c r="D546" s="295">
        <v>10</v>
      </c>
      <c r="E546" s="457">
        <v>6.41</v>
      </c>
      <c r="F546" s="306" t="s">
        <v>2244</v>
      </c>
      <c r="G546" s="64" t="s">
        <v>2025</v>
      </c>
      <c r="H546" s="402" t="str">
        <f>IF(Tableau2[[#This Row],[Moyennes]]="Absent","Absent",IF(Tableau2[[#This Row],[Moyennes]]&lt;5,"Redouble",IF(Tableau2[[#This Row],[Moyennes]]&gt;=5,"Admis"," ")))</f>
        <v>Admis</v>
      </c>
      <c r="I546" s="302"/>
      <c r="J546" s="300" t="s">
        <v>660</v>
      </c>
      <c r="K546" s="64" t="s">
        <v>2477</v>
      </c>
      <c r="L546" s="64">
        <f>IF(AND(Tableau2[[#This Row],[CLASSE]]="CPU",Tableau2[[#This Row],[STATUT ]]="Admis"),1,0)</f>
        <v>0</v>
      </c>
      <c r="M546" s="64">
        <f>IF(AND(Tableau2[[#This Row],[CLASSE]]="CEU",Tableau2[[#This Row],[STATUT ]]="Admis"),1,0)</f>
        <v>1</v>
      </c>
      <c r="N546" s="64"/>
      <c r="O546" s="296"/>
      <c r="P5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7" spans="1:16" ht="21" x14ac:dyDescent="0.6">
      <c r="A547" s="310">
        <v>546</v>
      </c>
      <c r="B547" s="64" t="s">
        <v>3469</v>
      </c>
      <c r="C547" s="64" t="s">
        <v>1</v>
      </c>
      <c r="D547" s="295">
        <v>9</v>
      </c>
      <c r="E547" s="457">
        <v>6.35</v>
      </c>
      <c r="F547" s="306" t="s">
        <v>2244</v>
      </c>
      <c r="G547" s="64" t="s">
        <v>2046</v>
      </c>
      <c r="H547" s="402" t="str">
        <f>IF(Tableau2[[#This Row],[Moyennes]]="Absent","Absent",IF(Tableau2[[#This Row],[Moyennes]]&lt;5,"Redouble",IF(Tableau2[[#This Row],[Moyennes]]&gt;=5,"Admis"," ")))</f>
        <v>Admis</v>
      </c>
      <c r="I547" s="302"/>
      <c r="J547" s="300" t="s">
        <v>660</v>
      </c>
      <c r="K547" s="64" t="s">
        <v>2477</v>
      </c>
      <c r="L547" s="64">
        <f>IF(AND(Tableau2[[#This Row],[CLASSE]]="CPU",Tableau2[[#This Row],[STATUT ]]="Admis"),1,0)</f>
        <v>0</v>
      </c>
      <c r="M547" s="64">
        <f>IF(AND(Tableau2[[#This Row],[CLASSE]]="CEU",Tableau2[[#This Row],[STATUT ]]="Admis"),1,0)</f>
        <v>1</v>
      </c>
      <c r="N547" s="64"/>
      <c r="O547" s="296"/>
      <c r="P5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8" spans="1:16" ht="21" x14ac:dyDescent="0.6">
      <c r="A548" s="310">
        <v>547</v>
      </c>
      <c r="B548" s="64" t="s">
        <v>2476</v>
      </c>
      <c r="C548" s="64" t="s">
        <v>1</v>
      </c>
      <c r="D548" s="295">
        <v>12</v>
      </c>
      <c r="E548" s="457">
        <v>6.23</v>
      </c>
      <c r="F548" s="306" t="s">
        <v>2244</v>
      </c>
      <c r="G548" s="64" t="s">
        <v>2030</v>
      </c>
      <c r="H548" s="402" t="str">
        <f>IF(Tableau2[[#This Row],[Moyennes]]="Absent","Absent",IF(Tableau2[[#This Row],[Moyennes]]&lt;5,"Redouble",IF(Tableau2[[#This Row],[Moyennes]]&gt;=5,"Admis"," ")))</f>
        <v>Admis</v>
      </c>
      <c r="I548" s="302"/>
      <c r="J548" s="300" t="s">
        <v>660</v>
      </c>
      <c r="K548" s="64" t="s">
        <v>2477</v>
      </c>
      <c r="L548" s="64">
        <f>IF(AND(Tableau2[[#This Row],[CLASSE]]="CPU",Tableau2[[#This Row],[STATUT ]]="Admis"),1,0)</f>
        <v>0</v>
      </c>
      <c r="M548" s="64">
        <f>IF(AND(Tableau2[[#This Row],[CLASSE]]="CEU",Tableau2[[#This Row],[STATUT ]]="Admis"),1,0)</f>
        <v>1</v>
      </c>
      <c r="N548" s="64"/>
      <c r="O548" s="296"/>
      <c r="P5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49" spans="1:16" ht="21" x14ac:dyDescent="0.6">
      <c r="A549" s="310">
        <v>548</v>
      </c>
      <c r="B549" s="64" t="s">
        <v>2468</v>
      </c>
      <c r="C549" s="64" t="s">
        <v>1</v>
      </c>
      <c r="D549" s="295">
        <v>10</v>
      </c>
      <c r="E549" s="457">
        <v>5.17</v>
      </c>
      <c r="F549" s="306" t="s">
        <v>2244</v>
      </c>
      <c r="G549" s="64" t="s">
        <v>2066</v>
      </c>
      <c r="H549" s="402" t="str">
        <f>IF(Tableau2[[#This Row],[Moyennes]]="Absent","Absent",IF(Tableau2[[#This Row],[Moyennes]]&lt;5,"Redouble",IF(Tableau2[[#This Row],[Moyennes]]&gt;=5,"Admis"," ")))</f>
        <v>Admis</v>
      </c>
      <c r="I549" s="302"/>
      <c r="J549" s="300" t="s">
        <v>660</v>
      </c>
      <c r="K549" s="64" t="s">
        <v>2477</v>
      </c>
      <c r="L549" s="64">
        <f>IF(AND(Tableau2[[#This Row],[CLASSE]]="CPU",Tableau2[[#This Row],[STATUT ]]="Admis"),1,0)</f>
        <v>0</v>
      </c>
      <c r="M549" s="64">
        <f>IF(AND(Tableau2[[#This Row],[CLASSE]]="CEU",Tableau2[[#This Row],[STATUT ]]="Admis"),1,0)</f>
        <v>1</v>
      </c>
      <c r="N549" s="64"/>
      <c r="O549" s="296"/>
      <c r="P5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0" spans="1:16" ht="21" x14ac:dyDescent="0.35">
      <c r="A550" s="310">
        <v>549</v>
      </c>
      <c r="B550" s="64" t="s">
        <v>3470</v>
      </c>
      <c r="C550" s="64" t="s">
        <v>2</v>
      </c>
      <c r="D550" s="295">
        <v>12</v>
      </c>
      <c r="E550" s="459">
        <v>5.17</v>
      </c>
      <c r="F550" s="306" t="s">
        <v>2244</v>
      </c>
      <c r="G550" s="64" t="s">
        <v>2078</v>
      </c>
      <c r="H550" s="402" t="str">
        <f>IF(Tableau2[[#This Row],[Moyennes]]="Absent","Absent",IF(Tableau2[[#This Row],[Moyennes]]&lt;5,"Redouble",IF(Tableau2[[#This Row],[Moyennes]]&gt;=5,"Admis"," ")))</f>
        <v>Admis</v>
      </c>
      <c r="I550" s="302"/>
      <c r="J550" s="300" t="s">
        <v>660</v>
      </c>
      <c r="K550" s="64" t="s">
        <v>2477</v>
      </c>
      <c r="L550" s="64">
        <f>IF(AND(Tableau2[[#This Row],[CLASSE]]="CPU",Tableau2[[#This Row],[STATUT ]]="Admis"),1,0)</f>
        <v>0</v>
      </c>
      <c r="M550" s="64">
        <f>IF(AND(Tableau2[[#This Row],[CLASSE]]="CEU",Tableau2[[#This Row],[STATUT ]]="Admis"),1,0)</f>
        <v>1</v>
      </c>
      <c r="N550" s="64"/>
      <c r="O550" s="296"/>
      <c r="P5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1" spans="1:16" ht="21" x14ac:dyDescent="0.6">
      <c r="A551" s="310">
        <v>550</v>
      </c>
      <c r="B551" s="64" t="s">
        <v>3471</v>
      </c>
      <c r="C551" s="64" t="s">
        <v>2</v>
      </c>
      <c r="D551" s="295">
        <v>9</v>
      </c>
      <c r="E551" s="457">
        <v>3.52</v>
      </c>
      <c r="F551" s="306" t="s">
        <v>2244</v>
      </c>
      <c r="G551" s="64" t="s">
        <v>2037</v>
      </c>
      <c r="H551" s="402" t="str">
        <f>IF(Tableau2[[#This Row],[Moyennes]]="Absent","Absent",IF(Tableau2[[#This Row],[Moyennes]]&lt;5,"Redouble",IF(Tableau2[[#This Row],[Moyennes]]&gt;=5,"Admis"," ")))</f>
        <v>Redouble</v>
      </c>
      <c r="I551" s="302"/>
      <c r="J551" s="300" t="s">
        <v>660</v>
      </c>
      <c r="K551" s="64" t="s">
        <v>2477</v>
      </c>
      <c r="L551" s="64">
        <f>IF(AND(Tableau2[[#This Row],[CLASSE]]="CPU",Tableau2[[#This Row],[STATUT ]]="Admis"),1,0)</f>
        <v>0</v>
      </c>
      <c r="M551" s="64">
        <f>IF(AND(Tableau2[[#This Row],[CLASSE]]="CEU",Tableau2[[#This Row],[STATUT ]]="Admis"),1,0)</f>
        <v>0</v>
      </c>
      <c r="N551" s="64"/>
      <c r="O551" s="296"/>
      <c r="P5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2" spans="1:16" ht="17" x14ac:dyDescent="0.35">
      <c r="A552" s="310">
        <v>551</v>
      </c>
      <c r="B552" s="64" t="s">
        <v>2475</v>
      </c>
      <c r="C552" s="64" t="s">
        <v>2</v>
      </c>
      <c r="D552" s="295">
        <v>11</v>
      </c>
      <c r="E552" s="299">
        <v>2.7</v>
      </c>
      <c r="F552" s="306" t="s">
        <v>2244</v>
      </c>
      <c r="G552" s="64" t="s">
        <v>2014</v>
      </c>
      <c r="H552" s="402" t="str">
        <f>IF(Tableau2[[#This Row],[Moyennes]]="Absent","Absent",IF(Tableau2[[#This Row],[Moyennes]]&lt;5,"Redouble",IF(Tableau2[[#This Row],[Moyennes]]&gt;=5,"Admis"," ")))</f>
        <v>Redouble</v>
      </c>
      <c r="I552" s="64"/>
      <c r="J552" s="300" t="s">
        <v>660</v>
      </c>
      <c r="K552" s="64" t="s">
        <v>2477</v>
      </c>
      <c r="L552" s="64">
        <f>IF(AND(Tableau2[[#This Row],[CLASSE]]="CPU",Tableau2[[#This Row],[STATUT ]]="Admis"),1,0)</f>
        <v>0</v>
      </c>
      <c r="M552" s="64">
        <f>IF(AND(Tableau2[[#This Row],[CLASSE]]="CEU",Tableau2[[#This Row],[STATUT ]]="Admis"),1,0)</f>
        <v>0</v>
      </c>
      <c r="N552" s="64"/>
      <c r="O552" s="296"/>
      <c r="P5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3" spans="1:16" ht="21" x14ac:dyDescent="0.35">
      <c r="A553" s="310">
        <v>552</v>
      </c>
      <c r="B553" s="64" t="s">
        <v>3472</v>
      </c>
      <c r="C553" s="64" t="s">
        <v>1</v>
      </c>
      <c r="D553" s="295">
        <v>9</v>
      </c>
      <c r="E553" s="495" t="s">
        <v>2165</v>
      </c>
      <c r="F553" s="306" t="s">
        <v>2244</v>
      </c>
      <c r="G553" s="64"/>
      <c r="H553" s="300" t="str">
        <f>IF(Tableau2[[#This Row],[Moyennes]]="Absent","Absent",IF(Tableau2[[#This Row],[Moyennes]]&lt;5,"Redouble",IF(Tableau2[[#This Row],[Moyennes]]&gt;=5,"Admis"," ")))</f>
        <v>Absent</v>
      </c>
      <c r="I553" s="302"/>
      <c r="J553" s="300" t="s">
        <v>660</v>
      </c>
      <c r="K553" s="64" t="s">
        <v>2477</v>
      </c>
      <c r="L553" s="64">
        <f>IF(AND(Tableau2[[#This Row],[CLASSE]]="CPU",Tableau2[[#This Row],[STATUT ]]="Admis"),1,0)</f>
        <v>0</v>
      </c>
      <c r="M553" s="64">
        <f>IF(AND(Tableau2[[#This Row],[CLASSE]]="CEU",Tableau2[[#This Row],[STATUT ]]="Admis"),1,0)</f>
        <v>0</v>
      </c>
      <c r="N553" s="64"/>
      <c r="O553" s="296"/>
      <c r="P5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4" spans="1:16" ht="21" x14ac:dyDescent="0.35">
      <c r="A554" s="310">
        <v>553</v>
      </c>
      <c r="B554" s="64" t="s">
        <v>3473</v>
      </c>
      <c r="C554" s="64" t="s">
        <v>2</v>
      </c>
      <c r="D554" s="295">
        <v>10</v>
      </c>
      <c r="E554" s="495" t="s">
        <v>2165</v>
      </c>
      <c r="F554" s="306" t="s">
        <v>2244</v>
      </c>
      <c r="G554" s="64"/>
      <c r="H554" s="300" t="str">
        <f>IF(Tableau2[[#This Row],[Moyennes]]="Absent","Absent",IF(Tableau2[[#This Row],[Moyennes]]&lt;5,"Redouble",IF(Tableau2[[#This Row],[Moyennes]]&gt;=5,"Admis"," ")))</f>
        <v>Absent</v>
      </c>
      <c r="I554" s="302"/>
      <c r="J554" s="300" t="s">
        <v>660</v>
      </c>
      <c r="K554" s="64" t="s">
        <v>2477</v>
      </c>
      <c r="L554" s="64">
        <f>IF(AND(Tableau2[[#This Row],[CLASSE]]="CPU",Tableau2[[#This Row],[STATUT ]]="Admis"),1,0)</f>
        <v>0</v>
      </c>
      <c r="M554" s="64">
        <f>IF(AND(Tableau2[[#This Row],[CLASSE]]="CEU",Tableau2[[#This Row],[STATUT ]]="Admis"),1,0)</f>
        <v>0</v>
      </c>
      <c r="N554" s="64"/>
      <c r="O554" s="296"/>
      <c r="P5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5" spans="1:16" ht="21" x14ac:dyDescent="0.35">
      <c r="A555" s="310">
        <v>554</v>
      </c>
      <c r="B555" s="64" t="s">
        <v>2241</v>
      </c>
      <c r="C555" s="64" t="s">
        <v>1</v>
      </c>
      <c r="D555" s="295">
        <v>12</v>
      </c>
      <c r="E555" s="495" t="s">
        <v>2165</v>
      </c>
      <c r="F555" s="306" t="s">
        <v>2244</v>
      </c>
      <c r="G555" s="64"/>
      <c r="H555" s="300" t="str">
        <f>IF(Tableau2[[#This Row],[Moyennes]]="Absent","Absent",IF(Tableau2[[#This Row],[Moyennes]]&lt;5,"Redouble",IF(Tableau2[[#This Row],[Moyennes]]&gt;=5,"Admis"," ")))</f>
        <v>Absent</v>
      </c>
      <c r="I555" s="302"/>
      <c r="J555" s="300" t="s">
        <v>660</v>
      </c>
      <c r="K555" s="64" t="s">
        <v>2477</v>
      </c>
      <c r="L555" s="64">
        <f>IF(AND(Tableau2[[#This Row],[CLASSE]]="CPU",Tableau2[[#This Row],[STATUT ]]="Admis"),1,0)</f>
        <v>0</v>
      </c>
      <c r="M555" s="64">
        <f>IF(AND(Tableau2[[#This Row],[CLASSE]]="CEU",Tableau2[[#This Row],[STATUT ]]="Admis"),1,0)</f>
        <v>0</v>
      </c>
      <c r="N555" s="64"/>
      <c r="O555" s="296"/>
      <c r="P5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PAS CONCERNE</v>
      </c>
    </row>
    <row r="556" spans="1:16" ht="21" x14ac:dyDescent="0.35">
      <c r="A556" s="310">
        <v>555</v>
      </c>
      <c r="B556" s="64" t="s">
        <v>3356</v>
      </c>
      <c r="C556" s="64" t="s">
        <v>1</v>
      </c>
      <c r="D556" s="295">
        <v>10</v>
      </c>
      <c r="E556" s="495" t="s">
        <v>2165</v>
      </c>
      <c r="F556" s="306" t="s">
        <v>2009</v>
      </c>
      <c r="G556" s="64"/>
      <c r="H556" s="300" t="str">
        <f>IF(Tableau2[[#This Row],[Moyennes]]="Absent","Absent",IF(Tableau2[[#This Row],[Moyennes]]&lt;5,"Redouble",IF(Tableau2[[#This Row],[Moyennes]]&gt;=5,"Admis"," ")))</f>
        <v>Absent</v>
      </c>
      <c r="I556" s="302"/>
      <c r="J556" s="300" t="s">
        <v>660</v>
      </c>
      <c r="K556" s="334" t="s">
        <v>390</v>
      </c>
      <c r="L556" s="64">
        <f>IF(AND(Tableau2[[#This Row],[CLASSE]]="CPU",Tableau2[[#This Row],[STATUT ]]="Admis"),1,0)</f>
        <v>0</v>
      </c>
      <c r="M556" s="64">
        <f>IF(AND(Tableau2[[#This Row],[CLASSE]]="CEU",Tableau2[[#This Row],[STATUT ]]="Admis"),1,0)</f>
        <v>0</v>
      </c>
      <c r="N556" s="64"/>
      <c r="O556" s="296"/>
      <c r="P5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57" spans="1:16" ht="21" x14ac:dyDescent="0.35">
      <c r="A557" s="310">
        <v>556</v>
      </c>
      <c r="B557" s="64" t="s">
        <v>3357</v>
      </c>
      <c r="C557" s="64" t="s">
        <v>2</v>
      </c>
      <c r="D557" s="295">
        <v>9</v>
      </c>
      <c r="E557" s="495" t="s">
        <v>2165</v>
      </c>
      <c r="F557" s="306" t="s">
        <v>2009</v>
      </c>
      <c r="G557" s="308"/>
      <c r="H557" s="300" t="str">
        <f>IF(Tableau2[[#This Row],[Moyennes]]="Absent","Absent",IF(Tableau2[[#This Row],[Moyennes]]&lt;5,"Redouble",IF(Tableau2[[#This Row],[Moyennes]]&gt;=5,"Admis"," ")))</f>
        <v>Absent</v>
      </c>
      <c r="I557" s="302"/>
      <c r="J557" s="300" t="s">
        <v>660</v>
      </c>
      <c r="K557" s="64" t="s">
        <v>390</v>
      </c>
      <c r="L557" s="64">
        <f>IF(AND(Tableau2[[#This Row],[CLASSE]]="CPU",Tableau2[[#This Row],[STATUT ]]="Admis"),1,0)</f>
        <v>0</v>
      </c>
      <c r="M557" s="64">
        <f>IF(AND(Tableau2[[#This Row],[CLASSE]]="CEU",Tableau2[[#This Row],[STATUT ]]="Admis"),1,0)</f>
        <v>0</v>
      </c>
      <c r="N557" s="64"/>
      <c r="O557" s="296"/>
      <c r="P5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58" spans="1:16" ht="21" x14ac:dyDescent="0.35">
      <c r="A558" s="310">
        <v>557</v>
      </c>
      <c r="B558" s="64" t="s">
        <v>3358</v>
      </c>
      <c r="C558" s="64" t="s">
        <v>1</v>
      </c>
      <c r="D558" s="295">
        <v>9</v>
      </c>
      <c r="E558" s="495" t="s">
        <v>2165</v>
      </c>
      <c r="F558" s="306" t="s">
        <v>2009</v>
      </c>
      <c r="G558" s="308"/>
      <c r="H558" s="300" t="str">
        <f>IF(Tableau2[[#This Row],[Moyennes]]="Absent","Absent",IF(Tableau2[[#This Row],[Moyennes]]&lt;5,"Redouble",IF(Tableau2[[#This Row],[Moyennes]]&gt;=5,"Admis"," ")))</f>
        <v>Absent</v>
      </c>
      <c r="I558" s="302"/>
      <c r="J558" s="300" t="s">
        <v>660</v>
      </c>
      <c r="K558" s="334" t="s">
        <v>390</v>
      </c>
      <c r="L558" s="64">
        <f>IF(AND(Tableau2[[#This Row],[CLASSE]]="CPU",Tableau2[[#This Row],[STATUT ]]="Admis"),1,0)</f>
        <v>0</v>
      </c>
      <c r="M558" s="64">
        <f>IF(AND(Tableau2[[#This Row],[CLASSE]]="CEU",Tableau2[[#This Row],[STATUT ]]="Admis"),1,0)</f>
        <v>0</v>
      </c>
      <c r="N558" s="64"/>
      <c r="O558" s="296"/>
      <c r="P5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59" spans="1:16" ht="21" x14ac:dyDescent="0.35">
      <c r="A559" s="310">
        <v>558</v>
      </c>
      <c r="B559" s="64" t="s">
        <v>3359</v>
      </c>
      <c r="C559" s="64" t="s">
        <v>1</v>
      </c>
      <c r="D559" s="295">
        <v>11</v>
      </c>
      <c r="E559" s="495" t="s">
        <v>2165</v>
      </c>
      <c r="F559" s="306" t="s">
        <v>2009</v>
      </c>
      <c r="G559" s="308"/>
      <c r="H559" s="300" t="str">
        <f>IF(Tableau2[[#This Row],[Moyennes]]="Absent","Absent",IF(Tableau2[[#This Row],[Moyennes]]&lt;5,"Redouble",IF(Tableau2[[#This Row],[Moyennes]]&gt;=5,"Admis"," ")))</f>
        <v>Absent</v>
      </c>
      <c r="I559" s="302"/>
      <c r="J559" s="300" t="s">
        <v>660</v>
      </c>
      <c r="K559" s="64" t="s">
        <v>390</v>
      </c>
      <c r="L559" s="64">
        <f>IF(AND(Tableau2[[#This Row],[CLASSE]]="CPU",Tableau2[[#This Row],[STATUT ]]="Admis"),1,0)</f>
        <v>0</v>
      </c>
      <c r="M559" s="64">
        <f>IF(AND(Tableau2[[#This Row],[CLASSE]]="CEU",Tableau2[[#This Row],[STATUT ]]="Admis"),1,0)</f>
        <v>0</v>
      </c>
      <c r="N559" s="64"/>
      <c r="O559" s="296"/>
      <c r="P5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0" spans="1:16" ht="21" x14ac:dyDescent="0.35">
      <c r="A560" s="310">
        <v>559</v>
      </c>
      <c r="B560" s="64" t="s">
        <v>3360</v>
      </c>
      <c r="C560" s="64" t="s">
        <v>1</v>
      </c>
      <c r="D560" s="295">
        <v>9</v>
      </c>
      <c r="E560" s="495" t="s">
        <v>2165</v>
      </c>
      <c r="F560" s="306" t="s">
        <v>2009</v>
      </c>
      <c r="G560" s="308"/>
      <c r="H560" s="300" t="str">
        <f>IF(Tableau2[[#This Row],[Moyennes]]="Absent","Absent",IF(Tableau2[[#This Row],[Moyennes]]&lt;5,"Redouble",IF(Tableau2[[#This Row],[Moyennes]]&gt;=5,"Admis"," ")))</f>
        <v>Absent</v>
      </c>
      <c r="I560" s="302"/>
      <c r="J560" s="300" t="s">
        <v>660</v>
      </c>
      <c r="K560" s="334" t="s">
        <v>390</v>
      </c>
      <c r="L560" s="64">
        <f>IF(AND(Tableau2[[#This Row],[CLASSE]]="CPU",Tableau2[[#This Row],[STATUT ]]="Admis"),1,0)</f>
        <v>0</v>
      </c>
      <c r="M560" s="64">
        <f>IF(AND(Tableau2[[#This Row],[CLASSE]]="CEU",Tableau2[[#This Row],[STATUT ]]="Admis"),1,0)</f>
        <v>0</v>
      </c>
      <c r="N560" s="64"/>
      <c r="O560" s="296"/>
      <c r="P5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1" spans="1:16" ht="20" customHeight="1" x14ac:dyDescent="0.35">
      <c r="A561" s="310">
        <v>560</v>
      </c>
      <c r="B561" s="64" t="s">
        <v>3361</v>
      </c>
      <c r="C561" s="64" t="s">
        <v>1</v>
      </c>
      <c r="D561" s="295">
        <v>9</v>
      </c>
      <c r="E561" s="495" t="s">
        <v>2165</v>
      </c>
      <c r="F561" s="306" t="s">
        <v>2009</v>
      </c>
      <c r="G561" s="308"/>
      <c r="H561" s="300" t="str">
        <f>IF(Tableau2[[#This Row],[Moyennes]]="Absent","Absent",IF(Tableau2[[#This Row],[Moyennes]]&lt;5,"Redouble",IF(Tableau2[[#This Row],[Moyennes]]&gt;=5,"Admis"," ")))</f>
        <v>Absent</v>
      </c>
      <c r="I561" s="302"/>
      <c r="J561" s="300" t="s">
        <v>660</v>
      </c>
      <c r="K561" s="64" t="s">
        <v>390</v>
      </c>
      <c r="L561" s="64">
        <f>IF(AND(Tableau2[[#This Row],[CLASSE]]="CPU",Tableau2[[#This Row],[STATUT ]]="Admis"),1,0)</f>
        <v>0</v>
      </c>
      <c r="M561" s="64">
        <f>IF(AND(Tableau2[[#This Row],[CLASSE]]="CEU",Tableau2[[#This Row],[STATUT ]]="Admis"),1,0)</f>
        <v>0</v>
      </c>
      <c r="N561" s="64"/>
      <c r="O561" s="296"/>
      <c r="P5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2" spans="1:16" ht="19.5" customHeight="1" x14ac:dyDescent="0.35">
      <c r="A562" s="310">
        <v>561</v>
      </c>
      <c r="B562" s="64" t="s">
        <v>3362</v>
      </c>
      <c r="C562" s="64" t="s">
        <v>2</v>
      </c>
      <c r="D562" s="295">
        <v>10</v>
      </c>
      <c r="E562" s="495" t="s">
        <v>2165</v>
      </c>
      <c r="F562" s="306" t="s">
        <v>2009</v>
      </c>
      <c r="G562" s="308"/>
      <c r="H562" s="300" t="str">
        <f>IF(Tableau2[[#This Row],[Moyennes]]="Absent","Absent",IF(Tableau2[[#This Row],[Moyennes]]&lt;5,"Redouble",IF(Tableau2[[#This Row],[Moyennes]]&gt;=5,"Admis"," ")))</f>
        <v>Absent</v>
      </c>
      <c r="I562" s="302"/>
      <c r="J562" s="300" t="s">
        <v>660</v>
      </c>
      <c r="K562" s="334" t="s">
        <v>390</v>
      </c>
      <c r="L562" s="64">
        <f>IF(AND(Tableau2[[#This Row],[CLASSE]]="CPU",Tableau2[[#This Row],[STATUT ]]="Admis"),1,0)</f>
        <v>0</v>
      </c>
      <c r="M562" s="64">
        <f>IF(AND(Tableau2[[#This Row],[CLASSE]]="CEU",Tableau2[[#This Row],[STATUT ]]="Admis"),1,0)</f>
        <v>0</v>
      </c>
      <c r="N562" s="64"/>
      <c r="O562" s="296"/>
      <c r="P5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3" spans="1:16" ht="21" x14ac:dyDescent="0.35">
      <c r="A563" s="310">
        <v>562</v>
      </c>
      <c r="B563" s="64" t="s">
        <v>3363</v>
      </c>
      <c r="C563" s="64" t="s">
        <v>1</v>
      </c>
      <c r="D563" s="295">
        <v>9</v>
      </c>
      <c r="E563" s="495" t="s">
        <v>2165</v>
      </c>
      <c r="F563" s="306" t="s">
        <v>2009</v>
      </c>
      <c r="G563" s="308"/>
      <c r="H563" s="300" t="str">
        <f>IF(Tableau2[[#This Row],[Moyennes]]="Absent","Absent",IF(Tableau2[[#This Row],[Moyennes]]&lt;5,"Redouble",IF(Tableau2[[#This Row],[Moyennes]]&gt;=5,"Admis"," ")))</f>
        <v>Absent</v>
      </c>
      <c r="I563" s="302"/>
      <c r="J563" s="300" t="s">
        <v>660</v>
      </c>
      <c r="K563" s="64" t="s">
        <v>390</v>
      </c>
      <c r="L563" s="64">
        <f>IF(AND(Tableau2[[#This Row],[CLASSE]]="CPU",Tableau2[[#This Row],[STATUT ]]="Admis"),1,0)</f>
        <v>0</v>
      </c>
      <c r="M563" s="64">
        <f>IF(AND(Tableau2[[#This Row],[CLASSE]]="CEU",Tableau2[[#This Row],[STATUT ]]="Admis"),1,0)</f>
        <v>0</v>
      </c>
      <c r="N563" s="64"/>
      <c r="O563" s="296"/>
      <c r="P5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4" spans="1:16" ht="24" customHeight="1" x14ac:dyDescent="0.35">
      <c r="A564" s="310">
        <v>563</v>
      </c>
      <c r="B564" s="64" t="s">
        <v>3364</v>
      </c>
      <c r="C564" s="64" t="s">
        <v>1</v>
      </c>
      <c r="D564" s="295">
        <v>9</v>
      </c>
      <c r="E564" s="495" t="s">
        <v>2165</v>
      </c>
      <c r="F564" s="306" t="s">
        <v>2009</v>
      </c>
      <c r="G564" s="308"/>
      <c r="H564" s="300" t="str">
        <f>IF(Tableau2[[#This Row],[Moyennes]]="Absent","Absent",IF(Tableau2[[#This Row],[Moyennes]]&lt;5,"Redouble",IF(Tableau2[[#This Row],[Moyennes]]&gt;=5,"Admis"," ")))</f>
        <v>Absent</v>
      </c>
      <c r="I564" s="302"/>
      <c r="J564" s="300" t="s">
        <v>660</v>
      </c>
      <c r="K564" s="334" t="s">
        <v>390</v>
      </c>
      <c r="L564" s="64">
        <f>IF(AND(Tableau2[[#This Row],[CLASSE]]="CPU",Tableau2[[#This Row],[STATUT ]]="Admis"),1,0)</f>
        <v>0</v>
      </c>
      <c r="M564" s="64">
        <f>IF(AND(Tableau2[[#This Row],[CLASSE]]="CEU",Tableau2[[#This Row],[STATUT ]]="Admis"),1,0)</f>
        <v>0</v>
      </c>
      <c r="N564" s="64"/>
      <c r="O564" s="296"/>
      <c r="P5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5" spans="1:16" ht="21" x14ac:dyDescent="0.35">
      <c r="A565" s="310">
        <v>564</v>
      </c>
      <c r="B565" s="64" t="s">
        <v>3365</v>
      </c>
      <c r="C565" s="64" t="s">
        <v>1</v>
      </c>
      <c r="D565" s="295">
        <v>11</v>
      </c>
      <c r="E565" s="495" t="s">
        <v>2165</v>
      </c>
      <c r="F565" s="306" t="s">
        <v>2009</v>
      </c>
      <c r="G565" s="308"/>
      <c r="H565" s="300" t="str">
        <f>IF(Tableau2[[#This Row],[Moyennes]]="Absent","Absent",IF(Tableau2[[#This Row],[Moyennes]]&lt;5,"Redouble",IF(Tableau2[[#This Row],[Moyennes]]&gt;=5,"Admis"," ")))</f>
        <v>Absent</v>
      </c>
      <c r="I565" s="302"/>
      <c r="J565" s="300" t="s">
        <v>660</v>
      </c>
      <c r="K565" s="64" t="s">
        <v>390</v>
      </c>
      <c r="L565" s="64">
        <f>IF(AND(Tableau2[[#This Row],[CLASSE]]="CPU",Tableau2[[#This Row],[STATUT ]]="Admis"),1,0)</f>
        <v>0</v>
      </c>
      <c r="M565" s="64">
        <f>IF(AND(Tableau2[[#This Row],[CLASSE]]="CEU",Tableau2[[#This Row],[STATUT ]]="Admis"),1,0)</f>
        <v>0</v>
      </c>
      <c r="N565" s="64"/>
      <c r="O565" s="296"/>
      <c r="P5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6" spans="1:16" ht="23.5" customHeight="1" x14ac:dyDescent="0.35">
      <c r="A566" s="310">
        <v>565</v>
      </c>
      <c r="B566" s="64" t="s">
        <v>3366</v>
      </c>
      <c r="C566" s="64" t="s">
        <v>1</v>
      </c>
      <c r="D566" s="295">
        <v>9</v>
      </c>
      <c r="E566" s="495" t="s">
        <v>2165</v>
      </c>
      <c r="F566" s="420" t="s">
        <v>2009</v>
      </c>
      <c r="G566" s="308"/>
      <c r="H566" s="300" t="str">
        <f>IF(Tableau2[[#This Row],[Moyennes]]="Absent","Absent",IF(Tableau2[[#This Row],[Moyennes]]&lt;5,"Redouble",IF(Tableau2[[#This Row],[Moyennes]]&gt;=5,"Admis"," ")))</f>
        <v>Absent</v>
      </c>
      <c r="I566" s="302"/>
      <c r="J566" s="300" t="s">
        <v>660</v>
      </c>
      <c r="K566" s="334" t="s">
        <v>390</v>
      </c>
      <c r="L566" s="64">
        <f>IF(AND(Tableau2[[#This Row],[CLASSE]]="CPU",Tableau2[[#This Row],[STATUT ]]="Admis"),1,0)</f>
        <v>0</v>
      </c>
      <c r="M566" s="64">
        <f>IF(AND(Tableau2[[#This Row],[CLASSE]]="CEU",Tableau2[[#This Row],[STATUT ]]="Admis"),1,0)</f>
        <v>0</v>
      </c>
      <c r="N566" s="64"/>
      <c r="O566" s="296"/>
      <c r="P5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7" spans="1:16" ht="21" x14ac:dyDescent="0.35">
      <c r="A567" s="310">
        <v>566</v>
      </c>
      <c r="B567" s="64" t="s">
        <v>3367</v>
      </c>
      <c r="C567" s="64" t="s">
        <v>1</v>
      </c>
      <c r="D567" s="295">
        <v>9</v>
      </c>
      <c r="E567" s="495" t="s">
        <v>2165</v>
      </c>
      <c r="F567" s="306" t="s">
        <v>2009</v>
      </c>
      <c r="G567" s="308"/>
      <c r="H567" s="300" t="str">
        <f>IF(Tableau2[[#This Row],[Moyennes]]="Absent","Absent",IF(Tableau2[[#This Row],[Moyennes]]&lt;5,"Redouble",IF(Tableau2[[#This Row],[Moyennes]]&gt;=5,"Admis"," ")))</f>
        <v>Absent</v>
      </c>
      <c r="I567" s="302"/>
      <c r="J567" s="300" t="s">
        <v>660</v>
      </c>
      <c r="K567" s="64" t="s">
        <v>390</v>
      </c>
      <c r="L567" s="64">
        <f>IF(AND(Tableau2[[#This Row],[CLASSE]]="CPU",Tableau2[[#This Row],[STATUT ]]="Admis"),1,0)</f>
        <v>0</v>
      </c>
      <c r="M567" s="64">
        <f>IF(AND(Tableau2[[#This Row],[CLASSE]]="CEU",Tableau2[[#This Row],[STATUT ]]="Admis"),1,0)</f>
        <v>0</v>
      </c>
      <c r="N567" s="64"/>
      <c r="O567" s="296"/>
      <c r="P5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8" spans="1:16" ht="21" x14ac:dyDescent="0.35">
      <c r="A568" s="310">
        <v>567</v>
      </c>
      <c r="B568" s="64" t="s">
        <v>3368</v>
      </c>
      <c r="C568" s="64" t="s">
        <v>1</v>
      </c>
      <c r="D568" s="295">
        <v>9</v>
      </c>
      <c r="E568" s="495" t="s">
        <v>2165</v>
      </c>
      <c r="F568" s="306" t="s">
        <v>2009</v>
      </c>
      <c r="G568" s="308"/>
      <c r="H568" s="300" t="str">
        <f>IF(Tableau2[[#This Row],[Moyennes]]="Absent","Absent",IF(Tableau2[[#This Row],[Moyennes]]&lt;5,"Redouble",IF(Tableau2[[#This Row],[Moyennes]]&gt;=5,"Admis"," ")))</f>
        <v>Absent</v>
      </c>
      <c r="I568" s="302"/>
      <c r="J568" s="300" t="s">
        <v>660</v>
      </c>
      <c r="K568" s="334" t="s">
        <v>390</v>
      </c>
      <c r="L568" s="64">
        <f>IF(AND(Tableau2[[#This Row],[CLASSE]]="CPU",Tableau2[[#This Row],[STATUT ]]="Admis"),1,0)</f>
        <v>0</v>
      </c>
      <c r="M568" s="64">
        <f>IF(AND(Tableau2[[#This Row],[CLASSE]]="CEU",Tableau2[[#This Row],[STATUT ]]="Admis"),1,0)</f>
        <v>0</v>
      </c>
      <c r="N568" s="64"/>
      <c r="O568" s="296"/>
      <c r="P5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69" spans="1:16" ht="21" x14ac:dyDescent="0.35">
      <c r="A569" s="310">
        <v>568</v>
      </c>
      <c r="B569" s="64" t="s">
        <v>3369</v>
      </c>
      <c r="C569" s="64" t="s">
        <v>2</v>
      </c>
      <c r="D569" s="295">
        <v>10</v>
      </c>
      <c r="E569" s="495" t="s">
        <v>2165</v>
      </c>
      <c r="F569" s="306" t="s">
        <v>2009</v>
      </c>
      <c r="G569" s="308"/>
      <c r="H569" s="300" t="str">
        <f>IF(Tableau2[[#This Row],[Moyennes]]="Absent","Absent",IF(Tableau2[[#This Row],[Moyennes]]&lt;5,"Redouble",IF(Tableau2[[#This Row],[Moyennes]]&gt;=5,"Admis"," ")))</f>
        <v>Absent</v>
      </c>
      <c r="I569" s="302"/>
      <c r="J569" s="300" t="s">
        <v>660</v>
      </c>
      <c r="K569" s="64" t="s">
        <v>390</v>
      </c>
      <c r="L569" s="64">
        <f>IF(AND(Tableau2[[#This Row],[CLASSE]]="CPU",Tableau2[[#This Row],[STATUT ]]="Admis"),1,0)</f>
        <v>0</v>
      </c>
      <c r="M569" s="64">
        <f>IF(AND(Tableau2[[#This Row],[CLASSE]]="CEU",Tableau2[[#This Row],[STATUT ]]="Admis"),1,0)</f>
        <v>0</v>
      </c>
      <c r="N569" s="64"/>
      <c r="O569" s="296"/>
      <c r="P5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70" spans="1:16" ht="21" x14ac:dyDescent="0.35">
      <c r="A570" s="310">
        <v>569</v>
      </c>
      <c r="B570" s="64" t="s">
        <v>3370</v>
      </c>
      <c r="C570" s="64" t="s">
        <v>1</v>
      </c>
      <c r="D570" s="295">
        <v>9</v>
      </c>
      <c r="E570" s="495" t="s">
        <v>2165</v>
      </c>
      <c r="F570" s="306" t="s">
        <v>2009</v>
      </c>
      <c r="G570" s="308"/>
      <c r="H570" s="300" t="str">
        <f>IF(Tableau2[[#This Row],[Moyennes]]="Absent","Absent",IF(Tableau2[[#This Row],[Moyennes]]&lt;5,"Redouble",IF(Tableau2[[#This Row],[Moyennes]]&gt;=5,"Admis"," ")))</f>
        <v>Absent</v>
      </c>
      <c r="I570" s="302"/>
      <c r="J570" s="300" t="s">
        <v>660</v>
      </c>
      <c r="K570" s="334" t="s">
        <v>390</v>
      </c>
      <c r="L570" s="64">
        <f>IF(AND(Tableau2[[#This Row],[CLASSE]]="CPU",Tableau2[[#This Row],[STATUT ]]="Admis"),1,0)</f>
        <v>0</v>
      </c>
      <c r="M570" s="64">
        <f>IF(AND(Tableau2[[#This Row],[CLASSE]]="CEU",Tableau2[[#This Row],[STATUT ]]="Admis"),1,0)</f>
        <v>0</v>
      </c>
      <c r="N570" s="64"/>
      <c r="O570" s="296"/>
      <c r="P5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71" spans="1:16" ht="21" x14ac:dyDescent="0.35">
      <c r="A571" s="310">
        <v>570</v>
      </c>
      <c r="B571" s="411" t="s">
        <v>3371</v>
      </c>
      <c r="C571" s="64" t="s">
        <v>2</v>
      </c>
      <c r="D571" s="295">
        <v>9</v>
      </c>
      <c r="E571" s="495" t="s">
        <v>2165</v>
      </c>
      <c r="F571" s="306" t="s">
        <v>2009</v>
      </c>
      <c r="G571" s="308"/>
      <c r="H571" s="300" t="str">
        <f>IF(Tableau2[[#This Row],[Moyennes]]="Absent","Absent",IF(Tableau2[[#This Row],[Moyennes]]&lt;5,"Redouble",IF(Tableau2[[#This Row],[Moyennes]]&gt;=5,"Admis"," ")))</f>
        <v>Absent</v>
      </c>
      <c r="I571" s="302"/>
      <c r="J571" s="300" t="s">
        <v>660</v>
      </c>
      <c r="K571" s="64" t="s">
        <v>390</v>
      </c>
      <c r="L571" s="64">
        <f>IF(AND(Tableau2[[#This Row],[CLASSE]]="CPU",Tableau2[[#This Row],[STATUT ]]="Admis"),1,0)</f>
        <v>0</v>
      </c>
      <c r="M571" s="64">
        <f>IF(AND(Tableau2[[#This Row],[CLASSE]]="CEU",Tableau2[[#This Row],[STATUT ]]="Admis"),1,0)</f>
        <v>0</v>
      </c>
      <c r="N571" s="64"/>
      <c r="O571" s="296"/>
      <c r="P5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72" spans="1:16" ht="21" x14ac:dyDescent="0.35">
      <c r="A572" s="310">
        <v>571</v>
      </c>
      <c r="B572" s="64" t="s">
        <v>3372</v>
      </c>
      <c r="C572" s="64" t="s">
        <v>2</v>
      </c>
      <c r="D572" s="295">
        <v>9</v>
      </c>
      <c r="E572" s="495" t="s">
        <v>2165</v>
      </c>
      <c r="F572" s="306" t="s">
        <v>2009</v>
      </c>
      <c r="G572" s="308"/>
      <c r="H572" s="300" t="str">
        <f>IF(Tableau2[[#This Row],[Moyennes]]="Absent","Absent",IF(Tableau2[[#This Row],[Moyennes]]&lt;5,"Redouble",IF(Tableau2[[#This Row],[Moyennes]]&gt;=5,"Admis"," ")))</f>
        <v>Absent</v>
      </c>
      <c r="I572" s="302"/>
      <c r="J572" s="300" t="s">
        <v>660</v>
      </c>
      <c r="K572" s="334" t="s">
        <v>390</v>
      </c>
      <c r="L572" s="64">
        <f>IF(AND(Tableau2[[#This Row],[CLASSE]]="CPU",Tableau2[[#This Row],[STATUT ]]="Admis"),1,0)</f>
        <v>0</v>
      </c>
      <c r="M572" s="64">
        <f>IF(AND(Tableau2[[#This Row],[CLASSE]]="CEU",Tableau2[[#This Row],[STATUT ]]="Admis"),1,0)</f>
        <v>0</v>
      </c>
      <c r="N572" s="64"/>
      <c r="O572" s="296"/>
      <c r="P5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73" spans="1:16" ht="21" x14ac:dyDescent="0.35">
      <c r="A573" s="310">
        <v>572</v>
      </c>
      <c r="B573" s="64" t="s">
        <v>3373</v>
      </c>
      <c r="C573" s="64" t="s">
        <v>1</v>
      </c>
      <c r="D573" s="295">
        <v>9</v>
      </c>
      <c r="E573" s="495" t="s">
        <v>2165</v>
      </c>
      <c r="F573" s="306" t="s">
        <v>2009</v>
      </c>
      <c r="G573" s="294"/>
      <c r="H573" s="300" t="str">
        <f>IF(Tableau2[[#This Row],[Moyennes]]="Absent","Absent",IF(Tableau2[[#This Row],[Moyennes]]&lt;5,"Redouble",IF(Tableau2[[#This Row],[Moyennes]]&gt;=5,"Admis"," ")))</f>
        <v>Absent</v>
      </c>
      <c r="I573" s="302"/>
      <c r="J573" s="300" t="s">
        <v>660</v>
      </c>
      <c r="K573" s="64" t="s">
        <v>390</v>
      </c>
      <c r="L573" s="64">
        <f>IF(AND(Tableau2[[#This Row],[CLASSE]]="CPU",Tableau2[[#This Row],[STATUT ]]="Admis"),1,0)</f>
        <v>0</v>
      </c>
      <c r="M573" s="64">
        <f>IF(AND(Tableau2[[#This Row],[CLASSE]]="CEU",Tableau2[[#This Row],[STATUT ]]="Admis"),1,0)</f>
        <v>0</v>
      </c>
      <c r="N573" s="64"/>
      <c r="O573" s="296"/>
      <c r="P5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74" spans="1:16" ht="21" x14ac:dyDescent="0.35">
      <c r="A574" s="310">
        <v>573</v>
      </c>
      <c r="B574" s="64" t="s">
        <v>3374</v>
      </c>
      <c r="C574" s="64" t="s">
        <v>1</v>
      </c>
      <c r="D574" s="295">
        <v>10</v>
      </c>
      <c r="E574" s="495" t="s">
        <v>2165</v>
      </c>
      <c r="F574" s="306" t="s">
        <v>2009</v>
      </c>
      <c r="G574" s="294"/>
      <c r="H574" s="300" t="str">
        <f>IF(Tableau2[[#This Row],[Moyennes]]="Absent","Absent",IF(Tableau2[[#This Row],[Moyennes]]&lt;5,"Redouble",IF(Tableau2[[#This Row],[Moyennes]]&gt;=5,"Admis"," ")))</f>
        <v>Absent</v>
      </c>
      <c r="I574" s="302"/>
      <c r="J574" s="300" t="s">
        <v>660</v>
      </c>
      <c r="K574" s="334" t="s">
        <v>390</v>
      </c>
      <c r="L574" s="64">
        <f>IF(AND(Tableau2[[#This Row],[CLASSE]]="CPU",Tableau2[[#This Row],[STATUT ]]="Admis"),1,0)</f>
        <v>0</v>
      </c>
      <c r="M574" s="64">
        <f>IF(AND(Tableau2[[#This Row],[CLASSE]]="CEU",Tableau2[[#This Row],[STATUT ]]="Admis"),1,0)</f>
        <v>0</v>
      </c>
      <c r="N574" s="64"/>
      <c r="O574" s="296"/>
      <c r="P5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575" spans="1:16" ht="21" x14ac:dyDescent="0.35">
      <c r="A575" s="310">
        <v>574</v>
      </c>
      <c r="B575" s="64" t="s">
        <v>2710</v>
      </c>
      <c r="C575" s="64" t="s">
        <v>1</v>
      </c>
      <c r="D575" s="295">
        <v>10</v>
      </c>
      <c r="E575" s="417">
        <v>8.77</v>
      </c>
      <c r="F575" s="306" t="s">
        <v>2009</v>
      </c>
      <c r="G575" s="294"/>
      <c r="H575" s="402" t="str">
        <f>IF(Tableau2[[#This Row],[Moyennes]]="Absent","Absent",IF(Tableau2[[#This Row],[Moyennes]]&lt;5,"Redouble",IF(Tableau2[[#This Row],[Moyennes]]&gt;=5,"Admis"," ")))</f>
        <v>Admis</v>
      </c>
      <c r="I575" s="302"/>
      <c r="J575" s="300" t="s">
        <v>661</v>
      </c>
      <c r="K575" s="64" t="s">
        <v>2724</v>
      </c>
      <c r="L575" s="64">
        <f>IF(AND(Tableau2[[#This Row],[CLASSE]]="CPU",Tableau2[[#This Row],[STATUT ]]="Admis"),1,0)</f>
        <v>1</v>
      </c>
      <c r="M575" s="64">
        <f>IF(AND(Tableau2[[#This Row],[CLASSE]]="CEU",Tableau2[[#This Row],[STATUT ]]="Admis"),1,0)</f>
        <v>0</v>
      </c>
      <c r="N575" s="64"/>
      <c r="O575" s="296"/>
      <c r="P5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76" spans="1:16" ht="21" x14ac:dyDescent="0.35">
      <c r="A576" s="310">
        <v>575</v>
      </c>
      <c r="B576" s="64" t="s">
        <v>2478</v>
      </c>
      <c r="C576" s="64" t="s">
        <v>1</v>
      </c>
      <c r="D576" s="295">
        <v>9</v>
      </c>
      <c r="E576" s="299">
        <v>8.77</v>
      </c>
      <c r="F576" s="306" t="s">
        <v>2009</v>
      </c>
      <c r="G576" s="300"/>
      <c r="H576" s="402" t="str">
        <f>IF(Tableau2[[#This Row],[Moyennes]]="Absent","Absent",IF(Tableau2[[#This Row],[Moyennes]]&lt;5,"Redouble",IF(Tableau2[[#This Row],[Moyennes]]&gt;=5,"Admis"," ")))</f>
        <v>Admis</v>
      </c>
      <c r="I576" s="302"/>
      <c r="J576" s="300" t="s">
        <v>661</v>
      </c>
      <c r="K576" s="334" t="s">
        <v>2724</v>
      </c>
      <c r="L576" s="64">
        <f>IF(AND(Tableau2[[#This Row],[CLASSE]]="CPU",Tableau2[[#This Row],[STATUT ]]="Admis"),1,0)</f>
        <v>1</v>
      </c>
      <c r="M576" s="64">
        <f>IF(AND(Tableau2[[#This Row],[CLASSE]]="CEU",Tableau2[[#This Row],[STATUT ]]="Admis"),1,0)</f>
        <v>0</v>
      </c>
      <c r="N576" s="64"/>
      <c r="O576" s="296"/>
      <c r="P5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77" spans="1:16" ht="21" x14ac:dyDescent="0.35">
      <c r="A577" s="310">
        <v>576</v>
      </c>
      <c r="B577" s="64" t="s">
        <v>2711</v>
      </c>
      <c r="C577" s="64" t="s">
        <v>1</v>
      </c>
      <c r="D577" s="295">
        <v>10</v>
      </c>
      <c r="E577" s="417">
        <v>7</v>
      </c>
      <c r="F577" s="306" t="s">
        <v>2009</v>
      </c>
      <c r="G577" s="302"/>
      <c r="H577" s="402" t="str">
        <f>IF(Tableau2[[#This Row],[Moyennes]]="Absent","Absent",IF(Tableau2[[#This Row],[Moyennes]]&lt;5,"Redouble",IF(Tableau2[[#This Row],[Moyennes]]&gt;=5,"Admis"," ")))</f>
        <v>Admis</v>
      </c>
      <c r="I577" s="302"/>
      <c r="J577" s="300" t="s">
        <v>661</v>
      </c>
      <c r="K577" s="64" t="s">
        <v>2724</v>
      </c>
      <c r="L577" s="64">
        <f>IF(AND(Tableau2[[#This Row],[CLASSE]]="CPU",Tableau2[[#This Row],[STATUT ]]="Admis"),1,0)</f>
        <v>1</v>
      </c>
      <c r="M577" s="64">
        <f>IF(AND(Tableau2[[#This Row],[CLASSE]]="CEU",Tableau2[[#This Row],[STATUT ]]="Admis"),1,0)</f>
        <v>0</v>
      </c>
      <c r="N577" s="64"/>
      <c r="O577" s="296"/>
      <c r="P5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78" spans="1:16" ht="21" x14ac:dyDescent="0.35">
      <c r="A578" s="310">
        <v>577</v>
      </c>
      <c r="B578" s="64" t="s">
        <v>2713</v>
      </c>
      <c r="C578" s="64" t="s">
        <v>1</v>
      </c>
      <c r="D578" s="295">
        <v>10</v>
      </c>
      <c r="E578" s="417">
        <v>9.33</v>
      </c>
      <c r="F578" s="306" t="s">
        <v>2009</v>
      </c>
      <c r="G578" s="302"/>
      <c r="H578" s="402" t="str">
        <f>IF(Tableau2[[#This Row],[Moyennes]]="Absent","Absent",IF(Tableau2[[#This Row],[Moyennes]]&lt;5,"Redouble",IF(Tableau2[[#This Row],[Moyennes]]&gt;=5,"Admis"," ")))</f>
        <v>Admis</v>
      </c>
      <c r="I578" s="302"/>
      <c r="J578" s="300" t="s">
        <v>661</v>
      </c>
      <c r="K578" s="334" t="s">
        <v>2724</v>
      </c>
      <c r="L578" s="64">
        <f>IF(AND(Tableau2[[#This Row],[CLASSE]]="CPU",Tableau2[[#This Row],[STATUT ]]="Admis"),1,0)</f>
        <v>1</v>
      </c>
      <c r="M578" s="64">
        <f>IF(AND(Tableau2[[#This Row],[CLASSE]]="CEU",Tableau2[[#This Row],[STATUT ]]="Admis"),1,0)</f>
        <v>0</v>
      </c>
      <c r="N578" s="64"/>
      <c r="O578" s="296"/>
      <c r="P5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79" spans="1:16" ht="17" x14ac:dyDescent="0.4">
      <c r="A579" s="310">
        <v>578</v>
      </c>
      <c r="B579" s="64" t="s">
        <v>2479</v>
      </c>
      <c r="C579" s="64" t="s">
        <v>1</v>
      </c>
      <c r="D579" s="295">
        <v>9</v>
      </c>
      <c r="E579" s="461">
        <v>6.77</v>
      </c>
      <c r="F579" s="306" t="s">
        <v>2009</v>
      </c>
      <c r="G579" s="64"/>
      <c r="H579" s="402" t="str">
        <f>IF(Tableau2[[#This Row],[Moyennes]]="Absent","Absent",IF(Tableau2[[#This Row],[Moyennes]]&lt;5,"Redouble",IF(Tableau2[[#This Row],[Moyennes]]&gt;=5,"Admis"," ")))</f>
        <v>Admis</v>
      </c>
      <c r="I579" s="300"/>
      <c r="J579" s="300" t="s">
        <v>661</v>
      </c>
      <c r="K579" s="64" t="s">
        <v>2724</v>
      </c>
      <c r="L579" s="64">
        <f>IF(AND(Tableau2[[#This Row],[CLASSE]]="CPU",Tableau2[[#This Row],[STATUT ]]="Admis"),1,0)</f>
        <v>1</v>
      </c>
      <c r="M579" s="64">
        <f>IF(AND(Tableau2[[#This Row],[CLASSE]]="CEU",Tableau2[[#This Row],[STATUT ]]="Admis"),1,0)</f>
        <v>0</v>
      </c>
      <c r="N579" s="64"/>
      <c r="O579" s="296"/>
      <c r="P5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0" spans="1:16" ht="17" x14ac:dyDescent="0.4">
      <c r="A580" s="310">
        <v>579</v>
      </c>
      <c r="B580" s="64" t="s">
        <v>2714</v>
      </c>
      <c r="C580" s="64" t="s">
        <v>1</v>
      </c>
      <c r="D580" s="295">
        <v>9</v>
      </c>
      <c r="E580" s="461">
        <v>2.88</v>
      </c>
      <c r="F580" s="306" t="s">
        <v>2009</v>
      </c>
      <c r="G580" s="64"/>
      <c r="H580" s="402" t="str">
        <f>IF(Tableau2[[#This Row],[Moyennes]]="Absent","Absent",IF(Tableau2[[#This Row],[Moyennes]]&lt;5,"Redouble",IF(Tableau2[[#This Row],[Moyennes]]&gt;=5,"Admis"," ")))</f>
        <v>Redouble</v>
      </c>
      <c r="I580" s="300"/>
      <c r="J580" s="300" t="s">
        <v>661</v>
      </c>
      <c r="K580" s="334" t="s">
        <v>2724</v>
      </c>
      <c r="L580" s="64">
        <f>IF(AND(Tableau2[[#This Row],[CLASSE]]="CPU",Tableau2[[#This Row],[STATUT ]]="Admis"),1,0)</f>
        <v>0</v>
      </c>
      <c r="M580" s="64">
        <f>IF(AND(Tableau2[[#This Row],[CLASSE]]="CEU",Tableau2[[#This Row],[STATUT ]]="Admis"),1,0)</f>
        <v>0</v>
      </c>
      <c r="N580" s="64"/>
      <c r="O580" s="296"/>
      <c r="P5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81" spans="1:16" ht="17" x14ac:dyDescent="0.35">
      <c r="A581" s="310">
        <v>580</v>
      </c>
      <c r="B581" s="64" t="s">
        <v>2481</v>
      </c>
      <c r="C581" s="64" t="s">
        <v>2</v>
      </c>
      <c r="D581" s="295">
        <v>12</v>
      </c>
      <c r="E581" s="299">
        <v>9.2200000000000006</v>
      </c>
      <c r="F581" s="306" t="s">
        <v>2009</v>
      </c>
      <c r="G581" s="64"/>
      <c r="H581" s="402" t="str">
        <f>IF(Tableau2[[#This Row],[Moyennes]]="Absent","Absent",IF(Tableau2[[#This Row],[Moyennes]]&lt;5,"Redouble",IF(Tableau2[[#This Row],[Moyennes]]&gt;=5,"Admis"," ")))</f>
        <v>Admis</v>
      </c>
      <c r="I581" s="64"/>
      <c r="J581" s="300" t="s">
        <v>661</v>
      </c>
      <c r="K581" s="64" t="s">
        <v>2724</v>
      </c>
      <c r="L581" s="64">
        <f>IF(AND(Tableau2[[#This Row],[CLASSE]]="CPU",Tableau2[[#This Row],[STATUT ]]="Admis"),1,0)</f>
        <v>1</v>
      </c>
      <c r="M581" s="64">
        <f>IF(AND(Tableau2[[#This Row],[CLASSE]]="CEU",Tableau2[[#This Row],[STATUT ]]="Admis"),1,0)</f>
        <v>0</v>
      </c>
      <c r="N581" s="64"/>
      <c r="O581" s="296"/>
      <c r="P5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582" spans="1:16" ht="17" x14ac:dyDescent="0.35">
      <c r="A582" s="310">
        <v>581</v>
      </c>
      <c r="B582" s="64" t="s">
        <v>2482</v>
      </c>
      <c r="C582" s="64" t="s">
        <v>1</v>
      </c>
      <c r="D582" s="295">
        <v>10</v>
      </c>
      <c r="E582" s="299">
        <v>8.8800000000000008</v>
      </c>
      <c r="F582" s="306" t="s">
        <v>2009</v>
      </c>
      <c r="G582" s="64"/>
      <c r="H582" s="402" t="str">
        <f>IF(Tableau2[[#This Row],[Moyennes]]="Absent","Absent",IF(Tableau2[[#This Row],[Moyennes]]&lt;5,"Redouble",IF(Tableau2[[#This Row],[Moyennes]]&gt;=5,"Admis"," ")))</f>
        <v>Admis</v>
      </c>
      <c r="I582" s="64"/>
      <c r="J582" s="300" t="s">
        <v>661</v>
      </c>
      <c r="K582" s="334" t="s">
        <v>2724</v>
      </c>
      <c r="L582" s="64">
        <f>IF(AND(Tableau2[[#This Row],[CLASSE]]="CPU",Tableau2[[#This Row],[STATUT ]]="Admis"),1,0)</f>
        <v>1</v>
      </c>
      <c r="M582" s="64">
        <f>IF(AND(Tableau2[[#This Row],[CLASSE]]="CEU",Tableau2[[#This Row],[STATUT ]]="Admis"),1,0)</f>
        <v>0</v>
      </c>
      <c r="N582" s="64"/>
      <c r="O582" s="296"/>
      <c r="P5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3" spans="1:16" ht="17" x14ac:dyDescent="0.35">
      <c r="A583" s="310">
        <v>582</v>
      </c>
      <c r="B583" s="64" t="s">
        <v>2715</v>
      </c>
      <c r="C583" s="64" t="s">
        <v>1</v>
      </c>
      <c r="D583" s="295">
        <v>12</v>
      </c>
      <c r="E583" s="299">
        <v>8.8800000000000008</v>
      </c>
      <c r="F583" s="306" t="s">
        <v>2009</v>
      </c>
      <c r="G583" s="64"/>
      <c r="H583" s="402" t="str">
        <f>IF(Tableau2[[#This Row],[Moyennes]]="Absent","Absent",IF(Tableau2[[#This Row],[Moyennes]]&lt;5,"Redouble",IF(Tableau2[[#This Row],[Moyennes]]&gt;=5,"Admis"," ")))</f>
        <v>Admis</v>
      </c>
      <c r="I583" s="64"/>
      <c r="J583" s="300" t="s">
        <v>661</v>
      </c>
      <c r="K583" s="64" t="s">
        <v>2724</v>
      </c>
      <c r="L583" s="64">
        <f>IF(AND(Tableau2[[#This Row],[CLASSE]]="CPU",Tableau2[[#This Row],[STATUT ]]="Admis"),1,0)</f>
        <v>1</v>
      </c>
      <c r="M583" s="64">
        <f>IF(AND(Tableau2[[#This Row],[CLASSE]]="CEU",Tableau2[[#This Row],[STATUT ]]="Admis"),1,0)</f>
        <v>0</v>
      </c>
      <c r="N583" s="64"/>
      <c r="O583" s="296"/>
      <c r="P5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584" spans="1:16" ht="17" x14ac:dyDescent="0.35">
      <c r="A584" s="310">
        <v>583</v>
      </c>
      <c r="B584" s="64" t="s">
        <v>2716</v>
      </c>
      <c r="C584" s="64" t="s">
        <v>2</v>
      </c>
      <c r="D584" s="295">
        <v>9</v>
      </c>
      <c r="E584" s="299">
        <v>9</v>
      </c>
      <c r="F584" s="306" t="s">
        <v>2009</v>
      </c>
      <c r="G584" s="64"/>
      <c r="H584" s="402" t="str">
        <f>IF(Tableau2[[#This Row],[Moyennes]]="Absent","Absent",IF(Tableau2[[#This Row],[Moyennes]]&lt;5,"Redouble",IF(Tableau2[[#This Row],[Moyennes]]&gt;=5,"Admis"," ")))</f>
        <v>Admis</v>
      </c>
      <c r="I584" s="64"/>
      <c r="J584" s="300" t="s">
        <v>661</v>
      </c>
      <c r="K584" s="334" t="s">
        <v>2724</v>
      </c>
      <c r="L584" s="64">
        <f>IF(AND(Tableau2[[#This Row],[CLASSE]]="CPU",Tableau2[[#This Row],[STATUT ]]="Admis"),1,0)</f>
        <v>1</v>
      </c>
      <c r="M584" s="64">
        <f>IF(AND(Tableau2[[#This Row],[CLASSE]]="CEU",Tableau2[[#This Row],[STATUT ]]="Admis"),1,0)</f>
        <v>0</v>
      </c>
      <c r="N584" s="64"/>
      <c r="O584" s="296"/>
      <c r="P5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5" spans="1:16" ht="17" x14ac:dyDescent="0.35">
      <c r="A585" s="310">
        <v>584</v>
      </c>
      <c r="B585" s="64" t="s">
        <v>2483</v>
      </c>
      <c r="C585" s="64" t="s">
        <v>1</v>
      </c>
      <c r="D585" s="295">
        <v>9</v>
      </c>
      <c r="E585" s="417">
        <v>6.66</v>
      </c>
      <c r="F585" s="306" t="s">
        <v>2009</v>
      </c>
      <c r="G585" s="300"/>
      <c r="H585" s="402" t="str">
        <f>IF(Tableau2[[#This Row],[Moyennes]]="Absent","Absent",IF(Tableau2[[#This Row],[Moyennes]]&lt;5,"Redouble",IF(Tableau2[[#This Row],[Moyennes]]&gt;=5,"Admis"," ")))</f>
        <v>Admis</v>
      </c>
      <c r="I585" s="300"/>
      <c r="J585" s="300" t="s">
        <v>661</v>
      </c>
      <c r="K585" s="64" t="s">
        <v>2724</v>
      </c>
      <c r="L585" s="64">
        <f>IF(AND(Tableau2[[#This Row],[CLASSE]]="CPU",Tableau2[[#This Row],[STATUT ]]="Admis"),1,0)</f>
        <v>1</v>
      </c>
      <c r="M585" s="64">
        <f>IF(AND(Tableau2[[#This Row],[CLASSE]]="CEU",Tableau2[[#This Row],[STATUT ]]="Admis"),1,0)</f>
        <v>0</v>
      </c>
      <c r="N585" s="64"/>
      <c r="O585" s="296"/>
      <c r="P5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6" spans="1:16" ht="17" x14ac:dyDescent="0.35">
      <c r="A586" s="310">
        <v>585</v>
      </c>
      <c r="B586" s="64" t="s">
        <v>2484</v>
      </c>
      <c r="C586" s="64" t="s">
        <v>1</v>
      </c>
      <c r="D586" s="295">
        <v>9</v>
      </c>
      <c r="E586" s="299">
        <v>9.44</v>
      </c>
      <c r="F586" s="306" t="s">
        <v>2009</v>
      </c>
      <c r="G586" s="300"/>
      <c r="H586" s="402" t="str">
        <f>IF(Tableau2[[#This Row],[Moyennes]]="Absent","Absent",IF(Tableau2[[#This Row],[Moyennes]]&lt;5,"Redouble",IF(Tableau2[[#This Row],[Moyennes]]&gt;=5,"Admis"," ")))</f>
        <v>Admis</v>
      </c>
      <c r="I586" s="300"/>
      <c r="J586" s="300" t="s">
        <v>661</v>
      </c>
      <c r="K586" s="334" t="s">
        <v>2724</v>
      </c>
      <c r="L586" s="64">
        <f>IF(AND(Tableau2[[#This Row],[CLASSE]]="CPU",Tableau2[[#This Row],[STATUT ]]="Admis"),1,0)</f>
        <v>1</v>
      </c>
      <c r="M586" s="64">
        <f>IF(AND(Tableau2[[#This Row],[CLASSE]]="CEU",Tableau2[[#This Row],[STATUT ]]="Admis"),1,0)</f>
        <v>0</v>
      </c>
      <c r="N586" s="64"/>
      <c r="O586" s="296"/>
      <c r="P5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7" spans="1:16" ht="17" x14ac:dyDescent="0.35">
      <c r="A587" s="310">
        <v>586</v>
      </c>
      <c r="B587" s="64" t="s">
        <v>2717</v>
      </c>
      <c r="C587" s="64" t="s">
        <v>2</v>
      </c>
      <c r="D587" s="295">
        <v>9</v>
      </c>
      <c r="E587" s="299">
        <v>9.44</v>
      </c>
      <c r="F587" s="306" t="s">
        <v>2009</v>
      </c>
      <c r="G587" s="300"/>
      <c r="H587" s="402" t="str">
        <f>IF(Tableau2[[#This Row],[Moyennes]]="Absent","Absent",IF(Tableau2[[#This Row],[Moyennes]]&lt;5,"Redouble",IF(Tableau2[[#This Row],[Moyennes]]&gt;=5,"Admis"," ")))</f>
        <v>Admis</v>
      </c>
      <c r="I587" s="300"/>
      <c r="J587" s="300" t="s">
        <v>661</v>
      </c>
      <c r="K587" s="64" t="s">
        <v>2724</v>
      </c>
      <c r="L587" s="64">
        <f>IF(AND(Tableau2[[#This Row],[CLASSE]]="CPU",Tableau2[[#This Row],[STATUT ]]="Admis"),1,0)</f>
        <v>1</v>
      </c>
      <c r="M587" s="64">
        <f>IF(AND(Tableau2[[#This Row],[CLASSE]]="CEU",Tableau2[[#This Row],[STATUT ]]="Admis"),1,0)</f>
        <v>0</v>
      </c>
      <c r="N587" s="64"/>
      <c r="O587" s="296"/>
      <c r="P5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8" spans="1:16" ht="17" x14ac:dyDescent="0.35">
      <c r="A588" s="310">
        <v>587</v>
      </c>
      <c r="B588" s="64" t="s">
        <v>2485</v>
      </c>
      <c r="C588" s="64" t="s">
        <v>1</v>
      </c>
      <c r="D588" s="295">
        <v>9</v>
      </c>
      <c r="E588" s="417">
        <v>7.55</v>
      </c>
      <c r="F588" s="306" t="s">
        <v>2009</v>
      </c>
      <c r="G588" s="300"/>
      <c r="H588" s="402" t="str">
        <f>IF(Tableau2[[#This Row],[Moyennes]]="Absent","Absent",IF(Tableau2[[#This Row],[Moyennes]]&lt;5,"Redouble",IF(Tableau2[[#This Row],[Moyennes]]&gt;=5,"Admis"," ")))</f>
        <v>Admis</v>
      </c>
      <c r="I588" s="300"/>
      <c r="J588" s="300" t="s">
        <v>661</v>
      </c>
      <c r="K588" s="334" t="s">
        <v>2724</v>
      </c>
      <c r="L588" s="64">
        <f>IF(AND(Tableau2[[#This Row],[CLASSE]]="CPU",Tableau2[[#This Row],[STATUT ]]="Admis"),1,0)</f>
        <v>1</v>
      </c>
      <c r="M588" s="64">
        <f>IF(AND(Tableau2[[#This Row],[CLASSE]]="CEU",Tableau2[[#This Row],[STATUT ]]="Admis"),1,0)</f>
        <v>0</v>
      </c>
      <c r="N588" s="64"/>
      <c r="O588" s="296"/>
      <c r="P5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89" spans="1:16" ht="15.5" x14ac:dyDescent="0.35">
      <c r="A589" s="310">
        <v>588</v>
      </c>
      <c r="B589" s="64" t="s">
        <v>3491</v>
      </c>
      <c r="C589" s="64" t="s">
        <v>1</v>
      </c>
      <c r="D589" s="295">
        <v>9</v>
      </c>
      <c r="E589" s="300">
        <v>8.41</v>
      </c>
      <c r="F589" s="306" t="s">
        <v>2009</v>
      </c>
      <c r="G589" s="300"/>
      <c r="H589" s="402" t="str">
        <f>IF(Tableau2[[#This Row],[Moyennes]]="Absent","Absent",IF(Tableau2[[#This Row],[Moyennes]]&lt;5,"Redouble",IF(Tableau2[[#This Row],[Moyennes]]&gt;=5,"Admis"," ")))</f>
        <v>Admis</v>
      </c>
      <c r="I589" s="300"/>
      <c r="J589" s="300" t="s">
        <v>661</v>
      </c>
      <c r="K589" s="64" t="s">
        <v>2724</v>
      </c>
      <c r="L589" s="64">
        <f>IF(AND(Tableau2[[#This Row],[CLASSE]]="CPU",Tableau2[[#This Row],[STATUT ]]="Admis"),1,0)</f>
        <v>1</v>
      </c>
      <c r="M589" s="64">
        <f>IF(AND(Tableau2[[#This Row],[CLASSE]]="CEU",Tableau2[[#This Row],[STATUT ]]="Admis"),1,0)</f>
        <v>0</v>
      </c>
      <c r="N589" s="64"/>
      <c r="O589" s="296"/>
      <c r="P5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90" spans="1:16" ht="15.5" x14ac:dyDescent="0.35">
      <c r="A590" s="310">
        <v>589</v>
      </c>
      <c r="B590" s="64" t="s">
        <v>2718</v>
      </c>
      <c r="C590" s="64" t="s">
        <v>2</v>
      </c>
      <c r="D590" s="295">
        <v>10</v>
      </c>
      <c r="E590" s="300">
        <v>8.5500000000000007</v>
      </c>
      <c r="F590" s="306" t="s">
        <v>2009</v>
      </c>
      <c r="G590" s="300"/>
      <c r="H590" s="402" t="str">
        <f>IF(Tableau2[[#This Row],[Moyennes]]="Absent","Absent",IF(Tableau2[[#This Row],[Moyennes]]&lt;5,"Redouble",IF(Tableau2[[#This Row],[Moyennes]]&gt;=5,"Admis"," ")))</f>
        <v>Admis</v>
      </c>
      <c r="I590" s="300"/>
      <c r="J590" s="300" t="s">
        <v>661</v>
      </c>
      <c r="K590" s="334" t="s">
        <v>2724</v>
      </c>
      <c r="L590" s="64">
        <f>IF(AND(Tableau2[[#This Row],[CLASSE]]="CPU",Tableau2[[#This Row],[STATUT ]]="Admis"),1,0)</f>
        <v>1</v>
      </c>
      <c r="M590" s="64">
        <f>IF(AND(Tableau2[[#This Row],[CLASSE]]="CEU",Tableau2[[#This Row],[STATUT ]]="Admis"),1,0)</f>
        <v>0</v>
      </c>
      <c r="N590" s="64"/>
      <c r="O590" s="296"/>
      <c r="P5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91" spans="1:16" ht="17" x14ac:dyDescent="0.35">
      <c r="A591" s="310">
        <v>590</v>
      </c>
      <c r="B591" s="64" t="s">
        <v>2719</v>
      </c>
      <c r="C591" s="64" t="s">
        <v>1</v>
      </c>
      <c r="D591" s="295">
        <v>12</v>
      </c>
      <c r="E591" s="299">
        <v>9.33</v>
      </c>
      <c r="F591" s="306" t="s">
        <v>2009</v>
      </c>
      <c r="G591" s="64"/>
      <c r="H591" s="402" t="str">
        <f>IF(Tableau2[[#This Row],[Moyennes]]="Absent","Absent",IF(Tableau2[[#This Row],[Moyennes]]&lt;5,"Redouble",IF(Tableau2[[#This Row],[Moyennes]]&gt;=5,"Admis"," ")))</f>
        <v>Admis</v>
      </c>
      <c r="I591" s="64"/>
      <c r="J591" s="300" t="s">
        <v>661</v>
      </c>
      <c r="K591" s="64" t="s">
        <v>2724</v>
      </c>
      <c r="L591" s="64">
        <f>IF(AND(Tableau2[[#This Row],[CLASSE]]="CPU",Tableau2[[#This Row],[STATUT ]]="Admis"),1,0)</f>
        <v>1</v>
      </c>
      <c r="M591" s="64">
        <f>IF(AND(Tableau2[[#This Row],[CLASSE]]="CEU",Tableau2[[#This Row],[STATUT ]]="Admis"),1,0)</f>
        <v>0</v>
      </c>
      <c r="N591" s="64"/>
      <c r="O591" s="296"/>
      <c r="P5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592" spans="1:16" ht="17" x14ac:dyDescent="0.35">
      <c r="A592" s="310">
        <v>591</v>
      </c>
      <c r="B592" s="64" t="s">
        <v>2720</v>
      </c>
      <c r="C592" s="64" t="s">
        <v>1</v>
      </c>
      <c r="D592" s="295">
        <v>11</v>
      </c>
      <c r="E592" s="417">
        <v>5.88</v>
      </c>
      <c r="F592" s="306" t="s">
        <v>2009</v>
      </c>
      <c r="G592" s="64"/>
      <c r="H592" s="402" t="str">
        <f>IF(Tableau2[[#This Row],[Moyennes]]="Absent","Absent",IF(Tableau2[[#This Row],[Moyennes]]&lt;5,"Redouble",IF(Tableau2[[#This Row],[Moyennes]]&gt;=5,"Admis"," ")))</f>
        <v>Admis</v>
      </c>
      <c r="I592" s="64"/>
      <c r="J592" s="300" t="s">
        <v>661</v>
      </c>
      <c r="K592" s="334" t="s">
        <v>2724</v>
      </c>
      <c r="L592" s="64">
        <f>IF(AND(Tableau2[[#This Row],[CLASSE]]="CPU",Tableau2[[#This Row],[STATUT ]]="Admis"),1,0)</f>
        <v>1</v>
      </c>
      <c r="M592" s="64">
        <f>IF(AND(Tableau2[[#This Row],[CLASSE]]="CEU",Tableau2[[#This Row],[STATUT ]]="Admis"),1,0)</f>
        <v>0</v>
      </c>
      <c r="N592" s="64"/>
      <c r="O592" s="296"/>
      <c r="P5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93" spans="1:16" ht="17" x14ac:dyDescent="0.35">
      <c r="A593" s="310">
        <v>592</v>
      </c>
      <c r="B593" s="64" t="s">
        <v>2722</v>
      </c>
      <c r="C593" s="64" t="s">
        <v>2</v>
      </c>
      <c r="D593" s="295">
        <v>9</v>
      </c>
      <c r="E593" s="417">
        <v>8.66</v>
      </c>
      <c r="F593" s="306" t="s">
        <v>2009</v>
      </c>
      <c r="G593" s="64"/>
      <c r="H593" s="402" t="str">
        <f>IF(Tableau2[[#This Row],[Moyennes]]="Absent","Absent",IF(Tableau2[[#This Row],[Moyennes]]&lt;5,"Redouble",IF(Tableau2[[#This Row],[Moyennes]]&gt;=5,"Admis"," ")))</f>
        <v>Admis</v>
      </c>
      <c r="I593" s="64"/>
      <c r="J593" s="300" t="s">
        <v>661</v>
      </c>
      <c r="K593" s="64" t="s">
        <v>2724</v>
      </c>
      <c r="L593" s="64">
        <f>IF(AND(Tableau2[[#This Row],[CLASSE]]="CPU",Tableau2[[#This Row],[STATUT ]]="Admis"),1,0)</f>
        <v>1</v>
      </c>
      <c r="M593" s="64">
        <f>IF(AND(Tableau2[[#This Row],[CLASSE]]="CEU",Tableau2[[#This Row],[STATUT ]]="Admis"),1,0)</f>
        <v>0</v>
      </c>
      <c r="N593" s="64"/>
      <c r="O593" s="296"/>
      <c r="P5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94" spans="1:16" ht="17" x14ac:dyDescent="0.35">
      <c r="A594" s="310">
        <v>593</v>
      </c>
      <c r="B594" s="64" t="s">
        <v>2487</v>
      </c>
      <c r="C594" s="64" t="s">
        <v>2</v>
      </c>
      <c r="D594" s="295">
        <v>9</v>
      </c>
      <c r="E594" s="417">
        <v>3.33</v>
      </c>
      <c r="F594" s="306" t="s">
        <v>2009</v>
      </c>
      <c r="G594" s="64"/>
      <c r="H594" s="402" t="str">
        <f>IF(Tableau2[[#This Row],[Moyennes]]="Absent","Absent",IF(Tableau2[[#This Row],[Moyennes]]&lt;5,"Redouble",IF(Tableau2[[#This Row],[Moyennes]]&gt;=5,"Admis"," ")))</f>
        <v>Redouble</v>
      </c>
      <c r="I594" s="64"/>
      <c r="J594" s="300" t="s">
        <v>661</v>
      </c>
      <c r="K594" s="334" t="s">
        <v>2724</v>
      </c>
      <c r="L594" s="64">
        <f>IF(AND(Tableau2[[#This Row],[CLASSE]]="CPU",Tableau2[[#This Row],[STATUT ]]="Admis"),1,0)</f>
        <v>0</v>
      </c>
      <c r="M594" s="64">
        <f>IF(AND(Tableau2[[#This Row],[CLASSE]]="CEU",Tableau2[[#This Row],[STATUT ]]="Admis"),1,0)</f>
        <v>0</v>
      </c>
      <c r="N594" s="64"/>
      <c r="O594" s="296"/>
      <c r="P5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95" spans="1:16" ht="17" x14ac:dyDescent="0.35">
      <c r="A595" s="310">
        <v>594</v>
      </c>
      <c r="B595" s="64" t="s">
        <v>2721</v>
      </c>
      <c r="C595" s="64" t="s">
        <v>1</v>
      </c>
      <c r="D595" s="295">
        <v>9</v>
      </c>
      <c r="E595" s="416">
        <v>6</v>
      </c>
      <c r="F595" s="306" t="s">
        <v>2009</v>
      </c>
      <c r="G595" s="64"/>
      <c r="H595" s="402" t="str">
        <f>IF(Tableau2[[#This Row],[Moyennes]]="Absent","Absent",IF(Tableau2[[#This Row],[Moyennes]]&lt;5,"Redouble",IF(Tableau2[[#This Row],[Moyennes]]&gt;=5,"Admis"," ")))</f>
        <v>Admis</v>
      </c>
      <c r="I595" s="64"/>
      <c r="J595" s="300" t="s">
        <v>661</v>
      </c>
      <c r="K595" s="64" t="s">
        <v>2724</v>
      </c>
      <c r="L595" s="64">
        <f>IF(AND(Tableau2[[#This Row],[CLASSE]]="CPU",Tableau2[[#This Row],[STATUT ]]="Admis"),1,0)</f>
        <v>1</v>
      </c>
      <c r="M595" s="64">
        <f>IF(AND(Tableau2[[#This Row],[CLASSE]]="CEU",Tableau2[[#This Row],[STATUT ]]="Admis"),1,0)</f>
        <v>0</v>
      </c>
      <c r="N595" s="64"/>
      <c r="O595" s="296"/>
      <c r="P5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96" spans="1:16" ht="17" x14ac:dyDescent="0.35">
      <c r="A596" s="310">
        <v>595</v>
      </c>
      <c r="B596" s="64" t="s">
        <v>2488</v>
      </c>
      <c r="C596" s="64" t="s">
        <v>1</v>
      </c>
      <c r="D596" s="295">
        <v>9</v>
      </c>
      <c r="E596" s="416">
        <v>5</v>
      </c>
      <c r="F596" s="306" t="s">
        <v>2009</v>
      </c>
      <c r="G596" s="64"/>
      <c r="H596" s="402" t="str">
        <f>IF(Tableau2[[#This Row],[Moyennes]]="Absent","Absent",IF(Tableau2[[#This Row],[Moyennes]]&lt;5,"Redouble",IF(Tableau2[[#This Row],[Moyennes]]&gt;=5,"Admis"," ")))</f>
        <v>Admis</v>
      </c>
      <c r="I596" s="64"/>
      <c r="J596" s="300" t="s">
        <v>661</v>
      </c>
      <c r="K596" s="334" t="s">
        <v>2724</v>
      </c>
      <c r="L596" s="64">
        <f>IF(AND(Tableau2[[#This Row],[CLASSE]]="CPU",Tableau2[[#This Row],[STATUT ]]="Admis"),1,0)</f>
        <v>1</v>
      </c>
      <c r="M596" s="64">
        <f>IF(AND(Tableau2[[#This Row],[CLASSE]]="CEU",Tableau2[[#This Row],[STATUT ]]="Admis"),1,0)</f>
        <v>0</v>
      </c>
      <c r="N596" s="64"/>
      <c r="O596" s="296"/>
      <c r="P5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597" spans="1:16" ht="17" x14ac:dyDescent="0.35">
      <c r="A597" s="310">
        <v>596</v>
      </c>
      <c r="B597" s="64" t="s">
        <v>2480</v>
      </c>
      <c r="C597" s="64" t="s">
        <v>2</v>
      </c>
      <c r="D597" s="295">
        <v>9</v>
      </c>
      <c r="E597" s="416">
        <v>2</v>
      </c>
      <c r="F597" s="306" t="s">
        <v>2009</v>
      </c>
      <c r="G597" s="64"/>
      <c r="H597" s="402" t="str">
        <f>IF(Tableau2[[#This Row],[Moyennes]]="Absent","Absent",IF(Tableau2[[#This Row],[Moyennes]]&lt;5,"Redouble",IF(Tableau2[[#This Row],[Moyennes]]&gt;=5,"Admis"," ")))</f>
        <v>Redouble</v>
      </c>
      <c r="I597" s="64"/>
      <c r="J597" s="300" t="s">
        <v>661</v>
      </c>
      <c r="K597" s="64" t="s">
        <v>2724</v>
      </c>
      <c r="L597" s="64">
        <f>IF(AND(Tableau2[[#This Row],[CLASSE]]="CPU",Tableau2[[#This Row],[STATUT ]]="Admis"),1,0)</f>
        <v>0</v>
      </c>
      <c r="M597" s="64">
        <f>IF(AND(Tableau2[[#This Row],[CLASSE]]="CEU",Tableau2[[#This Row],[STATUT ]]="Admis"),1,0)</f>
        <v>0</v>
      </c>
      <c r="N597" s="64"/>
      <c r="O597" s="296"/>
      <c r="P5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98" spans="1:16" ht="17" x14ac:dyDescent="0.35">
      <c r="A598" s="310">
        <v>597</v>
      </c>
      <c r="B598" s="64" t="s">
        <v>2712</v>
      </c>
      <c r="C598" s="64" t="s">
        <v>2</v>
      </c>
      <c r="D598" s="295">
        <v>9</v>
      </c>
      <c r="E598" s="416">
        <v>2.88</v>
      </c>
      <c r="F598" s="306" t="s">
        <v>2009</v>
      </c>
      <c r="G598" s="64"/>
      <c r="H598" s="402" t="str">
        <f>IF(Tableau2[[#This Row],[Moyennes]]="Absent","Absent",IF(Tableau2[[#This Row],[Moyennes]]&lt;5,"Redouble",IF(Tableau2[[#This Row],[Moyennes]]&gt;=5,"Admis"," ")))</f>
        <v>Redouble</v>
      </c>
      <c r="I598" s="64"/>
      <c r="J598" s="300" t="s">
        <v>661</v>
      </c>
      <c r="K598" s="334" t="s">
        <v>2724</v>
      </c>
      <c r="L598" s="64">
        <f>IF(AND(Tableau2[[#This Row],[CLASSE]]="CPU",Tableau2[[#This Row],[STATUT ]]="Admis"),1,0)</f>
        <v>0</v>
      </c>
      <c r="M598" s="64">
        <f>IF(AND(Tableau2[[#This Row],[CLASSE]]="CEU",Tableau2[[#This Row],[STATUT ]]="Admis"),1,0)</f>
        <v>0</v>
      </c>
      <c r="N598" s="64"/>
      <c r="O598" s="296"/>
      <c r="P5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599" spans="1:16" ht="17" x14ac:dyDescent="0.35">
      <c r="A599" s="310">
        <v>598</v>
      </c>
      <c r="B599" s="64" t="s">
        <v>2723</v>
      </c>
      <c r="C599" s="64" t="s">
        <v>2</v>
      </c>
      <c r="D599" s="295">
        <v>9</v>
      </c>
      <c r="E599" s="416">
        <v>3.44</v>
      </c>
      <c r="F599" s="306" t="s">
        <v>2009</v>
      </c>
      <c r="G599" s="64"/>
      <c r="H599" s="402" t="str">
        <f>IF(Tableau2[[#This Row],[Moyennes]]="Absent","Absent",IF(Tableau2[[#This Row],[Moyennes]]&lt;5,"Redouble",IF(Tableau2[[#This Row],[Moyennes]]&gt;=5,"Admis"," ")))</f>
        <v>Redouble</v>
      </c>
      <c r="I599" s="64"/>
      <c r="J599" s="300" t="s">
        <v>661</v>
      </c>
      <c r="K599" s="64" t="s">
        <v>2724</v>
      </c>
      <c r="L599" s="64">
        <f>IF(AND(Tableau2[[#This Row],[CLASSE]]="CPU",Tableau2[[#This Row],[STATUT ]]="Admis"),1,0)</f>
        <v>0</v>
      </c>
      <c r="M599" s="64">
        <f>IF(AND(Tableau2[[#This Row],[CLASSE]]="CEU",Tableau2[[#This Row],[STATUT ]]="Admis"),1,0)</f>
        <v>0</v>
      </c>
      <c r="N599" s="64"/>
      <c r="O599" s="296"/>
      <c r="P5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00" spans="1:16" ht="17" x14ac:dyDescent="0.35">
      <c r="A600" s="310">
        <v>599</v>
      </c>
      <c r="B600" s="64" t="s">
        <v>2486</v>
      </c>
      <c r="C600" s="64" t="s">
        <v>2</v>
      </c>
      <c r="D600" s="295">
        <v>10</v>
      </c>
      <c r="E600" s="299" t="s">
        <v>2165</v>
      </c>
      <c r="F600" s="306" t="s">
        <v>2009</v>
      </c>
      <c r="G600" s="64" t="s">
        <v>2165</v>
      </c>
      <c r="H600" s="300" t="str">
        <f>IF(Tableau2[[#This Row],[Moyennes]]="Absent","Absent",IF(Tableau2[[#This Row],[Moyennes]]&lt;5,"Redouble",IF(Tableau2[[#This Row],[Moyennes]]&gt;=5,"Admis"," ")))</f>
        <v>Absent</v>
      </c>
      <c r="I600" s="64"/>
      <c r="J600" s="300" t="s">
        <v>661</v>
      </c>
      <c r="K600" s="334" t="s">
        <v>2724</v>
      </c>
      <c r="L600" s="64">
        <f>IF(AND(Tableau2[[#This Row],[CLASSE]]="CPU",Tableau2[[#This Row],[STATUT ]]="Admis"),1,0)</f>
        <v>0</v>
      </c>
      <c r="M600" s="64">
        <f>IF(AND(Tableau2[[#This Row],[CLASSE]]="CEU",Tableau2[[#This Row],[STATUT ]]="Admis"),1,0)</f>
        <v>0</v>
      </c>
      <c r="N600" s="64"/>
      <c r="O600" s="296"/>
      <c r="P6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01" spans="1:16" ht="17" x14ac:dyDescent="0.35">
      <c r="A601" s="310">
        <v>600</v>
      </c>
      <c r="B601" s="64" t="s">
        <v>2489</v>
      </c>
      <c r="C601" s="64" t="s">
        <v>1</v>
      </c>
      <c r="D601" s="295">
        <v>10</v>
      </c>
      <c r="E601" s="416" t="s">
        <v>2165</v>
      </c>
      <c r="F601" s="306" t="s">
        <v>2009</v>
      </c>
      <c r="G601" s="64" t="s">
        <v>2165</v>
      </c>
      <c r="H601" s="300" t="str">
        <f>IF(Tableau2[[#This Row],[Moyennes]]="Absent","Absent",IF(Tableau2[[#This Row],[Moyennes]]&lt;5,"Redouble",IF(Tableau2[[#This Row],[Moyennes]]&gt;=5,"Admis"," ")))</f>
        <v>Absent</v>
      </c>
      <c r="I601" s="64"/>
      <c r="J601" s="300" t="s">
        <v>661</v>
      </c>
      <c r="K601" s="64" t="s">
        <v>2724</v>
      </c>
      <c r="L601" s="64">
        <f>IF(AND(Tableau2[[#This Row],[CLASSE]]="CPU",Tableau2[[#This Row],[STATUT ]]="Admis"),1,0)</f>
        <v>0</v>
      </c>
      <c r="M601" s="64">
        <f>IF(AND(Tableau2[[#This Row],[CLASSE]]="CEU",Tableau2[[#This Row],[STATUT ]]="Admis"),1,0)</f>
        <v>0</v>
      </c>
      <c r="N601" s="64"/>
      <c r="O601" s="296"/>
      <c r="P6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02" spans="1:16" ht="17" x14ac:dyDescent="0.35">
      <c r="A602" s="310">
        <v>601</v>
      </c>
      <c r="B602" s="64" t="s">
        <v>3325</v>
      </c>
      <c r="C602" s="64" t="s">
        <v>1</v>
      </c>
      <c r="D602" s="295">
        <v>10</v>
      </c>
      <c r="E602" s="299">
        <v>7.77</v>
      </c>
      <c r="F602" s="306" t="s">
        <v>2009</v>
      </c>
      <c r="G602" s="64" t="s">
        <v>2048</v>
      </c>
      <c r="H602" s="402" t="str">
        <f>IF(Tableau2[[#This Row],[Moyennes]]="Absent","Absent",IF(Tableau2[[#This Row],[Moyennes]]&lt;5,"Redouble",IF(Tableau2[[#This Row],[Moyennes]]&gt;=5,"Admis"," ")))</f>
        <v>Admis</v>
      </c>
      <c r="I602" s="64"/>
      <c r="J602" s="300" t="s">
        <v>661</v>
      </c>
      <c r="K602" s="334" t="s">
        <v>2708</v>
      </c>
      <c r="L602" s="64">
        <f>IF(AND(Tableau2[[#This Row],[CLASSE]]="CPU",Tableau2[[#This Row],[STATUT ]]="Admis"),1,0)</f>
        <v>1</v>
      </c>
      <c r="M602" s="64">
        <f>IF(AND(Tableau2[[#This Row],[CLASSE]]="CEU",Tableau2[[#This Row],[STATUT ]]="Admis"),1,0)</f>
        <v>0</v>
      </c>
      <c r="N602" s="64"/>
      <c r="O602" s="296"/>
      <c r="P6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03" spans="1:16" ht="17" x14ac:dyDescent="0.35">
      <c r="A603" s="310">
        <v>602</v>
      </c>
      <c r="B603" s="64" t="s">
        <v>2704</v>
      </c>
      <c r="C603" s="64" t="s">
        <v>1</v>
      </c>
      <c r="D603" s="295">
        <v>14</v>
      </c>
      <c r="E603" s="299">
        <v>8.8800000000000008</v>
      </c>
      <c r="F603" s="306" t="s">
        <v>2009</v>
      </c>
      <c r="G603" s="64" t="s">
        <v>2010</v>
      </c>
      <c r="H603" s="402" t="str">
        <f>IF(Tableau2[[#This Row],[Moyennes]]="Absent","Absent",IF(Tableau2[[#This Row],[Moyennes]]&lt;5,"Redouble",IF(Tableau2[[#This Row],[Moyennes]]&gt;=5,"Admis"," ")))</f>
        <v>Admis</v>
      </c>
      <c r="I603" s="64"/>
      <c r="J603" s="300" t="s">
        <v>661</v>
      </c>
      <c r="K603" s="64" t="s">
        <v>2708</v>
      </c>
      <c r="L603" s="64">
        <f>IF(AND(Tableau2[[#This Row],[CLASSE]]="CPU",Tableau2[[#This Row],[STATUT ]]="Admis"),1,0)</f>
        <v>1</v>
      </c>
      <c r="M603" s="64">
        <f>IF(AND(Tableau2[[#This Row],[CLASSE]]="CEU",Tableau2[[#This Row],[STATUT ]]="Admis"),1,0)</f>
        <v>0</v>
      </c>
      <c r="N603" s="64"/>
      <c r="O603" s="296"/>
      <c r="P6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04" spans="1:16" ht="17" x14ac:dyDescent="0.35">
      <c r="A604" s="310">
        <v>603</v>
      </c>
      <c r="B604" s="64" t="s">
        <v>3387</v>
      </c>
      <c r="C604" s="64" t="s">
        <v>2</v>
      </c>
      <c r="D604" s="295">
        <v>13</v>
      </c>
      <c r="E604" s="299">
        <v>9</v>
      </c>
      <c r="F604" s="306" t="s">
        <v>2009</v>
      </c>
      <c r="G604" s="64" t="s">
        <v>838</v>
      </c>
      <c r="H604" s="402" t="str">
        <f>IF(Tableau2[[#This Row],[Moyennes]]="Absent","Absent",IF(Tableau2[[#This Row],[Moyennes]]&lt;5,"Redouble",IF(Tableau2[[#This Row],[Moyennes]]&gt;=5,"Admis"," ")))</f>
        <v>Admis</v>
      </c>
      <c r="I604" s="64"/>
      <c r="J604" s="300" t="s">
        <v>661</v>
      </c>
      <c r="K604" s="334" t="s">
        <v>2708</v>
      </c>
      <c r="L604" s="64">
        <f>IF(AND(Tableau2[[#This Row],[CLASSE]]="CPU",Tableau2[[#This Row],[STATUT ]]="Admis"),1,0)</f>
        <v>1</v>
      </c>
      <c r="M604" s="64">
        <f>IF(AND(Tableau2[[#This Row],[CLASSE]]="CEU",Tableau2[[#This Row],[STATUT ]]="Admis"),1,0)</f>
        <v>0</v>
      </c>
      <c r="N604" s="64"/>
      <c r="O604" s="296"/>
      <c r="P6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05" spans="1:16" ht="17" x14ac:dyDescent="0.35">
      <c r="A605" s="310">
        <v>604</v>
      </c>
      <c r="B605" s="64" t="s">
        <v>2700</v>
      </c>
      <c r="C605" s="64" t="s">
        <v>1</v>
      </c>
      <c r="D605" s="295">
        <v>10</v>
      </c>
      <c r="E605" s="299">
        <v>8</v>
      </c>
      <c r="F605" s="306" t="s">
        <v>2009</v>
      </c>
      <c r="G605" s="64" t="s">
        <v>2018</v>
      </c>
      <c r="H605" s="402" t="str">
        <f>IF(Tableau2[[#This Row],[Moyennes]]="Absent","Absent",IF(Tableau2[[#This Row],[Moyennes]]&lt;5,"Redouble",IF(Tableau2[[#This Row],[Moyennes]]&gt;=5,"Admis"," ")))</f>
        <v>Admis</v>
      </c>
      <c r="I605" s="64"/>
      <c r="J605" s="300" t="s">
        <v>661</v>
      </c>
      <c r="K605" s="64" t="s">
        <v>2708</v>
      </c>
      <c r="L605" s="64">
        <f>IF(AND(Tableau2[[#This Row],[CLASSE]]="CPU",Tableau2[[#This Row],[STATUT ]]="Admis"),1,0)</f>
        <v>1</v>
      </c>
      <c r="M605" s="64">
        <f>IF(AND(Tableau2[[#This Row],[CLASSE]]="CEU",Tableau2[[#This Row],[STATUT ]]="Admis"),1,0)</f>
        <v>0</v>
      </c>
      <c r="N605" s="64"/>
      <c r="O605" s="296"/>
      <c r="P6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06" spans="1:16" ht="17" x14ac:dyDescent="0.35">
      <c r="A606" s="310">
        <v>605</v>
      </c>
      <c r="B606" s="64" t="s">
        <v>2701</v>
      </c>
      <c r="C606" s="64" t="s">
        <v>2</v>
      </c>
      <c r="D606" s="295">
        <v>12</v>
      </c>
      <c r="E606" s="299">
        <v>7.88</v>
      </c>
      <c r="F606" s="306" t="s">
        <v>2009</v>
      </c>
      <c r="G606" s="300" t="s">
        <v>2044</v>
      </c>
      <c r="H606" s="402" t="str">
        <f>IF(Tableau2[[#This Row],[Moyennes]]="Absent","Absent",IF(Tableau2[[#This Row],[Moyennes]]&lt;5,"Redouble",IF(Tableau2[[#This Row],[Moyennes]]&gt;=5,"Admis"," ")))</f>
        <v>Admis</v>
      </c>
      <c r="I606" s="300"/>
      <c r="J606" s="300" t="s">
        <v>661</v>
      </c>
      <c r="K606" s="334" t="s">
        <v>2708</v>
      </c>
      <c r="L606" s="64">
        <f>IF(AND(Tableau2[[#This Row],[CLASSE]]="CPU",Tableau2[[#This Row],[STATUT ]]="Admis"),1,0)</f>
        <v>1</v>
      </c>
      <c r="M606" s="64">
        <f>IF(AND(Tableau2[[#This Row],[CLASSE]]="CEU",Tableau2[[#This Row],[STATUT ]]="Admis"),1,0)</f>
        <v>0</v>
      </c>
      <c r="N606" s="64"/>
      <c r="O606" s="296"/>
      <c r="P6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07" spans="1:16" ht="17" x14ac:dyDescent="0.35">
      <c r="A607" s="310">
        <v>606</v>
      </c>
      <c r="B607" s="64" t="s">
        <v>2702</v>
      </c>
      <c r="C607" s="64" t="s">
        <v>2</v>
      </c>
      <c r="D607" s="295">
        <v>9</v>
      </c>
      <c r="E607" s="299">
        <v>7.44</v>
      </c>
      <c r="F607" s="306" t="s">
        <v>2009</v>
      </c>
      <c r="G607" s="300" t="s">
        <v>2027</v>
      </c>
      <c r="H607" s="402" t="str">
        <f>IF(Tableau2[[#This Row],[Moyennes]]="Absent","Absent",IF(Tableau2[[#This Row],[Moyennes]]&lt;5,"Redouble",IF(Tableau2[[#This Row],[Moyennes]]&gt;=5,"Admis"," ")))</f>
        <v>Admis</v>
      </c>
      <c r="I607" s="300"/>
      <c r="J607" s="300" t="s">
        <v>661</v>
      </c>
      <c r="K607" s="64" t="s">
        <v>2708</v>
      </c>
      <c r="L607" s="64">
        <f>IF(AND(Tableau2[[#This Row],[CLASSE]]="CPU",Tableau2[[#This Row],[STATUT ]]="Admis"),1,0)</f>
        <v>1</v>
      </c>
      <c r="M607" s="64">
        <f>IF(AND(Tableau2[[#This Row],[CLASSE]]="CEU",Tableau2[[#This Row],[STATUT ]]="Admis"),1,0)</f>
        <v>0</v>
      </c>
      <c r="N607" s="64"/>
      <c r="O607" s="296"/>
      <c r="P6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08" spans="1:16" ht="17" x14ac:dyDescent="0.35">
      <c r="A608" s="310">
        <v>607</v>
      </c>
      <c r="B608" s="64" t="s">
        <v>3492</v>
      </c>
      <c r="C608" s="64" t="s">
        <v>1</v>
      </c>
      <c r="D608" s="295">
        <v>10</v>
      </c>
      <c r="E608" s="299">
        <v>7</v>
      </c>
      <c r="F608" s="306" t="s">
        <v>2009</v>
      </c>
      <c r="G608" s="300" t="s">
        <v>2089</v>
      </c>
      <c r="H608" s="402" t="str">
        <f>IF(Tableau2[[#This Row],[Moyennes]]="Absent","Absent",IF(Tableau2[[#This Row],[Moyennes]]&lt;5,"Redouble",IF(Tableau2[[#This Row],[Moyennes]]&gt;=5,"Admis"," ")))</f>
        <v>Admis</v>
      </c>
      <c r="I608" s="300"/>
      <c r="J608" s="300" t="s">
        <v>661</v>
      </c>
      <c r="K608" s="334" t="s">
        <v>2708</v>
      </c>
      <c r="L608" s="64">
        <f>IF(AND(Tableau2[[#This Row],[CLASSE]]="CPU",Tableau2[[#This Row],[STATUT ]]="Admis"),1,0)</f>
        <v>1</v>
      </c>
      <c r="M608" s="64">
        <f>IF(AND(Tableau2[[#This Row],[CLASSE]]="CEU",Tableau2[[#This Row],[STATUT ]]="Admis"),1,0)</f>
        <v>0</v>
      </c>
      <c r="N608" s="64"/>
      <c r="O608" s="296"/>
      <c r="P6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09" spans="1:16" ht="17" x14ac:dyDescent="0.35">
      <c r="A609" s="310">
        <v>608</v>
      </c>
      <c r="B609" s="64" t="s">
        <v>2490</v>
      </c>
      <c r="C609" s="64" t="s">
        <v>2</v>
      </c>
      <c r="D609" s="295">
        <v>13</v>
      </c>
      <c r="E609" s="299">
        <v>8.77</v>
      </c>
      <c r="F609" s="306" t="s">
        <v>2009</v>
      </c>
      <c r="G609" s="300" t="s">
        <v>815</v>
      </c>
      <c r="H609" s="402" t="str">
        <f>IF(Tableau2[[#This Row],[Moyennes]]="Absent","Absent",IF(Tableau2[[#This Row],[Moyennes]]&lt;5,"Redouble",IF(Tableau2[[#This Row],[Moyennes]]&gt;=5,"Admis"," ")))</f>
        <v>Admis</v>
      </c>
      <c r="I609" s="300"/>
      <c r="J609" s="300" t="s">
        <v>661</v>
      </c>
      <c r="K609" s="64" t="s">
        <v>2708</v>
      </c>
      <c r="L609" s="64">
        <f>IF(AND(Tableau2[[#This Row],[CLASSE]]="CPU",Tableau2[[#This Row],[STATUT ]]="Admis"),1,0)</f>
        <v>1</v>
      </c>
      <c r="M609" s="64">
        <f>IF(AND(Tableau2[[#This Row],[CLASSE]]="CEU",Tableau2[[#This Row],[STATUT ]]="Admis"),1,0)</f>
        <v>0</v>
      </c>
      <c r="N609" s="64"/>
      <c r="O609" s="296"/>
      <c r="P6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10" spans="1:16" ht="15.5" x14ac:dyDescent="0.35">
      <c r="A610" s="310">
        <v>609</v>
      </c>
      <c r="B610" s="64" t="s">
        <v>2703</v>
      </c>
      <c r="C610" s="64" t="s">
        <v>1</v>
      </c>
      <c r="D610" s="295">
        <v>11</v>
      </c>
      <c r="E610" s="399">
        <v>6.44</v>
      </c>
      <c r="F610" s="306" t="s">
        <v>2009</v>
      </c>
      <c r="G610" s="300" t="s">
        <v>2033</v>
      </c>
      <c r="H610" s="402" t="str">
        <f>IF(Tableau2[[#This Row],[Moyennes]]="Absent","Absent",IF(Tableau2[[#This Row],[Moyennes]]&lt;5,"Redouble",IF(Tableau2[[#This Row],[Moyennes]]&gt;=5,"Admis"," ")))</f>
        <v>Admis</v>
      </c>
      <c r="I610" s="300"/>
      <c r="J610" s="300" t="s">
        <v>661</v>
      </c>
      <c r="K610" s="334" t="s">
        <v>2708</v>
      </c>
      <c r="L610" s="64">
        <f>IF(AND(Tableau2[[#This Row],[CLASSE]]="CPU",Tableau2[[#This Row],[STATUT ]]="Admis"),1,0)</f>
        <v>1</v>
      </c>
      <c r="M610" s="64">
        <f>IF(AND(Tableau2[[#This Row],[CLASSE]]="CEU",Tableau2[[#This Row],[STATUT ]]="Admis"),1,0)</f>
        <v>0</v>
      </c>
      <c r="N610" s="64"/>
      <c r="O610" s="296"/>
      <c r="P6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11" spans="1:16" ht="15.5" x14ac:dyDescent="0.35">
      <c r="A611" s="310">
        <v>610</v>
      </c>
      <c r="B611" s="64" t="s">
        <v>2705</v>
      </c>
      <c r="C611" s="64" t="s">
        <v>2</v>
      </c>
      <c r="D611" s="295">
        <v>13</v>
      </c>
      <c r="E611" s="399">
        <v>8.33</v>
      </c>
      <c r="F611" s="306" t="s">
        <v>2009</v>
      </c>
      <c r="G611" s="300" t="s">
        <v>2012</v>
      </c>
      <c r="H611" s="402" t="str">
        <f>IF(Tableau2[[#This Row],[Moyennes]]="Absent","Absent",IF(Tableau2[[#This Row],[Moyennes]]&lt;5,"Redouble",IF(Tableau2[[#This Row],[Moyennes]]&gt;=5,"Admis"," ")))</f>
        <v>Admis</v>
      </c>
      <c r="I611" s="300"/>
      <c r="J611" s="300" t="s">
        <v>661</v>
      </c>
      <c r="K611" s="64" t="s">
        <v>2708</v>
      </c>
      <c r="L611" s="64">
        <f>IF(AND(Tableau2[[#This Row],[CLASSE]]="CPU",Tableau2[[#This Row],[STATUT ]]="Admis"),1,0)</f>
        <v>1</v>
      </c>
      <c r="M611" s="64">
        <f>IF(AND(Tableau2[[#This Row],[CLASSE]]="CEU",Tableau2[[#This Row],[STATUT ]]="Admis"),1,0)</f>
        <v>0</v>
      </c>
      <c r="N611" s="64"/>
      <c r="O611" s="296"/>
      <c r="P6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12" spans="1:16" ht="16" thickBot="1" x14ac:dyDescent="0.4">
      <c r="A612" s="310">
        <v>611</v>
      </c>
      <c r="B612" s="64" t="s">
        <v>2706</v>
      </c>
      <c r="C612" s="64" t="s">
        <v>2</v>
      </c>
      <c r="D612" s="295">
        <v>9</v>
      </c>
      <c r="E612" s="399">
        <v>6.44</v>
      </c>
      <c r="F612" s="306" t="s">
        <v>2009</v>
      </c>
      <c r="G612" s="300" t="s">
        <v>2033</v>
      </c>
      <c r="H612" s="402" t="str">
        <f>IF(Tableau2[[#This Row],[Moyennes]]="Absent","Absent",IF(Tableau2[[#This Row],[Moyennes]]&lt;5,"Redouble",IF(Tableau2[[#This Row],[Moyennes]]&gt;=5,"Admis"," ")))</f>
        <v>Admis</v>
      </c>
      <c r="I612" s="300"/>
      <c r="J612" s="300" t="s">
        <v>661</v>
      </c>
      <c r="K612" s="334" t="s">
        <v>2708</v>
      </c>
      <c r="L612" s="64">
        <f>IF(AND(Tableau2[[#This Row],[CLASSE]]="CPU",Tableau2[[#This Row],[STATUT ]]="Admis"),1,0)</f>
        <v>1</v>
      </c>
      <c r="M612" s="64">
        <f>IF(AND(Tableau2[[#This Row],[CLASSE]]="CEU",Tableau2[[#This Row],[STATUT ]]="Admis"),1,0)</f>
        <v>0</v>
      </c>
      <c r="N612" s="64"/>
      <c r="O612" s="296"/>
      <c r="P6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13" spans="1:16" ht="17" x14ac:dyDescent="0.35">
      <c r="A613" s="310">
        <v>612</v>
      </c>
      <c r="B613" s="64" t="s">
        <v>2491</v>
      </c>
      <c r="C613" s="64" t="s">
        <v>2</v>
      </c>
      <c r="D613" s="388">
        <v>9</v>
      </c>
      <c r="E613" s="299">
        <v>5.22</v>
      </c>
      <c r="F613" s="306" t="s">
        <v>2009</v>
      </c>
      <c r="G613" s="64" t="s">
        <v>2016</v>
      </c>
      <c r="H613" s="402" t="str">
        <f>IF(Tableau2[[#This Row],[Moyennes]]="Absent","Absent",IF(Tableau2[[#This Row],[Moyennes]]&lt;5,"Redouble",IF(Tableau2[[#This Row],[Moyennes]]&gt;=5,"Admis"," ")))</f>
        <v>Admis</v>
      </c>
      <c r="I613" s="64"/>
      <c r="J613" s="300" t="s">
        <v>661</v>
      </c>
      <c r="K613" s="64" t="s">
        <v>2708</v>
      </c>
      <c r="L613" s="64">
        <f>IF(AND(Tableau2[[#This Row],[CLASSE]]="CPU",Tableau2[[#This Row],[STATUT ]]="Admis"),1,0)</f>
        <v>1</v>
      </c>
      <c r="M613" s="64">
        <f>IF(AND(Tableau2[[#This Row],[CLASSE]]="CEU",Tableau2[[#This Row],[STATUT ]]="Admis"),1,0)</f>
        <v>0</v>
      </c>
      <c r="N613" s="64"/>
      <c r="O613" s="296"/>
      <c r="P6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14" spans="1:16" ht="17" x14ac:dyDescent="0.35">
      <c r="A614" s="310">
        <v>613</v>
      </c>
      <c r="B614" s="64" t="s">
        <v>2492</v>
      </c>
      <c r="C614" s="64" t="s">
        <v>2</v>
      </c>
      <c r="D614" s="389">
        <v>11</v>
      </c>
      <c r="E614" s="299">
        <v>2.33</v>
      </c>
      <c r="F614" s="306" t="s">
        <v>2009</v>
      </c>
      <c r="G614" s="64" t="s">
        <v>2042</v>
      </c>
      <c r="H614" s="402" t="str">
        <f>IF(Tableau2[[#This Row],[Moyennes]]="Absent","Absent",IF(Tableau2[[#This Row],[Moyennes]]&lt;5,"Redouble",IF(Tableau2[[#This Row],[Moyennes]]&gt;=5,"Admis"," ")))</f>
        <v>Redouble</v>
      </c>
      <c r="I614" s="64"/>
      <c r="J614" s="300" t="s">
        <v>661</v>
      </c>
      <c r="K614" s="334" t="s">
        <v>2708</v>
      </c>
      <c r="L614" s="64">
        <f>IF(AND(Tableau2[[#This Row],[CLASSE]]="CPU",Tableau2[[#This Row],[STATUT ]]="Admis"),1,0)</f>
        <v>0</v>
      </c>
      <c r="M614" s="64">
        <f>IF(AND(Tableau2[[#This Row],[CLASSE]]="CEU",Tableau2[[#This Row],[STATUT ]]="Admis"),1,0)</f>
        <v>0</v>
      </c>
      <c r="N614" s="64"/>
      <c r="O614" s="296"/>
      <c r="P6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15" spans="1:16" ht="17" x14ac:dyDescent="0.35">
      <c r="A615" s="310">
        <v>614</v>
      </c>
      <c r="B615" s="64" t="s">
        <v>2707</v>
      </c>
      <c r="C615" s="64" t="s">
        <v>2</v>
      </c>
      <c r="D615" s="389">
        <v>13</v>
      </c>
      <c r="E615" s="299">
        <v>4.4400000000000004</v>
      </c>
      <c r="F615" s="306" t="s">
        <v>2009</v>
      </c>
      <c r="G615" s="64" t="s">
        <v>2062</v>
      </c>
      <c r="H615" s="402" t="str">
        <f>IF(Tableau2[[#This Row],[Moyennes]]="Absent","Absent",IF(Tableau2[[#This Row],[Moyennes]]&lt;5,"Redouble",IF(Tableau2[[#This Row],[Moyennes]]&gt;=5,"Admis"," ")))</f>
        <v>Redouble</v>
      </c>
      <c r="I615" s="64"/>
      <c r="J615" s="300" t="s">
        <v>661</v>
      </c>
      <c r="K615" s="64" t="s">
        <v>2708</v>
      </c>
      <c r="L615" s="64">
        <f>IF(AND(Tableau2[[#This Row],[CLASSE]]="CPU",Tableau2[[#This Row],[STATUT ]]="Admis"),1,0)</f>
        <v>0</v>
      </c>
      <c r="M615" s="64">
        <f>IF(AND(Tableau2[[#This Row],[CLASSE]]="CEU",Tableau2[[#This Row],[STATUT ]]="Admis"),1,0)</f>
        <v>0</v>
      </c>
      <c r="N615" s="64"/>
      <c r="O615" s="296"/>
      <c r="P6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16" spans="1:16" ht="17" x14ac:dyDescent="0.35">
      <c r="A616" s="310">
        <v>615</v>
      </c>
      <c r="B616" s="64" t="s">
        <v>2709</v>
      </c>
      <c r="C616" s="64" t="s">
        <v>1</v>
      </c>
      <c r="D616" s="389">
        <v>10</v>
      </c>
      <c r="E616" s="299">
        <v>3.33</v>
      </c>
      <c r="F616" s="306" t="s">
        <v>2009</v>
      </c>
      <c r="G616" s="64" t="s">
        <v>2023</v>
      </c>
      <c r="H616" s="402" t="str">
        <f>IF(Tableau2[[#This Row],[Moyennes]]="Absent","Absent",IF(Tableau2[[#This Row],[Moyennes]]&lt;5,"Redouble",IF(Tableau2[[#This Row],[Moyennes]]&gt;=5,"Admis"," ")))</f>
        <v>Redouble</v>
      </c>
      <c r="I616" s="64"/>
      <c r="J616" s="300" t="s">
        <v>661</v>
      </c>
      <c r="K616" s="334" t="s">
        <v>2708</v>
      </c>
      <c r="L616" s="64">
        <f>IF(AND(Tableau2[[#This Row],[CLASSE]]="CPU",Tableau2[[#This Row],[STATUT ]]="Admis"),1,0)</f>
        <v>0</v>
      </c>
      <c r="M616" s="64">
        <f>IF(AND(Tableau2[[#This Row],[CLASSE]]="CEU",Tableau2[[#This Row],[STATUT ]]="Admis"),1,0)</f>
        <v>0</v>
      </c>
      <c r="N616" s="64"/>
      <c r="O616" s="296"/>
      <c r="P6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17" spans="1:16" ht="17" x14ac:dyDescent="0.35">
      <c r="A617" s="310">
        <v>616</v>
      </c>
      <c r="B617" s="64" t="s">
        <v>3383</v>
      </c>
      <c r="C617" s="64" t="s">
        <v>1</v>
      </c>
      <c r="D617" s="389">
        <v>9</v>
      </c>
      <c r="E617" s="299" t="s">
        <v>2165</v>
      </c>
      <c r="F617" s="306" t="s">
        <v>2009</v>
      </c>
      <c r="G617" s="64" t="s">
        <v>2165</v>
      </c>
      <c r="H617" s="300" t="str">
        <f>IF(Tableau2[[#This Row],[Moyennes]]="Absent","Absent",IF(Tableau2[[#This Row],[Moyennes]]&lt;5,"Redouble",IF(Tableau2[[#This Row],[Moyennes]]&gt;=5,"Admis"," ")))</f>
        <v>Absent</v>
      </c>
      <c r="I617" s="64"/>
      <c r="J617" s="300" t="s">
        <v>661</v>
      </c>
      <c r="K617" s="64" t="s">
        <v>2708</v>
      </c>
      <c r="L617" s="64">
        <f>IF(AND(Tableau2[[#This Row],[CLASSE]]="CPU",Tableau2[[#This Row],[STATUT ]]="Admis"),1,0)</f>
        <v>0</v>
      </c>
      <c r="M617" s="64">
        <f>IF(AND(Tableau2[[#This Row],[CLASSE]]="CEU",Tableau2[[#This Row],[STATUT ]]="Admis"),1,0)</f>
        <v>0</v>
      </c>
      <c r="N617" s="64"/>
      <c r="O617" s="296"/>
      <c r="P6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18" spans="1:16" ht="17" x14ac:dyDescent="0.35">
      <c r="A618" s="310">
        <v>617</v>
      </c>
      <c r="B618" s="64" t="s">
        <v>3384</v>
      </c>
      <c r="C618" s="64" t="s">
        <v>1</v>
      </c>
      <c r="D618" s="389">
        <v>10</v>
      </c>
      <c r="E618" s="299" t="s">
        <v>2165</v>
      </c>
      <c r="F618" s="306" t="s">
        <v>2009</v>
      </c>
      <c r="G618" s="64" t="s">
        <v>2165</v>
      </c>
      <c r="H618" s="300" t="str">
        <f>IF(Tableau2[[#This Row],[Moyennes]]="Absent","Absent",IF(Tableau2[[#This Row],[Moyennes]]&lt;5,"Redouble",IF(Tableau2[[#This Row],[Moyennes]]&gt;=5,"Admis"," ")))</f>
        <v>Absent</v>
      </c>
      <c r="I618" s="64"/>
      <c r="J618" s="300" t="s">
        <v>661</v>
      </c>
      <c r="K618" s="334" t="s">
        <v>2708</v>
      </c>
      <c r="L618" s="64">
        <f>IF(AND(Tableau2[[#This Row],[CLASSE]]="CPU",Tableau2[[#This Row],[STATUT ]]="Admis"),1,0)</f>
        <v>0</v>
      </c>
      <c r="M618" s="64">
        <f>IF(AND(Tableau2[[#This Row],[CLASSE]]="CEU",Tableau2[[#This Row],[STATUT ]]="Admis"),1,0)</f>
        <v>0</v>
      </c>
      <c r="N618" s="64"/>
      <c r="O618" s="296"/>
      <c r="P6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19" spans="1:16" ht="17" x14ac:dyDescent="0.35">
      <c r="A619" s="310">
        <v>618</v>
      </c>
      <c r="B619" s="64" t="s">
        <v>3385</v>
      </c>
      <c r="C619" s="64" t="s">
        <v>1</v>
      </c>
      <c r="D619" s="389">
        <v>10</v>
      </c>
      <c r="E619" s="299" t="s">
        <v>2165</v>
      </c>
      <c r="F619" s="306" t="s">
        <v>2009</v>
      </c>
      <c r="G619" s="64" t="s">
        <v>2165</v>
      </c>
      <c r="H619" s="300" t="str">
        <f>IF(Tableau2[[#This Row],[Moyennes]]="Absent","Absent",IF(Tableau2[[#This Row],[Moyennes]]&lt;5,"Redouble",IF(Tableau2[[#This Row],[Moyennes]]&gt;=5,"Admis"," ")))</f>
        <v>Absent</v>
      </c>
      <c r="I619" s="64"/>
      <c r="J619" s="300" t="s">
        <v>661</v>
      </c>
      <c r="K619" s="64" t="s">
        <v>2708</v>
      </c>
      <c r="L619" s="64">
        <f>IF(AND(Tableau2[[#This Row],[CLASSE]]="CPU",Tableau2[[#This Row],[STATUT ]]="Admis"),1,0)</f>
        <v>0</v>
      </c>
      <c r="M619" s="64">
        <f>IF(AND(Tableau2[[#This Row],[CLASSE]]="CEU",Tableau2[[#This Row],[STATUT ]]="Admis"),1,0)</f>
        <v>0</v>
      </c>
      <c r="N619" s="64"/>
      <c r="O619" s="296"/>
      <c r="P6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20" spans="1:16" ht="17" x14ac:dyDescent="0.35">
      <c r="A620" s="310">
        <v>619</v>
      </c>
      <c r="B620" s="64" t="s">
        <v>3386</v>
      </c>
      <c r="C620" s="64" t="s">
        <v>1</v>
      </c>
      <c r="D620" s="389">
        <v>10</v>
      </c>
      <c r="E620" s="299" t="s">
        <v>2165</v>
      </c>
      <c r="F620" s="306" t="s">
        <v>2009</v>
      </c>
      <c r="G620" s="64" t="s">
        <v>2165</v>
      </c>
      <c r="H620" s="300" t="str">
        <f>IF(Tableau2[[#This Row],[Moyennes]]="Absent","Absent",IF(Tableau2[[#This Row],[Moyennes]]&lt;5,"Redouble",IF(Tableau2[[#This Row],[Moyennes]]&gt;=5,"Admis"," ")))</f>
        <v>Absent</v>
      </c>
      <c r="I620" s="64"/>
      <c r="J620" s="300" t="s">
        <v>661</v>
      </c>
      <c r="K620" s="334" t="s">
        <v>2708</v>
      </c>
      <c r="L620" s="64">
        <f>IF(AND(Tableau2[[#This Row],[CLASSE]]="CPU",Tableau2[[#This Row],[STATUT ]]="Admis"),1,0)</f>
        <v>0</v>
      </c>
      <c r="M620" s="64">
        <f>IF(AND(Tableau2[[#This Row],[CLASSE]]="CEU",Tableau2[[#This Row],[STATUT ]]="Admis"),1,0)</f>
        <v>0</v>
      </c>
      <c r="N620" s="64"/>
      <c r="O620" s="296"/>
      <c r="P6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21" spans="1:16" ht="17" x14ac:dyDescent="0.35">
      <c r="A621" s="310">
        <v>620</v>
      </c>
      <c r="B621" s="64" t="s">
        <v>3387</v>
      </c>
      <c r="C621" s="64" t="s">
        <v>2</v>
      </c>
      <c r="D621" s="389">
        <v>13</v>
      </c>
      <c r="E621" s="299" t="s">
        <v>2165</v>
      </c>
      <c r="F621" s="306" t="s">
        <v>2009</v>
      </c>
      <c r="G621" s="64" t="s">
        <v>2165</v>
      </c>
      <c r="H621" s="300" t="str">
        <f>IF(Tableau2[[#This Row],[Moyennes]]="Absent","Absent",IF(Tableau2[[#This Row],[Moyennes]]&lt;5,"Redouble",IF(Tableau2[[#This Row],[Moyennes]]&gt;=5,"Admis"," ")))</f>
        <v>Absent</v>
      </c>
      <c r="I621" s="64"/>
      <c r="J621" s="300" t="s">
        <v>661</v>
      </c>
      <c r="K621" s="64" t="s">
        <v>2708</v>
      </c>
      <c r="L621" s="64">
        <f>IF(AND(Tableau2[[#This Row],[CLASSE]]="CPU",Tableau2[[#This Row],[STATUT ]]="Admis"),1,0)</f>
        <v>0</v>
      </c>
      <c r="M621" s="64">
        <f>IF(AND(Tableau2[[#This Row],[CLASSE]]="CEU",Tableau2[[#This Row],[STATUT ]]="Admis"),1,0)</f>
        <v>0</v>
      </c>
      <c r="N621" s="64"/>
      <c r="O621" s="296"/>
      <c r="P6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22" spans="1:16" ht="17" x14ac:dyDescent="0.35">
      <c r="A622" s="310">
        <v>621</v>
      </c>
      <c r="B622" s="64" t="s">
        <v>3388</v>
      </c>
      <c r="C622" s="64" t="s">
        <v>2</v>
      </c>
      <c r="D622" s="389">
        <v>13</v>
      </c>
      <c r="E622" s="299" t="s">
        <v>2165</v>
      </c>
      <c r="F622" s="306" t="s">
        <v>2009</v>
      </c>
      <c r="G622" s="64" t="s">
        <v>2165</v>
      </c>
      <c r="H622" s="300" t="str">
        <f>IF(Tableau2[[#This Row],[Moyennes]]="Absent","Absent",IF(Tableau2[[#This Row],[Moyennes]]&lt;5,"Redouble",IF(Tableau2[[#This Row],[Moyennes]]&gt;=5,"Admis"," ")))</f>
        <v>Absent</v>
      </c>
      <c r="I622" s="64"/>
      <c r="J622" s="300" t="s">
        <v>661</v>
      </c>
      <c r="K622" s="334" t="s">
        <v>2708</v>
      </c>
      <c r="L622" s="64">
        <f>IF(AND(Tableau2[[#This Row],[CLASSE]]="CPU",Tableau2[[#This Row],[STATUT ]]="Admis"),1,0)</f>
        <v>0</v>
      </c>
      <c r="M622" s="64">
        <f>IF(AND(Tableau2[[#This Row],[CLASSE]]="CEU",Tableau2[[#This Row],[STATUT ]]="Admis"),1,0)</f>
        <v>0</v>
      </c>
      <c r="N622" s="64"/>
      <c r="O622" s="296"/>
      <c r="P6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23" spans="1:16" ht="17" x14ac:dyDescent="0.35">
      <c r="A623" s="310">
        <v>622</v>
      </c>
      <c r="B623" s="64" t="s">
        <v>3493</v>
      </c>
      <c r="C623" s="64" t="s">
        <v>2</v>
      </c>
      <c r="D623" s="389">
        <v>10</v>
      </c>
      <c r="E623" s="299" t="s">
        <v>2165</v>
      </c>
      <c r="F623" s="306" t="s">
        <v>2009</v>
      </c>
      <c r="G623" s="64" t="s">
        <v>2165</v>
      </c>
      <c r="H623" s="300" t="str">
        <f>IF(Tableau2[[#This Row],[Moyennes]]="Absent","Absent",IF(Tableau2[[#This Row],[Moyennes]]&lt;5,"Redouble",IF(Tableau2[[#This Row],[Moyennes]]&gt;=5,"Admis"," ")))</f>
        <v>Absent</v>
      </c>
      <c r="I623" s="64"/>
      <c r="J623" s="300" t="s">
        <v>661</v>
      </c>
      <c r="K623" s="64" t="s">
        <v>2708</v>
      </c>
      <c r="L623" s="64">
        <f>IF(AND(Tableau2[[#This Row],[CLASSE]]="CPU",Tableau2[[#This Row],[STATUT ]]="Admis"),1,0)</f>
        <v>0</v>
      </c>
      <c r="M623" s="64">
        <f>IF(AND(Tableau2[[#This Row],[CLASSE]]="CEU",Tableau2[[#This Row],[STATUT ]]="Admis"),1,0)</f>
        <v>0</v>
      </c>
      <c r="N623" s="64"/>
      <c r="O623" s="296"/>
      <c r="P6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24" spans="1:16" ht="21" x14ac:dyDescent="0.35">
      <c r="A624" s="310">
        <v>623</v>
      </c>
      <c r="B624" s="396" t="s">
        <v>2493</v>
      </c>
      <c r="C624" s="64" t="s">
        <v>1</v>
      </c>
      <c r="D624" s="295">
        <v>14</v>
      </c>
      <c r="E624" s="406">
        <v>8.3699999999999992</v>
      </c>
      <c r="F624" s="482" t="s">
        <v>2009</v>
      </c>
      <c r="G624" s="402" t="s">
        <v>2044</v>
      </c>
      <c r="H624" s="300" t="str">
        <f>IF(Tableau2[[#This Row],[Moyennes]]="Absent","Absent",IF(Tableau2[[#This Row],[Moyennes]]&lt;5,"Redouble",IF(Tableau2[[#This Row],[Moyennes]]&gt;=5,"Admis"," ")))</f>
        <v>Admis</v>
      </c>
      <c r="I624" s="487"/>
      <c r="J624" t="s">
        <v>663</v>
      </c>
      <c r="K624" t="s">
        <v>1590</v>
      </c>
      <c r="L624" s="64">
        <f>IF(AND(Tableau2[[#This Row],[CLASSE]]="CPU",Tableau2[[#This Row],[STATUT ]]="Admis"),1,0)</f>
        <v>1</v>
      </c>
      <c r="M624" s="64">
        <f>IF(AND(Tableau2[[#This Row],[CLASSE]]="CEU",Tableau2[[#This Row],[STATUT ]]="Admis"),1,0)</f>
        <v>0</v>
      </c>
      <c r="N624" s="64"/>
      <c r="O624" s="296"/>
      <c r="P6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25" spans="1:16" ht="21" x14ac:dyDescent="0.35">
      <c r="A625" s="310">
        <v>624</v>
      </c>
      <c r="B625" s="396" t="s">
        <v>2494</v>
      </c>
      <c r="C625" s="64" t="s">
        <v>2</v>
      </c>
      <c r="D625" s="295">
        <v>9</v>
      </c>
      <c r="E625" s="406">
        <v>7.37</v>
      </c>
      <c r="F625" s="482" t="s">
        <v>2009</v>
      </c>
      <c r="G625" s="402" t="s">
        <v>2062</v>
      </c>
      <c r="H625" s="300" t="str">
        <f>IF(Tableau2[[#This Row],[Moyennes]]="Absent","Absent",IF(Tableau2[[#This Row],[Moyennes]]&lt;5,"Redouble",IF(Tableau2[[#This Row],[Moyennes]]&gt;=5,"Admis"," ")))</f>
        <v>Admis</v>
      </c>
      <c r="I625" s="487"/>
      <c r="J625" t="s">
        <v>663</v>
      </c>
      <c r="K625" t="s">
        <v>1590</v>
      </c>
      <c r="L625" s="64">
        <f>IF(AND(Tableau2[[#This Row],[CLASSE]]="CPU",Tableau2[[#This Row],[STATUT ]]="Admis"),1,0)</f>
        <v>1</v>
      </c>
      <c r="M625" s="64">
        <f>IF(AND(Tableau2[[#This Row],[CLASSE]]="CEU",Tableau2[[#This Row],[STATUT ]]="Admis"),1,0)</f>
        <v>0</v>
      </c>
      <c r="N625" s="64"/>
      <c r="O625" s="296"/>
      <c r="P6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26" spans="1:16" ht="21" x14ac:dyDescent="0.35">
      <c r="A626" s="310">
        <v>625</v>
      </c>
      <c r="B626" s="396" t="s">
        <v>2495</v>
      </c>
      <c r="C626" s="64" t="s">
        <v>2</v>
      </c>
      <c r="D626" s="295">
        <v>9</v>
      </c>
      <c r="E626" s="299" t="s">
        <v>2165</v>
      </c>
      <c r="F626" s="305" t="s">
        <v>2009</v>
      </c>
      <c r="G626" s="300" t="s">
        <v>2165</v>
      </c>
      <c r="H626" s="300" t="str">
        <f>IF(Tableau2[[#This Row],[Moyennes]]="Absent","Absent",IF(Tableau2[[#This Row],[Moyennes]]&lt;5,"Redouble",IF(Tableau2[[#This Row],[Moyennes]]&gt;=5,"Admis"," ")))</f>
        <v>Absent</v>
      </c>
      <c r="I626" s="494"/>
      <c r="J626" s="17" t="s">
        <v>663</v>
      </c>
      <c r="K626" s="41" t="s">
        <v>1590</v>
      </c>
      <c r="L626" s="64">
        <f>IF(AND(Tableau2[[#This Row],[CLASSE]]="CPU",Tableau2[[#This Row],[STATUT ]]="Admis"),1,0)</f>
        <v>0</v>
      </c>
      <c r="M626" s="64">
        <f>IF(AND(Tableau2[[#This Row],[CLASSE]]="CEU",Tableau2[[#This Row],[STATUT ]]="Admis"),1,0)</f>
        <v>0</v>
      </c>
      <c r="N626" s="64"/>
      <c r="O626" s="296"/>
      <c r="P6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27" spans="1:16" s="403" customFormat="1" ht="21" x14ac:dyDescent="0.35">
      <c r="A627" s="310">
        <v>626</v>
      </c>
      <c r="B627" s="396" t="s">
        <v>2496</v>
      </c>
      <c r="C627" s="64" t="s">
        <v>1</v>
      </c>
      <c r="D627" s="295">
        <v>9</v>
      </c>
      <c r="E627" s="406">
        <v>4.37</v>
      </c>
      <c r="F627" s="482" t="s">
        <v>2009</v>
      </c>
      <c r="G627" s="402" t="s">
        <v>2066</v>
      </c>
      <c r="H627" s="300" t="str">
        <f>IF(Tableau2[[#This Row],[Moyennes]]="Absent","Absent",IF(Tableau2[[#This Row],[Moyennes]]&lt;5,"Redouble",IF(Tableau2[[#This Row],[Moyennes]]&gt;=5,"Admis"," ")))</f>
        <v>Redouble</v>
      </c>
      <c r="I627" s="486"/>
      <c r="J627" t="s">
        <v>663</v>
      </c>
      <c r="K627" t="s">
        <v>1590</v>
      </c>
      <c r="L627" s="64">
        <f>IF(AND(Tableau2[[#This Row],[CLASSE]]="CPU",Tableau2[[#This Row],[STATUT ]]="Admis"),1,0)</f>
        <v>0</v>
      </c>
      <c r="M627" s="64">
        <f>IF(AND(Tableau2[[#This Row],[CLASSE]]="CEU",Tableau2[[#This Row],[STATUT ]]="Admis"),1,0)</f>
        <v>0</v>
      </c>
      <c r="N627" s="64"/>
      <c r="O627" s="296"/>
      <c r="P6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28" spans="1:16" ht="21" x14ac:dyDescent="0.35">
      <c r="A628" s="310">
        <v>627</v>
      </c>
      <c r="B628" s="403" t="s">
        <v>2497</v>
      </c>
      <c r="C628" s="411" t="s">
        <v>2</v>
      </c>
      <c r="D628" s="295">
        <v>14</v>
      </c>
      <c r="E628" s="406">
        <v>7.43</v>
      </c>
      <c r="F628" s="482" t="s">
        <v>2009</v>
      </c>
      <c r="G628" s="402" t="s">
        <v>2016</v>
      </c>
      <c r="H628" s="300" t="str">
        <f>IF(Tableau2[[#This Row],[Moyennes]]="Absent","Absent",IF(Tableau2[[#This Row],[Moyennes]]&lt;5,"Redouble",IF(Tableau2[[#This Row],[Moyennes]]&gt;=5,"Admis"," ")))</f>
        <v>Admis</v>
      </c>
      <c r="I628" s="488"/>
      <c r="J628" t="s">
        <v>663</v>
      </c>
      <c r="K628" t="s">
        <v>1590</v>
      </c>
      <c r="L628" s="64">
        <f>IF(AND(Tableau2[[#This Row],[CLASSE]]="CPU",Tableau2[[#This Row],[STATUT ]]="Admis"),1,0)</f>
        <v>1</v>
      </c>
      <c r="M628" s="64">
        <f>IF(AND(Tableau2[[#This Row],[CLASSE]]="CEU",Tableau2[[#This Row],[STATUT ]]="Admis"),1,0)</f>
        <v>0</v>
      </c>
      <c r="N628" s="64"/>
      <c r="O628" s="296"/>
      <c r="P6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29" spans="1:16" ht="21" x14ac:dyDescent="0.35">
      <c r="A629" s="310">
        <v>628</v>
      </c>
      <c r="B629" s="396" t="s">
        <v>2498</v>
      </c>
      <c r="C629" s="64" t="s">
        <v>2</v>
      </c>
      <c r="D629" s="295">
        <v>9</v>
      </c>
      <c r="E629" s="406">
        <v>6.5</v>
      </c>
      <c r="F629" s="482" t="s">
        <v>2009</v>
      </c>
      <c r="G629" s="402" t="s">
        <v>2042</v>
      </c>
      <c r="H629" s="300" t="str">
        <f>IF(Tableau2[[#This Row],[Moyennes]]="Absent","Absent",IF(Tableau2[[#This Row],[Moyennes]]&lt;5,"Redouble",IF(Tableau2[[#This Row],[Moyennes]]&gt;=5,"Admis"," ")))</f>
        <v>Admis</v>
      </c>
      <c r="I629" s="488"/>
      <c r="J629" t="s">
        <v>663</v>
      </c>
      <c r="K629" t="s">
        <v>1590</v>
      </c>
      <c r="L629" s="64">
        <f>IF(AND(Tableau2[[#This Row],[CLASSE]]="CPU",Tableau2[[#This Row],[STATUT ]]="Admis"),1,0)</f>
        <v>1</v>
      </c>
      <c r="M629" s="64">
        <f>IF(AND(Tableau2[[#This Row],[CLASSE]]="CEU",Tableau2[[#This Row],[STATUT ]]="Admis"),1,0)</f>
        <v>0</v>
      </c>
      <c r="N629" s="64"/>
      <c r="O629" s="296"/>
      <c r="P6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0" spans="1:16" ht="21" x14ac:dyDescent="0.35">
      <c r="A630" s="310">
        <v>629</v>
      </c>
      <c r="B630" s="396" t="s">
        <v>2499</v>
      </c>
      <c r="C630" s="64" t="s">
        <v>1</v>
      </c>
      <c r="D630" s="295">
        <v>14</v>
      </c>
      <c r="E630" s="406">
        <v>4.12</v>
      </c>
      <c r="F630" s="482" t="s">
        <v>2009</v>
      </c>
      <c r="G630" s="396" t="s">
        <v>2078</v>
      </c>
      <c r="H630" s="300" t="str">
        <f>IF(Tableau2[[#This Row],[Moyennes]]="Absent","Absent",IF(Tableau2[[#This Row],[Moyennes]]&lt;5,"Redouble",IF(Tableau2[[#This Row],[Moyennes]]&gt;=5,"Admis"," ")))</f>
        <v>Redouble</v>
      </c>
      <c r="I630" s="488"/>
      <c r="J630" t="s">
        <v>663</v>
      </c>
      <c r="K630" t="s">
        <v>1590</v>
      </c>
      <c r="L630" s="64">
        <f>IF(AND(Tableau2[[#This Row],[CLASSE]]="CPU",Tableau2[[#This Row],[STATUT ]]="Admis"),1,0)</f>
        <v>0</v>
      </c>
      <c r="M630" s="64">
        <f>IF(AND(Tableau2[[#This Row],[CLASSE]]="CEU",Tableau2[[#This Row],[STATUT ]]="Admis"),1,0)</f>
        <v>0</v>
      </c>
      <c r="N630" s="64"/>
      <c r="O630" s="296"/>
      <c r="P6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1" spans="1:16" ht="21" x14ac:dyDescent="0.35">
      <c r="A631" s="310">
        <v>630</v>
      </c>
      <c r="B631" s="396" t="s">
        <v>2500</v>
      </c>
      <c r="C631" s="64" t="s">
        <v>1</v>
      </c>
      <c r="D631" s="295">
        <v>12</v>
      </c>
      <c r="E631" s="406">
        <v>9.6199999999999992</v>
      </c>
      <c r="F631" s="482" t="s">
        <v>2009</v>
      </c>
      <c r="G631" s="396" t="s">
        <v>2010</v>
      </c>
      <c r="H631" s="300" t="str">
        <f>IF(Tableau2[[#This Row],[Moyennes]]="Absent","Absent",IF(Tableau2[[#This Row],[Moyennes]]&lt;5,"Redouble",IF(Tableau2[[#This Row],[Moyennes]]&gt;=5,"Admis"," ")))</f>
        <v>Admis</v>
      </c>
      <c r="I631" s="488"/>
      <c r="J631" t="s">
        <v>663</v>
      </c>
      <c r="K631" t="s">
        <v>1590</v>
      </c>
      <c r="L631" s="64">
        <f>IF(AND(Tableau2[[#This Row],[CLASSE]]="CPU",Tableau2[[#This Row],[STATUT ]]="Admis"),1,0)</f>
        <v>1</v>
      </c>
      <c r="M631" s="64">
        <f>IF(AND(Tableau2[[#This Row],[CLASSE]]="CEU",Tableau2[[#This Row],[STATUT ]]="Admis"),1,0)</f>
        <v>0</v>
      </c>
      <c r="N631" s="64"/>
      <c r="O631" s="296"/>
      <c r="P6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32" spans="1:16" ht="21" x14ac:dyDescent="0.35">
      <c r="A632" s="310">
        <v>631</v>
      </c>
      <c r="B632" s="396" t="s">
        <v>2501</v>
      </c>
      <c r="C632" s="64" t="s">
        <v>2</v>
      </c>
      <c r="D632" s="295">
        <v>9</v>
      </c>
      <c r="E632" s="406">
        <v>7.37</v>
      </c>
      <c r="F632" s="482" t="s">
        <v>2009</v>
      </c>
      <c r="G632" s="396" t="s">
        <v>2062</v>
      </c>
      <c r="H632" s="300" t="str">
        <f>IF(Tableau2[[#This Row],[Moyennes]]="Absent","Absent",IF(Tableau2[[#This Row],[Moyennes]]&lt;5,"Redouble",IF(Tableau2[[#This Row],[Moyennes]]&gt;=5,"Admis"," ")))</f>
        <v>Admis</v>
      </c>
      <c r="I632" s="488"/>
      <c r="J632" t="s">
        <v>663</v>
      </c>
      <c r="K632" t="s">
        <v>1590</v>
      </c>
      <c r="L632" s="64">
        <f>IF(AND(Tableau2[[#This Row],[CLASSE]]="CPU",Tableau2[[#This Row],[STATUT ]]="Admis"),1,0)</f>
        <v>1</v>
      </c>
      <c r="M632" s="64">
        <f>IF(AND(Tableau2[[#This Row],[CLASSE]]="CEU",Tableau2[[#This Row],[STATUT ]]="Admis"),1,0)</f>
        <v>0</v>
      </c>
      <c r="N632" s="64"/>
      <c r="O632" s="296"/>
      <c r="P6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3" spans="1:16" ht="21" x14ac:dyDescent="0.35">
      <c r="A633" s="310">
        <v>632</v>
      </c>
      <c r="B633" s="396" t="s">
        <v>2502</v>
      </c>
      <c r="C633" s="64" t="s">
        <v>2</v>
      </c>
      <c r="D633" s="295">
        <v>9</v>
      </c>
      <c r="E633" s="406">
        <v>7.5</v>
      </c>
      <c r="F633" s="482" t="s">
        <v>2009</v>
      </c>
      <c r="G633" s="396" t="s">
        <v>2033</v>
      </c>
      <c r="H633" s="300" t="str">
        <f>IF(Tableau2[[#This Row],[Moyennes]]="Absent","Absent",IF(Tableau2[[#This Row],[Moyennes]]&lt;5,"Redouble",IF(Tableau2[[#This Row],[Moyennes]]&gt;=5,"Admis"," ")))</f>
        <v>Admis</v>
      </c>
      <c r="I633" s="488"/>
      <c r="J633" t="s">
        <v>663</v>
      </c>
      <c r="K633" t="s">
        <v>1590</v>
      </c>
      <c r="L633" s="64">
        <f>IF(AND(Tableau2[[#This Row],[CLASSE]]="CPU",Tableau2[[#This Row],[STATUT ]]="Admis"),1,0)</f>
        <v>1</v>
      </c>
      <c r="M633" s="64">
        <f>IF(AND(Tableau2[[#This Row],[CLASSE]]="CEU",Tableau2[[#This Row],[STATUT ]]="Admis"),1,0)</f>
        <v>0</v>
      </c>
      <c r="N633" s="64"/>
      <c r="O633" s="296"/>
      <c r="P6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4" spans="1:16" ht="21" x14ac:dyDescent="0.35">
      <c r="A634" s="310">
        <v>633</v>
      </c>
      <c r="B634" s="396" t="s">
        <v>2503</v>
      </c>
      <c r="C634" s="64" t="s">
        <v>2</v>
      </c>
      <c r="D634" s="295">
        <v>12</v>
      </c>
      <c r="E634" s="406">
        <v>9.81</v>
      </c>
      <c r="F634" s="482" t="s">
        <v>2009</v>
      </c>
      <c r="G634" s="396" t="s">
        <v>838</v>
      </c>
      <c r="H634" s="300" t="str">
        <f>IF(Tableau2[[#This Row],[Moyennes]]="Absent","Absent",IF(Tableau2[[#This Row],[Moyennes]]&lt;5,"Redouble",IF(Tableau2[[#This Row],[Moyennes]]&gt;=5,"Admis"," ")))</f>
        <v>Admis</v>
      </c>
      <c r="I634" s="488"/>
      <c r="J634" t="s">
        <v>663</v>
      </c>
      <c r="K634" t="s">
        <v>1590</v>
      </c>
      <c r="L634" s="64">
        <f>IF(AND(Tableau2[[#This Row],[CLASSE]]="CPU",Tableau2[[#This Row],[STATUT ]]="Admis"),1,0)</f>
        <v>1</v>
      </c>
      <c r="M634" s="64">
        <f>IF(AND(Tableau2[[#This Row],[CLASSE]]="CEU",Tableau2[[#This Row],[STATUT ]]="Admis"),1,0)</f>
        <v>0</v>
      </c>
      <c r="N634" s="64"/>
      <c r="O634" s="296"/>
      <c r="P6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35" spans="1:16" ht="21" x14ac:dyDescent="0.35">
      <c r="A635" s="310">
        <v>634</v>
      </c>
      <c r="B635" s="396" t="s">
        <v>2504</v>
      </c>
      <c r="C635" s="64" t="s">
        <v>1</v>
      </c>
      <c r="D635" s="295">
        <v>9</v>
      </c>
      <c r="E635" s="406">
        <v>4.75</v>
      </c>
      <c r="F635" s="482" t="s">
        <v>2009</v>
      </c>
      <c r="G635" s="396" t="s">
        <v>2030</v>
      </c>
      <c r="H635" s="300" t="str">
        <f>IF(Tableau2[[#This Row],[Moyennes]]="Absent","Absent",IF(Tableau2[[#This Row],[Moyennes]]&lt;5,"Redouble",IF(Tableau2[[#This Row],[Moyennes]]&gt;=5,"Admis"," ")))</f>
        <v>Redouble</v>
      </c>
      <c r="J635" t="s">
        <v>663</v>
      </c>
      <c r="K635" t="s">
        <v>1590</v>
      </c>
      <c r="L635" s="64">
        <f>IF(AND(Tableau2[[#This Row],[CLASSE]]="CPU",Tableau2[[#This Row],[STATUT ]]="Admis"),1,0)</f>
        <v>0</v>
      </c>
      <c r="M635" s="64">
        <f>IF(AND(Tableau2[[#This Row],[CLASSE]]="CEU",Tableau2[[#This Row],[STATUT ]]="Admis"),1,0)</f>
        <v>0</v>
      </c>
      <c r="N635" s="64"/>
      <c r="O635" s="296"/>
      <c r="P6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36" spans="1:16" ht="21" x14ac:dyDescent="0.35">
      <c r="A636" s="310">
        <v>635</v>
      </c>
      <c r="B636" s="396" t="s">
        <v>2505</v>
      </c>
      <c r="C636" s="64" t="s">
        <v>1</v>
      </c>
      <c r="D636" s="295">
        <v>10</v>
      </c>
      <c r="E636" s="406">
        <v>9.1199999999999992</v>
      </c>
      <c r="F636" s="482" t="s">
        <v>2009</v>
      </c>
      <c r="G636" s="396" t="s">
        <v>2048</v>
      </c>
      <c r="H636" s="300" t="str">
        <f>IF(Tableau2[[#This Row],[Moyennes]]="Absent","Absent",IF(Tableau2[[#This Row],[Moyennes]]&lt;5,"Redouble",IF(Tableau2[[#This Row],[Moyennes]]&gt;=5,"Admis"," ")))</f>
        <v>Admis</v>
      </c>
      <c r="J636" t="s">
        <v>663</v>
      </c>
      <c r="K636" t="s">
        <v>1590</v>
      </c>
      <c r="L636" s="64">
        <f>IF(AND(Tableau2[[#This Row],[CLASSE]]="CPU",Tableau2[[#This Row],[STATUT ]]="Admis"),1,0)</f>
        <v>1</v>
      </c>
      <c r="M636" s="64">
        <f>IF(AND(Tableau2[[#This Row],[CLASSE]]="CEU",Tableau2[[#This Row],[STATUT ]]="Admis"),1,0)</f>
        <v>0</v>
      </c>
      <c r="N636" s="64"/>
      <c r="O636" s="296"/>
      <c r="P6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7" spans="1:16" ht="21" x14ac:dyDescent="0.35">
      <c r="A637" s="310">
        <v>636</v>
      </c>
      <c r="B637" s="396" t="s">
        <v>2469</v>
      </c>
      <c r="C637" s="64" t="s">
        <v>1</v>
      </c>
      <c r="D637" s="295">
        <v>11</v>
      </c>
      <c r="E637" s="406">
        <v>7.87</v>
      </c>
      <c r="F637" s="482" t="s">
        <v>2009</v>
      </c>
      <c r="G637" s="396" t="s">
        <v>2089</v>
      </c>
      <c r="H637" s="300" t="str">
        <f>IF(Tableau2[[#This Row],[Moyennes]]="Absent","Absent",IF(Tableau2[[#This Row],[Moyennes]]&lt;5,"Redouble",IF(Tableau2[[#This Row],[Moyennes]]&gt;=5,"Admis"," ")))</f>
        <v>Admis</v>
      </c>
      <c r="J637" t="s">
        <v>663</v>
      </c>
      <c r="K637" t="s">
        <v>1590</v>
      </c>
      <c r="L637" s="64">
        <f>IF(AND(Tableau2[[#This Row],[CLASSE]]="CPU",Tableau2[[#This Row],[STATUT ]]="Admis"),1,0)</f>
        <v>1</v>
      </c>
      <c r="M637" s="64">
        <f>IF(AND(Tableau2[[#This Row],[CLASSE]]="CEU",Tableau2[[#This Row],[STATUT ]]="Admis"),1,0)</f>
        <v>0</v>
      </c>
      <c r="N637" s="64"/>
      <c r="O637" s="296"/>
      <c r="P6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38" spans="1:16" ht="21" x14ac:dyDescent="0.35">
      <c r="A638" s="310">
        <v>637</v>
      </c>
      <c r="B638" s="396" t="s">
        <v>2506</v>
      </c>
      <c r="C638" s="64" t="s">
        <v>1</v>
      </c>
      <c r="D638" s="295">
        <v>14</v>
      </c>
      <c r="E638" s="406">
        <v>8</v>
      </c>
      <c r="F638" s="482" t="s">
        <v>2009</v>
      </c>
      <c r="G638" s="396" t="s">
        <v>2027</v>
      </c>
      <c r="H638" s="300" t="str">
        <f>IF(Tableau2[[#This Row],[Moyennes]]="Absent","Absent",IF(Tableau2[[#This Row],[Moyennes]]&lt;5,"Redouble",IF(Tableau2[[#This Row],[Moyennes]]&gt;=5,"Admis"," ")))</f>
        <v>Admis</v>
      </c>
      <c r="J638" t="s">
        <v>663</v>
      </c>
      <c r="K638" t="s">
        <v>1590</v>
      </c>
      <c r="L638" s="64">
        <f>IF(AND(Tableau2[[#This Row],[CLASSE]]="CPU",Tableau2[[#This Row],[STATUT ]]="Admis"),1,0)</f>
        <v>1</v>
      </c>
      <c r="M638" s="64">
        <f>IF(AND(Tableau2[[#This Row],[CLASSE]]="CEU",Tableau2[[#This Row],[STATUT ]]="Admis"),1,0)</f>
        <v>0</v>
      </c>
      <c r="N638" s="64"/>
      <c r="O638" s="296"/>
      <c r="P6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39" spans="1:16" ht="21" x14ac:dyDescent="0.35">
      <c r="A639" s="310">
        <v>638</v>
      </c>
      <c r="B639" s="396" t="s">
        <v>2507</v>
      </c>
      <c r="C639" s="64" t="s">
        <v>2</v>
      </c>
      <c r="D639" s="295">
        <v>10</v>
      </c>
      <c r="E639" s="406">
        <v>8.8699999999999992</v>
      </c>
      <c r="F639" s="482" t="s">
        <v>2009</v>
      </c>
      <c r="G639" s="396" t="s">
        <v>2018</v>
      </c>
      <c r="H639" s="300" t="str">
        <f>IF(Tableau2[[#This Row],[Moyennes]]="Absent","Absent",IF(Tableau2[[#This Row],[Moyennes]]&lt;5,"Redouble",IF(Tableau2[[#This Row],[Moyennes]]&gt;=5,"Admis"," ")))</f>
        <v>Admis</v>
      </c>
      <c r="J639" t="s">
        <v>663</v>
      </c>
      <c r="K639" t="s">
        <v>1590</v>
      </c>
      <c r="L639" s="64">
        <f>IF(AND(Tableau2[[#This Row],[CLASSE]]="CPU",Tableau2[[#This Row],[STATUT ]]="Admis"),1,0)</f>
        <v>1</v>
      </c>
      <c r="M639" s="64">
        <f>IF(AND(Tableau2[[#This Row],[CLASSE]]="CEU",Tableau2[[#This Row],[STATUT ]]="Admis"),1,0)</f>
        <v>0</v>
      </c>
      <c r="N639" s="64"/>
      <c r="O639" s="296"/>
      <c r="P6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0" spans="1:16" ht="21" x14ac:dyDescent="0.35">
      <c r="A640" s="310">
        <v>639</v>
      </c>
      <c r="B640" s="396" t="s">
        <v>2508</v>
      </c>
      <c r="C640" s="64" t="s">
        <v>1</v>
      </c>
      <c r="D640" s="295">
        <v>9</v>
      </c>
      <c r="E640" s="406">
        <v>5.37</v>
      </c>
      <c r="F640" s="482" t="s">
        <v>2009</v>
      </c>
      <c r="G640" s="396" t="s">
        <v>2025</v>
      </c>
      <c r="H640" s="300" t="str">
        <f>IF(Tableau2[[#This Row],[Moyennes]]="Absent","Absent",IF(Tableau2[[#This Row],[Moyennes]]&lt;5,"Redouble",IF(Tableau2[[#This Row],[Moyennes]]&gt;=5,"Admis"," ")))</f>
        <v>Admis</v>
      </c>
      <c r="J640" t="s">
        <v>663</v>
      </c>
      <c r="K640" t="s">
        <v>1590</v>
      </c>
      <c r="L640" s="64">
        <f>IF(AND(Tableau2[[#This Row],[CLASSE]]="CPU",Tableau2[[#This Row],[STATUT ]]="Admis"),1,0)</f>
        <v>1</v>
      </c>
      <c r="M640" s="64">
        <f>IF(AND(Tableau2[[#This Row],[CLASSE]]="CEU",Tableau2[[#This Row],[STATUT ]]="Admis"),1,0)</f>
        <v>0</v>
      </c>
      <c r="N640" s="64"/>
      <c r="O640" s="296"/>
      <c r="P6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1" spans="1:16" ht="21" x14ac:dyDescent="0.35">
      <c r="A641" s="310">
        <v>640</v>
      </c>
      <c r="B641" s="396" t="s">
        <v>2509</v>
      </c>
      <c r="C641" s="64" t="s">
        <v>2</v>
      </c>
      <c r="D641" s="295">
        <v>13</v>
      </c>
      <c r="E641" s="406">
        <v>5.25</v>
      </c>
      <c r="F641" s="482" t="s">
        <v>2009</v>
      </c>
      <c r="G641" s="396" t="s">
        <v>2046</v>
      </c>
      <c r="H641" s="300" t="str">
        <f>IF(Tableau2[[#This Row],[Moyennes]]="Absent","Absent",IF(Tableau2[[#This Row],[Moyennes]]&lt;5,"Redouble",IF(Tableau2[[#This Row],[Moyennes]]&gt;=5,"Admis"," ")))</f>
        <v>Admis</v>
      </c>
      <c r="J641" t="s">
        <v>663</v>
      </c>
      <c r="K641" t="s">
        <v>1590</v>
      </c>
      <c r="L641" s="64">
        <f>IF(AND(Tableau2[[#This Row],[CLASSE]]="CPU",Tableau2[[#This Row],[STATUT ]]="Admis"),1,0)</f>
        <v>1</v>
      </c>
      <c r="M641" s="64">
        <f>IF(AND(Tableau2[[#This Row],[CLASSE]]="CEU",Tableau2[[#This Row],[STATUT ]]="Admis"),1,0)</f>
        <v>0</v>
      </c>
      <c r="N641" s="64"/>
      <c r="O641" s="296"/>
      <c r="P6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42" spans="1:16" ht="21" x14ac:dyDescent="0.35">
      <c r="A642" s="310">
        <v>641</v>
      </c>
      <c r="B642" s="396" t="s">
        <v>2510</v>
      </c>
      <c r="C642" s="64" t="s">
        <v>1</v>
      </c>
      <c r="D642" s="295">
        <v>11</v>
      </c>
      <c r="E642" s="406">
        <v>9.3699999999999992</v>
      </c>
      <c r="F642" s="482" t="s">
        <v>2009</v>
      </c>
      <c r="G642" s="396" t="s">
        <v>2012</v>
      </c>
      <c r="H642" s="300" t="str">
        <f>IF(Tableau2[[#This Row],[Moyennes]]="Absent","Absent",IF(Tableau2[[#This Row],[Moyennes]]&lt;5,"Redouble",IF(Tableau2[[#This Row],[Moyennes]]&gt;=5,"Admis"," ")))</f>
        <v>Admis</v>
      </c>
      <c r="J642" t="s">
        <v>663</v>
      </c>
      <c r="K642" t="s">
        <v>1590</v>
      </c>
      <c r="L642" s="64">
        <f>IF(AND(Tableau2[[#This Row],[CLASSE]]="CPU",Tableau2[[#This Row],[STATUT ]]="Admis"),1,0)</f>
        <v>1</v>
      </c>
      <c r="M642" s="64">
        <f>IF(AND(Tableau2[[#This Row],[CLASSE]]="CEU",Tableau2[[#This Row],[STATUT ]]="Admis"),1,0)</f>
        <v>0</v>
      </c>
      <c r="N642" s="64"/>
      <c r="O642" s="296"/>
      <c r="P6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3" spans="1:16" ht="21" x14ac:dyDescent="0.35">
      <c r="A643" s="310">
        <v>642</v>
      </c>
      <c r="B643" s="396" t="s">
        <v>2511</v>
      </c>
      <c r="C643" s="64" t="s">
        <v>1</v>
      </c>
      <c r="D643" s="295">
        <v>10</v>
      </c>
      <c r="E643" s="406">
        <v>7.87</v>
      </c>
      <c r="F643" s="482" t="s">
        <v>2009</v>
      </c>
      <c r="G643" s="396" t="s">
        <v>2089</v>
      </c>
      <c r="H643" s="300" t="str">
        <f>IF(Tableau2[[#This Row],[Moyennes]]="Absent","Absent",IF(Tableau2[[#This Row],[Moyennes]]&lt;5,"Redouble",IF(Tableau2[[#This Row],[Moyennes]]&gt;=5,"Admis"," ")))</f>
        <v>Admis</v>
      </c>
      <c r="J643" t="s">
        <v>663</v>
      </c>
      <c r="K643" t="s">
        <v>1590</v>
      </c>
      <c r="L643" s="64">
        <f>IF(AND(Tableau2[[#This Row],[CLASSE]]="CPU",Tableau2[[#This Row],[STATUT ]]="Admis"),1,0)</f>
        <v>1</v>
      </c>
      <c r="M643" s="64">
        <f>IF(AND(Tableau2[[#This Row],[CLASSE]]="CEU",Tableau2[[#This Row],[STATUT ]]="Admis"),1,0)</f>
        <v>0</v>
      </c>
      <c r="N643" s="64"/>
      <c r="O643" s="296"/>
      <c r="P6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4" spans="1:16" ht="21.5" thickBot="1" x14ac:dyDescent="0.4">
      <c r="A644" s="310">
        <v>643</v>
      </c>
      <c r="B644" s="396" t="s">
        <v>2512</v>
      </c>
      <c r="C644" s="64" t="s">
        <v>1</v>
      </c>
      <c r="D644" s="295">
        <v>11</v>
      </c>
      <c r="E644" s="406">
        <v>9.5</v>
      </c>
      <c r="F644" s="482" t="s">
        <v>2009</v>
      </c>
      <c r="G644" s="396" t="s">
        <v>815</v>
      </c>
      <c r="H644" s="300" t="str">
        <f>IF(Tableau2[[#This Row],[Moyennes]]="Absent","Absent",IF(Tableau2[[#This Row],[Moyennes]]&lt;5,"Redouble",IF(Tableau2[[#This Row],[Moyennes]]&gt;=5,"Admis"," ")))</f>
        <v>Admis</v>
      </c>
      <c r="J644" t="s">
        <v>663</v>
      </c>
      <c r="K644" t="s">
        <v>1590</v>
      </c>
      <c r="L644" s="64">
        <f>IF(AND(Tableau2[[#This Row],[CLASSE]]="CPU",Tableau2[[#This Row],[STATUT ]]="Admis"),1,0)</f>
        <v>1</v>
      </c>
      <c r="M644" s="64">
        <f>IF(AND(Tableau2[[#This Row],[CLASSE]]="CEU",Tableau2[[#This Row],[STATUT ]]="Admis"),1,0)</f>
        <v>0</v>
      </c>
      <c r="N644" s="64"/>
      <c r="O644" s="296"/>
      <c r="P6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5" spans="1:16" ht="21" x14ac:dyDescent="0.35">
      <c r="A645" s="310">
        <v>644</v>
      </c>
      <c r="B645" s="396" t="s">
        <v>2513</v>
      </c>
      <c r="C645" s="296" t="s">
        <v>2</v>
      </c>
      <c r="D645" s="388">
        <v>9</v>
      </c>
      <c r="E645" s="474">
        <v>4.5</v>
      </c>
      <c r="F645" s="482" t="s">
        <v>2009</v>
      </c>
      <c r="G645" s="396" t="s">
        <v>2023</v>
      </c>
      <c r="H645" s="300" t="str">
        <f>IF(Tableau2[[#This Row],[Moyennes]]="Absent","Absent",IF(Tableau2[[#This Row],[Moyennes]]&lt;5,"Redouble",IF(Tableau2[[#This Row],[Moyennes]]&gt;=5,"Admis"," ")))</f>
        <v>Redouble</v>
      </c>
      <c r="J645" t="s">
        <v>663</v>
      </c>
      <c r="K645" t="s">
        <v>1590</v>
      </c>
      <c r="L645" s="64">
        <f>IF(AND(Tableau2[[#This Row],[CLASSE]]="CPU",Tableau2[[#This Row],[STATUT ]]="Admis"),1,0)</f>
        <v>0</v>
      </c>
      <c r="M645" s="64">
        <f>IF(AND(Tableau2[[#This Row],[CLASSE]]="CEU",Tableau2[[#This Row],[STATUT ]]="Admis"),1,0)</f>
        <v>0</v>
      </c>
      <c r="N645" s="64"/>
      <c r="O645" s="296"/>
      <c r="P6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46" spans="1:16" ht="21" x14ac:dyDescent="0.35">
      <c r="A646" s="310">
        <v>645</v>
      </c>
      <c r="B646" s="396" t="s">
        <v>2514</v>
      </c>
      <c r="C646" s="64" t="s">
        <v>1</v>
      </c>
      <c r="D646" s="389">
        <v>10</v>
      </c>
      <c r="E646" s="408">
        <v>8.1199999999999992</v>
      </c>
      <c r="F646" s="482" t="s">
        <v>2009</v>
      </c>
      <c r="G646" s="396" t="s">
        <v>3494</v>
      </c>
      <c r="H646" s="300" t="str">
        <f>IF(Tableau2[[#This Row],[Moyennes]]="Absent","Absent",IF(Tableau2[[#This Row],[Moyennes]]&lt;5,"Redouble",IF(Tableau2[[#This Row],[Moyennes]]&gt;=5,"Admis"," ")))</f>
        <v>Admis</v>
      </c>
      <c r="J646" t="s">
        <v>663</v>
      </c>
      <c r="K646" t="s">
        <v>1590</v>
      </c>
      <c r="L646" s="64">
        <f>IF(AND(Tableau2[[#This Row],[CLASSE]]="CPU",Tableau2[[#This Row],[STATUT ]]="Admis"),1,0)</f>
        <v>1</v>
      </c>
      <c r="M646" s="64">
        <f>IF(AND(Tableau2[[#This Row],[CLASSE]]="CEU",Tableau2[[#This Row],[STATUT ]]="Admis"),1,0)</f>
        <v>0</v>
      </c>
      <c r="N646" s="64"/>
      <c r="O646" s="296"/>
      <c r="P6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47" spans="1:16" ht="21" x14ac:dyDescent="0.35">
      <c r="A647" s="310">
        <v>646</v>
      </c>
      <c r="B647" s="396" t="s">
        <v>2515</v>
      </c>
      <c r="C647" s="296" t="s">
        <v>2</v>
      </c>
      <c r="D647" s="389">
        <v>13</v>
      </c>
      <c r="E647" s="408">
        <v>10</v>
      </c>
      <c r="F647" s="482" t="s">
        <v>2009</v>
      </c>
      <c r="G647" s="396" t="s">
        <v>838</v>
      </c>
      <c r="H647" s="300" t="str">
        <f>IF(Tableau2[[#This Row],[Moyennes]]="Absent","Absent",IF(Tableau2[[#This Row],[Moyennes]]&lt;5,"Redouble",IF(Tableau2[[#This Row],[Moyennes]]&gt;=5,"Admis"," ")))</f>
        <v>Admis</v>
      </c>
      <c r="J647" t="s">
        <v>663</v>
      </c>
      <c r="K647" t="s">
        <v>1590</v>
      </c>
      <c r="L647" s="64">
        <f>IF(AND(Tableau2[[#This Row],[CLASSE]]="CPU",Tableau2[[#This Row],[STATUT ]]="Admis"),1,0)</f>
        <v>1</v>
      </c>
      <c r="M647" s="64">
        <f>IF(AND(Tableau2[[#This Row],[CLASSE]]="CEU",Tableau2[[#This Row],[STATUT ]]="Admis"),1,0)</f>
        <v>0</v>
      </c>
      <c r="N647" s="64"/>
      <c r="O647" s="296"/>
      <c r="P6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48" spans="1:16" ht="21" x14ac:dyDescent="0.35">
      <c r="A648" s="310">
        <v>647</v>
      </c>
      <c r="B648" s="396" t="s">
        <v>2516</v>
      </c>
      <c r="C648" s="296" t="s">
        <v>2</v>
      </c>
      <c r="D648" s="389">
        <v>12</v>
      </c>
      <c r="E648" s="472">
        <v>9.25</v>
      </c>
      <c r="F648" s="482" t="s">
        <v>2009</v>
      </c>
      <c r="G648" s="396" t="s">
        <v>2044</v>
      </c>
      <c r="H648" s="300" t="str">
        <f>IF(Tableau2[[#This Row],[Moyennes]]="Absent","Absent",IF(Tableau2[[#This Row],[Moyennes]]&lt;5,"Redouble",IF(Tableau2[[#This Row],[Moyennes]]&gt;=5,"Admis"," ")))</f>
        <v>Admis</v>
      </c>
      <c r="J648" t="s">
        <v>663</v>
      </c>
      <c r="K648" t="s">
        <v>1590</v>
      </c>
      <c r="L648" s="64">
        <f>IF(AND(Tableau2[[#This Row],[CLASSE]]="CPU",Tableau2[[#This Row],[STATUT ]]="Admis"),1,0)</f>
        <v>1</v>
      </c>
      <c r="M648" s="64">
        <f>IF(AND(Tableau2[[#This Row],[CLASSE]]="CEU",Tableau2[[#This Row],[STATUT ]]="Admis"),1,0)</f>
        <v>0</v>
      </c>
      <c r="N648" s="64"/>
      <c r="O648" s="296"/>
      <c r="P6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49" spans="1:16" ht="21" x14ac:dyDescent="0.35">
      <c r="A649" s="310">
        <v>648</v>
      </c>
      <c r="B649" s="396" t="s">
        <v>2517</v>
      </c>
      <c r="C649" s="64" t="s">
        <v>1</v>
      </c>
      <c r="D649" s="389">
        <v>12</v>
      </c>
      <c r="E649" s="408">
        <v>8.5</v>
      </c>
      <c r="F649" s="482" t="s">
        <v>2009</v>
      </c>
      <c r="G649" s="396" t="s">
        <v>2089</v>
      </c>
      <c r="H649" s="300" t="str">
        <f>IF(Tableau2[[#This Row],[Moyennes]]="Absent","Absent",IF(Tableau2[[#This Row],[Moyennes]]&lt;5,"Redouble",IF(Tableau2[[#This Row],[Moyennes]]&gt;=5,"Admis"," ")))</f>
        <v>Admis</v>
      </c>
      <c r="J649" t="s">
        <v>663</v>
      </c>
      <c r="K649" t="s">
        <v>1590</v>
      </c>
      <c r="L649" s="64">
        <f>IF(AND(Tableau2[[#This Row],[CLASSE]]="CPU",Tableau2[[#This Row],[STATUT ]]="Admis"),1,0)</f>
        <v>1</v>
      </c>
      <c r="M649" s="64">
        <f>IF(AND(Tableau2[[#This Row],[CLASSE]]="CEU",Tableau2[[#This Row],[STATUT ]]="Admis"),1,0)</f>
        <v>0</v>
      </c>
      <c r="N649" s="64"/>
      <c r="O649" s="296"/>
      <c r="P6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50" spans="1:16" ht="21" x14ac:dyDescent="0.35">
      <c r="A650" s="310">
        <v>649</v>
      </c>
      <c r="B650" s="396" t="s">
        <v>2518</v>
      </c>
      <c r="C650" s="296" t="s">
        <v>2</v>
      </c>
      <c r="D650" s="389">
        <v>10</v>
      </c>
      <c r="E650" s="408">
        <v>5.62</v>
      </c>
      <c r="F650" s="482" t="s">
        <v>2009</v>
      </c>
      <c r="G650" s="396" t="s">
        <v>2025</v>
      </c>
      <c r="H650" s="300" t="str">
        <f>IF(Tableau2[[#This Row],[Moyennes]]="Absent","Absent",IF(Tableau2[[#This Row],[Moyennes]]&lt;5,"Redouble",IF(Tableau2[[#This Row],[Moyennes]]&gt;=5,"Admis"," ")))</f>
        <v>Admis</v>
      </c>
      <c r="J650" t="s">
        <v>663</v>
      </c>
      <c r="K650" t="s">
        <v>1590</v>
      </c>
      <c r="L650" s="64">
        <f>IF(AND(Tableau2[[#This Row],[CLASSE]]="CPU",Tableau2[[#This Row],[STATUT ]]="Admis"),1,0)</f>
        <v>1</v>
      </c>
      <c r="M650" s="64">
        <f>IF(AND(Tableau2[[#This Row],[CLASSE]]="CEU",Tableau2[[#This Row],[STATUT ]]="Admis"),1,0)</f>
        <v>0</v>
      </c>
      <c r="N650" s="64"/>
      <c r="O650" s="296"/>
      <c r="P6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51" spans="1:16" ht="21" x14ac:dyDescent="0.35">
      <c r="A651" s="310">
        <v>650</v>
      </c>
      <c r="B651" s="396" t="s">
        <v>2519</v>
      </c>
      <c r="C651" s="296" t="s">
        <v>2</v>
      </c>
      <c r="D651" s="389">
        <v>11</v>
      </c>
      <c r="E651" s="408">
        <v>5</v>
      </c>
      <c r="F651" s="482" t="s">
        <v>2009</v>
      </c>
      <c r="G651" s="396" t="s">
        <v>2046</v>
      </c>
      <c r="H651" s="300" t="str">
        <f>IF(Tableau2[[#This Row],[Moyennes]]="Absent","Absent",IF(Tableau2[[#This Row],[Moyennes]]&lt;5,"Redouble",IF(Tableau2[[#This Row],[Moyennes]]&gt;=5,"Admis"," ")))</f>
        <v>Admis</v>
      </c>
      <c r="J651" t="s">
        <v>663</v>
      </c>
      <c r="K651" t="s">
        <v>1590</v>
      </c>
      <c r="L651" s="64">
        <f>IF(AND(Tableau2[[#This Row],[CLASSE]]="CPU",Tableau2[[#This Row],[STATUT ]]="Admis"),1,0)</f>
        <v>1</v>
      </c>
      <c r="M651" s="64">
        <f>IF(AND(Tableau2[[#This Row],[CLASSE]]="CEU",Tableau2[[#This Row],[STATUT ]]="Admis"),1,0)</f>
        <v>0</v>
      </c>
      <c r="N651" s="64"/>
      <c r="O651" s="296"/>
      <c r="P6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52" spans="1:16" ht="21" x14ac:dyDescent="0.35">
      <c r="A652" s="310">
        <v>651</v>
      </c>
      <c r="B652" s="396" t="s">
        <v>2520</v>
      </c>
      <c r="C652" s="296" t="s">
        <v>2</v>
      </c>
      <c r="D652" s="389">
        <v>14</v>
      </c>
      <c r="E652" s="408">
        <v>9.8699999999999992</v>
      </c>
      <c r="F652" s="482" t="s">
        <v>2009</v>
      </c>
      <c r="G652" s="396" t="s">
        <v>2010</v>
      </c>
      <c r="H652" s="300" t="str">
        <f>IF(Tableau2[[#This Row],[Moyennes]]="Absent","Absent",IF(Tableau2[[#This Row],[Moyennes]]&lt;5,"Redouble",IF(Tableau2[[#This Row],[Moyennes]]&gt;=5,"Admis"," ")))</f>
        <v>Admis</v>
      </c>
      <c r="J652" t="s">
        <v>663</v>
      </c>
      <c r="K652" t="s">
        <v>1590</v>
      </c>
      <c r="L652" s="64">
        <f>IF(AND(Tableau2[[#This Row],[CLASSE]]="CPU",Tableau2[[#This Row],[STATUT ]]="Admis"),1,0)</f>
        <v>1</v>
      </c>
      <c r="M652" s="64">
        <f>IF(AND(Tableau2[[#This Row],[CLASSE]]="CEU",Tableau2[[#This Row],[STATUT ]]="Admis"),1,0)</f>
        <v>0</v>
      </c>
      <c r="N652" s="64"/>
      <c r="O652" s="296"/>
      <c r="P6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53" spans="1:16" ht="21" x14ac:dyDescent="0.35">
      <c r="A653" s="310">
        <v>652</v>
      </c>
      <c r="B653" s="396" t="s">
        <v>2521</v>
      </c>
      <c r="C653" s="296" t="s">
        <v>2</v>
      </c>
      <c r="D653" s="389">
        <v>9</v>
      </c>
      <c r="E653" s="408">
        <v>8.1199999999999992</v>
      </c>
      <c r="F653" s="482" t="s">
        <v>2009</v>
      </c>
      <c r="G653" s="396" t="s">
        <v>2021</v>
      </c>
      <c r="H653" s="300" t="str">
        <f>IF(Tableau2[[#This Row],[Moyennes]]="Absent","Absent",IF(Tableau2[[#This Row],[Moyennes]]&lt;5,"Redouble",IF(Tableau2[[#This Row],[Moyennes]]&gt;=5,"Admis"," ")))</f>
        <v>Admis</v>
      </c>
      <c r="J653" t="s">
        <v>663</v>
      </c>
      <c r="K653" t="s">
        <v>1590</v>
      </c>
      <c r="L653" s="64">
        <f>IF(AND(Tableau2[[#This Row],[CLASSE]]="CPU",Tableau2[[#This Row],[STATUT ]]="Admis"),1,0)</f>
        <v>1</v>
      </c>
      <c r="M653" s="64">
        <f>IF(AND(Tableau2[[#This Row],[CLASSE]]="CEU",Tableau2[[#This Row],[STATUT ]]="Admis"),1,0)</f>
        <v>0</v>
      </c>
      <c r="N653" s="64"/>
      <c r="O653" s="296"/>
      <c r="P6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54" spans="1:16" ht="21" x14ac:dyDescent="0.35">
      <c r="A654" s="310">
        <v>653</v>
      </c>
      <c r="B654" s="396" t="s">
        <v>2522</v>
      </c>
      <c r="C654" s="64" t="s">
        <v>1</v>
      </c>
      <c r="D654" s="389">
        <v>9</v>
      </c>
      <c r="E654" s="408">
        <v>5.12</v>
      </c>
      <c r="F654" s="482" t="s">
        <v>2009</v>
      </c>
      <c r="G654" s="396" t="s">
        <v>2042</v>
      </c>
      <c r="H654" s="300" t="str">
        <f>IF(Tableau2[[#This Row],[Moyennes]]="Absent","Absent",IF(Tableau2[[#This Row],[Moyennes]]&lt;5,"Redouble",IF(Tableau2[[#This Row],[Moyennes]]&gt;=5,"Admis"," ")))</f>
        <v>Admis</v>
      </c>
      <c r="J654" t="s">
        <v>663</v>
      </c>
      <c r="K654" t="s">
        <v>1590</v>
      </c>
      <c r="L654" s="64">
        <f>IF(AND(Tableau2[[#This Row],[CLASSE]]="CPU",Tableau2[[#This Row],[STATUT ]]="Admis"),1,0)</f>
        <v>1</v>
      </c>
      <c r="M654" s="64">
        <f>IF(AND(Tableau2[[#This Row],[CLASSE]]="CEU",Tableau2[[#This Row],[STATUT ]]="Admis"),1,0)</f>
        <v>0</v>
      </c>
      <c r="N654" s="64"/>
      <c r="O654" s="296"/>
      <c r="P6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55" spans="1:16" ht="21" x14ac:dyDescent="0.35">
      <c r="A655" s="310">
        <v>654</v>
      </c>
      <c r="B655" s="396" t="s">
        <v>2523</v>
      </c>
      <c r="C655" s="296" t="s">
        <v>2</v>
      </c>
      <c r="D655" s="389">
        <v>13</v>
      </c>
      <c r="E655" s="408">
        <v>9.25</v>
      </c>
      <c r="F655" s="482" t="s">
        <v>2009</v>
      </c>
      <c r="G655" s="396" t="s">
        <v>2048</v>
      </c>
      <c r="H655" s="300" t="str">
        <f>IF(Tableau2[[#This Row],[Moyennes]]="Absent","Absent",IF(Tableau2[[#This Row],[Moyennes]]&lt;5,"Redouble",IF(Tableau2[[#This Row],[Moyennes]]&gt;=5,"Admis"," ")))</f>
        <v>Admis</v>
      </c>
      <c r="J655" t="s">
        <v>663</v>
      </c>
      <c r="K655" t="s">
        <v>1590</v>
      </c>
      <c r="L655" s="64">
        <f>IF(AND(Tableau2[[#This Row],[CLASSE]]="CPU",Tableau2[[#This Row],[STATUT ]]="Admis"),1,0)</f>
        <v>1</v>
      </c>
      <c r="M655" s="64">
        <f>IF(AND(Tableau2[[#This Row],[CLASSE]]="CEU",Tableau2[[#This Row],[STATUT ]]="Admis"),1,0)</f>
        <v>0</v>
      </c>
      <c r="N655" s="64"/>
      <c r="O655" s="296"/>
      <c r="P6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56" spans="1:16" ht="21" x14ac:dyDescent="0.35">
      <c r="A656" s="310">
        <v>655</v>
      </c>
      <c r="B656" s="396" t="s">
        <v>2524</v>
      </c>
      <c r="C656" s="296" t="s">
        <v>2</v>
      </c>
      <c r="D656" s="389">
        <v>14</v>
      </c>
      <c r="E656" s="408">
        <v>8.6199999999999992</v>
      </c>
      <c r="F656" s="482" t="s">
        <v>2009</v>
      </c>
      <c r="G656" s="396" t="s">
        <v>2027</v>
      </c>
      <c r="H656" s="300" t="str">
        <f>IF(Tableau2[[#This Row],[Moyennes]]="Absent","Absent",IF(Tableau2[[#This Row],[Moyennes]]&lt;5,"Redouble",IF(Tableau2[[#This Row],[Moyennes]]&gt;=5,"Admis"," ")))</f>
        <v>Admis</v>
      </c>
      <c r="J656" t="s">
        <v>663</v>
      </c>
      <c r="K656" t="s">
        <v>1590</v>
      </c>
      <c r="L656" s="64">
        <f>IF(AND(Tableau2[[#This Row],[CLASSE]]="CPU",Tableau2[[#This Row],[STATUT ]]="Admis"),1,0)</f>
        <v>1</v>
      </c>
      <c r="M656" s="64">
        <f>IF(AND(Tableau2[[#This Row],[CLASSE]]="CEU",Tableau2[[#This Row],[STATUT ]]="Admis"),1,0)</f>
        <v>0</v>
      </c>
      <c r="N656" s="64"/>
      <c r="O656" s="296"/>
      <c r="P6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57" spans="1:16" ht="21" x14ac:dyDescent="0.35">
      <c r="A657" s="310">
        <v>656</v>
      </c>
      <c r="B657" s="396" t="s">
        <v>2525</v>
      </c>
      <c r="C657" s="296" t="s">
        <v>2</v>
      </c>
      <c r="D657" s="389">
        <v>12</v>
      </c>
      <c r="E657" s="408">
        <v>9.75</v>
      </c>
      <c r="F657" s="482" t="s">
        <v>2009</v>
      </c>
      <c r="G657" s="396" t="s">
        <v>815</v>
      </c>
      <c r="H657" s="300" t="str">
        <f>IF(Tableau2[[#This Row],[Moyennes]]="Absent","Absent",IF(Tableau2[[#This Row],[Moyennes]]&lt;5,"Redouble",IF(Tableau2[[#This Row],[Moyennes]]&gt;=5,"Admis"," ")))</f>
        <v>Admis</v>
      </c>
      <c r="J657" t="s">
        <v>663</v>
      </c>
      <c r="K657" t="s">
        <v>1590</v>
      </c>
      <c r="L657" s="64">
        <f>IF(AND(Tableau2[[#This Row],[CLASSE]]="CPU",Tableau2[[#This Row],[STATUT ]]="Admis"),1,0)</f>
        <v>1</v>
      </c>
      <c r="M657" s="64">
        <f>IF(AND(Tableau2[[#This Row],[CLASSE]]="CEU",Tableau2[[#This Row],[STATUT ]]="Admis"),1,0)</f>
        <v>0</v>
      </c>
      <c r="N657" s="64"/>
      <c r="O657" s="296"/>
      <c r="P6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58" spans="1:16" ht="21" x14ac:dyDescent="0.35">
      <c r="A658" s="310">
        <v>657</v>
      </c>
      <c r="B658" s="396" t="s">
        <v>2526</v>
      </c>
      <c r="C658" s="296" t="s">
        <v>2</v>
      </c>
      <c r="D658" s="389">
        <v>9</v>
      </c>
      <c r="E658" s="408">
        <v>7.87</v>
      </c>
      <c r="F658" s="482" t="s">
        <v>2009</v>
      </c>
      <c r="G658" s="396" t="s">
        <v>2021</v>
      </c>
      <c r="H658" s="300" t="str">
        <f>IF(Tableau2[[#This Row],[Moyennes]]="Absent","Absent",IF(Tableau2[[#This Row],[Moyennes]]&lt;5,"Redouble",IF(Tableau2[[#This Row],[Moyennes]]&gt;=5,"Admis"," ")))</f>
        <v>Admis</v>
      </c>
      <c r="J658" t="s">
        <v>663</v>
      </c>
      <c r="K658" t="s">
        <v>1590</v>
      </c>
      <c r="L658" s="64">
        <f>IF(AND(Tableau2[[#This Row],[CLASSE]]="CPU",Tableau2[[#This Row],[STATUT ]]="Admis"),1,0)</f>
        <v>1</v>
      </c>
      <c r="M658" s="64">
        <f>IF(AND(Tableau2[[#This Row],[CLASSE]]="CEU",Tableau2[[#This Row],[STATUT ]]="Admis"),1,0)</f>
        <v>0</v>
      </c>
      <c r="N658" s="64"/>
      <c r="O658" s="296"/>
      <c r="P6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59" spans="1:16" ht="21" x14ac:dyDescent="0.35">
      <c r="A659" s="310">
        <v>658</v>
      </c>
      <c r="B659" s="396" t="s">
        <v>2527</v>
      </c>
      <c r="C659" s="296" t="s">
        <v>2</v>
      </c>
      <c r="D659" s="389">
        <v>13</v>
      </c>
      <c r="E659" s="408">
        <v>9.5</v>
      </c>
      <c r="F659" s="482" t="s">
        <v>2009</v>
      </c>
      <c r="G659" s="396" t="s">
        <v>2018</v>
      </c>
      <c r="H659" s="300" t="str">
        <f>IF(Tableau2[[#This Row],[Moyennes]]="Absent","Absent",IF(Tableau2[[#This Row],[Moyennes]]&lt;5,"Redouble",IF(Tableau2[[#This Row],[Moyennes]]&gt;=5,"Admis"," ")))</f>
        <v>Admis</v>
      </c>
      <c r="J659" t="s">
        <v>663</v>
      </c>
      <c r="K659" t="s">
        <v>1590</v>
      </c>
      <c r="L659" s="64">
        <f>IF(AND(Tableau2[[#This Row],[CLASSE]]="CPU",Tableau2[[#This Row],[STATUT ]]="Admis"),1,0)</f>
        <v>1</v>
      </c>
      <c r="M659" s="64">
        <f>IF(AND(Tableau2[[#This Row],[CLASSE]]="CEU",Tableau2[[#This Row],[STATUT ]]="Admis"),1,0)</f>
        <v>0</v>
      </c>
      <c r="N659" s="64"/>
      <c r="O659" s="296"/>
      <c r="P6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60" spans="1:16" ht="21" x14ac:dyDescent="0.35">
      <c r="A660" s="310">
        <v>659</v>
      </c>
      <c r="B660" s="403" t="s">
        <v>2528</v>
      </c>
      <c r="C660" s="64" t="s">
        <v>1</v>
      </c>
      <c r="D660" s="390">
        <v>13</v>
      </c>
      <c r="E660" s="408">
        <v>9.75</v>
      </c>
      <c r="F660" s="482" t="s">
        <v>2009</v>
      </c>
      <c r="G660" s="396" t="s">
        <v>815</v>
      </c>
      <c r="H660" s="300" t="str">
        <f>IF(Tableau2[[#This Row],[Moyennes]]="Absent","Absent",IF(Tableau2[[#This Row],[Moyennes]]&lt;5,"Redouble",IF(Tableau2[[#This Row],[Moyennes]]&gt;=5,"Admis"," ")))</f>
        <v>Admis</v>
      </c>
      <c r="J660" t="s">
        <v>663</v>
      </c>
      <c r="K660" t="s">
        <v>1590</v>
      </c>
      <c r="L660" s="64">
        <f>IF(AND(Tableau2[[#This Row],[CLASSE]]="CPU",Tableau2[[#This Row],[STATUT ]]="Admis"),1,0)</f>
        <v>1</v>
      </c>
      <c r="M660" s="64">
        <f>IF(AND(Tableau2[[#This Row],[CLASSE]]="CEU",Tableau2[[#This Row],[STATUT ]]="Admis"),1,0)</f>
        <v>0</v>
      </c>
      <c r="N660" s="64"/>
      <c r="O660" s="296"/>
      <c r="P6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61" spans="1:16" ht="21" x14ac:dyDescent="0.35">
      <c r="A661" s="310">
        <v>660</v>
      </c>
      <c r="B661" s="396" t="s">
        <v>2529</v>
      </c>
      <c r="C661" s="64" t="s">
        <v>1</v>
      </c>
      <c r="D661" s="389">
        <v>9</v>
      </c>
      <c r="E661" s="408">
        <v>5.75</v>
      </c>
      <c r="F661" s="482" t="s">
        <v>2009</v>
      </c>
      <c r="G661" s="396" t="s">
        <v>2062</v>
      </c>
      <c r="H661" s="300" t="str">
        <f>IF(Tableau2[[#This Row],[Moyennes]]="Absent","Absent",IF(Tableau2[[#This Row],[Moyennes]]&lt;5,"Redouble",IF(Tableau2[[#This Row],[Moyennes]]&gt;=5,"Admis"," ")))</f>
        <v>Admis</v>
      </c>
      <c r="J661" t="s">
        <v>663</v>
      </c>
      <c r="K661" t="s">
        <v>1590</v>
      </c>
      <c r="L661" s="64">
        <f>IF(AND(Tableau2[[#This Row],[CLASSE]]="CPU",Tableau2[[#This Row],[STATUT ]]="Admis"),1,0)</f>
        <v>1</v>
      </c>
      <c r="M661" s="64">
        <f>IF(AND(Tableau2[[#This Row],[CLASSE]]="CEU",Tableau2[[#This Row],[STATUT ]]="Admis"),1,0)</f>
        <v>0</v>
      </c>
      <c r="N661" s="64"/>
      <c r="O661" s="296"/>
      <c r="P6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62" spans="1:16" ht="21" x14ac:dyDescent="0.35">
      <c r="A662" s="310">
        <v>661</v>
      </c>
      <c r="B662" s="396" t="s">
        <v>2530</v>
      </c>
      <c r="C662" s="64" t="s">
        <v>1</v>
      </c>
      <c r="D662" s="389">
        <v>9</v>
      </c>
      <c r="E662" s="408">
        <v>6.75</v>
      </c>
      <c r="F662" s="482" t="s">
        <v>2009</v>
      </c>
      <c r="G662" s="396" t="s">
        <v>2033</v>
      </c>
      <c r="H662" s="300" t="str">
        <f>IF(Tableau2[[#This Row],[Moyennes]]="Absent","Absent",IF(Tableau2[[#This Row],[Moyennes]]&lt;5,"Redouble",IF(Tableau2[[#This Row],[Moyennes]]&gt;=5,"Admis"," ")))</f>
        <v>Admis</v>
      </c>
      <c r="J662" t="s">
        <v>663</v>
      </c>
      <c r="K662" t="s">
        <v>1590</v>
      </c>
      <c r="L662" s="64">
        <f>IF(AND(Tableau2[[#This Row],[CLASSE]]="CPU",Tableau2[[#This Row],[STATUT ]]="Admis"),1,0)</f>
        <v>1</v>
      </c>
      <c r="M662" s="64">
        <f>IF(AND(Tableau2[[#This Row],[CLASSE]]="CEU",Tableau2[[#This Row],[STATUT ]]="Admis"),1,0)</f>
        <v>0</v>
      </c>
      <c r="N662" s="64"/>
      <c r="O662" s="296"/>
      <c r="P6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63" spans="1:16" ht="21" x14ac:dyDescent="0.35">
      <c r="A663" s="310">
        <v>662</v>
      </c>
      <c r="B663" s="397" t="s">
        <v>2531</v>
      </c>
      <c r="C663" s="297" t="s">
        <v>2</v>
      </c>
      <c r="D663" s="391">
        <v>9</v>
      </c>
      <c r="E663" s="473">
        <v>3</v>
      </c>
      <c r="F663" s="482" t="s">
        <v>2009</v>
      </c>
      <c r="G663" s="397" t="s">
        <v>2066</v>
      </c>
      <c r="H663" s="300" t="str">
        <f>IF(Tableau2[[#This Row],[Moyennes]]="Absent","Absent",IF(Tableau2[[#This Row],[Moyennes]]&lt;5,"Redouble",IF(Tableau2[[#This Row],[Moyennes]]&gt;=5,"Admis"," ")))</f>
        <v>Redouble</v>
      </c>
      <c r="J663" t="s">
        <v>663</v>
      </c>
      <c r="K663" t="s">
        <v>1590</v>
      </c>
      <c r="L663" s="64">
        <f>IF(AND(Tableau2[[#This Row],[CLASSE]]="CPU",Tableau2[[#This Row],[STATUT ]]="Admis"),1,0)</f>
        <v>0</v>
      </c>
      <c r="M663" s="64">
        <f>IF(AND(Tableau2[[#This Row],[CLASSE]]="CEU",Tableau2[[#This Row],[STATUT ]]="Admis"),1,0)</f>
        <v>0</v>
      </c>
      <c r="N663" s="64"/>
      <c r="O663" s="296"/>
      <c r="P6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64" spans="1:16" ht="21" x14ac:dyDescent="0.35">
      <c r="A664" s="310">
        <v>663</v>
      </c>
      <c r="B664" s="397" t="s">
        <v>2532</v>
      </c>
      <c r="C664" s="64" t="s">
        <v>1</v>
      </c>
      <c r="D664" s="391">
        <v>13</v>
      </c>
      <c r="E664" s="473">
        <v>9.6199999999999992</v>
      </c>
      <c r="F664" s="482" t="s">
        <v>2009</v>
      </c>
      <c r="G664" s="397" t="s">
        <v>2012</v>
      </c>
      <c r="H664" s="300" t="str">
        <f>IF(Tableau2[[#This Row],[Moyennes]]="Absent","Absent",IF(Tableau2[[#This Row],[Moyennes]]&lt;5,"Redouble",IF(Tableau2[[#This Row],[Moyennes]]&gt;=5,"Admis"," ")))</f>
        <v>Admis</v>
      </c>
      <c r="J664" t="s">
        <v>663</v>
      </c>
      <c r="K664" t="s">
        <v>1590</v>
      </c>
      <c r="L664" s="64">
        <f>IF(AND(Tableau2[[#This Row],[CLASSE]]="CPU",Tableau2[[#This Row],[STATUT ]]="Admis"),1,0)</f>
        <v>1</v>
      </c>
      <c r="M664" s="64">
        <f>IF(AND(Tableau2[[#This Row],[CLASSE]]="CEU",Tableau2[[#This Row],[STATUT ]]="Admis"),1,0)</f>
        <v>0</v>
      </c>
      <c r="N664" s="64"/>
      <c r="O664" s="296"/>
      <c r="P6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65" spans="1:16" ht="21.5" thickBot="1" x14ac:dyDescent="0.4">
      <c r="A665" s="310">
        <v>664</v>
      </c>
      <c r="B665" s="397" t="s">
        <v>2534</v>
      </c>
      <c r="C665" s="297" t="s">
        <v>2</v>
      </c>
      <c r="D665" s="391">
        <v>9</v>
      </c>
      <c r="E665" s="473">
        <v>6.37</v>
      </c>
      <c r="F665" s="482" t="s">
        <v>2009</v>
      </c>
      <c r="G665" s="397" t="s">
        <v>2016</v>
      </c>
      <c r="H665" s="300" t="str">
        <f>IF(Tableau2[[#This Row],[Moyennes]]="Absent","Absent",IF(Tableau2[[#This Row],[Moyennes]]&lt;5,"Redouble",IF(Tableau2[[#This Row],[Moyennes]]&gt;=5,"Admis"," ")))</f>
        <v>Admis</v>
      </c>
      <c r="J665" t="s">
        <v>663</v>
      </c>
      <c r="K665" t="s">
        <v>1590</v>
      </c>
      <c r="L665" s="64">
        <f>IF(AND(Tableau2[[#This Row],[CLASSE]]="CPU",Tableau2[[#This Row],[STATUT ]]="Admis"),1,0)</f>
        <v>1</v>
      </c>
      <c r="M665" s="64">
        <f>IF(AND(Tableau2[[#This Row],[CLASSE]]="CEU",Tableau2[[#This Row],[STATUT ]]="Admis"),1,0)</f>
        <v>0</v>
      </c>
      <c r="N665" s="64"/>
      <c r="O665" s="296"/>
      <c r="P6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66" spans="1:16" ht="21" x14ac:dyDescent="0.35">
      <c r="A666" s="310">
        <v>665</v>
      </c>
      <c r="B666" s="396" t="s">
        <v>2535</v>
      </c>
      <c r="C666" s="296" t="s">
        <v>2</v>
      </c>
      <c r="D666" s="392">
        <v>11</v>
      </c>
      <c r="E666" s="480">
        <v>6</v>
      </c>
      <c r="F666" s="482" t="s">
        <v>2009</v>
      </c>
      <c r="G666" s="485" t="s">
        <v>2042</v>
      </c>
      <c r="H666" s="300" t="str">
        <f>IF(Tableau2[[#This Row],[Moyennes]]="Absent","Absent",IF(Tableau2[[#This Row],[Moyennes]]&lt;5,"Redouble",IF(Tableau2[[#This Row],[Moyennes]]&gt;=5,"Admis"," ")))</f>
        <v>Admis</v>
      </c>
      <c r="J666" t="s">
        <v>663</v>
      </c>
      <c r="K666" t="s">
        <v>1738</v>
      </c>
      <c r="L666" s="64">
        <f>IF(AND(Tableau2[[#This Row],[CLASSE]]="CPU",Tableau2[[#This Row],[STATUT ]]="Admis"),1,0)</f>
        <v>1</v>
      </c>
      <c r="M666" s="64">
        <f>IF(AND(Tableau2[[#This Row],[CLASSE]]="CEU",Tableau2[[#This Row],[STATUT ]]="Admis"),1,0)</f>
        <v>0</v>
      </c>
      <c r="N666" s="64"/>
      <c r="O666" s="296"/>
      <c r="P6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67" spans="1:16" ht="21" x14ac:dyDescent="0.35">
      <c r="A667" s="310">
        <v>666</v>
      </c>
      <c r="B667" s="396" t="s">
        <v>2536</v>
      </c>
      <c r="C667" s="296" t="s">
        <v>2</v>
      </c>
      <c r="D667" s="393">
        <v>12</v>
      </c>
      <c r="E667" s="478">
        <v>4.25</v>
      </c>
      <c r="F667" s="482" t="s">
        <v>2009</v>
      </c>
      <c r="G667" s="485" t="s">
        <v>2037</v>
      </c>
      <c r="H667" s="300" t="str">
        <f>IF(Tableau2[[#This Row],[Moyennes]]="Absent","Absent",IF(Tableau2[[#This Row],[Moyennes]]&lt;5,"Redouble",IF(Tableau2[[#This Row],[Moyennes]]&gt;=5,"Admis"," ")))</f>
        <v>Redouble</v>
      </c>
      <c r="J667" t="s">
        <v>663</v>
      </c>
      <c r="K667" t="s">
        <v>1738</v>
      </c>
      <c r="L667" s="64">
        <f>IF(AND(Tableau2[[#This Row],[CLASSE]]="CPU",Tableau2[[#This Row],[STATUT ]]="Admis"),1,0)</f>
        <v>0</v>
      </c>
      <c r="M667" s="64">
        <f>IF(AND(Tableau2[[#This Row],[CLASSE]]="CEU",Tableau2[[#This Row],[STATUT ]]="Admis"),1,0)</f>
        <v>0</v>
      </c>
      <c r="N667" s="64"/>
      <c r="O667" s="296"/>
      <c r="P6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68" spans="1:16" ht="21" x14ac:dyDescent="0.35">
      <c r="A668" s="310">
        <v>667</v>
      </c>
      <c r="B668" s="396" t="s">
        <v>2537</v>
      </c>
      <c r="C668" s="296" t="s">
        <v>2</v>
      </c>
      <c r="D668" s="393">
        <v>13</v>
      </c>
      <c r="E668" s="478">
        <v>9</v>
      </c>
      <c r="F668" s="482" t="s">
        <v>2009</v>
      </c>
      <c r="G668" s="485" t="s">
        <v>2035</v>
      </c>
      <c r="H668" s="300" t="str">
        <f>IF(Tableau2[[#This Row],[Moyennes]]="Absent","Absent",IF(Tableau2[[#This Row],[Moyennes]]&lt;5,"Redouble",IF(Tableau2[[#This Row],[Moyennes]]&gt;=5,"Admis"," ")))</f>
        <v>Admis</v>
      </c>
      <c r="J668" t="s">
        <v>663</v>
      </c>
      <c r="K668" t="s">
        <v>1738</v>
      </c>
      <c r="L668" s="64">
        <f>IF(AND(Tableau2[[#This Row],[CLASSE]]="CPU",Tableau2[[#This Row],[STATUT ]]="Admis"),1,0)</f>
        <v>1</v>
      </c>
      <c r="M668" s="64">
        <f>IF(AND(Tableau2[[#This Row],[CLASSE]]="CEU",Tableau2[[#This Row],[STATUT ]]="Admis"),1,0)</f>
        <v>0</v>
      </c>
      <c r="N668" s="64"/>
      <c r="O668" s="296"/>
      <c r="P6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69" spans="1:16" ht="21" x14ac:dyDescent="0.35">
      <c r="A669" s="310">
        <v>668</v>
      </c>
      <c r="B669" s="396" t="s">
        <v>2538</v>
      </c>
      <c r="C669" s="64" t="s">
        <v>1</v>
      </c>
      <c r="D669" s="393">
        <v>10</v>
      </c>
      <c r="E669" s="478">
        <v>5.87</v>
      </c>
      <c r="F669" s="482" t="s">
        <v>2009</v>
      </c>
      <c r="G669" s="485" t="s">
        <v>2025</v>
      </c>
      <c r="H669" s="300" t="str">
        <f>IF(Tableau2[[#This Row],[Moyennes]]="Absent","Absent",IF(Tableau2[[#This Row],[Moyennes]]&lt;5,"Redouble",IF(Tableau2[[#This Row],[Moyennes]]&gt;=5,"Admis"," ")))</f>
        <v>Admis</v>
      </c>
      <c r="J669" t="s">
        <v>663</v>
      </c>
      <c r="K669" t="s">
        <v>1738</v>
      </c>
      <c r="L669" s="64">
        <f>IF(AND(Tableau2[[#This Row],[CLASSE]]="CPU",Tableau2[[#This Row],[STATUT ]]="Admis"),1,0)</f>
        <v>1</v>
      </c>
      <c r="M669" s="64">
        <f>IF(AND(Tableau2[[#This Row],[CLASSE]]="CEU",Tableau2[[#This Row],[STATUT ]]="Admis"),1,0)</f>
        <v>0</v>
      </c>
      <c r="N669" s="64"/>
      <c r="O669" s="296"/>
      <c r="P6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70" spans="1:16" ht="21" x14ac:dyDescent="0.35">
      <c r="A670" s="310">
        <v>669</v>
      </c>
      <c r="B670" s="396" t="s">
        <v>2539</v>
      </c>
      <c r="C670" s="64" t="s">
        <v>1</v>
      </c>
      <c r="D670" s="393">
        <v>10</v>
      </c>
      <c r="E670" s="478">
        <v>7.5</v>
      </c>
      <c r="F670" s="482" t="s">
        <v>2009</v>
      </c>
      <c r="G670" s="485" t="s">
        <v>2533</v>
      </c>
      <c r="H670" s="300" t="str">
        <f>IF(Tableau2[[#This Row],[Moyennes]]="Absent","Absent",IF(Tableau2[[#This Row],[Moyennes]]&lt;5,"Redouble",IF(Tableau2[[#This Row],[Moyennes]]&gt;=5,"Admis"," ")))</f>
        <v>Admis</v>
      </c>
      <c r="J670" t="s">
        <v>663</v>
      </c>
      <c r="K670" t="s">
        <v>1738</v>
      </c>
      <c r="L670" s="64">
        <f>IF(AND(Tableau2[[#This Row],[CLASSE]]="CPU",Tableau2[[#This Row],[STATUT ]]="Admis"),1,0)</f>
        <v>1</v>
      </c>
      <c r="M670" s="64">
        <f>IF(AND(Tableau2[[#This Row],[CLASSE]]="CEU",Tableau2[[#This Row],[STATUT ]]="Admis"),1,0)</f>
        <v>0</v>
      </c>
      <c r="N670" s="64"/>
      <c r="O670" s="296"/>
      <c r="P6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71" spans="1:16" ht="21" x14ac:dyDescent="0.35">
      <c r="A671" s="310">
        <v>670</v>
      </c>
      <c r="B671" s="396" t="s">
        <v>2540</v>
      </c>
      <c r="C671" s="296" t="s">
        <v>2</v>
      </c>
      <c r="D671" s="393">
        <v>10</v>
      </c>
      <c r="E671" s="492" t="s">
        <v>2165</v>
      </c>
      <c r="F671" s="305" t="s">
        <v>2009</v>
      </c>
      <c r="G671" s="492" t="s">
        <v>2165</v>
      </c>
      <c r="H671" s="300" t="str">
        <f>IF(Tableau2[[#This Row],[Moyennes]]="Absent","Absent",IF(Tableau2[[#This Row],[Moyennes]]&lt;5,"Redouble",IF(Tableau2[[#This Row],[Moyennes]]&gt;=5,"Admis"," ")))</f>
        <v>Absent</v>
      </c>
      <c r="I671" s="17"/>
      <c r="J671" s="17" t="s">
        <v>663</v>
      </c>
      <c r="K671" s="17" t="s">
        <v>1738</v>
      </c>
      <c r="L671" s="64">
        <f>IF(AND(Tableau2[[#This Row],[CLASSE]]="CPU",Tableau2[[#This Row],[STATUT ]]="Admis"),1,0)</f>
        <v>0</v>
      </c>
      <c r="M671" s="64">
        <f>IF(AND(Tableau2[[#This Row],[CLASSE]]="CEU",Tableau2[[#This Row],[STATUT ]]="Admis"),1,0)</f>
        <v>0</v>
      </c>
      <c r="N671" s="64"/>
      <c r="O671" s="296"/>
      <c r="P6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72" spans="1:16" ht="21" x14ac:dyDescent="0.35">
      <c r="A672" s="310">
        <v>671</v>
      </c>
      <c r="B672" s="396" t="s">
        <v>2541</v>
      </c>
      <c r="C672" s="64" t="s">
        <v>1</v>
      </c>
      <c r="D672" s="393">
        <v>12</v>
      </c>
      <c r="E672" s="478">
        <v>7.5</v>
      </c>
      <c r="F672" s="482" t="s">
        <v>2009</v>
      </c>
      <c r="G672" s="485" t="s">
        <v>2048</v>
      </c>
      <c r="H672" s="300" t="str">
        <f>IF(Tableau2[[#This Row],[Moyennes]]="Absent","Absent",IF(Tableau2[[#This Row],[Moyennes]]&lt;5,"Redouble",IF(Tableau2[[#This Row],[Moyennes]]&gt;=5,"Admis"," ")))</f>
        <v>Admis</v>
      </c>
      <c r="J672" t="s">
        <v>663</v>
      </c>
      <c r="K672" t="s">
        <v>1738</v>
      </c>
      <c r="L672" s="64">
        <f>IF(AND(Tableau2[[#This Row],[CLASSE]]="CPU",Tableau2[[#This Row],[STATUT ]]="Admis"),1,0)</f>
        <v>1</v>
      </c>
      <c r="M672" s="64">
        <f>IF(AND(Tableau2[[#This Row],[CLASSE]]="CEU",Tableau2[[#This Row],[STATUT ]]="Admis"),1,0)</f>
        <v>0</v>
      </c>
      <c r="N672" s="64"/>
      <c r="O672" s="296"/>
      <c r="P6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73" spans="1:16" ht="21" x14ac:dyDescent="0.35">
      <c r="A673" s="310">
        <v>672</v>
      </c>
      <c r="B673" s="396" t="s">
        <v>2542</v>
      </c>
      <c r="C673" s="64" t="s">
        <v>1</v>
      </c>
      <c r="D673" s="393">
        <v>10</v>
      </c>
      <c r="E673" s="492" t="s">
        <v>2165</v>
      </c>
      <c r="F673" s="305" t="s">
        <v>2009</v>
      </c>
      <c r="G673" s="492" t="s">
        <v>2165</v>
      </c>
      <c r="H673" s="300" t="str">
        <f>IF(Tableau2[[#This Row],[Moyennes]]="Absent","Absent",IF(Tableau2[[#This Row],[Moyennes]]&lt;5,"Redouble",IF(Tableau2[[#This Row],[Moyennes]]&gt;=5,"Admis"," ")))</f>
        <v>Absent</v>
      </c>
      <c r="I673" s="17"/>
      <c r="J673" s="17" t="s">
        <v>663</v>
      </c>
      <c r="K673" s="17" t="s">
        <v>1738</v>
      </c>
      <c r="L673" s="64">
        <f>IF(AND(Tableau2[[#This Row],[CLASSE]]="CPU",Tableau2[[#This Row],[STATUT ]]="Admis"),1,0)</f>
        <v>0</v>
      </c>
      <c r="M673" s="64">
        <f>IF(AND(Tableau2[[#This Row],[CLASSE]]="CEU",Tableau2[[#This Row],[STATUT ]]="Admis"),1,0)</f>
        <v>0</v>
      </c>
      <c r="N673" s="64"/>
      <c r="O673" s="296"/>
      <c r="P6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74" spans="1:16" ht="21" x14ac:dyDescent="0.35">
      <c r="A674" s="310">
        <v>673</v>
      </c>
      <c r="B674" s="396" t="s">
        <v>2543</v>
      </c>
      <c r="C674" s="64" t="s">
        <v>1</v>
      </c>
      <c r="D674" s="393">
        <v>10</v>
      </c>
      <c r="E674" s="492" t="s">
        <v>2165</v>
      </c>
      <c r="F674" s="305" t="s">
        <v>2009</v>
      </c>
      <c r="G674" s="492" t="s">
        <v>2165</v>
      </c>
      <c r="H674" s="300" t="str">
        <f>IF(Tableau2[[#This Row],[Moyennes]]="Absent","Absent",IF(Tableau2[[#This Row],[Moyennes]]&lt;5,"Redouble",IF(Tableau2[[#This Row],[Moyennes]]&gt;=5,"Admis"," ")))</f>
        <v>Absent</v>
      </c>
      <c r="I674" s="17"/>
      <c r="J674" s="17" t="s">
        <v>663</v>
      </c>
      <c r="K674" s="17" t="s">
        <v>1738</v>
      </c>
      <c r="L674" s="64">
        <f>IF(AND(Tableau2[[#This Row],[CLASSE]]="CPU",Tableau2[[#This Row],[STATUT ]]="Admis"),1,0)</f>
        <v>0</v>
      </c>
      <c r="M674" s="64">
        <f>IF(AND(Tableau2[[#This Row],[CLASSE]]="CEU",Tableau2[[#This Row],[STATUT ]]="Admis"),1,0)</f>
        <v>0</v>
      </c>
      <c r="N674" s="64"/>
      <c r="O674" s="296"/>
      <c r="P6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75" spans="1:16" ht="21" x14ac:dyDescent="0.35">
      <c r="A675" s="310">
        <v>674</v>
      </c>
      <c r="B675" s="396" t="s">
        <v>2544</v>
      </c>
      <c r="C675" s="64" t="s">
        <v>1</v>
      </c>
      <c r="D675" s="393">
        <v>12</v>
      </c>
      <c r="E675" s="492" t="s">
        <v>2165</v>
      </c>
      <c r="F675" s="305" t="s">
        <v>2009</v>
      </c>
      <c r="G675" s="492" t="s">
        <v>2165</v>
      </c>
      <c r="H675" s="300" t="str">
        <f>IF(Tableau2[[#This Row],[Moyennes]]="Absent","Absent",IF(Tableau2[[#This Row],[Moyennes]]&lt;5,"Redouble",IF(Tableau2[[#This Row],[Moyennes]]&gt;=5,"Admis"," ")))</f>
        <v>Absent</v>
      </c>
      <c r="I675" s="17"/>
      <c r="J675" s="17" t="s">
        <v>663</v>
      </c>
      <c r="K675" s="17" t="s">
        <v>1738</v>
      </c>
      <c r="L675" s="64">
        <f>IF(AND(Tableau2[[#This Row],[CLASSE]]="CPU",Tableau2[[#This Row],[STATUT ]]="Admis"),1,0)</f>
        <v>0</v>
      </c>
      <c r="M675" s="64">
        <f>IF(AND(Tableau2[[#This Row],[CLASSE]]="CEU",Tableau2[[#This Row],[STATUT ]]="Admis"),1,0)</f>
        <v>0</v>
      </c>
      <c r="N675" s="64"/>
      <c r="O675" s="296"/>
      <c r="P6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76" spans="1:16" ht="21" x14ac:dyDescent="0.35">
      <c r="A676" s="310">
        <v>675</v>
      </c>
      <c r="B676" s="396" t="s">
        <v>2545</v>
      </c>
      <c r="C676" s="296" t="s">
        <v>2</v>
      </c>
      <c r="D676" s="393">
        <v>12</v>
      </c>
      <c r="E676" s="478">
        <v>6.62</v>
      </c>
      <c r="F676" s="482" t="s">
        <v>2009</v>
      </c>
      <c r="G676" s="485" t="s">
        <v>2033</v>
      </c>
      <c r="H676" s="300" t="str">
        <f>IF(Tableau2[[#This Row],[Moyennes]]="Absent","Absent",IF(Tableau2[[#This Row],[Moyennes]]&lt;5,"Redouble",IF(Tableau2[[#This Row],[Moyennes]]&gt;=5,"Admis"," ")))</f>
        <v>Admis</v>
      </c>
      <c r="J676" t="s">
        <v>663</v>
      </c>
      <c r="K676" t="s">
        <v>1738</v>
      </c>
      <c r="L676" s="64">
        <f>IF(AND(Tableau2[[#This Row],[CLASSE]]="CPU",Tableau2[[#This Row],[STATUT ]]="Admis"),1,0)</f>
        <v>1</v>
      </c>
      <c r="M676" s="64">
        <f>IF(AND(Tableau2[[#This Row],[CLASSE]]="CEU",Tableau2[[#This Row],[STATUT ]]="Admis"),1,0)</f>
        <v>0</v>
      </c>
      <c r="N676" s="64"/>
      <c r="O676" s="296"/>
      <c r="P6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77" spans="1:16" ht="21" x14ac:dyDescent="0.35">
      <c r="A677" s="310">
        <v>676</v>
      </c>
      <c r="B677" s="396" t="s">
        <v>2546</v>
      </c>
      <c r="C677" s="64" t="s">
        <v>1</v>
      </c>
      <c r="D677" s="393">
        <v>11</v>
      </c>
      <c r="E677" s="478">
        <v>7.5</v>
      </c>
      <c r="F677" s="482" t="s">
        <v>2009</v>
      </c>
      <c r="G677" s="485" t="s">
        <v>2533</v>
      </c>
      <c r="H677" s="300" t="str">
        <f>IF(Tableau2[[#This Row],[Moyennes]]="Absent","Absent",IF(Tableau2[[#This Row],[Moyennes]]&lt;5,"Redouble",IF(Tableau2[[#This Row],[Moyennes]]&gt;=5,"Admis"," ")))</f>
        <v>Admis</v>
      </c>
      <c r="J677" t="s">
        <v>663</v>
      </c>
      <c r="K677" t="s">
        <v>1738</v>
      </c>
      <c r="L677" s="64">
        <f>IF(AND(Tableau2[[#This Row],[CLASSE]]="CPU",Tableau2[[#This Row],[STATUT ]]="Admis"),1,0)</f>
        <v>1</v>
      </c>
      <c r="M677" s="64">
        <f>IF(AND(Tableau2[[#This Row],[CLASSE]]="CEU",Tableau2[[#This Row],[STATUT ]]="Admis"),1,0)</f>
        <v>0</v>
      </c>
      <c r="N677" s="64"/>
      <c r="O677" s="296"/>
      <c r="P6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78" spans="1:16" ht="21" x14ac:dyDescent="0.35">
      <c r="A678" s="310">
        <v>677</v>
      </c>
      <c r="B678" s="397" t="s">
        <v>2548</v>
      </c>
      <c r="C678" s="64" t="s">
        <v>1</v>
      </c>
      <c r="D678" s="394">
        <v>10</v>
      </c>
      <c r="E678" s="475">
        <v>7.12</v>
      </c>
      <c r="F678" s="482" t="s">
        <v>2009</v>
      </c>
      <c r="G678" s="410" t="s">
        <v>2016</v>
      </c>
      <c r="H678" s="300" t="str">
        <f>IF(Tableau2[[#This Row],[Moyennes]]="Absent","Absent",IF(Tableau2[[#This Row],[Moyennes]]&lt;5,"Redouble",IF(Tableau2[[#This Row],[Moyennes]]&gt;=5,"Admis"," ")))</f>
        <v>Admis</v>
      </c>
      <c r="J678" t="s">
        <v>663</v>
      </c>
      <c r="K678" t="s">
        <v>1738</v>
      </c>
      <c r="L678" s="64">
        <f>IF(AND(Tableau2[[#This Row],[CLASSE]]="CPU",Tableau2[[#This Row],[STATUT ]]="Admis"),1,0)</f>
        <v>1</v>
      </c>
      <c r="M678" s="64">
        <f>IF(AND(Tableau2[[#This Row],[CLASSE]]="CEU",Tableau2[[#This Row],[STATUT ]]="Admis"),1,0)</f>
        <v>0</v>
      </c>
      <c r="N678" s="64"/>
      <c r="O678" s="296"/>
      <c r="P6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79" spans="1:16" ht="21" x14ac:dyDescent="0.35">
      <c r="A679" s="310">
        <v>678</v>
      </c>
      <c r="B679" s="397" t="s">
        <v>2549</v>
      </c>
      <c r="C679" s="64" t="s">
        <v>1</v>
      </c>
      <c r="D679" s="394">
        <v>12</v>
      </c>
      <c r="E679" s="475">
        <v>7.87</v>
      </c>
      <c r="F679" s="482" t="s">
        <v>2009</v>
      </c>
      <c r="G679" s="410" t="s">
        <v>2018</v>
      </c>
      <c r="H679" s="300" t="str">
        <f>IF(Tableau2[[#This Row],[Moyennes]]="Absent","Absent",IF(Tableau2[[#This Row],[Moyennes]]&lt;5,"Redouble",IF(Tableau2[[#This Row],[Moyennes]]&gt;=5,"Admis"," ")))</f>
        <v>Admis</v>
      </c>
      <c r="J679" t="s">
        <v>663</v>
      </c>
      <c r="K679" t="s">
        <v>1738</v>
      </c>
      <c r="L679" s="64">
        <f>IF(AND(Tableau2[[#This Row],[CLASSE]]="CPU",Tableau2[[#This Row],[STATUT ]]="Admis"),1,0)</f>
        <v>1</v>
      </c>
      <c r="M679" s="64">
        <f>IF(AND(Tableau2[[#This Row],[CLASSE]]="CEU",Tableau2[[#This Row],[STATUT ]]="Admis"),1,0)</f>
        <v>0</v>
      </c>
      <c r="N679" s="64"/>
      <c r="O679" s="296"/>
      <c r="P6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80" spans="1:16" ht="21" x14ac:dyDescent="0.35">
      <c r="A680" s="310">
        <v>679</v>
      </c>
      <c r="B680" s="397" t="s">
        <v>2550</v>
      </c>
      <c r="C680" s="297" t="s">
        <v>2</v>
      </c>
      <c r="D680" s="394">
        <v>13</v>
      </c>
      <c r="E680" s="475">
        <v>9.75</v>
      </c>
      <c r="F680" s="482" t="s">
        <v>2009</v>
      </c>
      <c r="G680" s="410" t="s">
        <v>838</v>
      </c>
      <c r="H680" s="300" t="str">
        <f>IF(Tableau2[[#This Row],[Moyennes]]="Absent","Absent",IF(Tableau2[[#This Row],[Moyennes]]&lt;5,"Redouble",IF(Tableau2[[#This Row],[Moyennes]]&gt;=5,"Admis"," ")))</f>
        <v>Admis</v>
      </c>
      <c r="J680" t="s">
        <v>663</v>
      </c>
      <c r="K680" t="s">
        <v>1738</v>
      </c>
      <c r="L680" s="64">
        <f>IF(AND(Tableau2[[#This Row],[CLASSE]]="CPU",Tableau2[[#This Row],[STATUT ]]="Admis"),1,0)</f>
        <v>1</v>
      </c>
      <c r="M680" s="64">
        <f>IF(AND(Tableau2[[#This Row],[CLASSE]]="CEU",Tableau2[[#This Row],[STATUT ]]="Admis"),1,0)</f>
        <v>0</v>
      </c>
      <c r="N680" s="64"/>
      <c r="O680" s="296"/>
      <c r="P6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81" spans="1:16" ht="21" x14ac:dyDescent="0.35">
      <c r="A681" s="310">
        <v>680</v>
      </c>
      <c r="B681" s="397" t="s">
        <v>2551</v>
      </c>
      <c r="C681" s="64" t="s">
        <v>1</v>
      </c>
      <c r="D681" s="394">
        <v>10</v>
      </c>
      <c r="E681" s="475">
        <v>6.25</v>
      </c>
      <c r="F681" s="482" t="s">
        <v>2009</v>
      </c>
      <c r="G681" s="410" t="s">
        <v>2016</v>
      </c>
      <c r="H681" s="300" t="str">
        <f>IF(Tableau2[[#This Row],[Moyennes]]="Absent","Absent",IF(Tableau2[[#This Row],[Moyennes]]&lt;5,"Redouble",IF(Tableau2[[#This Row],[Moyennes]]&gt;=5,"Admis"," ")))</f>
        <v>Admis</v>
      </c>
      <c r="J681" t="s">
        <v>663</v>
      </c>
      <c r="K681" t="s">
        <v>1738</v>
      </c>
      <c r="L681" s="64">
        <f>IF(AND(Tableau2[[#This Row],[CLASSE]]="CPU",Tableau2[[#This Row],[STATUT ]]="Admis"),1,0)</f>
        <v>1</v>
      </c>
      <c r="M681" s="64">
        <f>IF(AND(Tableau2[[#This Row],[CLASSE]]="CEU",Tableau2[[#This Row],[STATUT ]]="Admis"),1,0)</f>
        <v>0</v>
      </c>
      <c r="N681" s="64"/>
      <c r="O681" s="296"/>
      <c r="P6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82" spans="1:16" ht="21" x14ac:dyDescent="0.35">
      <c r="A682" s="310">
        <v>681</v>
      </c>
      <c r="B682" s="397" t="s">
        <v>2552</v>
      </c>
      <c r="C682" s="297" t="s">
        <v>2</v>
      </c>
      <c r="D682" s="394">
        <v>10</v>
      </c>
      <c r="E682" s="495" t="s">
        <v>2165</v>
      </c>
      <c r="F682" s="305" t="s">
        <v>2009</v>
      </c>
      <c r="G682" s="491"/>
      <c r="H682" s="300" t="str">
        <f>IF(Tableau2[[#This Row],[Moyennes]]="Absent","Absent",IF(Tableau2[[#This Row],[Moyennes]]&lt;5,"Redouble",IF(Tableau2[[#This Row],[Moyennes]]&gt;=5,"Admis"," ")))</f>
        <v>Absent</v>
      </c>
      <c r="I682" s="17"/>
      <c r="J682" s="17" t="s">
        <v>663</v>
      </c>
      <c r="K682" s="17" t="s">
        <v>1738</v>
      </c>
      <c r="L682" s="64">
        <f>IF(AND(Tableau2[[#This Row],[CLASSE]]="CPU",Tableau2[[#This Row],[STATUT ]]="Admis"),1,0)</f>
        <v>0</v>
      </c>
      <c r="M682" s="64">
        <f>IF(AND(Tableau2[[#This Row],[CLASSE]]="CEU",Tableau2[[#This Row],[STATUT ]]="Admis"),1,0)</f>
        <v>0</v>
      </c>
      <c r="N682" s="64"/>
      <c r="O682" s="296"/>
      <c r="P6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83" spans="1:16" ht="21" x14ac:dyDescent="0.35">
      <c r="A683" s="310">
        <v>682</v>
      </c>
      <c r="B683" s="397" t="s">
        <v>2553</v>
      </c>
      <c r="C683" s="297" t="s">
        <v>2</v>
      </c>
      <c r="D683" s="394">
        <v>10</v>
      </c>
      <c r="E683" s="495" t="s">
        <v>2165</v>
      </c>
      <c r="F683" s="305" t="s">
        <v>2009</v>
      </c>
      <c r="G683" s="491"/>
      <c r="H683" s="300" t="str">
        <f>IF(Tableau2[[#This Row],[Moyennes]]="Absent","Absent",IF(Tableau2[[#This Row],[Moyennes]]&lt;5,"Redouble",IF(Tableau2[[#This Row],[Moyennes]]&gt;=5,"Admis"," ")))</f>
        <v>Absent</v>
      </c>
      <c r="I683" s="17"/>
      <c r="J683" s="17" t="s">
        <v>663</v>
      </c>
      <c r="K683" s="17" t="s">
        <v>1738</v>
      </c>
      <c r="L683" s="64">
        <f>IF(AND(Tableau2[[#This Row],[CLASSE]]="CPU",Tableau2[[#This Row],[STATUT ]]="Admis"),1,0)</f>
        <v>0</v>
      </c>
      <c r="M683" s="64">
        <f>IF(AND(Tableau2[[#This Row],[CLASSE]]="CEU",Tableau2[[#This Row],[STATUT ]]="Admis"),1,0)</f>
        <v>0</v>
      </c>
      <c r="N683" s="64"/>
      <c r="O683" s="296"/>
      <c r="P6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84" spans="1:16" ht="21" x14ac:dyDescent="0.35">
      <c r="A684" s="310">
        <v>683</v>
      </c>
      <c r="B684" s="397" t="s">
        <v>2554</v>
      </c>
      <c r="C684" s="297" t="s">
        <v>2</v>
      </c>
      <c r="D684" s="394">
        <v>9</v>
      </c>
      <c r="E684" s="495" t="s">
        <v>2165</v>
      </c>
      <c r="F684" s="305" t="s">
        <v>2009</v>
      </c>
      <c r="G684" s="491"/>
      <c r="H684" s="300" t="str">
        <f>IF(Tableau2[[#This Row],[Moyennes]]="Absent","Absent",IF(Tableau2[[#This Row],[Moyennes]]&lt;5,"Redouble",IF(Tableau2[[#This Row],[Moyennes]]&gt;=5,"Admis"," ")))</f>
        <v>Absent</v>
      </c>
      <c r="I684" s="17"/>
      <c r="J684" s="17" t="s">
        <v>663</v>
      </c>
      <c r="K684" s="17" t="s">
        <v>1738</v>
      </c>
      <c r="L684" s="64">
        <f>IF(AND(Tableau2[[#This Row],[CLASSE]]="CPU",Tableau2[[#This Row],[STATUT ]]="Admis"),1,0)</f>
        <v>0</v>
      </c>
      <c r="M684" s="64">
        <f>IF(AND(Tableau2[[#This Row],[CLASSE]]="CEU",Tableau2[[#This Row],[STATUT ]]="Admis"),1,0)</f>
        <v>0</v>
      </c>
      <c r="N684" s="64"/>
      <c r="O684" s="296"/>
      <c r="P6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85" spans="1:16" ht="21" x14ac:dyDescent="0.35">
      <c r="A685" s="310">
        <v>684</v>
      </c>
      <c r="B685" s="397" t="s">
        <v>2555</v>
      </c>
      <c r="C685" s="297" t="s">
        <v>2</v>
      </c>
      <c r="D685" s="394">
        <v>11</v>
      </c>
      <c r="E685" s="495" t="s">
        <v>2165</v>
      </c>
      <c r="F685" s="305" t="s">
        <v>2009</v>
      </c>
      <c r="G685" s="491"/>
      <c r="H685" s="300" t="str">
        <f>IF(Tableau2[[#This Row],[Moyennes]]="Absent","Absent",IF(Tableau2[[#This Row],[Moyennes]]&lt;5,"Redouble",IF(Tableau2[[#This Row],[Moyennes]]&gt;=5,"Admis"," ")))</f>
        <v>Absent</v>
      </c>
      <c r="I685" s="17"/>
      <c r="J685" s="17" t="s">
        <v>663</v>
      </c>
      <c r="K685" s="17" t="s">
        <v>1738</v>
      </c>
      <c r="L685" s="64">
        <f>IF(AND(Tableau2[[#This Row],[CLASSE]]="CPU",Tableau2[[#This Row],[STATUT ]]="Admis"),1,0)</f>
        <v>0</v>
      </c>
      <c r="M685" s="64">
        <f>IF(AND(Tableau2[[#This Row],[CLASSE]]="CEU",Tableau2[[#This Row],[STATUT ]]="Admis"),1,0)</f>
        <v>0</v>
      </c>
      <c r="N685" s="64"/>
      <c r="O685" s="296"/>
      <c r="P6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86" spans="1:16" ht="21" x14ac:dyDescent="0.35">
      <c r="A686" s="310">
        <v>685</v>
      </c>
      <c r="B686" s="397" t="s">
        <v>2556</v>
      </c>
      <c r="C686" s="64" t="s">
        <v>1</v>
      </c>
      <c r="D686" s="394">
        <v>13</v>
      </c>
      <c r="E686" s="475">
        <v>8.75</v>
      </c>
      <c r="F686" s="482" t="s">
        <v>2009</v>
      </c>
      <c r="G686" s="410" t="s">
        <v>2012</v>
      </c>
      <c r="H686" s="300" t="str">
        <f>IF(Tableau2[[#This Row],[Moyennes]]="Absent","Absent",IF(Tableau2[[#This Row],[Moyennes]]&lt;5,"Redouble",IF(Tableau2[[#This Row],[Moyennes]]&gt;=5,"Admis"," ")))</f>
        <v>Admis</v>
      </c>
      <c r="J686" t="s">
        <v>663</v>
      </c>
      <c r="K686" t="s">
        <v>1738</v>
      </c>
      <c r="L686" s="64">
        <f>IF(AND(Tableau2[[#This Row],[CLASSE]]="CPU",Tableau2[[#This Row],[STATUT ]]="Admis"),1,0)</f>
        <v>1</v>
      </c>
      <c r="M686" s="64">
        <f>IF(AND(Tableau2[[#This Row],[CLASSE]]="CEU",Tableau2[[#This Row],[STATUT ]]="Admis"),1,0)</f>
        <v>0</v>
      </c>
      <c r="N686" s="64"/>
      <c r="O686" s="296"/>
      <c r="P6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87" spans="1:16" ht="21" x14ac:dyDescent="0.35">
      <c r="A687" s="310">
        <v>686</v>
      </c>
      <c r="B687" s="397" t="s">
        <v>2557</v>
      </c>
      <c r="C687" s="64" t="s">
        <v>1</v>
      </c>
      <c r="D687" s="394">
        <v>9</v>
      </c>
      <c r="E687" s="495" t="s">
        <v>2165</v>
      </c>
      <c r="F687" s="305" t="s">
        <v>2009</v>
      </c>
      <c r="G687" s="491"/>
      <c r="H687" s="300" t="str">
        <f>IF(Tableau2[[#This Row],[Moyennes]]="Absent","Absent",IF(Tableau2[[#This Row],[Moyennes]]&lt;5,"Redouble",IF(Tableau2[[#This Row],[Moyennes]]&gt;=5,"Admis"," ")))</f>
        <v>Absent</v>
      </c>
      <c r="I687" s="17"/>
      <c r="J687" s="17" t="s">
        <v>663</v>
      </c>
      <c r="K687" s="17" t="s">
        <v>1738</v>
      </c>
      <c r="L687" s="64">
        <f>IF(AND(Tableau2[[#This Row],[CLASSE]]="CPU",Tableau2[[#This Row],[STATUT ]]="Admis"),1,0)</f>
        <v>0</v>
      </c>
      <c r="M687" s="64">
        <f>IF(AND(Tableau2[[#This Row],[CLASSE]]="CEU",Tableau2[[#This Row],[STATUT ]]="Admis"),1,0)</f>
        <v>0</v>
      </c>
      <c r="N687" s="64"/>
      <c r="O687" s="296"/>
      <c r="P6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88" spans="1:16" ht="21" x14ac:dyDescent="0.35">
      <c r="A688" s="310">
        <v>687</v>
      </c>
      <c r="B688" s="397" t="s">
        <v>2558</v>
      </c>
      <c r="C688" s="297" t="s">
        <v>2</v>
      </c>
      <c r="D688" s="394">
        <v>11</v>
      </c>
      <c r="E688" s="475">
        <v>7.75</v>
      </c>
      <c r="F688" s="482" t="s">
        <v>2009</v>
      </c>
      <c r="G688" s="410" t="s">
        <v>2547</v>
      </c>
      <c r="H688" s="300" t="str">
        <f>IF(Tableau2[[#This Row],[Moyennes]]="Absent","Absent",IF(Tableau2[[#This Row],[Moyennes]]&lt;5,"Redouble",IF(Tableau2[[#This Row],[Moyennes]]&gt;=5,"Admis"," ")))</f>
        <v>Admis</v>
      </c>
      <c r="J688" t="s">
        <v>663</v>
      </c>
      <c r="K688" t="s">
        <v>1738</v>
      </c>
      <c r="L688" s="64">
        <f>IF(AND(Tableau2[[#This Row],[CLASSE]]="CPU",Tableau2[[#This Row],[STATUT ]]="Admis"),1,0)</f>
        <v>1</v>
      </c>
      <c r="M688" s="64">
        <f>IF(AND(Tableau2[[#This Row],[CLASSE]]="CEU",Tableau2[[#This Row],[STATUT ]]="Admis"),1,0)</f>
        <v>0</v>
      </c>
      <c r="N688" s="64"/>
      <c r="O688" s="296"/>
      <c r="P6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89" spans="1:16" ht="21" x14ac:dyDescent="0.35">
      <c r="A689" s="310">
        <v>688</v>
      </c>
      <c r="B689" s="397" t="s">
        <v>2559</v>
      </c>
      <c r="C689" s="297" t="s">
        <v>2</v>
      </c>
      <c r="D689" s="394">
        <v>9</v>
      </c>
      <c r="E689" s="495" t="s">
        <v>2165</v>
      </c>
      <c r="F689" s="305" t="s">
        <v>2009</v>
      </c>
      <c r="G689" s="491"/>
      <c r="H689" s="300" t="str">
        <f>IF(Tableau2[[#This Row],[Moyennes]]="Absent","Absent",IF(Tableau2[[#This Row],[Moyennes]]&lt;5,"Redouble",IF(Tableau2[[#This Row],[Moyennes]]&gt;=5,"Admis"," ")))</f>
        <v>Absent</v>
      </c>
      <c r="I689" s="17"/>
      <c r="J689" s="17" t="s">
        <v>663</v>
      </c>
      <c r="K689" s="17" t="s">
        <v>1738</v>
      </c>
      <c r="L689" s="64">
        <f>IF(AND(Tableau2[[#This Row],[CLASSE]]="CPU",Tableau2[[#This Row],[STATUT ]]="Admis"),1,0)</f>
        <v>0</v>
      </c>
      <c r="M689" s="64">
        <f>IF(AND(Tableau2[[#This Row],[CLASSE]]="CEU",Tableau2[[#This Row],[STATUT ]]="Admis"),1,0)</f>
        <v>0</v>
      </c>
      <c r="N689" s="64"/>
      <c r="O689" s="296"/>
      <c r="P6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90" spans="1:16" ht="21" x14ac:dyDescent="0.35">
      <c r="A690" s="310">
        <v>689</v>
      </c>
      <c r="B690" s="396" t="s">
        <v>2560</v>
      </c>
      <c r="C690" s="64" t="s">
        <v>1</v>
      </c>
      <c r="D690" s="298">
        <v>13</v>
      </c>
      <c r="E690" s="396">
        <v>9.1199999999999992</v>
      </c>
      <c r="F690" s="482" t="s">
        <v>2009</v>
      </c>
      <c r="G690" s="396" t="s">
        <v>2561</v>
      </c>
      <c r="H690" s="300" t="str">
        <f>IF(Tableau2[[#This Row],[Moyennes]]="Absent","Absent",IF(Tableau2[[#This Row],[Moyennes]]&lt;5,"Redouble",IF(Tableau2[[#This Row],[Moyennes]]&gt;=5,"Admis"," ")))</f>
        <v>Admis</v>
      </c>
      <c r="J690" t="s">
        <v>663</v>
      </c>
      <c r="K690" t="s">
        <v>1738</v>
      </c>
      <c r="L690" s="64">
        <f>IF(AND(Tableau2[[#This Row],[CLASSE]]="CPU",Tableau2[[#This Row],[STATUT ]]="Admis"),1,0)</f>
        <v>1</v>
      </c>
      <c r="M690" s="64">
        <f>IF(AND(Tableau2[[#This Row],[CLASSE]]="CEU",Tableau2[[#This Row],[STATUT ]]="Admis"),1,0)</f>
        <v>0</v>
      </c>
      <c r="N690" s="64"/>
      <c r="O690" s="296"/>
      <c r="P6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91" spans="1:16" ht="21" x14ac:dyDescent="0.35">
      <c r="A691" s="310">
        <v>690</v>
      </c>
      <c r="B691" s="396" t="s">
        <v>2562</v>
      </c>
      <c r="C691" s="64" t="s">
        <v>2</v>
      </c>
      <c r="D691" s="298">
        <v>9</v>
      </c>
      <c r="E691" s="495" t="s">
        <v>2165</v>
      </c>
      <c r="F691" s="305" t="s">
        <v>2009</v>
      </c>
      <c r="G691" s="22"/>
      <c r="H691" s="300" t="str">
        <f>IF(Tableau2[[#This Row],[Moyennes]]="Absent","Absent",IF(Tableau2[[#This Row],[Moyennes]]&lt;5,"Redouble",IF(Tableau2[[#This Row],[Moyennes]]&gt;=5,"Admis"," ")))</f>
        <v>Absent</v>
      </c>
      <c r="I691" s="17"/>
      <c r="J691" s="17" t="s">
        <v>663</v>
      </c>
      <c r="K691" s="17" t="s">
        <v>1738</v>
      </c>
      <c r="L691" s="64">
        <f>IF(AND(Tableau2[[#This Row],[CLASSE]]="CPU",Tableau2[[#This Row],[STATUT ]]="Admis"),1,0)</f>
        <v>0</v>
      </c>
      <c r="M691" s="64">
        <f>IF(AND(Tableau2[[#This Row],[CLASSE]]="CEU",Tableau2[[#This Row],[STATUT ]]="Admis"),1,0)</f>
        <v>0</v>
      </c>
      <c r="N691" s="64"/>
      <c r="O691" s="296"/>
      <c r="P6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92" spans="1:16" ht="21" x14ac:dyDescent="0.35">
      <c r="A692" s="310">
        <v>691</v>
      </c>
      <c r="B692" s="396" t="s">
        <v>2563</v>
      </c>
      <c r="C692" s="64" t="s">
        <v>1</v>
      </c>
      <c r="D692" s="298">
        <v>12</v>
      </c>
      <c r="E692" s="396">
        <v>5.75</v>
      </c>
      <c r="F692" s="482" t="s">
        <v>2009</v>
      </c>
      <c r="G692" s="396" t="s">
        <v>2062</v>
      </c>
      <c r="H692" s="300" t="str">
        <f>IF(Tableau2[[#This Row],[Moyennes]]="Absent","Absent",IF(Tableau2[[#This Row],[Moyennes]]&lt;5,"Redouble",IF(Tableau2[[#This Row],[Moyennes]]&gt;=5,"Admis"," ")))</f>
        <v>Admis</v>
      </c>
      <c r="J692" t="s">
        <v>663</v>
      </c>
      <c r="K692" t="s">
        <v>1738</v>
      </c>
      <c r="L692" s="64">
        <f>IF(AND(Tableau2[[#This Row],[CLASSE]]="CPU",Tableau2[[#This Row],[STATUT ]]="Admis"),1,0)</f>
        <v>1</v>
      </c>
      <c r="M692" s="64">
        <f>IF(AND(Tableau2[[#This Row],[CLASSE]]="CEU",Tableau2[[#This Row],[STATUT ]]="Admis"),1,0)</f>
        <v>0</v>
      </c>
      <c r="N692" s="64"/>
      <c r="O692" s="296"/>
      <c r="P6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693" spans="1:16" ht="21.5" thickBot="1" x14ac:dyDescent="0.4">
      <c r="A693" s="310">
        <v>692</v>
      </c>
      <c r="B693" s="396" t="s">
        <v>2564</v>
      </c>
      <c r="C693" s="64" t="s">
        <v>2</v>
      </c>
      <c r="D693" s="298">
        <v>13</v>
      </c>
      <c r="E693" s="495" t="s">
        <v>2165</v>
      </c>
      <c r="F693" s="305" t="s">
        <v>2009</v>
      </c>
      <c r="G693" s="22"/>
      <c r="H693" s="300" t="str">
        <f>IF(Tableau2[[#This Row],[Moyennes]]="Absent","Absent",IF(Tableau2[[#This Row],[Moyennes]]&lt;5,"Redouble",IF(Tableau2[[#This Row],[Moyennes]]&gt;=5,"Admis"," ")))</f>
        <v>Absent</v>
      </c>
      <c r="I693" s="17"/>
      <c r="J693" s="17" t="s">
        <v>663</v>
      </c>
      <c r="K693" s="17" t="s">
        <v>1738</v>
      </c>
      <c r="L693" s="64">
        <f>IF(AND(Tableau2[[#This Row],[CLASSE]]="CPU",Tableau2[[#This Row],[STATUT ]]="Admis"),1,0)</f>
        <v>0</v>
      </c>
      <c r="M693" s="64">
        <f>IF(AND(Tableau2[[#This Row],[CLASSE]]="CEU",Tableau2[[#This Row],[STATUT ]]="Admis"),1,0)</f>
        <v>0</v>
      </c>
      <c r="N693" s="64"/>
      <c r="O693" s="296"/>
      <c r="P6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94" spans="1:16" ht="21" x14ac:dyDescent="0.35">
      <c r="A694" s="310">
        <v>693</v>
      </c>
      <c r="B694" s="396" t="s">
        <v>2565</v>
      </c>
      <c r="C694" s="64" t="s">
        <v>1</v>
      </c>
      <c r="D694" s="392">
        <v>11</v>
      </c>
      <c r="E694" s="480">
        <v>4.24</v>
      </c>
      <c r="F694" s="482" t="s">
        <v>2009</v>
      </c>
      <c r="G694" s="396" t="s">
        <v>2021</v>
      </c>
      <c r="H694" s="300" t="str">
        <f>IF(Tableau2[[#This Row],[Moyennes]]="Absent","Absent",IF(Tableau2[[#This Row],[Moyennes]]&lt;5,"Redouble",IF(Tableau2[[#This Row],[Moyennes]]&gt;=5,"Admis"," ")))</f>
        <v>Redouble</v>
      </c>
      <c r="J694" t="s">
        <v>663</v>
      </c>
      <c r="K694" t="s">
        <v>2583</v>
      </c>
      <c r="L694" s="64">
        <f>IF(AND(Tableau2[[#This Row],[CLASSE]]="CPU",Tableau2[[#This Row],[STATUT ]]="Admis"),1,0)</f>
        <v>0</v>
      </c>
      <c r="M694" s="64">
        <f>IF(AND(Tableau2[[#This Row],[CLASSE]]="CEU",Tableau2[[#This Row],[STATUT ]]="Admis"),1,0)</f>
        <v>0</v>
      </c>
      <c r="N694" s="64"/>
      <c r="O694" s="296"/>
      <c r="P6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95" spans="1:16" ht="21" x14ac:dyDescent="0.35">
      <c r="A695" s="310">
        <v>694</v>
      </c>
      <c r="B695" s="396" t="s">
        <v>2566</v>
      </c>
      <c r="C695" s="64" t="s">
        <v>1</v>
      </c>
      <c r="D695" s="393">
        <v>9</v>
      </c>
      <c r="E695" s="478">
        <v>1.31</v>
      </c>
      <c r="F695" s="482" t="s">
        <v>2009</v>
      </c>
      <c r="G695" s="396" t="s">
        <v>2046</v>
      </c>
      <c r="H695" s="300" t="str">
        <f>IF(Tableau2[[#This Row],[Moyennes]]="Absent","Absent",IF(Tableau2[[#This Row],[Moyennes]]&lt;5,"Redouble",IF(Tableau2[[#This Row],[Moyennes]]&gt;=5,"Admis"," ")))</f>
        <v>Redouble</v>
      </c>
      <c r="J695" t="s">
        <v>663</v>
      </c>
      <c r="K695" t="s">
        <v>2583</v>
      </c>
      <c r="L695" s="64">
        <f>IF(AND(Tableau2[[#This Row],[CLASSE]]="CPU",Tableau2[[#This Row],[STATUT ]]="Admis"),1,0)</f>
        <v>0</v>
      </c>
      <c r="M695" s="64">
        <f>IF(AND(Tableau2[[#This Row],[CLASSE]]="CEU",Tableau2[[#This Row],[STATUT ]]="Admis"),1,0)</f>
        <v>0</v>
      </c>
      <c r="N695" s="64"/>
      <c r="O695" s="296"/>
      <c r="P6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696" spans="1:16" ht="21" x14ac:dyDescent="0.35">
      <c r="A696" s="310">
        <v>695</v>
      </c>
      <c r="B696" s="396" t="s">
        <v>2567</v>
      </c>
      <c r="C696" s="64" t="s">
        <v>1</v>
      </c>
      <c r="D696" s="393">
        <v>9</v>
      </c>
      <c r="E696" s="478">
        <v>5</v>
      </c>
      <c r="F696" s="482" t="s">
        <v>2009</v>
      </c>
      <c r="G696" s="396" t="s">
        <v>2048</v>
      </c>
      <c r="H696" s="300" t="str">
        <f>IF(Tableau2[[#This Row],[Moyennes]]="Absent","Absent",IF(Tableau2[[#This Row],[Moyennes]]&lt;5,"Redouble",IF(Tableau2[[#This Row],[Moyennes]]&gt;=5,"Admis"," ")))</f>
        <v>Admis</v>
      </c>
      <c r="J696" t="s">
        <v>663</v>
      </c>
      <c r="K696" t="s">
        <v>2583</v>
      </c>
      <c r="L696" s="64">
        <f>IF(AND(Tableau2[[#This Row],[CLASSE]]="CPU",Tableau2[[#This Row],[STATUT ]]="Admis"),1,0)</f>
        <v>1</v>
      </c>
      <c r="M696" s="64">
        <f>IF(AND(Tableau2[[#This Row],[CLASSE]]="CEU",Tableau2[[#This Row],[STATUT ]]="Admis"),1,0)</f>
        <v>0</v>
      </c>
      <c r="N696" s="64"/>
      <c r="O696" s="296"/>
      <c r="P6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97" spans="1:16" ht="21" x14ac:dyDescent="0.35">
      <c r="A697" s="310">
        <v>696</v>
      </c>
      <c r="B697" s="396" t="s">
        <v>2568</v>
      </c>
      <c r="C697" s="64" t="s">
        <v>1</v>
      </c>
      <c r="D697" s="393">
        <v>11</v>
      </c>
      <c r="E697" s="478">
        <v>6.56</v>
      </c>
      <c r="F697" s="482" t="s">
        <v>2009</v>
      </c>
      <c r="G697" s="396" t="s">
        <v>2012</v>
      </c>
      <c r="H697" s="300" t="str">
        <f>IF(Tableau2[[#This Row],[Moyennes]]="Absent","Absent",IF(Tableau2[[#This Row],[Moyennes]]&lt;5,"Redouble",IF(Tableau2[[#This Row],[Moyennes]]&gt;=5,"Admis"," ")))</f>
        <v>Admis</v>
      </c>
      <c r="J697" t="s">
        <v>663</v>
      </c>
      <c r="K697" t="s">
        <v>2583</v>
      </c>
      <c r="L697" s="64">
        <f>IF(AND(Tableau2[[#This Row],[CLASSE]]="CPU",Tableau2[[#This Row],[STATUT ]]="Admis"),1,0)</f>
        <v>1</v>
      </c>
      <c r="M697" s="64">
        <f>IF(AND(Tableau2[[#This Row],[CLASSE]]="CEU",Tableau2[[#This Row],[STATUT ]]="Admis"),1,0)</f>
        <v>0</v>
      </c>
      <c r="N697" s="64"/>
      <c r="O697" s="296"/>
      <c r="P6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698" spans="1:16" ht="21" x14ac:dyDescent="0.35">
      <c r="A698" s="310">
        <v>697</v>
      </c>
      <c r="B698" s="396" t="s">
        <v>2569</v>
      </c>
      <c r="C698" s="64" t="s">
        <v>1</v>
      </c>
      <c r="D698" s="393">
        <v>9</v>
      </c>
      <c r="E698" s="492" t="s">
        <v>2165</v>
      </c>
      <c r="F698" s="305" t="s">
        <v>2009</v>
      </c>
      <c r="G698" s="492" t="s">
        <v>2165</v>
      </c>
      <c r="H698" s="300" t="str">
        <f>IF(Tableau2[[#This Row],[Moyennes]]="Absent","Absent",IF(Tableau2[[#This Row],[Moyennes]]&lt;5,"Redouble",IF(Tableau2[[#This Row],[Moyennes]]&gt;=5,"Admis"," ")))</f>
        <v>Absent</v>
      </c>
      <c r="I698" s="17"/>
      <c r="J698" s="17" t="s">
        <v>663</v>
      </c>
      <c r="K698" s="17" t="s">
        <v>2583</v>
      </c>
      <c r="L698" s="64">
        <f>IF(AND(Tableau2[[#This Row],[CLASSE]]="CPU",Tableau2[[#This Row],[STATUT ]]="Admis"),1,0)</f>
        <v>0</v>
      </c>
      <c r="M698" s="64">
        <f>IF(AND(Tableau2[[#This Row],[CLASSE]]="CEU",Tableau2[[#This Row],[STATUT ]]="Admis"),1,0)</f>
        <v>0</v>
      </c>
      <c r="N698" s="64"/>
      <c r="O698" s="296"/>
      <c r="P6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699" spans="1:16" ht="21" x14ac:dyDescent="0.35">
      <c r="A699" s="310">
        <v>698</v>
      </c>
      <c r="B699" s="396" t="s">
        <v>2570</v>
      </c>
      <c r="C699" s="296" t="s">
        <v>2</v>
      </c>
      <c r="D699" s="393">
        <v>13</v>
      </c>
      <c r="E699" s="478">
        <v>4.8099999999999996</v>
      </c>
      <c r="F699" s="482" t="s">
        <v>2009</v>
      </c>
      <c r="G699" s="396" t="s">
        <v>2089</v>
      </c>
      <c r="H699" s="300" t="str">
        <f>IF(Tableau2[[#This Row],[Moyennes]]="Absent","Absent",IF(Tableau2[[#This Row],[Moyennes]]&lt;5,"Redouble",IF(Tableau2[[#This Row],[Moyennes]]&gt;=5,"Admis"," ")))</f>
        <v>Redouble</v>
      </c>
      <c r="J699" t="s">
        <v>663</v>
      </c>
      <c r="K699" t="s">
        <v>2583</v>
      </c>
      <c r="L699" s="64">
        <f>IF(AND(Tableau2[[#This Row],[CLASSE]]="CPU",Tableau2[[#This Row],[STATUT ]]="Admis"),1,0)</f>
        <v>0</v>
      </c>
      <c r="M699" s="64">
        <f>IF(AND(Tableau2[[#This Row],[CLASSE]]="CEU",Tableau2[[#This Row],[STATUT ]]="Admis"),1,0)</f>
        <v>0</v>
      </c>
      <c r="N699" s="64"/>
      <c r="O699" s="296"/>
      <c r="P6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00" spans="1:16" ht="21" x14ac:dyDescent="0.35">
      <c r="A700" s="310">
        <v>699</v>
      </c>
      <c r="B700" s="396" t="s">
        <v>2571</v>
      </c>
      <c r="C700" s="296" t="s">
        <v>2</v>
      </c>
      <c r="D700" s="393">
        <v>13</v>
      </c>
      <c r="E700" s="478">
        <v>5.12</v>
      </c>
      <c r="F700" s="482" t="s">
        <v>2009</v>
      </c>
      <c r="G700" s="396" t="s">
        <v>2044</v>
      </c>
      <c r="H700" s="300" t="str">
        <f>IF(Tableau2[[#This Row],[Moyennes]]="Absent","Absent",IF(Tableau2[[#This Row],[Moyennes]]&lt;5,"Redouble",IF(Tableau2[[#This Row],[Moyennes]]&gt;=5,"Admis"," ")))</f>
        <v>Admis</v>
      </c>
      <c r="J700" t="s">
        <v>663</v>
      </c>
      <c r="K700" t="s">
        <v>2583</v>
      </c>
      <c r="L700" s="64">
        <f>IF(AND(Tableau2[[#This Row],[CLASSE]]="CPU",Tableau2[[#This Row],[STATUT ]]="Admis"),1,0)</f>
        <v>1</v>
      </c>
      <c r="M700" s="64">
        <f>IF(AND(Tableau2[[#This Row],[CLASSE]]="CEU",Tableau2[[#This Row],[STATUT ]]="Admis"),1,0)</f>
        <v>0</v>
      </c>
      <c r="N700" s="64"/>
      <c r="O700" s="296"/>
      <c r="P7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01" spans="1:16" ht="21" x14ac:dyDescent="0.35">
      <c r="A701" s="310">
        <v>700</v>
      </c>
      <c r="B701" s="396" t="s">
        <v>2572</v>
      </c>
      <c r="C701" s="64" t="s">
        <v>1</v>
      </c>
      <c r="D701" s="393">
        <v>14</v>
      </c>
      <c r="E701" s="478">
        <v>8.49</v>
      </c>
      <c r="F701" s="482" t="s">
        <v>2009</v>
      </c>
      <c r="G701" s="396" t="s">
        <v>2035</v>
      </c>
      <c r="H701" s="300" t="str">
        <f>IF(Tableau2[[#This Row],[Moyennes]]="Absent","Absent",IF(Tableau2[[#This Row],[Moyennes]]&lt;5,"Redouble",IF(Tableau2[[#This Row],[Moyennes]]&gt;=5,"Admis"," ")))</f>
        <v>Admis</v>
      </c>
      <c r="J701" t="s">
        <v>663</v>
      </c>
      <c r="K701" t="s">
        <v>2583</v>
      </c>
      <c r="L701" s="64">
        <f>IF(AND(Tableau2[[#This Row],[CLASSE]]="CPU",Tableau2[[#This Row],[STATUT ]]="Admis"),1,0)</f>
        <v>1</v>
      </c>
      <c r="M701" s="64">
        <f>IF(AND(Tableau2[[#This Row],[CLASSE]]="CEU",Tableau2[[#This Row],[STATUT ]]="Admis"),1,0)</f>
        <v>0</v>
      </c>
      <c r="N701" s="64"/>
      <c r="O701" s="296"/>
      <c r="P7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02" spans="1:16" ht="21" x14ac:dyDescent="0.35">
      <c r="A702" s="310">
        <v>701</v>
      </c>
      <c r="B702" s="396" t="s">
        <v>2573</v>
      </c>
      <c r="C702" s="64" t="s">
        <v>1</v>
      </c>
      <c r="D702" s="393">
        <v>14</v>
      </c>
      <c r="E702" s="478">
        <v>7.24</v>
      </c>
      <c r="F702" s="482" t="s">
        <v>2009</v>
      </c>
      <c r="G702" s="396" t="s">
        <v>2010</v>
      </c>
      <c r="H702" s="300" t="str">
        <f>IF(Tableau2[[#This Row],[Moyennes]]="Absent","Absent",IF(Tableau2[[#This Row],[Moyennes]]&lt;5,"Redouble",IF(Tableau2[[#This Row],[Moyennes]]&gt;=5,"Admis"," ")))</f>
        <v>Admis</v>
      </c>
      <c r="J702" t="s">
        <v>663</v>
      </c>
      <c r="K702" t="s">
        <v>2583</v>
      </c>
      <c r="L702" s="64">
        <f>IF(AND(Tableau2[[#This Row],[CLASSE]]="CPU",Tableau2[[#This Row],[STATUT ]]="Admis"),1,0)</f>
        <v>1</v>
      </c>
      <c r="M702" s="64">
        <f>IF(AND(Tableau2[[#This Row],[CLASSE]]="CEU",Tableau2[[#This Row],[STATUT ]]="Admis"),1,0)</f>
        <v>0</v>
      </c>
      <c r="N702" s="64"/>
      <c r="O702" s="296"/>
      <c r="P7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03" spans="1:16" ht="21" x14ac:dyDescent="0.35">
      <c r="A703" s="310">
        <v>702</v>
      </c>
      <c r="B703" s="396" t="s">
        <v>2574</v>
      </c>
      <c r="C703" s="296" t="s">
        <v>2</v>
      </c>
      <c r="D703" s="393">
        <v>13</v>
      </c>
      <c r="E703" s="478">
        <v>3.62</v>
      </c>
      <c r="F703" s="482" t="s">
        <v>2009</v>
      </c>
      <c r="G703" s="396" t="s">
        <v>2016</v>
      </c>
      <c r="H703" s="300" t="str">
        <f>IF(Tableau2[[#This Row],[Moyennes]]="Absent","Absent",IF(Tableau2[[#This Row],[Moyennes]]&lt;5,"Redouble",IF(Tableau2[[#This Row],[Moyennes]]&gt;=5,"Admis"," ")))</f>
        <v>Redouble</v>
      </c>
      <c r="J703" t="s">
        <v>663</v>
      </c>
      <c r="K703" t="s">
        <v>2583</v>
      </c>
      <c r="L703" s="64">
        <f>IF(AND(Tableau2[[#This Row],[CLASSE]]="CPU",Tableau2[[#This Row],[STATUT ]]="Admis"),1,0)</f>
        <v>0</v>
      </c>
      <c r="M703" s="64">
        <f>IF(AND(Tableau2[[#This Row],[CLASSE]]="CEU",Tableau2[[#This Row],[STATUT ]]="Admis"),1,0)</f>
        <v>0</v>
      </c>
      <c r="N703" s="64"/>
      <c r="O703" s="296"/>
      <c r="P7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04" spans="1:16" ht="21" x14ac:dyDescent="0.35">
      <c r="A704" s="310">
        <v>703</v>
      </c>
      <c r="B704" s="396" t="s">
        <v>2575</v>
      </c>
      <c r="C704" s="64" t="s">
        <v>1</v>
      </c>
      <c r="D704" s="393">
        <v>12</v>
      </c>
      <c r="E704" s="478">
        <v>2.75</v>
      </c>
      <c r="F704" s="482" t="s">
        <v>2009</v>
      </c>
      <c r="G704" s="396" t="s">
        <v>2042</v>
      </c>
      <c r="H704" s="300" t="str">
        <f>IF(Tableau2[[#This Row],[Moyennes]]="Absent","Absent",IF(Tableau2[[#This Row],[Moyennes]]&lt;5,"Redouble",IF(Tableau2[[#This Row],[Moyennes]]&gt;=5,"Admis"," ")))</f>
        <v>Redouble</v>
      </c>
      <c r="J704" t="s">
        <v>663</v>
      </c>
      <c r="K704" t="s">
        <v>2583</v>
      </c>
      <c r="L704" s="64">
        <f>IF(AND(Tableau2[[#This Row],[CLASSE]]="CPU",Tableau2[[#This Row],[STATUT ]]="Admis"),1,0)</f>
        <v>0</v>
      </c>
      <c r="M704" s="64">
        <f>IF(AND(Tableau2[[#This Row],[CLASSE]]="CEU",Tableau2[[#This Row],[STATUT ]]="Admis"),1,0)</f>
        <v>0</v>
      </c>
      <c r="N704" s="64"/>
      <c r="O704" s="296"/>
      <c r="P7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05" spans="1:16" ht="21" x14ac:dyDescent="0.35">
      <c r="A705" s="310">
        <v>704</v>
      </c>
      <c r="B705" s="396" t="s">
        <v>2576</v>
      </c>
      <c r="C705" s="64" t="s">
        <v>1</v>
      </c>
      <c r="D705" s="393">
        <v>12</v>
      </c>
      <c r="E705" s="478">
        <v>5.84</v>
      </c>
      <c r="F705" s="482" t="s">
        <v>2009</v>
      </c>
      <c r="G705" s="396" t="s">
        <v>2018</v>
      </c>
      <c r="H705" s="300" t="str">
        <f>IF(Tableau2[[#This Row],[Moyennes]]="Absent","Absent",IF(Tableau2[[#This Row],[Moyennes]]&lt;5,"Redouble",IF(Tableau2[[#This Row],[Moyennes]]&gt;=5,"Admis"," ")))</f>
        <v>Admis</v>
      </c>
      <c r="J705" t="s">
        <v>663</v>
      </c>
      <c r="K705" t="s">
        <v>2583</v>
      </c>
      <c r="L705" s="64">
        <f>IF(AND(Tableau2[[#This Row],[CLASSE]]="CPU",Tableau2[[#This Row],[STATUT ]]="Admis"),1,0)</f>
        <v>1</v>
      </c>
      <c r="M705" s="64">
        <f>IF(AND(Tableau2[[#This Row],[CLASSE]]="CEU",Tableau2[[#This Row],[STATUT ]]="Admis"),1,0)</f>
        <v>0</v>
      </c>
      <c r="N705" s="64"/>
      <c r="O705" s="296"/>
      <c r="P7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06" spans="1:16" ht="21" x14ac:dyDescent="0.35">
      <c r="A706" s="310">
        <v>705</v>
      </c>
      <c r="B706" s="396" t="s">
        <v>2577</v>
      </c>
      <c r="C706" s="64" t="s">
        <v>1</v>
      </c>
      <c r="D706" s="393">
        <v>12</v>
      </c>
      <c r="E706" s="478">
        <v>7.12</v>
      </c>
      <c r="F706" s="482" t="s">
        <v>2009</v>
      </c>
      <c r="G706" s="396" t="s">
        <v>815</v>
      </c>
      <c r="H706" s="300" t="str">
        <f>IF(Tableau2[[#This Row],[Moyennes]]="Absent","Absent",IF(Tableau2[[#This Row],[Moyennes]]&lt;5,"Redouble",IF(Tableau2[[#This Row],[Moyennes]]&gt;=5,"Admis"," ")))</f>
        <v>Admis</v>
      </c>
      <c r="J706" t="s">
        <v>663</v>
      </c>
      <c r="K706" t="s">
        <v>2583</v>
      </c>
      <c r="L706" s="64">
        <f>IF(AND(Tableau2[[#This Row],[CLASSE]]="CPU",Tableau2[[#This Row],[STATUT ]]="Admis"),1,0)</f>
        <v>1</v>
      </c>
      <c r="M706" s="64">
        <f>IF(AND(Tableau2[[#This Row],[CLASSE]]="CEU",Tableau2[[#This Row],[STATUT ]]="Admis"),1,0)</f>
        <v>0</v>
      </c>
      <c r="N706" s="64"/>
      <c r="O706" s="296"/>
      <c r="P7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07" spans="1:16" ht="21" x14ac:dyDescent="0.35">
      <c r="A707" s="310">
        <v>706</v>
      </c>
      <c r="B707" s="396" t="s">
        <v>2578</v>
      </c>
      <c r="C707" s="64" t="s">
        <v>1</v>
      </c>
      <c r="D707" s="393">
        <v>9</v>
      </c>
      <c r="E707" s="478">
        <v>1.87</v>
      </c>
      <c r="F707" s="482" t="s">
        <v>2009</v>
      </c>
      <c r="G707" s="396" t="s">
        <v>2025</v>
      </c>
      <c r="H707" s="300" t="str">
        <f>IF(Tableau2[[#This Row],[Moyennes]]="Absent","Absent",IF(Tableau2[[#This Row],[Moyennes]]&lt;5,"Redouble",IF(Tableau2[[#This Row],[Moyennes]]&gt;=5,"Admis"," ")))</f>
        <v>Redouble</v>
      </c>
      <c r="J707" t="s">
        <v>663</v>
      </c>
      <c r="K707" t="s">
        <v>2583</v>
      </c>
      <c r="L707" s="64">
        <f>IF(AND(Tableau2[[#This Row],[CLASSE]]="CPU",Tableau2[[#This Row],[STATUT ]]="Admis"),1,0)</f>
        <v>0</v>
      </c>
      <c r="M707" s="64">
        <f>IF(AND(Tableau2[[#This Row],[CLASSE]]="CEU",Tableau2[[#This Row],[STATUT ]]="Admis"),1,0)</f>
        <v>0</v>
      </c>
      <c r="N707" s="64"/>
      <c r="O707" s="296"/>
      <c r="P7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08" spans="1:16" ht="21" x14ac:dyDescent="0.35">
      <c r="A708" s="310">
        <v>707</v>
      </c>
      <c r="B708" s="396" t="s">
        <v>2579</v>
      </c>
      <c r="C708" s="64" t="s">
        <v>1</v>
      </c>
      <c r="D708" s="393">
        <v>9</v>
      </c>
      <c r="E708" s="478">
        <v>4.87</v>
      </c>
      <c r="F708" s="482" t="s">
        <v>2009</v>
      </c>
      <c r="G708" s="396" t="s">
        <v>2027</v>
      </c>
      <c r="H708" s="300" t="str">
        <f>IF(Tableau2[[#This Row],[Moyennes]]="Absent","Absent",IF(Tableau2[[#This Row],[Moyennes]]&lt;5,"Redouble",IF(Tableau2[[#This Row],[Moyennes]]&gt;=5,"Admis"," ")))</f>
        <v>Redouble</v>
      </c>
      <c r="J708" t="s">
        <v>663</v>
      </c>
      <c r="K708" t="s">
        <v>2583</v>
      </c>
      <c r="L708" s="64">
        <f>IF(AND(Tableau2[[#This Row],[CLASSE]]="CPU",Tableau2[[#This Row],[STATUT ]]="Admis"),1,0)</f>
        <v>0</v>
      </c>
      <c r="M708" s="64">
        <f>IF(AND(Tableau2[[#This Row],[CLASSE]]="CEU",Tableau2[[#This Row],[STATUT ]]="Admis"),1,0)</f>
        <v>0</v>
      </c>
      <c r="N708" s="64"/>
      <c r="O708" s="296"/>
      <c r="P7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09" spans="1:16" ht="21" x14ac:dyDescent="0.35">
      <c r="A709" s="310">
        <v>708</v>
      </c>
      <c r="B709" s="396" t="s">
        <v>2580</v>
      </c>
      <c r="C709" s="296" t="s">
        <v>2</v>
      </c>
      <c r="D709" s="393">
        <v>13</v>
      </c>
      <c r="E709" s="478">
        <v>3.65</v>
      </c>
      <c r="F709" s="482" t="s">
        <v>2009</v>
      </c>
      <c r="G709" s="396" t="s">
        <v>2062</v>
      </c>
      <c r="H709" s="300" t="str">
        <f>IF(Tableau2[[#This Row],[Moyennes]]="Absent","Absent",IF(Tableau2[[#This Row],[Moyennes]]&lt;5,"Redouble",IF(Tableau2[[#This Row],[Moyennes]]&gt;=5,"Admis"," ")))</f>
        <v>Redouble</v>
      </c>
      <c r="J709" t="s">
        <v>663</v>
      </c>
      <c r="K709" t="s">
        <v>2583</v>
      </c>
      <c r="L709" s="64">
        <f>IF(AND(Tableau2[[#This Row],[CLASSE]]="CPU",Tableau2[[#This Row],[STATUT ]]="Admis"),1,0)</f>
        <v>0</v>
      </c>
      <c r="M709" s="64">
        <f>IF(AND(Tableau2[[#This Row],[CLASSE]]="CEU",Tableau2[[#This Row],[STATUT ]]="Admis"),1,0)</f>
        <v>0</v>
      </c>
      <c r="N709" s="64"/>
      <c r="O709" s="296"/>
      <c r="P7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10" spans="1:16" ht="21" x14ac:dyDescent="0.35">
      <c r="A710" s="310">
        <v>709</v>
      </c>
      <c r="B710" s="396" t="s">
        <v>2581</v>
      </c>
      <c r="C710" s="64" t="s">
        <v>1</v>
      </c>
      <c r="D710" s="393">
        <v>13</v>
      </c>
      <c r="E710" s="478">
        <v>3.43</v>
      </c>
      <c r="F710" s="482" t="s">
        <v>2009</v>
      </c>
      <c r="G710" s="396" t="s">
        <v>2023</v>
      </c>
      <c r="H710" s="300" t="str">
        <f>IF(Tableau2[[#This Row],[Moyennes]]="Absent","Absent",IF(Tableau2[[#This Row],[Moyennes]]&lt;5,"Redouble",IF(Tableau2[[#This Row],[Moyennes]]&gt;=5,"Admis"," ")))</f>
        <v>Redouble</v>
      </c>
      <c r="J710" t="s">
        <v>663</v>
      </c>
      <c r="K710" t="s">
        <v>2583</v>
      </c>
      <c r="L710" s="64">
        <f>IF(AND(Tableau2[[#This Row],[CLASSE]]="CPU",Tableau2[[#This Row],[STATUT ]]="Admis"),1,0)</f>
        <v>0</v>
      </c>
      <c r="M710" s="64">
        <f>IF(AND(Tableau2[[#This Row],[CLASSE]]="CEU",Tableau2[[#This Row],[STATUT ]]="Admis"),1,0)</f>
        <v>0</v>
      </c>
      <c r="N710" s="64"/>
      <c r="O710" s="296"/>
      <c r="P7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11" spans="1:16" ht="21" x14ac:dyDescent="0.35">
      <c r="A711" s="310">
        <v>710</v>
      </c>
      <c r="B711" s="396" t="s">
        <v>2582</v>
      </c>
      <c r="C711" s="64" t="s">
        <v>1</v>
      </c>
      <c r="D711" s="393">
        <v>11</v>
      </c>
      <c r="E711" s="478">
        <v>3.75</v>
      </c>
      <c r="F711" s="482" t="s">
        <v>2009</v>
      </c>
      <c r="G711" s="396" t="s">
        <v>2033</v>
      </c>
      <c r="H711" s="300" t="str">
        <f>IF(Tableau2[[#This Row],[Moyennes]]="Absent","Absent",IF(Tableau2[[#This Row],[Moyennes]]&lt;5,"Redouble",IF(Tableau2[[#This Row],[Moyennes]]&gt;=5,"Admis"," ")))</f>
        <v>Redouble</v>
      </c>
      <c r="J711" t="s">
        <v>663</v>
      </c>
      <c r="K711" t="s">
        <v>2583</v>
      </c>
      <c r="L711" s="64">
        <f>IF(AND(Tableau2[[#This Row],[CLASSE]]="CPU",Tableau2[[#This Row],[STATUT ]]="Admis"),1,0)</f>
        <v>0</v>
      </c>
      <c r="M711" s="64">
        <f>IF(AND(Tableau2[[#This Row],[CLASSE]]="CEU",Tableau2[[#This Row],[STATUT ]]="Admis"),1,0)</f>
        <v>0</v>
      </c>
      <c r="N711" s="64"/>
      <c r="O711" s="296"/>
      <c r="P7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12" spans="1:16" ht="21" x14ac:dyDescent="0.35">
      <c r="A712" s="310">
        <v>711</v>
      </c>
      <c r="B712" s="396" t="s">
        <v>2584</v>
      </c>
      <c r="C712" s="64" t="s">
        <v>1</v>
      </c>
      <c r="D712" s="295">
        <v>14</v>
      </c>
      <c r="E712" s="492" t="s">
        <v>2165</v>
      </c>
      <c r="F712" s="305" t="s">
        <v>2009</v>
      </c>
      <c r="G712" s="492" t="s">
        <v>2165</v>
      </c>
      <c r="H712" s="300" t="str">
        <f>IF(Tableau2[[#This Row],[Moyennes]]="Absent","Absent",IF(Tableau2[[#This Row],[Moyennes]]&lt;5,"Redouble",IF(Tableau2[[#This Row],[Moyennes]]&gt;=5,"Admis"," ")))</f>
        <v>Absent</v>
      </c>
      <c r="I712" s="506"/>
      <c r="J712" s="17" t="s">
        <v>663</v>
      </c>
      <c r="K712" s="17" t="s">
        <v>1307</v>
      </c>
      <c r="L712" s="64">
        <f>IF(AND(Tableau2[[#This Row],[CLASSE]]="CPU",Tableau2[[#This Row],[STATUT ]]="Admis"),1,0)</f>
        <v>0</v>
      </c>
      <c r="M712" s="64">
        <f>IF(AND(Tableau2[[#This Row],[CLASSE]]="CEU",Tableau2[[#This Row],[STATUT ]]="Admis"),1,0)</f>
        <v>0</v>
      </c>
      <c r="N712" s="64"/>
      <c r="O712" s="296"/>
      <c r="P7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713" spans="1:16" ht="21" x14ac:dyDescent="0.35">
      <c r="A713" s="310">
        <v>712</v>
      </c>
      <c r="B713" s="396" t="s">
        <v>2585</v>
      </c>
      <c r="C713" s="64" t="s">
        <v>1</v>
      </c>
      <c r="D713" s="295">
        <v>13</v>
      </c>
      <c r="E713" s="406">
        <v>4.57</v>
      </c>
      <c r="F713" s="482" t="s">
        <v>2009</v>
      </c>
      <c r="G713" s="401" t="s">
        <v>2044</v>
      </c>
      <c r="H713" s="300" t="str">
        <f>IF(Tableau2[[#This Row],[Moyennes]]="Absent","Absent",IF(Tableau2[[#This Row],[Moyennes]]&lt;5,"Redouble",IF(Tableau2[[#This Row],[Moyennes]]&gt;=5,"Admis"," ")))</f>
        <v>Redouble</v>
      </c>
      <c r="I713" s="487"/>
      <c r="J713" t="s">
        <v>663</v>
      </c>
      <c r="K713" t="s">
        <v>1307</v>
      </c>
      <c r="L713" s="64">
        <f>IF(AND(Tableau2[[#This Row],[CLASSE]]="CPU",Tableau2[[#This Row],[STATUT ]]="Admis"),1,0)</f>
        <v>0</v>
      </c>
      <c r="M713" s="64">
        <f>IF(AND(Tableau2[[#This Row],[CLASSE]]="CEU",Tableau2[[#This Row],[STATUT ]]="Admis"),1,0)</f>
        <v>0</v>
      </c>
      <c r="N713" s="64"/>
      <c r="O713" s="296"/>
      <c r="P7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14" spans="1:16" ht="21" x14ac:dyDescent="0.35">
      <c r="A714" s="310">
        <v>713</v>
      </c>
      <c r="B714" s="396" t="s">
        <v>2586</v>
      </c>
      <c r="C714" s="64" t="s">
        <v>2</v>
      </c>
      <c r="D714" s="295">
        <v>10</v>
      </c>
      <c r="E714" s="406">
        <v>4.75</v>
      </c>
      <c r="F714" s="482" t="s">
        <v>2009</v>
      </c>
      <c r="G714" s="402" t="s">
        <v>2046</v>
      </c>
      <c r="H714" s="300" t="str">
        <f>IF(Tableau2[[#This Row],[Moyennes]]="Absent","Absent",IF(Tableau2[[#This Row],[Moyennes]]&lt;5,"Redouble",IF(Tableau2[[#This Row],[Moyennes]]&gt;=5,"Admis"," ")))</f>
        <v>Redouble</v>
      </c>
      <c r="I714" s="486"/>
      <c r="J714" t="s">
        <v>663</v>
      </c>
      <c r="K714" t="s">
        <v>1307</v>
      </c>
      <c r="L714" s="64">
        <f>IF(AND(Tableau2[[#This Row],[CLASSE]]="CPU",Tableau2[[#This Row],[STATUT ]]="Admis"),1,0)</f>
        <v>0</v>
      </c>
      <c r="M714" s="64">
        <f>IF(AND(Tableau2[[#This Row],[CLASSE]]="CEU",Tableau2[[#This Row],[STATUT ]]="Admis"),1,0)</f>
        <v>0</v>
      </c>
      <c r="N714" s="64"/>
      <c r="O714" s="296"/>
      <c r="P7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15" spans="1:16" ht="21" x14ac:dyDescent="0.35">
      <c r="A715" s="310">
        <v>714</v>
      </c>
      <c r="B715" s="396" t="s">
        <v>2587</v>
      </c>
      <c r="C715" s="64" t="s">
        <v>2</v>
      </c>
      <c r="D715" s="295">
        <v>9</v>
      </c>
      <c r="E715" s="406">
        <v>5.07</v>
      </c>
      <c r="F715" s="482" t="s">
        <v>2009</v>
      </c>
      <c r="G715" s="402" t="s">
        <v>2018</v>
      </c>
      <c r="H715" s="300" t="str">
        <f>IF(Tableau2[[#This Row],[Moyennes]]="Absent","Absent",IF(Tableau2[[#This Row],[Moyennes]]&lt;5,"Redouble",IF(Tableau2[[#This Row],[Moyennes]]&gt;=5,"Admis"," ")))</f>
        <v>Admis</v>
      </c>
      <c r="I715" s="486"/>
      <c r="J715" t="s">
        <v>663</v>
      </c>
      <c r="K715" t="s">
        <v>1307</v>
      </c>
      <c r="L715" s="64">
        <f>IF(AND(Tableau2[[#This Row],[CLASSE]]="CPU",Tableau2[[#This Row],[STATUT ]]="Admis"),1,0)</f>
        <v>1</v>
      </c>
      <c r="M715" s="64">
        <f>IF(AND(Tableau2[[#This Row],[CLASSE]]="CEU",Tableau2[[#This Row],[STATUT ]]="Admis"),1,0)</f>
        <v>0</v>
      </c>
      <c r="N715" s="64"/>
      <c r="O715" s="296"/>
      <c r="P7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16" spans="1:16" ht="21" x14ac:dyDescent="0.35">
      <c r="A716" s="310">
        <v>715</v>
      </c>
      <c r="B716" s="403" t="s">
        <v>2588</v>
      </c>
      <c r="C716" s="64" t="s">
        <v>1</v>
      </c>
      <c r="D716" s="295">
        <v>14</v>
      </c>
      <c r="E716" s="406">
        <v>7.35</v>
      </c>
      <c r="F716" s="482" t="s">
        <v>2009</v>
      </c>
      <c r="G716" s="402" t="s">
        <v>2010</v>
      </c>
      <c r="H716" s="300" t="str">
        <f>IF(Tableau2[[#This Row],[Moyennes]]="Absent","Absent",IF(Tableau2[[#This Row],[Moyennes]]&lt;5,"Redouble",IF(Tableau2[[#This Row],[Moyennes]]&gt;=5,"Admis"," ")))</f>
        <v>Admis</v>
      </c>
      <c r="I716" s="486"/>
      <c r="J716" t="s">
        <v>663</v>
      </c>
      <c r="K716" t="s">
        <v>1307</v>
      </c>
      <c r="L716" s="64">
        <f>IF(AND(Tableau2[[#This Row],[CLASSE]]="CPU",Tableau2[[#This Row],[STATUT ]]="Admis"),1,0)</f>
        <v>1</v>
      </c>
      <c r="M716" s="64">
        <f>IF(AND(Tableau2[[#This Row],[CLASSE]]="CEU",Tableau2[[#This Row],[STATUT ]]="Admis"),1,0)</f>
        <v>0</v>
      </c>
      <c r="N716" s="64"/>
      <c r="O716" s="296"/>
      <c r="P7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17" spans="1:16" ht="21" x14ac:dyDescent="0.35">
      <c r="A717" s="310">
        <v>716</v>
      </c>
      <c r="B717" s="396" t="s">
        <v>2589</v>
      </c>
      <c r="C717" s="64" t="s">
        <v>1</v>
      </c>
      <c r="D717" s="295">
        <v>10</v>
      </c>
      <c r="E717" s="406">
        <v>4.57</v>
      </c>
      <c r="F717" s="482" t="s">
        <v>2009</v>
      </c>
      <c r="G717" s="402" t="s">
        <v>2044</v>
      </c>
      <c r="H717" s="300" t="str">
        <f>IF(Tableau2[[#This Row],[Moyennes]]="Absent","Absent",IF(Tableau2[[#This Row],[Moyennes]]&lt;5,"Redouble",IF(Tableau2[[#This Row],[Moyennes]]&gt;=5,"Admis"," ")))</f>
        <v>Redouble</v>
      </c>
      <c r="I717" s="486"/>
      <c r="J717" t="s">
        <v>663</v>
      </c>
      <c r="K717" t="s">
        <v>1307</v>
      </c>
      <c r="L717" s="64">
        <f>IF(AND(Tableau2[[#This Row],[CLASSE]]="CPU",Tableau2[[#This Row],[STATUT ]]="Admis"),1,0)</f>
        <v>0</v>
      </c>
      <c r="M717" s="64">
        <f>IF(AND(Tableau2[[#This Row],[CLASSE]]="CEU",Tableau2[[#This Row],[STATUT ]]="Admis"),1,0)</f>
        <v>0</v>
      </c>
      <c r="N717" s="64"/>
      <c r="O717" s="296"/>
      <c r="P7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18" spans="1:16" ht="21" x14ac:dyDescent="0.35">
      <c r="A718" s="310">
        <v>717</v>
      </c>
      <c r="B718" s="396" t="s">
        <v>2590</v>
      </c>
      <c r="C718" s="64" t="s">
        <v>2</v>
      </c>
      <c r="D718" s="295">
        <v>14</v>
      </c>
      <c r="E718" s="406">
        <v>5.78</v>
      </c>
      <c r="F718" s="482" t="s">
        <v>2009</v>
      </c>
      <c r="G718" s="396" t="s">
        <v>2012</v>
      </c>
      <c r="H718" s="300" t="str">
        <f>IF(Tableau2[[#This Row],[Moyennes]]="Absent","Absent",IF(Tableau2[[#This Row],[Moyennes]]&lt;5,"Redouble",IF(Tableau2[[#This Row],[Moyennes]]&gt;=5,"Admis"," ")))</f>
        <v>Admis</v>
      </c>
      <c r="J718" t="s">
        <v>663</v>
      </c>
      <c r="K718" t="s">
        <v>1307</v>
      </c>
      <c r="L718" s="64">
        <f>IF(AND(Tableau2[[#This Row],[CLASSE]]="CPU",Tableau2[[#This Row],[STATUT ]]="Admis"),1,0)</f>
        <v>1</v>
      </c>
      <c r="M718" s="64">
        <f>IF(AND(Tableau2[[#This Row],[CLASSE]]="CEU",Tableau2[[#This Row],[STATUT ]]="Admis"),1,0)</f>
        <v>0</v>
      </c>
      <c r="N718" s="64"/>
      <c r="O718" s="296"/>
      <c r="P7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19" spans="1:16" ht="21" x14ac:dyDescent="0.35">
      <c r="A719" s="310">
        <v>718</v>
      </c>
      <c r="B719" s="396" t="s">
        <v>2591</v>
      </c>
      <c r="C719" s="64" t="s">
        <v>2</v>
      </c>
      <c r="D719" s="295">
        <v>9</v>
      </c>
      <c r="E719" s="406">
        <v>3.57</v>
      </c>
      <c r="F719" s="482" t="s">
        <v>2009</v>
      </c>
      <c r="G719" s="396" t="s">
        <v>2089</v>
      </c>
      <c r="H719" s="300" t="str">
        <f>IF(Tableau2[[#This Row],[Moyennes]]="Absent","Absent",IF(Tableau2[[#This Row],[Moyennes]]&lt;5,"Redouble",IF(Tableau2[[#This Row],[Moyennes]]&gt;=5,"Admis"," ")))</f>
        <v>Redouble</v>
      </c>
      <c r="J719" t="s">
        <v>663</v>
      </c>
      <c r="K719" t="s">
        <v>1307</v>
      </c>
      <c r="L719" s="64">
        <f>IF(AND(Tableau2[[#This Row],[CLASSE]]="CPU",Tableau2[[#This Row],[STATUT ]]="Admis"),1,0)</f>
        <v>0</v>
      </c>
      <c r="M719" s="64">
        <f>IF(AND(Tableau2[[#This Row],[CLASSE]]="CEU",Tableau2[[#This Row],[STATUT ]]="Admis"),1,0)</f>
        <v>0</v>
      </c>
      <c r="N719" s="64"/>
      <c r="O719" s="296"/>
      <c r="P7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0" spans="1:16" ht="21" x14ac:dyDescent="0.35">
      <c r="A720" s="310">
        <v>719</v>
      </c>
      <c r="B720" s="396" t="s">
        <v>2592</v>
      </c>
      <c r="C720" s="64" t="s">
        <v>1</v>
      </c>
      <c r="D720" s="295">
        <v>9</v>
      </c>
      <c r="E720" s="406">
        <v>3</v>
      </c>
      <c r="F720" s="482" t="s">
        <v>2009</v>
      </c>
      <c r="G720" s="396" t="s">
        <v>2033</v>
      </c>
      <c r="H720" s="300" t="str">
        <f>IF(Tableau2[[#This Row],[Moyennes]]="Absent","Absent",IF(Tableau2[[#This Row],[Moyennes]]&lt;5,"Redouble",IF(Tableau2[[#This Row],[Moyennes]]&gt;=5,"Admis"," ")))</f>
        <v>Redouble</v>
      </c>
      <c r="J720" t="s">
        <v>663</v>
      </c>
      <c r="K720" t="s">
        <v>1307</v>
      </c>
      <c r="L720" s="64">
        <f>IF(AND(Tableau2[[#This Row],[CLASSE]]="CPU",Tableau2[[#This Row],[STATUT ]]="Admis"),1,0)</f>
        <v>0</v>
      </c>
      <c r="M720" s="64">
        <f>IF(AND(Tableau2[[#This Row],[CLASSE]]="CEU",Tableau2[[#This Row],[STATUT ]]="Admis"),1,0)</f>
        <v>0</v>
      </c>
      <c r="N720" s="64"/>
      <c r="O720" s="296"/>
      <c r="P7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1" spans="1:16" ht="21" x14ac:dyDescent="0.35">
      <c r="A721" s="310">
        <v>720</v>
      </c>
      <c r="B721" s="396" t="s">
        <v>2593</v>
      </c>
      <c r="C721" s="64" t="s">
        <v>1</v>
      </c>
      <c r="D721" s="295">
        <v>12</v>
      </c>
      <c r="E721" s="406">
        <v>3.42</v>
      </c>
      <c r="F721" s="482" t="s">
        <v>2009</v>
      </c>
      <c r="G721" s="396" t="s">
        <v>2021</v>
      </c>
      <c r="H721" s="300" t="str">
        <f>IF(Tableau2[[#This Row],[Moyennes]]="Absent","Absent",IF(Tableau2[[#This Row],[Moyennes]]&lt;5,"Redouble",IF(Tableau2[[#This Row],[Moyennes]]&gt;=5,"Admis"," ")))</f>
        <v>Redouble</v>
      </c>
      <c r="J721" t="s">
        <v>663</v>
      </c>
      <c r="K721" t="s">
        <v>1307</v>
      </c>
      <c r="L721" s="64">
        <f>IF(AND(Tableau2[[#This Row],[CLASSE]]="CPU",Tableau2[[#This Row],[STATUT ]]="Admis"),1,0)</f>
        <v>0</v>
      </c>
      <c r="M721" s="64">
        <f>IF(AND(Tableau2[[#This Row],[CLASSE]]="CEU",Tableau2[[#This Row],[STATUT ]]="Admis"),1,0)</f>
        <v>0</v>
      </c>
      <c r="N721" s="64"/>
      <c r="O721" s="296"/>
      <c r="P7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22" spans="1:16" ht="21" x14ac:dyDescent="0.35">
      <c r="A722" s="310">
        <v>721</v>
      </c>
      <c r="B722" s="396" t="s">
        <v>2594</v>
      </c>
      <c r="C722" s="64" t="s">
        <v>1</v>
      </c>
      <c r="D722" s="295">
        <v>14</v>
      </c>
      <c r="E722" s="406">
        <v>6.71</v>
      </c>
      <c r="F722" s="482" t="s">
        <v>2009</v>
      </c>
      <c r="G722" s="396" t="s">
        <v>815</v>
      </c>
      <c r="H722" s="300" t="str">
        <f>IF(Tableau2[[#This Row],[Moyennes]]="Absent","Absent",IF(Tableau2[[#This Row],[Moyennes]]&lt;5,"Redouble",IF(Tableau2[[#This Row],[Moyennes]]&gt;=5,"Admis"," ")))</f>
        <v>Admis</v>
      </c>
      <c r="J722" t="s">
        <v>663</v>
      </c>
      <c r="K722" t="s">
        <v>1307</v>
      </c>
      <c r="L722" s="64">
        <f>IF(AND(Tableau2[[#This Row],[CLASSE]]="CPU",Tableau2[[#This Row],[STATUT ]]="Admis"),1,0)</f>
        <v>1</v>
      </c>
      <c r="M722" s="64">
        <f>IF(AND(Tableau2[[#This Row],[CLASSE]]="CEU",Tableau2[[#This Row],[STATUT ]]="Admis"),1,0)</f>
        <v>0</v>
      </c>
      <c r="N722" s="64"/>
      <c r="O722" s="296"/>
      <c r="P7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23" spans="1:16" ht="21" x14ac:dyDescent="0.35">
      <c r="A723" s="310">
        <v>722</v>
      </c>
      <c r="B723" s="396" t="s">
        <v>2595</v>
      </c>
      <c r="C723" s="64" t="s">
        <v>1</v>
      </c>
      <c r="D723" s="295">
        <v>9</v>
      </c>
      <c r="E723" s="406">
        <v>3.71</v>
      </c>
      <c r="F723" s="482" t="s">
        <v>2009</v>
      </c>
      <c r="G723" s="396" t="s">
        <v>2027</v>
      </c>
      <c r="H723" s="300" t="str">
        <f>IF(Tableau2[[#This Row],[Moyennes]]="Absent","Absent",IF(Tableau2[[#This Row],[Moyennes]]&lt;5,"Redouble",IF(Tableau2[[#This Row],[Moyennes]]&gt;=5,"Admis"," ")))</f>
        <v>Redouble</v>
      </c>
      <c r="J723" t="s">
        <v>663</v>
      </c>
      <c r="K723" t="s">
        <v>1307</v>
      </c>
      <c r="L723" s="64">
        <f>IF(AND(Tableau2[[#This Row],[CLASSE]]="CPU",Tableau2[[#This Row],[STATUT ]]="Admis"),1,0)</f>
        <v>0</v>
      </c>
      <c r="M723" s="64">
        <f>IF(AND(Tableau2[[#This Row],[CLASSE]]="CEU",Tableau2[[#This Row],[STATUT ]]="Admis"),1,0)</f>
        <v>0</v>
      </c>
      <c r="N723" s="64"/>
      <c r="O723" s="296"/>
      <c r="P7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4" spans="1:16" ht="21" x14ac:dyDescent="0.35">
      <c r="A724" s="310">
        <v>723</v>
      </c>
      <c r="B724" s="396" t="s">
        <v>2596</v>
      </c>
      <c r="C724" s="64" t="s">
        <v>1</v>
      </c>
      <c r="D724" s="295">
        <v>9</v>
      </c>
      <c r="E724" s="406">
        <v>2.2799999999999998</v>
      </c>
      <c r="F724" s="482" t="s">
        <v>2009</v>
      </c>
      <c r="G724" s="396" t="s">
        <v>2023</v>
      </c>
      <c r="H724" s="300" t="str">
        <f>IF(Tableau2[[#This Row],[Moyennes]]="Absent","Absent",IF(Tableau2[[#This Row],[Moyennes]]&lt;5,"Redouble",IF(Tableau2[[#This Row],[Moyennes]]&gt;=5,"Admis"," ")))</f>
        <v>Redouble</v>
      </c>
      <c r="J724" t="s">
        <v>663</v>
      </c>
      <c r="K724" t="s">
        <v>1307</v>
      </c>
      <c r="L724" s="64">
        <f>IF(AND(Tableau2[[#This Row],[CLASSE]]="CPU",Tableau2[[#This Row],[STATUT ]]="Admis"),1,0)</f>
        <v>0</v>
      </c>
      <c r="M724" s="64">
        <f>IF(AND(Tableau2[[#This Row],[CLASSE]]="CEU",Tableau2[[#This Row],[STATUT ]]="Admis"),1,0)</f>
        <v>0</v>
      </c>
      <c r="N724" s="64"/>
      <c r="O724" s="296"/>
      <c r="P7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5" spans="1:16" ht="21" x14ac:dyDescent="0.35">
      <c r="A725" s="310">
        <v>724</v>
      </c>
      <c r="B725" s="396" t="s">
        <v>2597</v>
      </c>
      <c r="C725" s="64" t="s">
        <v>1</v>
      </c>
      <c r="D725" s="295">
        <v>10</v>
      </c>
      <c r="E725" s="406">
        <v>1.42</v>
      </c>
      <c r="F725" s="482" t="s">
        <v>2009</v>
      </c>
      <c r="G725" s="396" t="s">
        <v>2042</v>
      </c>
      <c r="H725" s="300" t="str">
        <f>IF(Tableau2[[#This Row],[Moyennes]]="Absent","Absent",IF(Tableau2[[#This Row],[Moyennes]]&lt;5,"Redouble",IF(Tableau2[[#This Row],[Moyennes]]&gt;=5,"Admis"," ")))</f>
        <v>Redouble</v>
      </c>
      <c r="J725" t="s">
        <v>663</v>
      </c>
      <c r="K725" t="s">
        <v>1307</v>
      </c>
      <c r="L725" s="64">
        <f>IF(AND(Tableau2[[#This Row],[CLASSE]]="CPU",Tableau2[[#This Row],[STATUT ]]="Admis"),1,0)</f>
        <v>0</v>
      </c>
      <c r="M725" s="64">
        <f>IF(AND(Tableau2[[#This Row],[CLASSE]]="CEU",Tableau2[[#This Row],[STATUT ]]="Admis"),1,0)</f>
        <v>0</v>
      </c>
      <c r="N725" s="64"/>
      <c r="O725" s="296"/>
      <c r="P7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6" spans="1:16" ht="21" x14ac:dyDescent="0.35">
      <c r="A726" s="310">
        <v>725</v>
      </c>
      <c r="B726" s="396" t="s">
        <v>2598</v>
      </c>
      <c r="C726" s="64" t="s">
        <v>1</v>
      </c>
      <c r="D726" s="295">
        <v>10</v>
      </c>
      <c r="E726" s="406">
        <v>2.4700000000000002</v>
      </c>
      <c r="F726" s="482" t="s">
        <v>2009</v>
      </c>
      <c r="G726" s="396" t="s">
        <v>2062</v>
      </c>
      <c r="H726" s="300" t="str">
        <f>IF(Tableau2[[#This Row],[Moyennes]]="Absent","Absent",IF(Tableau2[[#This Row],[Moyennes]]&lt;5,"Redouble",IF(Tableau2[[#This Row],[Moyennes]]&gt;=5,"Admis"," ")))</f>
        <v>Redouble</v>
      </c>
      <c r="J726" t="s">
        <v>663</v>
      </c>
      <c r="K726" t="s">
        <v>1307</v>
      </c>
      <c r="L726" s="64">
        <f>IF(AND(Tableau2[[#This Row],[CLASSE]]="CPU",Tableau2[[#This Row],[STATUT ]]="Admis"),1,0)</f>
        <v>0</v>
      </c>
      <c r="M726" s="64">
        <f>IF(AND(Tableau2[[#This Row],[CLASSE]]="CEU",Tableau2[[#This Row],[STATUT ]]="Admis"),1,0)</f>
        <v>0</v>
      </c>
      <c r="N726" s="64"/>
      <c r="O726" s="296"/>
      <c r="P7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7" spans="1:16" ht="21" x14ac:dyDescent="0.35">
      <c r="A727" s="310">
        <v>726</v>
      </c>
      <c r="B727" s="396" t="s">
        <v>2599</v>
      </c>
      <c r="C727" s="64" t="s">
        <v>1</v>
      </c>
      <c r="D727" s="295">
        <v>9</v>
      </c>
      <c r="E727" s="406">
        <v>3</v>
      </c>
      <c r="F727" s="482" t="s">
        <v>2009</v>
      </c>
      <c r="G727" s="396" t="s">
        <v>2033</v>
      </c>
      <c r="H727" s="300" t="str">
        <f>IF(Tableau2[[#This Row],[Moyennes]]="Absent","Absent",IF(Tableau2[[#This Row],[Moyennes]]&lt;5,"Redouble",IF(Tableau2[[#This Row],[Moyennes]]&gt;=5,"Admis"," ")))</f>
        <v>Redouble</v>
      </c>
      <c r="J727" t="s">
        <v>663</v>
      </c>
      <c r="K727" t="s">
        <v>1307</v>
      </c>
      <c r="L727" s="64">
        <f>IF(AND(Tableau2[[#This Row],[CLASSE]]="CPU",Tableau2[[#This Row],[STATUT ]]="Admis"),1,0)</f>
        <v>0</v>
      </c>
      <c r="M727" s="64">
        <f>IF(AND(Tableau2[[#This Row],[CLASSE]]="CEU",Tableau2[[#This Row],[STATUT ]]="Admis"),1,0)</f>
        <v>0</v>
      </c>
      <c r="N727" s="64"/>
      <c r="O727" s="296"/>
      <c r="P7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28" spans="1:16" ht="21" x14ac:dyDescent="0.35">
      <c r="A728" s="310">
        <v>727</v>
      </c>
      <c r="B728" s="396" t="s">
        <v>2600</v>
      </c>
      <c r="C728" s="64" t="s">
        <v>2</v>
      </c>
      <c r="D728" s="295">
        <v>11</v>
      </c>
      <c r="E728" s="406">
        <v>8</v>
      </c>
      <c r="F728" s="482" t="s">
        <v>2009</v>
      </c>
      <c r="G728" s="396" t="s">
        <v>838</v>
      </c>
      <c r="H728" s="300" t="str">
        <f>IF(Tableau2[[#This Row],[Moyennes]]="Absent","Absent",IF(Tableau2[[#This Row],[Moyennes]]&lt;5,"Redouble",IF(Tableau2[[#This Row],[Moyennes]]&gt;=5,"Admis"," ")))</f>
        <v>Admis</v>
      </c>
      <c r="J728" t="s">
        <v>663</v>
      </c>
      <c r="K728" t="s">
        <v>1307</v>
      </c>
      <c r="L728" s="64">
        <f>IF(AND(Tableau2[[#This Row],[CLASSE]]="CPU",Tableau2[[#This Row],[STATUT ]]="Admis"),1,0)</f>
        <v>1</v>
      </c>
      <c r="M728" s="64">
        <f>IF(AND(Tableau2[[#This Row],[CLASSE]]="CEU",Tableau2[[#This Row],[STATUT ]]="Admis"),1,0)</f>
        <v>0</v>
      </c>
      <c r="N728" s="64"/>
      <c r="O728" s="296"/>
      <c r="P7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29" spans="1:16" ht="21" x14ac:dyDescent="0.35">
      <c r="A729" s="310">
        <v>728</v>
      </c>
      <c r="B729" s="396" t="s">
        <v>2601</v>
      </c>
      <c r="C729" s="64" t="s">
        <v>1</v>
      </c>
      <c r="D729" s="295">
        <v>9</v>
      </c>
      <c r="E729" s="406">
        <v>9.6199999999999992</v>
      </c>
      <c r="F729" s="482" t="s">
        <v>2009</v>
      </c>
      <c r="G729" s="402" t="s">
        <v>2048</v>
      </c>
      <c r="H729" s="300" t="str">
        <f>IF(Tableau2[[#This Row],[Moyennes]]="Absent","Absent",IF(Tableau2[[#This Row],[Moyennes]]&lt;5,"Redouble",IF(Tableau2[[#This Row],[Moyennes]]&gt;=5,"Admis"," ")))</f>
        <v>Admis</v>
      </c>
      <c r="I729" s="486"/>
      <c r="J729" t="s">
        <v>663</v>
      </c>
      <c r="K729" s="17" t="s">
        <v>1184</v>
      </c>
      <c r="L729" s="64">
        <f>IF(AND(Tableau2[[#This Row],[CLASSE]]="CPU",Tableau2[[#This Row],[STATUT ]]="Admis"),1,0)</f>
        <v>1</v>
      </c>
      <c r="M729" s="64">
        <f>IF(AND(Tableau2[[#This Row],[CLASSE]]="CEU",Tableau2[[#This Row],[STATUT ]]="Admis"),1,0)</f>
        <v>0</v>
      </c>
      <c r="N729" s="64"/>
      <c r="O729" s="296"/>
      <c r="P7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0" spans="1:16" ht="21" x14ac:dyDescent="0.35">
      <c r="A730" s="310">
        <v>729</v>
      </c>
      <c r="B730" s="396" t="s">
        <v>2602</v>
      </c>
      <c r="C730" s="64" t="s">
        <v>1</v>
      </c>
      <c r="D730" s="295">
        <v>9</v>
      </c>
      <c r="E730" s="406">
        <v>9.5</v>
      </c>
      <c r="F730" s="482" t="s">
        <v>2009</v>
      </c>
      <c r="G730" s="402" t="s">
        <v>2027</v>
      </c>
      <c r="H730" s="300" t="str">
        <f>IF(Tableau2[[#This Row],[Moyennes]]="Absent","Absent",IF(Tableau2[[#This Row],[Moyennes]]&lt;5,"Redouble",IF(Tableau2[[#This Row],[Moyennes]]&gt;=5,"Admis"," ")))</f>
        <v>Admis</v>
      </c>
      <c r="I730" s="486"/>
      <c r="J730" t="s">
        <v>663</v>
      </c>
      <c r="K730" s="17" t="s">
        <v>1184</v>
      </c>
      <c r="L730" s="64">
        <f>IF(AND(Tableau2[[#This Row],[CLASSE]]="CPU",Tableau2[[#This Row],[STATUT ]]="Admis"),1,0)</f>
        <v>1</v>
      </c>
      <c r="M730" s="64">
        <f>IF(AND(Tableau2[[#This Row],[CLASSE]]="CEU",Tableau2[[#This Row],[STATUT ]]="Admis"),1,0)</f>
        <v>0</v>
      </c>
      <c r="N730" s="64"/>
      <c r="O730" s="296"/>
      <c r="P7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1" spans="1:16" ht="21" x14ac:dyDescent="0.35">
      <c r="A731" s="310">
        <v>730</v>
      </c>
      <c r="B731" s="396" t="s">
        <v>2603</v>
      </c>
      <c r="C731" s="64" t="s">
        <v>1</v>
      </c>
      <c r="D731" s="295">
        <v>9</v>
      </c>
      <c r="E731" s="406">
        <v>5</v>
      </c>
      <c r="F731" s="482" t="s">
        <v>2009</v>
      </c>
      <c r="G731" s="402" t="s">
        <v>2066</v>
      </c>
      <c r="H731" s="300" t="str">
        <f>IF(Tableau2[[#This Row],[Moyennes]]="Absent","Absent",IF(Tableau2[[#This Row],[Moyennes]]&lt;5,"Redouble",IF(Tableau2[[#This Row],[Moyennes]]&gt;=5,"Admis"," ")))</f>
        <v>Admis</v>
      </c>
      <c r="I731" s="486"/>
      <c r="J731" t="s">
        <v>663</v>
      </c>
      <c r="K731" s="17" t="s">
        <v>1184</v>
      </c>
      <c r="L731" s="64">
        <f>IF(AND(Tableau2[[#This Row],[CLASSE]]="CPU",Tableau2[[#This Row],[STATUT ]]="Admis"),1,0)</f>
        <v>1</v>
      </c>
      <c r="M731" s="64">
        <f>IF(AND(Tableau2[[#This Row],[CLASSE]]="CEU",Tableau2[[#This Row],[STATUT ]]="Admis"),1,0)</f>
        <v>0</v>
      </c>
      <c r="N731" s="64"/>
      <c r="O731" s="296"/>
      <c r="P7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2" spans="1:16" ht="21" x14ac:dyDescent="0.35">
      <c r="A732" s="310">
        <v>731</v>
      </c>
      <c r="B732" s="396" t="s">
        <v>2604</v>
      </c>
      <c r="C732" s="64" t="s">
        <v>2</v>
      </c>
      <c r="D732" s="295">
        <v>10</v>
      </c>
      <c r="E732" s="406">
        <v>7.75</v>
      </c>
      <c r="F732" s="482" t="s">
        <v>2009</v>
      </c>
      <c r="G732" s="402" t="s">
        <v>2062</v>
      </c>
      <c r="H732" s="300" t="str">
        <f>IF(Tableau2[[#This Row],[Moyennes]]="Absent","Absent",IF(Tableau2[[#This Row],[Moyennes]]&lt;5,"Redouble",IF(Tableau2[[#This Row],[Moyennes]]&gt;=5,"Admis"," ")))</f>
        <v>Admis</v>
      </c>
      <c r="I732" s="486"/>
      <c r="J732" t="s">
        <v>663</v>
      </c>
      <c r="K732" s="17" t="s">
        <v>1184</v>
      </c>
      <c r="L732" s="64">
        <f>IF(AND(Tableau2[[#This Row],[CLASSE]]="CPU",Tableau2[[#This Row],[STATUT ]]="Admis"),1,0)</f>
        <v>1</v>
      </c>
      <c r="M732" s="64">
        <f>IF(AND(Tableau2[[#This Row],[CLASSE]]="CEU",Tableau2[[#This Row],[STATUT ]]="Admis"),1,0)</f>
        <v>0</v>
      </c>
      <c r="N732" s="64"/>
      <c r="O732" s="296"/>
      <c r="P7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3" spans="1:16" ht="21" x14ac:dyDescent="0.35">
      <c r="A733" s="310">
        <v>732</v>
      </c>
      <c r="B733" s="403" t="s">
        <v>2605</v>
      </c>
      <c r="C733" s="411" t="s">
        <v>2</v>
      </c>
      <c r="D733" s="295">
        <v>13</v>
      </c>
      <c r="E733" s="406">
        <v>8.8699999999999992</v>
      </c>
      <c r="F733" s="482" t="s">
        <v>2009</v>
      </c>
      <c r="G733" s="402" t="s">
        <v>2021</v>
      </c>
      <c r="H733" s="300" t="str">
        <f>IF(Tableau2[[#This Row],[Moyennes]]="Absent","Absent",IF(Tableau2[[#This Row],[Moyennes]]&lt;5,"Redouble",IF(Tableau2[[#This Row],[Moyennes]]&gt;=5,"Admis"," ")))</f>
        <v>Admis</v>
      </c>
      <c r="I733" s="486"/>
      <c r="J733" t="s">
        <v>663</v>
      </c>
      <c r="K733" s="17" t="s">
        <v>1184</v>
      </c>
      <c r="L733" s="64">
        <f>IF(AND(Tableau2[[#This Row],[CLASSE]]="CPU",Tableau2[[#This Row],[STATUT ]]="Admis"),1,0)</f>
        <v>1</v>
      </c>
      <c r="M733" s="64">
        <f>IF(AND(Tableau2[[#This Row],[CLASSE]]="CEU",Tableau2[[#This Row],[STATUT ]]="Admis"),1,0)</f>
        <v>0</v>
      </c>
      <c r="N733" s="64"/>
      <c r="O733" s="296"/>
      <c r="P7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34" spans="1:16" ht="21" x14ac:dyDescent="0.35">
      <c r="A734" s="310">
        <v>733</v>
      </c>
      <c r="B734" s="396" t="s">
        <v>2606</v>
      </c>
      <c r="C734" s="64" t="s">
        <v>2</v>
      </c>
      <c r="D734" s="295">
        <v>10</v>
      </c>
      <c r="E734" s="406">
        <v>9.1199999999999992</v>
      </c>
      <c r="F734" s="482" t="s">
        <v>2009</v>
      </c>
      <c r="G734" s="402" t="s">
        <v>2089</v>
      </c>
      <c r="H734" s="300" t="str">
        <f>IF(Tableau2[[#This Row],[Moyennes]]="Absent","Absent",IF(Tableau2[[#This Row],[Moyennes]]&lt;5,"Redouble",IF(Tableau2[[#This Row],[Moyennes]]&gt;=5,"Admis"," ")))</f>
        <v>Admis</v>
      </c>
      <c r="I734" s="486"/>
      <c r="J734" t="s">
        <v>663</v>
      </c>
      <c r="K734" s="17" t="s">
        <v>1184</v>
      </c>
      <c r="L734" s="64">
        <f>IF(AND(Tableau2[[#This Row],[CLASSE]]="CPU",Tableau2[[#This Row],[STATUT ]]="Admis"),1,0)</f>
        <v>1</v>
      </c>
      <c r="M734" s="64">
        <f>IF(AND(Tableau2[[#This Row],[CLASSE]]="CEU",Tableau2[[#This Row],[STATUT ]]="Admis"),1,0)</f>
        <v>0</v>
      </c>
      <c r="N734" s="64"/>
      <c r="O734" s="296"/>
      <c r="P7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5" spans="1:16" ht="21" x14ac:dyDescent="0.35">
      <c r="A735" s="310">
        <v>734</v>
      </c>
      <c r="B735" s="396" t="s">
        <v>2607</v>
      </c>
      <c r="C735" s="64" t="s">
        <v>2</v>
      </c>
      <c r="D735" s="295">
        <v>11</v>
      </c>
      <c r="E735" s="406">
        <v>9.75</v>
      </c>
      <c r="F735" s="482" t="s">
        <v>2009</v>
      </c>
      <c r="G735" s="396" t="s">
        <v>2044</v>
      </c>
      <c r="H735" s="300" t="str">
        <f>IF(Tableau2[[#This Row],[Moyennes]]="Absent","Absent",IF(Tableau2[[#This Row],[Moyennes]]&lt;5,"Redouble",IF(Tableau2[[#This Row],[Moyennes]]&gt;=5,"Admis"," ")))</f>
        <v>Admis</v>
      </c>
      <c r="J735" t="s">
        <v>663</v>
      </c>
      <c r="K735" s="17" t="s">
        <v>1184</v>
      </c>
      <c r="L735" s="64">
        <f>IF(AND(Tableau2[[#This Row],[CLASSE]]="CPU",Tableau2[[#This Row],[STATUT ]]="Admis"),1,0)</f>
        <v>1</v>
      </c>
      <c r="M735" s="64">
        <f>IF(AND(Tableau2[[#This Row],[CLASSE]]="CEU",Tableau2[[#This Row],[STATUT ]]="Admis"),1,0)</f>
        <v>0</v>
      </c>
      <c r="N735" s="64"/>
      <c r="O735" s="296"/>
      <c r="P7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6" spans="1:16" ht="21" x14ac:dyDescent="0.35">
      <c r="A736" s="310">
        <v>735</v>
      </c>
      <c r="B736" s="396" t="s">
        <v>2609</v>
      </c>
      <c r="C736" s="64" t="s">
        <v>2</v>
      </c>
      <c r="D736" s="295">
        <v>12</v>
      </c>
      <c r="E736" s="406">
        <v>8.25</v>
      </c>
      <c r="F736" s="482" t="s">
        <v>2009</v>
      </c>
      <c r="G736" s="396" t="s">
        <v>2033</v>
      </c>
      <c r="H736" s="300" t="str">
        <f>IF(Tableau2[[#This Row],[Moyennes]]="Absent","Absent",IF(Tableau2[[#This Row],[Moyennes]]&lt;5,"Redouble",IF(Tableau2[[#This Row],[Moyennes]]&gt;=5,"Admis"," ")))</f>
        <v>Admis</v>
      </c>
      <c r="J736" t="s">
        <v>663</v>
      </c>
      <c r="K736" s="17" t="s">
        <v>1184</v>
      </c>
      <c r="L736" s="64">
        <f>IF(AND(Tableau2[[#This Row],[CLASSE]]="CPU",Tableau2[[#This Row],[STATUT ]]="Admis"),1,0)</f>
        <v>1</v>
      </c>
      <c r="M736" s="64">
        <f>IF(AND(Tableau2[[#This Row],[CLASSE]]="CEU",Tableau2[[#This Row],[STATUT ]]="Admis"),1,0)</f>
        <v>0</v>
      </c>
      <c r="N736" s="64"/>
      <c r="O736" s="296"/>
      <c r="P7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37" spans="1:16" ht="21" x14ac:dyDescent="0.35">
      <c r="A737" s="310">
        <v>736</v>
      </c>
      <c r="B737" s="396" t="s">
        <v>2610</v>
      </c>
      <c r="C737" s="64" t="s">
        <v>2</v>
      </c>
      <c r="D737" s="295">
        <v>10</v>
      </c>
      <c r="E737" s="492" t="s">
        <v>2165</v>
      </c>
      <c r="F737" s="305" t="s">
        <v>2009</v>
      </c>
      <c r="G737" s="492" t="s">
        <v>2165</v>
      </c>
      <c r="H737" s="300" t="str">
        <f>IF(Tableau2[[#This Row],[Moyennes]]="Absent","Absent",IF(Tableau2[[#This Row],[Moyennes]]&lt;5,"Redouble",IF(Tableau2[[#This Row],[Moyennes]]&gt;=5,"Admis"," ")))</f>
        <v>Absent</v>
      </c>
      <c r="I737" s="17"/>
      <c r="J737" s="17" t="s">
        <v>663</v>
      </c>
      <c r="K737" s="17" t="s">
        <v>1184</v>
      </c>
      <c r="L737" s="64">
        <f>IF(AND(Tableau2[[#This Row],[CLASSE]]="CPU",Tableau2[[#This Row],[STATUT ]]="Admis"),1,0)</f>
        <v>0</v>
      </c>
      <c r="M737" s="64">
        <f>IF(AND(Tableau2[[#This Row],[CLASSE]]="CEU",Tableau2[[#This Row],[STATUT ]]="Admis"),1,0)</f>
        <v>0</v>
      </c>
      <c r="N737" s="64"/>
      <c r="O737" s="296"/>
      <c r="P7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738" spans="1:16" ht="21" x14ac:dyDescent="0.35">
      <c r="A738" s="310">
        <v>737</v>
      </c>
      <c r="B738" s="396" t="s">
        <v>2611</v>
      </c>
      <c r="C738" s="64" t="s">
        <v>2</v>
      </c>
      <c r="D738" s="295">
        <v>9</v>
      </c>
      <c r="E738" s="406">
        <v>5.37</v>
      </c>
      <c r="F738" s="482" t="s">
        <v>2009</v>
      </c>
      <c r="G738" s="396" t="s">
        <v>2046</v>
      </c>
      <c r="H738" s="300" t="str">
        <f>IF(Tableau2[[#This Row],[Moyennes]]="Absent","Absent",IF(Tableau2[[#This Row],[Moyennes]]&lt;5,"Redouble",IF(Tableau2[[#This Row],[Moyennes]]&gt;=5,"Admis"," ")))</f>
        <v>Admis</v>
      </c>
      <c r="J738" t="s">
        <v>663</v>
      </c>
      <c r="K738" s="17" t="s">
        <v>1184</v>
      </c>
      <c r="L738" s="64">
        <f>IF(AND(Tableau2[[#This Row],[CLASSE]]="CPU",Tableau2[[#This Row],[STATUT ]]="Admis"),1,0)</f>
        <v>1</v>
      </c>
      <c r="M738" s="64">
        <f>IF(AND(Tableau2[[#This Row],[CLASSE]]="CEU",Tableau2[[#This Row],[STATUT ]]="Admis"),1,0)</f>
        <v>0</v>
      </c>
      <c r="N738" s="64"/>
      <c r="O738" s="296"/>
      <c r="P7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39" spans="1:16" ht="21" x14ac:dyDescent="0.35">
      <c r="A739" s="310">
        <v>738</v>
      </c>
      <c r="B739" s="396" t="s">
        <v>2612</v>
      </c>
      <c r="C739" s="64" t="s">
        <v>1</v>
      </c>
      <c r="D739" s="295">
        <v>9</v>
      </c>
      <c r="E739" s="406">
        <v>1.37</v>
      </c>
      <c r="F739" s="482" t="s">
        <v>2009</v>
      </c>
      <c r="G739" s="396" t="s">
        <v>2040</v>
      </c>
      <c r="H739" s="300" t="str">
        <f>IF(Tableau2[[#This Row],[Moyennes]]="Absent","Absent",IF(Tableau2[[#This Row],[Moyennes]]&lt;5,"Redouble",IF(Tableau2[[#This Row],[Moyennes]]&gt;=5,"Admis"," ")))</f>
        <v>Redouble</v>
      </c>
      <c r="J739" t="s">
        <v>663</v>
      </c>
      <c r="K739" s="17" t="s">
        <v>1184</v>
      </c>
      <c r="L739" s="64">
        <f>IF(AND(Tableau2[[#This Row],[CLASSE]]="CPU",Tableau2[[#This Row],[STATUT ]]="Admis"),1,0)</f>
        <v>0</v>
      </c>
      <c r="M739" s="64">
        <f>IF(AND(Tableau2[[#This Row],[CLASSE]]="CEU",Tableau2[[#This Row],[STATUT ]]="Admis"),1,0)</f>
        <v>0</v>
      </c>
      <c r="N739" s="64"/>
      <c r="O739" s="296"/>
      <c r="P7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40" spans="1:16" ht="21" x14ac:dyDescent="0.35">
      <c r="A740" s="310">
        <v>739</v>
      </c>
      <c r="B740" s="396" t="s">
        <v>2613</v>
      </c>
      <c r="C740" s="64" t="s">
        <v>2</v>
      </c>
      <c r="D740" s="295">
        <v>9</v>
      </c>
      <c r="E740" s="406">
        <v>2.25</v>
      </c>
      <c r="F740" s="482" t="s">
        <v>2009</v>
      </c>
      <c r="G740" s="396" t="s">
        <v>2014</v>
      </c>
      <c r="H740" s="300" t="str">
        <f>IF(Tableau2[[#This Row],[Moyennes]]="Absent","Absent",IF(Tableau2[[#This Row],[Moyennes]]&lt;5,"Redouble",IF(Tableau2[[#This Row],[Moyennes]]&gt;=5,"Admis"," ")))</f>
        <v>Redouble</v>
      </c>
      <c r="J740" t="s">
        <v>663</v>
      </c>
      <c r="K740" s="17" t="s">
        <v>1184</v>
      </c>
      <c r="L740" s="64">
        <f>IF(AND(Tableau2[[#This Row],[CLASSE]]="CPU",Tableau2[[#This Row],[STATUT ]]="Admis"),1,0)</f>
        <v>0</v>
      </c>
      <c r="M740" s="64">
        <f>IF(AND(Tableau2[[#This Row],[CLASSE]]="CEU",Tableau2[[#This Row],[STATUT ]]="Admis"),1,0)</f>
        <v>0</v>
      </c>
      <c r="N740" s="64"/>
      <c r="O740" s="296"/>
      <c r="P7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41" spans="1:16" ht="21" x14ac:dyDescent="0.35">
      <c r="A741" s="310">
        <v>740</v>
      </c>
      <c r="B741" s="396" t="s">
        <v>3495</v>
      </c>
      <c r="C741" s="64" t="s">
        <v>2</v>
      </c>
      <c r="D741" s="295">
        <v>9</v>
      </c>
      <c r="E741" s="492" t="s">
        <v>2165</v>
      </c>
      <c r="F741" s="305" t="s">
        <v>2009</v>
      </c>
      <c r="G741" s="492" t="s">
        <v>2165</v>
      </c>
      <c r="H741" s="300" t="str">
        <f>IF(Tableau2[[#This Row],[Moyennes]]="Absent","Absent",IF(Tableau2[[#This Row],[Moyennes]]&lt;5,"Redouble",IF(Tableau2[[#This Row],[Moyennes]]&gt;=5,"Admis"," ")))</f>
        <v>Absent</v>
      </c>
      <c r="I741" s="17"/>
      <c r="J741" s="17" t="s">
        <v>663</v>
      </c>
      <c r="K741" s="17" t="s">
        <v>1184</v>
      </c>
      <c r="L741" s="64">
        <f>IF(AND(Tableau2[[#This Row],[CLASSE]]="CPU",Tableau2[[#This Row],[STATUT ]]="Admis"),1,0)</f>
        <v>0</v>
      </c>
      <c r="M741" s="64">
        <f>IF(AND(Tableau2[[#This Row],[CLASSE]]="CEU",Tableau2[[#This Row],[STATUT ]]="Admis"),1,0)</f>
        <v>0</v>
      </c>
      <c r="N741" s="64"/>
      <c r="O741" s="296"/>
      <c r="P7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742" spans="1:16" ht="21" x14ac:dyDescent="0.35">
      <c r="A742" s="310">
        <v>741</v>
      </c>
      <c r="B742" s="396" t="s">
        <v>2614</v>
      </c>
      <c r="C742" s="64" t="s">
        <v>2</v>
      </c>
      <c r="D742" s="295">
        <v>12</v>
      </c>
      <c r="E742" s="406">
        <v>10</v>
      </c>
      <c r="F742" s="482" t="s">
        <v>2009</v>
      </c>
      <c r="G742" s="396" t="s">
        <v>3496</v>
      </c>
      <c r="H742" s="300" t="str">
        <f>IF(Tableau2[[#This Row],[Moyennes]]="Absent","Absent",IF(Tableau2[[#This Row],[Moyennes]]&lt;5,"Redouble",IF(Tableau2[[#This Row],[Moyennes]]&gt;=5,"Admis"," ")))</f>
        <v>Admis</v>
      </c>
      <c r="J742" t="s">
        <v>663</v>
      </c>
      <c r="K742" s="17" t="s">
        <v>1184</v>
      </c>
      <c r="L742" s="64">
        <f>IF(AND(Tableau2[[#This Row],[CLASSE]]="CPU",Tableau2[[#This Row],[STATUT ]]="Admis"),1,0)</f>
        <v>1</v>
      </c>
      <c r="M742" s="64">
        <f>IF(AND(Tableau2[[#This Row],[CLASSE]]="CEU",Tableau2[[#This Row],[STATUT ]]="Admis"),1,0)</f>
        <v>0</v>
      </c>
      <c r="N742" s="64"/>
      <c r="O742" s="296"/>
      <c r="P7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43" spans="1:16" ht="21" x14ac:dyDescent="0.35">
      <c r="A743" s="310">
        <v>742</v>
      </c>
      <c r="B743" s="396" t="s">
        <v>1698</v>
      </c>
      <c r="C743" s="64" t="s">
        <v>2</v>
      </c>
      <c r="D743" s="295">
        <v>12</v>
      </c>
      <c r="E743" s="406">
        <v>7.5</v>
      </c>
      <c r="F743" s="482" t="s">
        <v>2009</v>
      </c>
      <c r="G743" s="396" t="s">
        <v>2042</v>
      </c>
      <c r="H743" s="300" t="str">
        <f>IF(Tableau2[[#This Row],[Moyennes]]="Absent","Absent",IF(Tableau2[[#This Row],[Moyennes]]&lt;5,"Redouble",IF(Tableau2[[#This Row],[Moyennes]]&gt;=5,"Admis"," ")))</f>
        <v>Admis</v>
      </c>
      <c r="J743" t="s">
        <v>663</v>
      </c>
      <c r="K743" s="17" t="s">
        <v>1184</v>
      </c>
      <c r="L743" s="64">
        <f>IF(AND(Tableau2[[#This Row],[CLASSE]]="CPU",Tableau2[[#This Row],[STATUT ]]="Admis"),1,0)</f>
        <v>1</v>
      </c>
      <c r="M743" s="64">
        <f>IF(AND(Tableau2[[#This Row],[CLASSE]]="CEU",Tableau2[[#This Row],[STATUT ]]="Admis"),1,0)</f>
        <v>0</v>
      </c>
      <c r="N743" s="64"/>
      <c r="O743" s="296"/>
      <c r="P7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44" spans="1:16" ht="21" x14ac:dyDescent="0.35">
      <c r="A744" s="310">
        <v>743</v>
      </c>
      <c r="B744" s="396" t="s">
        <v>464</v>
      </c>
      <c r="C744" s="64" t="s">
        <v>2</v>
      </c>
      <c r="D744" s="295">
        <v>13</v>
      </c>
      <c r="E744" s="406">
        <v>7.75</v>
      </c>
      <c r="F744" s="482" t="s">
        <v>2009</v>
      </c>
      <c r="G744" s="396" t="s">
        <v>3497</v>
      </c>
      <c r="H744" s="300" t="str">
        <f>IF(Tableau2[[#This Row],[Moyennes]]="Absent","Absent",IF(Tableau2[[#This Row],[Moyennes]]&lt;5,"Redouble",IF(Tableau2[[#This Row],[Moyennes]]&gt;=5,"Admis"," ")))</f>
        <v>Admis</v>
      </c>
      <c r="J744" t="s">
        <v>663</v>
      </c>
      <c r="K744" s="17" t="s">
        <v>1184</v>
      </c>
      <c r="L744" s="64">
        <f>IF(AND(Tableau2[[#This Row],[CLASSE]]="CPU",Tableau2[[#This Row],[STATUT ]]="Admis"),1,0)</f>
        <v>1</v>
      </c>
      <c r="M744" s="64">
        <f>IF(AND(Tableau2[[#This Row],[CLASSE]]="CEU",Tableau2[[#This Row],[STATUT ]]="Admis"),1,0)</f>
        <v>0</v>
      </c>
      <c r="N744" s="64"/>
      <c r="O744" s="296"/>
      <c r="P7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45" spans="1:16" ht="21" x14ac:dyDescent="0.35">
      <c r="A745" s="310">
        <v>744</v>
      </c>
      <c r="B745" s="396" t="s">
        <v>2615</v>
      </c>
      <c r="C745" s="64" t="s">
        <v>1</v>
      </c>
      <c r="D745" s="295">
        <v>12</v>
      </c>
      <c r="E745" s="406">
        <v>9.8699999999999992</v>
      </c>
      <c r="F745" s="482" t="s">
        <v>2009</v>
      </c>
      <c r="G745" s="396" t="s">
        <v>2012</v>
      </c>
      <c r="H745" s="300" t="str">
        <f>IF(Tableau2[[#This Row],[Moyennes]]="Absent","Absent",IF(Tableau2[[#This Row],[Moyennes]]&lt;5,"Redouble",IF(Tableau2[[#This Row],[Moyennes]]&gt;=5,"Admis"," ")))</f>
        <v>Admis</v>
      </c>
      <c r="J745" t="s">
        <v>663</v>
      </c>
      <c r="K745" s="17" t="s">
        <v>1184</v>
      </c>
      <c r="L745" s="64">
        <f>IF(AND(Tableau2[[#This Row],[CLASSE]]="CPU",Tableau2[[#This Row],[STATUT ]]="Admis"),1,0)</f>
        <v>1</v>
      </c>
      <c r="M745" s="64">
        <f>IF(AND(Tableau2[[#This Row],[CLASSE]]="CEU",Tableau2[[#This Row],[STATUT ]]="Admis"),1,0)</f>
        <v>0</v>
      </c>
      <c r="N745" s="64"/>
      <c r="O745" s="296"/>
      <c r="P7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46" spans="1:16" ht="21" x14ac:dyDescent="0.35">
      <c r="A746" s="310">
        <v>745</v>
      </c>
      <c r="B746" s="396" t="s">
        <v>2616</v>
      </c>
      <c r="C746" s="64" t="s">
        <v>1</v>
      </c>
      <c r="D746" s="295">
        <v>9</v>
      </c>
      <c r="E746" s="406">
        <v>1.37</v>
      </c>
      <c r="F746" s="482" t="s">
        <v>2009</v>
      </c>
      <c r="G746" s="396" t="s">
        <v>2040</v>
      </c>
      <c r="H746" s="300" t="str">
        <f>IF(Tableau2[[#This Row],[Moyennes]]="Absent","Absent",IF(Tableau2[[#This Row],[Moyennes]]&lt;5,"Redouble",IF(Tableau2[[#This Row],[Moyennes]]&gt;=5,"Admis"," ")))</f>
        <v>Redouble</v>
      </c>
      <c r="J746" t="s">
        <v>663</v>
      </c>
      <c r="K746" s="17" t="s">
        <v>1184</v>
      </c>
      <c r="L746" s="64">
        <f>IF(AND(Tableau2[[#This Row],[CLASSE]]="CPU",Tableau2[[#This Row],[STATUT ]]="Admis"),1,0)</f>
        <v>0</v>
      </c>
      <c r="M746" s="64">
        <f>IF(AND(Tableau2[[#This Row],[CLASSE]]="CEU",Tableau2[[#This Row],[STATUT ]]="Admis"),1,0)</f>
        <v>0</v>
      </c>
      <c r="N746" s="64"/>
      <c r="O746" s="296"/>
      <c r="P7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47" spans="1:16" ht="21" x14ac:dyDescent="0.35">
      <c r="A747" s="310">
        <v>746</v>
      </c>
      <c r="B747" s="396" t="s">
        <v>2617</v>
      </c>
      <c r="C747" s="64" t="s">
        <v>1</v>
      </c>
      <c r="D747" s="295">
        <v>11</v>
      </c>
      <c r="E747" s="492" t="s">
        <v>2165</v>
      </c>
      <c r="F747" s="305" t="s">
        <v>2009</v>
      </c>
      <c r="G747" s="492" t="s">
        <v>2165</v>
      </c>
      <c r="H747" s="300" t="str">
        <f>IF(Tableau2[[#This Row],[Moyennes]]="Absent","Absent",IF(Tableau2[[#This Row],[Moyennes]]&lt;5,"Redouble",IF(Tableau2[[#This Row],[Moyennes]]&gt;=5,"Admis"," ")))</f>
        <v>Absent</v>
      </c>
      <c r="I747" s="17"/>
      <c r="J747" s="17" t="s">
        <v>663</v>
      </c>
      <c r="K747" s="17" t="s">
        <v>1184</v>
      </c>
      <c r="L747" s="64">
        <f>IF(AND(Tableau2[[#This Row],[CLASSE]]="CPU",Tableau2[[#This Row],[STATUT ]]="Admis"),1,0)</f>
        <v>0</v>
      </c>
      <c r="M747" s="64">
        <f>IF(AND(Tableau2[[#This Row],[CLASSE]]="CEU",Tableau2[[#This Row],[STATUT ]]="Admis"),1,0)</f>
        <v>0</v>
      </c>
      <c r="N747" s="64"/>
      <c r="O747" s="296"/>
      <c r="P7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748" spans="1:16" ht="21" x14ac:dyDescent="0.35">
      <c r="A748" s="310">
        <v>747</v>
      </c>
      <c r="B748" s="396" t="s">
        <v>2618</v>
      </c>
      <c r="C748" s="64" t="s">
        <v>2</v>
      </c>
      <c r="D748" s="295">
        <v>9</v>
      </c>
      <c r="E748" s="492" t="s">
        <v>2165</v>
      </c>
      <c r="F748" s="305" t="s">
        <v>2009</v>
      </c>
      <c r="G748" s="492" t="s">
        <v>2165</v>
      </c>
      <c r="H748" s="300" t="str">
        <f>IF(Tableau2[[#This Row],[Moyennes]]="Absent","Absent",IF(Tableau2[[#This Row],[Moyennes]]&lt;5,"Redouble",IF(Tableau2[[#This Row],[Moyennes]]&gt;=5,"Admis"," ")))</f>
        <v>Absent</v>
      </c>
      <c r="I748" s="17"/>
      <c r="J748" s="17" t="s">
        <v>663</v>
      </c>
      <c r="K748" s="17" t="s">
        <v>1184</v>
      </c>
      <c r="L748" s="64">
        <f>IF(AND(Tableau2[[#This Row],[CLASSE]]="CPU",Tableau2[[#This Row],[STATUT ]]="Admis"),1,0)</f>
        <v>0</v>
      </c>
      <c r="M748" s="64">
        <f>IF(AND(Tableau2[[#This Row],[CLASSE]]="CEU",Tableau2[[#This Row],[STATUT ]]="Admis"),1,0)</f>
        <v>0</v>
      </c>
      <c r="N748" s="64"/>
      <c r="O748" s="296"/>
      <c r="P7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749" spans="1:16" ht="21" x14ac:dyDescent="0.35">
      <c r="A749" s="310">
        <v>748</v>
      </c>
      <c r="B749" s="396" t="s">
        <v>2619</v>
      </c>
      <c r="C749" s="64" t="s">
        <v>2</v>
      </c>
      <c r="D749" s="295">
        <v>10</v>
      </c>
      <c r="E749" s="406">
        <v>5.25</v>
      </c>
      <c r="F749" s="482" t="s">
        <v>2009</v>
      </c>
      <c r="G749" s="396" t="s">
        <v>2030</v>
      </c>
      <c r="H749" s="300" t="str">
        <f>IF(Tableau2[[#This Row],[Moyennes]]="Absent","Absent",IF(Tableau2[[#This Row],[Moyennes]]&lt;5,"Redouble",IF(Tableau2[[#This Row],[Moyennes]]&gt;=5,"Admis"," ")))</f>
        <v>Admis</v>
      </c>
      <c r="J749" t="s">
        <v>663</v>
      </c>
      <c r="K749" s="17" t="s">
        <v>1184</v>
      </c>
      <c r="L749" s="64">
        <f>IF(AND(Tableau2[[#This Row],[CLASSE]]="CPU",Tableau2[[#This Row],[STATUT ]]="Admis"),1,0)</f>
        <v>1</v>
      </c>
      <c r="M749" s="64">
        <f>IF(AND(Tableau2[[#This Row],[CLASSE]]="CEU",Tableau2[[#This Row],[STATUT ]]="Admis"),1,0)</f>
        <v>0</v>
      </c>
      <c r="N749" s="64"/>
      <c r="O749" s="296"/>
      <c r="P7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0" spans="1:16" ht="21" x14ac:dyDescent="0.35">
      <c r="A750" s="310">
        <v>749</v>
      </c>
      <c r="B750" s="396" t="s">
        <v>2620</v>
      </c>
      <c r="C750" s="64" t="s">
        <v>2</v>
      </c>
      <c r="D750" s="295">
        <v>9</v>
      </c>
      <c r="E750" s="406">
        <v>1.25</v>
      </c>
      <c r="F750" s="482" t="s">
        <v>2009</v>
      </c>
      <c r="G750" s="396" t="s">
        <v>2053</v>
      </c>
      <c r="H750" s="300" t="str">
        <f>IF(Tableau2[[#This Row],[Moyennes]]="Absent","Absent",IF(Tableau2[[#This Row],[Moyennes]]&lt;5,"Redouble",IF(Tableau2[[#This Row],[Moyennes]]&gt;=5,"Admis"," ")))</f>
        <v>Redouble</v>
      </c>
      <c r="J750" t="s">
        <v>663</v>
      </c>
      <c r="K750" s="17" t="s">
        <v>1184</v>
      </c>
      <c r="L750" s="64">
        <f>IF(AND(Tableau2[[#This Row],[CLASSE]]="CPU",Tableau2[[#This Row],[STATUT ]]="Admis"),1,0)</f>
        <v>0</v>
      </c>
      <c r="M750" s="64">
        <f>IF(AND(Tableau2[[#This Row],[CLASSE]]="CEU",Tableau2[[#This Row],[STATUT ]]="Admis"),1,0)</f>
        <v>0</v>
      </c>
      <c r="N750" s="64"/>
      <c r="O750" s="296"/>
      <c r="P7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51" spans="1:16" ht="21" x14ac:dyDescent="0.35">
      <c r="A751" s="310">
        <v>750</v>
      </c>
      <c r="B751" s="396" t="s">
        <v>2621</v>
      </c>
      <c r="C751" s="64" t="s">
        <v>2</v>
      </c>
      <c r="D751" s="295">
        <v>10</v>
      </c>
      <c r="E751" s="406">
        <v>7.87</v>
      </c>
      <c r="F751" s="482" t="s">
        <v>2009</v>
      </c>
      <c r="G751" s="396" t="s">
        <v>2016</v>
      </c>
      <c r="H751" s="300" t="str">
        <f>IF(Tableau2[[#This Row],[Moyennes]]="Absent","Absent",IF(Tableau2[[#This Row],[Moyennes]]&lt;5,"Redouble",IF(Tableau2[[#This Row],[Moyennes]]&gt;=5,"Admis"," ")))</f>
        <v>Admis</v>
      </c>
      <c r="J751" t="s">
        <v>663</v>
      </c>
      <c r="K751" s="17" t="s">
        <v>1184</v>
      </c>
      <c r="L751" s="64">
        <f>IF(AND(Tableau2[[#This Row],[CLASSE]]="CPU",Tableau2[[#This Row],[STATUT ]]="Admis"),1,0)</f>
        <v>1</v>
      </c>
      <c r="M751" s="64">
        <f>IF(AND(Tableau2[[#This Row],[CLASSE]]="CEU",Tableau2[[#This Row],[STATUT ]]="Admis"),1,0)</f>
        <v>0</v>
      </c>
      <c r="N751" s="64"/>
      <c r="O751" s="296"/>
      <c r="P7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2" spans="1:16" ht="21" x14ac:dyDescent="0.35">
      <c r="A752" s="310">
        <v>751</v>
      </c>
      <c r="B752" s="396" t="s">
        <v>2622</v>
      </c>
      <c r="C752" s="64" t="s">
        <v>2</v>
      </c>
      <c r="D752" s="295">
        <v>9</v>
      </c>
      <c r="E752" s="406">
        <v>5.62</v>
      </c>
      <c r="F752" s="482" t="s">
        <v>2009</v>
      </c>
      <c r="G752" s="396" t="s">
        <v>2025</v>
      </c>
      <c r="H752" s="300" t="str">
        <f>IF(Tableau2[[#This Row],[Moyennes]]="Absent","Absent",IF(Tableau2[[#This Row],[Moyennes]]&lt;5,"Redouble",IF(Tableau2[[#This Row],[Moyennes]]&gt;=5,"Admis"," ")))</f>
        <v>Admis</v>
      </c>
      <c r="J752" t="s">
        <v>663</v>
      </c>
      <c r="K752" s="17" t="s">
        <v>1184</v>
      </c>
      <c r="L752" s="64">
        <f>IF(AND(Tableau2[[#This Row],[CLASSE]]="CPU",Tableau2[[#This Row],[STATUT ]]="Admis"),1,0)</f>
        <v>1</v>
      </c>
      <c r="M752" s="64">
        <f>IF(AND(Tableau2[[#This Row],[CLASSE]]="CEU",Tableau2[[#This Row],[STATUT ]]="Admis"),1,0)</f>
        <v>0</v>
      </c>
      <c r="N752" s="64"/>
      <c r="O752" s="296"/>
      <c r="P7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3" spans="1:16" ht="21" x14ac:dyDescent="0.35">
      <c r="A753" s="310">
        <v>752</v>
      </c>
      <c r="B753" s="396" t="s">
        <v>2623</v>
      </c>
      <c r="C753" s="64" t="s">
        <v>1</v>
      </c>
      <c r="D753" s="295">
        <v>9</v>
      </c>
      <c r="E753" s="406">
        <v>5</v>
      </c>
      <c r="F753" s="482" t="s">
        <v>2009</v>
      </c>
      <c r="G753" s="396" t="s">
        <v>2066</v>
      </c>
      <c r="H753" s="300" t="str">
        <f>IF(Tableau2[[#This Row],[Moyennes]]="Absent","Absent",IF(Tableau2[[#This Row],[Moyennes]]&lt;5,"Redouble",IF(Tableau2[[#This Row],[Moyennes]]&gt;=5,"Admis"," ")))</f>
        <v>Admis</v>
      </c>
      <c r="J753" t="s">
        <v>663</v>
      </c>
      <c r="K753" s="17" t="s">
        <v>1184</v>
      </c>
      <c r="L753" s="64">
        <f>IF(AND(Tableau2[[#This Row],[CLASSE]]="CPU",Tableau2[[#This Row],[STATUT ]]="Admis"),1,0)</f>
        <v>1</v>
      </c>
      <c r="M753" s="64">
        <f>IF(AND(Tableau2[[#This Row],[CLASSE]]="CEU",Tableau2[[#This Row],[STATUT ]]="Admis"),1,0)</f>
        <v>0</v>
      </c>
      <c r="N753" s="64"/>
      <c r="O753" s="296"/>
      <c r="P7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4" spans="1:16" ht="21" x14ac:dyDescent="0.35">
      <c r="A754" s="310">
        <v>753</v>
      </c>
      <c r="B754" s="396" t="s">
        <v>2624</v>
      </c>
      <c r="C754" s="64" t="s">
        <v>1</v>
      </c>
      <c r="D754" s="295">
        <v>12</v>
      </c>
      <c r="E754" s="406">
        <v>10</v>
      </c>
      <c r="F754" s="482" t="s">
        <v>2009</v>
      </c>
      <c r="G754" s="396" t="s">
        <v>2035</v>
      </c>
      <c r="H754" s="300" t="str">
        <f>IF(Tableau2[[#This Row],[Moyennes]]="Absent","Absent",IF(Tableau2[[#This Row],[Moyennes]]&lt;5,"Redouble",IF(Tableau2[[#This Row],[Moyennes]]&gt;=5,"Admis"," ")))</f>
        <v>Admis</v>
      </c>
      <c r="J754" t="s">
        <v>663</v>
      </c>
      <c r="K754" s="17" t="s">
        <v>1184</v>
      </c>
      <c r="L754" s="64">
        <f>IF(AND(Tableau2[[#This Row],[CLASSE]]="CPU",Tableau2[[#This Row],[STATUT ]]="Admis"),1,0)</f>
        <v>1</v>
      </c>
      <c r="M754" s="64">
        <f>IF(AND(Tableau2[[#This Row],[CLASSE]]="CEU",Tableau2[[#This Row],[STATUT ]]="Admis"),1,0)</f>
        <v>0</v>
      </c>
      <c r="N754" s="64"/>
      <c r="O754" s="296"/>
      <c r="P7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55" spans="1:16" ht="21" x14ac:dyDescent="0.35">
      <c r="A755" s="310">
        <v>754</v>
      </c>
      <c r="B755" s="396" t="s">
        <v>2625</v>
      </c>
      <c r="C755" s="64" t="s">
        <v>1</v>
      </c>
      <c r="D755" s="295">
        <v>12</v>
      </c>
      <c r="E755" s="406">
        <v>2.37</v>
      </c>
      <c r="F755" s="482" t="s">
        <v>2009</v>
      </c>
      <c r="G755" s="396" t="s">
        <v>2037</v>
      </c>
      <c r="H755" s="300" t="str">
        <f>IF(Tableau2[[#This Row],[Moyennes]]="Absent","Absent",IF(Tableau2[[#This Row],[Moyennes]]&lt;5,"Redouble",IF(Tableau2[[#This Row],[Moyennes]]&gt;=5,"Admis"," ")))</f>
        <v>Redouble</v>
      </c>
      <c r="J755" t="s">
        <v>663</v>
      </c>
      <c r="K755" s="17" t="s">
        <v>1184</v>
      </c>
      <c r="L755" s="64">
        <f>IF(AND(Tableau2[[#This Row],[CLASSE]]="CPU",Tableau2[[#This Row],[STATUT ]]="Admis"),1,0)</f>
        <v>0</v>
      </c>
      <c r="M755" s="64">
        <f>IF(AND(Tableau2[[#This Row],[CLASSE]]="CEU",Tableau2[[#This Row],[STATUT ]]="Admis"),1,0)</f>
        <v>0</v>
      </c>
      <c r="N755" s="64"/>
      <c r="O755" s="296"/>
      <c r="P7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6" spans="1:16" ht="21" x14ac:dyDescent="0.35">
      <c r="A756" s="310">
        <v>755</v>
      </c>
      <c r="B756" s="396" t="s">
        <v>2626</v>
      </c>
      <c r="C756" s="64" t="s">
        <v>1</v>
      </c>
      <c r="D756" s="295">
        <v>10</v>
      </c>
      <c r="E756" s="406">
        <v>10</v>
      </c>
      <c r="F756" s="482" t="s">
        <v>2009</v>
      </c>
      <c r="G756" s="396" t="s">
        <v>2442</v>
      </c>
      <c r="H756" s="300" t="str">
        <f>IF(Tableau2[[#This Row],[Moyennes]]="Absent","Absent",IF(Tableau2[[#This Row],[Moyennes]]&lt;5,"Redouble",IF(Tableau2[[#This Row],[Moyennes]]&gt;=5,"Admis"," ")))</f>
        <v>Admis</v>
      </c>
      <c r="J756" t="s">
        <v>663</v>
      </c>
      <c r="K756" s="17" t="s">
        <v>1184</v>
      </c>
      <c r="L756" s="64">
        <f>IF(AND(Tableau2[[#This Row],[CLASSE]]="CPU",Tableau2[[#This Row],[STATUT ]]="Admis"),1,0)</f>
        <v>1</v>
      </c>
      <c r="M756" s="64">
        <f>IF(AND(Tableau2[[#This Row],[CLASSE]]="CEU",Tableau2[[#This Row],[STATUT ]]="Admis"),1,0)</f>
        <v>0</v>
      </c>
      <c r="N756" s="64"/>
      <c r="O756" s="296"/>
      <c r="P7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7" spans="1:16" ht="21" x14ac:dyDescent="0.35">
      <c r="A757" s="310">
        <v>756</v>
      </c>
      <c r="B757" s="396" t="s">
        <v>2627</v>
      </c>
      <c r="C757" s="64" t="s">
        <v>2</v>
      </c>
      <c r="D757" s="295">
        <v>9</v>
      </c>
      <c r="E757" s="406">
        <v>9.8699999999999992</v>
      </c>
      <c r="F757" s="482" t="s">
        <v>2009</v>
      </c>
      <c r="G757" s="396" t="s">
        <v>2608</v>
      </c>
      <c r="H757" s="300" t="str">
        <f>IF(Tableau2[[#This Row],[Moyennes]]="Absent","Absent",IF(Tableau2[[#This Row],[Moyennes]]&lt;5,"Redouble",IF(Tableau2[[#This Row],[Moyennes]]&gt;=5,"Admis"," ")))</f>
        <v>Admis</v>
      </c>
      <c r="J757" t="s">
        <v>663</v>
      </c>
      <c r="K757" s="17" t="s">
        <v>1184</v>
      </c>
      <c r="L757" s="64">
        <f>IF(AND(Tableau2[[#This Row],[CLASSE]]="CPU",Tableau2[[#This Row],[STATUT ]]="Admis"),1,0)</f>
        <v>1</v>
      </c>
      <c r="M757" s="64">
        <f>IF(AND(Tableau2[[#This Row],[CLASSE]]="CEU",Tableau2[[#This Row],[STATUT ]]="Admis"),1,0)</f>
        <v>0</v>
      </c>
      <c r="N757" s="64"/>
      <c r="O757" s="296"/>
      <c r="P75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58" spans="1:16" ht="21" x14ac:dyDescent="0.35">
      <c r="A758" s="310">
        <v>757</v>
      </c>
      <c r="B758" s="396" t="s">
        <v>2628</v>
      </c>
      <c r="C758" s="64" t="s">
        <v>1</v>
      </c>
      <c r="D758" s="295">
        <v>9</v>
      </c>
      <c r="E758" s="406">
        <v>0.75</v>
      </c>
      <c r="F758" s="482" t="s">
        <v>2009</v>
      </c>
      <c r="G758" s="396" t="s">
        <v>2051</v>
      </c>
      <c r="H758" s="300" t="str">
        <f>IF(Tableau2[[#This Row],[Moyennes]]="Absent","Absent",IF(Tableau2[[#This Row],[Moyennes]]&lt;5,"Redouble",IF(Tableau2[[#This Row],[Moyennes]]&gt;=5,"Admis"," ")))</f>
        <v>Redouble</v>
      </c>
      <c r="J758" t="s">
        <v>663</v>
      </c>
      <c r="K758" s="17" t="s">
        <v>1184</v>
      </c>
      <c r="L758" s="64">
        <f>IF(AND(Tableau2[[#This Row],[CLASSE]]="CPU",Tableau2[[#This Row],[STATUT ]]="Admis"),1,0)</f>
        <v>0</v>
      </c>
      <c r="M758" s="64">
        <f>IF(AND(Tableau2[[#This Row],[CLASSE]]="CEU",Tableau2[[#This Row],[STATUT ]]="Admis"),1,0)</f>
        <v>0</v>
      </c>
      <c r="N758" s="64"/>
      <c r="O758" s="296"/>
      <c r="P75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59" spans="1:16" ht="21" x14ac:dyDescent="0.35">
      <c r="A759" s="310">
        <v>758</v>
      </c>
      <c r="B759" s="396" t="s">
        <v>2629</v>
      </c>
      <c r="C759" s="64" t="s">
        <v>1</v>
      </c>
      <c r="D759" s="295">
        <v>13</v>
      </c>
      <c r="E759" s="406">
        <v>9.6199999999999992</v>
      </c>
      <c r="F759" s="482" t="s">
        <v>2009</v>
      </c>
      <c r="G759" s="401" t="s">
        <v>3498</v>
      </c>
      <c r="H759" s="300" t="str">
        <f>IF(Tableau2[[#This Row],[Moyennes]]="Absent","Absent",IF(Tableau2[[#This Row],[Moyennes]]&lt;5,"Redouble",IF(Tableau2[[#This Row],[Moyennes]]&gt;=5,"Admis"," ")))</f>
        <v>Admis</v>
      </c>
      <c r="I759" s="487"/>
      <c r="J759" t="s">
        <v>663</v>
      </c>
      <c r="K759" t="s">
        <v>2652</v>
      </c>
      <c r="L759" s="64">
        <f>IF(AND(Tableau2[[#This Row],[CLASSE]]="CPU",Tableau2[[#This Row],[STATUT ]]="Admis"),1,0)</f>
        <v>1</v>
      </c>
      <c r="M759" s="64">
        <f>IF(AND(Tableau2[[#This Row],[CLASSE]]="CEU",Tableau2[[#This Row],[STATUT ]]="Admis"),1,0)</f>
        <v>0</v>
      </c>
      <c r="N759" s="64"/>
      <c r="O759" s="296"/>
      <c r="P75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60" spans="1:16" ht="21" x14ac:dyDescent="0.35">
      <c r="A760" s="310">
        <v>759</v>
      </c>
      <c r="B760" s="396" t="s">
        <v>2630</v>
      </c>
      <c r="C760" s="64" t="s">
        <v>1</v>
      </c>
      <c r="D760" s="295">
        <v>9</v>
      </c>
      <c r="E760" s="406">
        <v>9.3699999999999992</v>
      </c>
      <c r="F760" s="482" t="s">
        <v>2009</v>
      </c>
      <c r="G760" s="401" t="s">
        <v>2012</v>
      </c>
      <c r="H760" s="300" t="str">
        <f>IF(Tableau2[[#This Row],[Moyennes]]="Absent","Absent",IF(Tableau2[[#This Row],[Moyennes]]&lt;5,"Redouble",IF(Tableau2[[#This Row],[Moyennes]]&gt;=5,"Admis"," ")))</f>
        <v>Admis</v>
      </c>
      <c r="I760" s="487"/>
      <c r="J760" t="s">
        <v>663</v>
      </c>
      <c r="K760" t="s">
        <v>2652</v>
      </c>
      <c r="L760" s="64">
        <f>IF(AND(Tableau2[[#This Row],[CLASSE]]="CPU",Tableau2[[#This Row],[STATUT ]]="Admis"),1,0)</f>
        <v>1</v>
      </c>
      <c r="M760" s="64">
        <f>IF(AND(Tableau2[[#This Row],[CLASSE]]="CEU",Tableau2[[#This Row],[STATUT ]]="Admis"),1,0)</f>
        <v>0</v>
      </c>
      <c r="N760" s="64"/>
      <c r="O760" s="296"/>
      <c r="P76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1" spans="1:16" ht="21" x14ac:dyDescent="0.35">
      <c r="A761" s="310">
        <v>760</v>
      </c>
      <c r="B761" s="396" t="s">
        <v>2631</v>
      </c>
      <c r="C761" s="64" t="s">
        <v>2</v>
      </c>
      <c r="D761" s="295">
        <v>9</v>
      </c>
      <c r="E761" s="406">
        <v>9.1199999999999992</v>
      </c>
      <c r="F761" s="482" t="s">
        <v>2009</v>
      </c>
      <c r="G761" s="402" t="s">
        <v>2044</v>
      </c>
      <c r="H761" s="300" t="str">
        <f>IF(Tableau2[[#This Row],[Moyennes]]="Absent","Absent",IF(Tableau2[[#This Row],[Moyennes]]&lt;5,"Redouble",IF(Tableau2[[#This Row],[Moyennes]]&gt;=5,"Admis"," ")))</f>
        <v>Admis</v>
      </c>
      <c r="I761" s="486"/>
      <c r="J761" t="s">
        <v>663</v>
      </c>
      <c r="K761" t="s">
        <v>2652</v>
      </c>
      <c r="L761" s="64">
        <f>IF(AND(Tableau2[[#This Row],[CLASSE]]="CPU",Tableau2[[#This Row],[STATUT ]]="Admis"),1,0)</f>
        <v>1</v>
      </c>
      <c r="M761" s="64">
        <f>IF(AND(Tableau2[[#This Row],[CLASSE]]="CEU",Tableau2[[#This Row],[STATUT ]]="Admis"),1,0)</f>
        <v>0</v>
      </c>
      <c r="N761" s="64"/>
      <c r="O761" s="296"/>
      <c r="P76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2" spans="1:16" ht="21" x14ac:dyDescent="0.35">
      <c r="A762" s="310">
        <v>761</v>
      </c>
      <c r="B762" s="396" t="s">
        <v>2632</v>
      </c>
      <c r="C762" s="64" t="s">
        <v>1</v>
      </c>
      <c r="D762" s="295">
        <v>10</v>
      </c>
      <c r="E762" s="406">
        <v>9.6199999999999992</v>
      </c>
      <c r="F762" s="482" t="s">
        <v>2009</v>
      </c>
      <c r="G762" s="402" t="s">
        <v>3498</v>
      </c>
      <c r="H762" s="300" t="str">
        <f>IF(Tableau2[[#This Row],[Moyennes]]="Absent","Absent",IF(Tableau2[[#This Row],[Moyennes]]&lt;5,"Redouble",IF(Tableau2[[#This Row],[Moyennes]]&gt;=5,"Admis"," ")))</f>
        <v>Admis</v>
      </c>
      <c r="I762" s="486"/>
      <c r="J762" t="s">
        <v>663</v>
      </c>
      <c r="K762" t="s">
        <v>2652</v>
      </c>
      <c r="L762" s="64">
        <f>IF(AND(Tableau2[[#This Row],[CLASSE]]="CPU",Tableau2[[#This Row],[STATUT ]]="Admis"),1,0)</f>
        <v>1</v>
      </c>
      <c r="M762" s="64">
        <f>IF(AND(Tableau2[[#This Row],[CLASSE]]="CEU",Tableau2[[#This Row],[STATUT ]]="Admis"),1,0)</f>
        <v>0</v>
      </c>
      <c r="N762" s="64"/>
      <c r="O762" s="296"/>
      <c r="P76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3" spans="1:16" ht="21" x14ac:dyDescent="0.35">
      <c r="A763" s="310">
        <v>762</v>
      </c>
      <c r="B763" s="403" t="s">
        <v>2633</v>
      </c>
      <c r="C763" s="64" t="s">
        <v>1</v>
      </c>
      <c r="D763" s="295">
        <v>9</v>
      </c>
      <c r="E763" s="406">
        <v>9</v>
      </c>
      <c r="F763" s="482" t="s">
        <v>2009</v>
      </c>
      <c r="G763" s="402" t="s">
        <v>2048</v>
      </c>
      <c r="H763" s="300" t="str">
        <f>IF(Tableau2[[#This Row],[Moyennes]]="Absent","Absent",IF(Tableau2[[#This Row],[Moyennes]]&lt;5,"Redouble",IF(Tableau2[[#This Row],[Moyennes]]&gt;=5,"Admis"," ")))</f>
        <v>Admis</v>
      </c>
      <c r="I763" s="486"/>
      <c r="J763" t="s">
        <v>663</v>
      </c>
      <c r="K763" t="s">
        <v>2652</v>
      </c>
      <c r="L763" s="64">
        <f>IF(AND(Tableau2[[#This Row],[CLASSE]]="CPU",Tableau2[[#This Row],[STATUT ]]="Admis"),1,0)</f>
        <v>1</v>
      </c>
      <c r="M763" s="64">
        <f>IF(AND(Tableau2[[#This Row],[CLASSE]]="CEU",Tableau2[[#This Row],[STATUT ]]="Admis"),1,0)</f>
        <v>0</v>
      </c>
      <c r="N763" s="64"/>
      <c r="O763" s="296"/>
      <c r="P76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4" spans="1:16" ht="21" x14ac:dyDescent="0.35">
      <c r="A764" s="310">
        <v>763</v>
      </c>
      <c r="B764" s="396" t="s">
        <v>2634</v>
      </c>
      <c r="C764" s="64" t="s">
        <v>1</v>
      </c>
      <c r="D764" s="295">
        <v>10</v>
      </c>
      <c r="E764" s="406">
        <v>8.75</v>
      </c>
      <c r="F764" s="482" t="s">
        <v>2009</v>
      </c>
      <c r="G764" s="402" t="s">
        <v>2044</v>
      </c>
      <c r="H764" s="300" t="str">
        <f>IF(Tableau2[[#This Row],[Moyennes]]="Absent","Absent",IF(Tableau2[[#This Row],[Moyennes]]&lt;5,"Redouble",IF(Tableau2[[#This Row],[Moyennes]]&gt;=5,"Admis"," ")))</f>
        <v>Admis</v>
      </c>
      <c r="I764" s="486"/>
      <c r="J764" t="s">
        <v>663</v>
      </c>
      <c r="K764" t="s">
        <v>2652</v>
      </c>
      <c r="L764" s="64">
        <f>IF(AND(Tableau2[[#This Row],[CLASSE]]="CPU",Tableau2[[#This Row],[STATUT ]]="Admis"),1,0)</f>
        <v>1</v>
      </c>
      <c r="M764" s="64">
        <f>IF(AND(Tableau2[[#This Row],[CLASSE]]="CEU",Tableau2[[#This Row],[STATUT ]]="Admis"),1,0)</f>
        <v>0</v>
      </c>
      <c r="N764" s="64"/>
      <c r="O764" s="296"/>
      <c r="P76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5" spans="1:16" ht="21" x14ac:dyDescent="0.35">
      <c r="A765" s="310">
        <v>764</v>
      </c>
      <c r="B765" s="396" t="s">
        <v>2635</v>
      </c>
      <c r="C765" s="64" t="s">
        <v>1</v>
      </c>
      <c r="D765" s="295">
        <v>12</v>
      </c>
      <c r="E765" s="406">
        <v>8.8699999999999992</v>
      </c>
      <c r="F765" s="482" t="s">
        <v>2009</v>
      </c>
      <c r="G765" s="396" t="s">
        <v>2027</v>
      </c>
      <c r="H765" s="300" t="str">
        <f>IF(Tableau2[[#This Row],[Moyennes]]="Absent","Absent",IF(Tableau2[[#This Row],[Moyennes]]&lt;5,"Redouble",IF(Tableau2[[#This Row],[Moyennes]]&gt;=5,"Admis"," ")))</f>
        <v>Admis</v>
      </c>
      <c r="J765" t="s">
        <v>663</v>
      </c>
      <c r="K765" t="s">
        <v>2652</v>
      </c>
      <c r="L765" s="64">
        <f>IF(AND(Tableau2[[#This Row],[CLASSE]]="CPU",Tableau2[[#This Row],[STATUT ]]="Admis"),1,0)</f>
        <v>1</v>
      </c>
      <c r="M765" s="64">
        <f>IF(AND(Tableau2[[#This Row],[CLASSE]]="CEU",Tableau2[[#This Row],[STATUT ]]="Admis"),1,0)</f>
        <v>0</v>
      </c>
      <c r="N765" s="64"/>
      <c r="O765" s="296"/>
      <c r="P76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66" spans="1:16" ht="21" x14ac:dyDescent="0.35">
      <c r="A766" s="310">
        <v>765</v>
      </c>
      <c r="B766" s="396" t="s">
        <v>2636</v>
      </c>
      <c r="C766" s="64" t="s">
        <v>2</v>
      </c>
      <c r="D766" s="295">
        <v>9</v>
      </c>
      <c r="E766" s="406">
        <v>7.25</v>
      </c>
      <c r="F766" s="482" t="s">
        <v>2009</v>
      </c>
      <c r="G766" s="396" t="s">
        <v>2023</v>
      </c>
      <c r="H766" s="300" t="str">
        <f>IF(Tableau2[[#This Row],[Moyennes]]="Absent","Absent",IF(Tableau2[[#This Row],[Moyennes]]&lt;5,"Redouble",IF(Tableau2[[#This Row],[Moyennes]]&gt;=5,"Admis"," ")))</f>
        <v>Admis</v>
      </c>
      <c r="J766" t="s">
        <v>663</v>
      </c>
      <c r="K766" t="s">
        <v>2652</v>
      </c>
      <c r="L766" s="64">
        <f>IF(AND(Tableau2[[#This Row],[CLASSE]]="CPU",Tableau2[[#This Row],[STATUT ]]="Admis"),1,0)</f>
        <v>1</v>
      </c>
      <c r="M766" s="64">
        <f>IF(AND(Tableau2[[#This Row],[CLASSE]]="CEU",Tableau2[[#This Row],[STATUT ]]="Admis"),1,0)</f>
        <v>0</v>
      </c>
      <c r="N766" s="64"/>
      <c r="O766" s="296"/>
      <c r="P76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7" spans="1:16" ht="21" x14ac:dyDescent="0.35">
      <c r="A767" s="310">
        <v>766</v>
      </c>
      <c r="B767" s="396" t="s">
        <v>2637</v>
      </c>
      <c r="C767" s="64" t="s">
        <v>2</v>
      </c>
      <c r="D767" s="295">
        <v>10</v>
      </c>
      <c r="E767" s="406">
        <v>9.25</v>
      </c>
      <c r="F767" s="482" t="s">
        <v>2009</v>
      </c>
      <c r="G767" s="396" t="s">
        <v>2018</v>
      </c>
      <c r="H767" s="300" t="str">
        <f>IF(Tableau2[[#This Row],[Moyennes]]="Absent","Absent",IF(Tableau2[[#This Row],[Moyennes]]&lt;5,"Redouble",IF(Tableau2[[#This Row],[Moyennes]]&gt;=5,"Admis"," ")))</f>
        <v>Admis</v>
      </c>
      <c r="J767" t="s">
        <v>663</v>
      </c>
      <c r="K767" t="s">
        <v>2652</v>
      </c>
      <c r="L767" s="64">
        <f>IF(AND(Tableau2[[#This Row],[CLASSE]]="CPU",Tableau2[[#This Row],[STATUT ]]="Admis"),1,0)</f>
        <v>1</v>
      </c>
      <c r="M767" s="64">
        <f>IF(AND(Tableau2[[#This Row],[CLASSE]]="CEU",Tableau2[[#This Row],[STATUT ]]="Admis"),1,0)</f>
        <v>0</v>
      </c>
      <c r="N767" s="64"/>
      <c r="O767" s="296"/>
      <c r="P76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8" spans="1:16" ht="21" x14ac:dyDescent="0.35">
      <c r="A768" s="310">
        <v>767</v>
      </c>
      <c r="B768" s="396" t="s">
        <v>2638</v>
      </c>
      <c r="C768" s="64" t="s">
        <v>1</v>
      </c>
      <c r="D768" s="295">
        <v>11</v>
      </c>
      <c r="E768" s="406">
        <v>5.5</v>
      </c>
      <c r="F768" s="482" t="s">
        <v>2009</v>
      </c>
      <c r="G768" s="396" t="s">
        <v>2030</v>
      </c>
      <c r="H768" s="300" t="str">
        <f>IF(Tableau2[[#This Row],[Moyennes]]="Absent","Absent",IF(Tableau2[[#This Row],[Moyennes]]&lt;5,"Redouble",IF(Tableau2[[#This Row],[Moyennes]]&gt;=5,"Admis"," ")))</f>
        <v>Admis</v>
      </c>
      <c r="J768" t="s">
        <v>663</v>
      </c>
      <c r="K768" t="s">
        <v>2652</v>
      </c>
      <c r="L768" s="64">
        <f>IF(AND(Tableau2[[#This Row],[CLASSE]]="CPU",Tableau2[[#This Row],[STATUT ]]="Admis"),1,0)</f>
        <v>1</v>
      </c>
      <c r="M768" s="64">
        <f>IF(AND(Tableau2[[#This Row],[CLASSE]]="CEU",Tableau2[[#This Row],[STATUT ]]="Admis"),1,0)</f>
        <v>0</v>
      </c>
      <c r="N768" s="64"/>
      <c r="O768" s="296"/>
      <c r="P76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69" spans="1:16" ht="21" x14ac:dyDescent="0.35">
      <c r="A769" s="310">
        <v>768</v>
      </c>
      <c r="B769" s="396" t="s">
        <v>2639</v>
      </c>
      <c r="C769" s="64" t="s">
        <v>1</v>
      </c>
      <c r="D769" s="295">
        <v>9</v>
      </c>
      <c r="E769" s="406">
        <v>7.87</v>
      </c>
      <c r="F769" s="482" t="s">
        <v>2009</v>
      </c>
      <c r="G769" s="396" t="s">
        <v>2033</v>
      </c>
      <c r="H769" s="300" t="str">
        <f>IF(Tableau2[[#This Row],[Moyennes]]="Absent","Absent",IF(Tableau2[[#This Row],[Moyennes]]&lt;5,"Redouble",IF(Tableau2[[#This Row],[Moyennes]]&gt;=5,"Admis"," ")))</f>
        <v>Admis</v>
      </c>
      <c r="J769" t="s">
        <v>663</v>
      </c>
      <c r="K769" t="s">
        <v>2652</v>
      </c>
      <c r="L769" s="64">
        <f>IF(AND(Tableau2[[#This Row],[CLASSE]]="CPU",Tableau2[[#This Row],[STATUT ]]="Admis"),1,0)</f>
        <v>1</v>
      </c>
      <c r="M769" s="64">
        <f>IF(AND(Tableau2[[#This Row],[CLASSE]]="CEU",Tableau2[[#This Row],[STATUT ]]="Admis"),1,0)</f>
        <v>0</v>
      </c>
      <c r="N769" s="64"/>
      <c r="O769" s="296"/>
      <c r="P76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0" spans="1:16" ht="21" x14ac:dyDescent="0.35">
      <c r="A770" s="310">
        <v>769</v>
      </c>
      <c r="B770" s="396" t="s">
        <v>2640</v>
      </c>
      <c r="C770" s="64" t="s">
        <v>1</v>
      </c>
      <c r="D770" s="295">
        <v>9</v>
      </c>
      <c r="E770" s="406">
        <v>7.5</v>
      </c>
      <c r="F770" s="482" t="s">
        <v>2009</v>
      </c>
      <c r="G770" s="396" t="s">
        <v>2016</v>
      </c>
      <c r="H770" s="300" t="str">
        <f>IF(Tableau2[[#This Row],[Moyennes]]="Absent","Absent",IF(Tableau2[[#This Row],[Moyennes]]&lt;5,"Redouble",IF(Tableau2[[#This Row],[Moyennes]]&gt;=5,"Admis"," ")))</f>
        <v>Admis</v>
      </c>
      <c r="J770" t="s">
        <v>663</v>
      </c>
      <c r="K770" t="s">
        <v>2652</v>
      </c>
      <c r="L770" s="64">
        <f>IF(AND(Tableau2[[#This Row],[CLASSE]]="CPU",Tableau2[[#This Row],[STATUT ]]="Admis"),1,0)</f>
        <v>1</v>
      </c>
      <c r="M770" s="64">
        <f>IF(AND(Tableau2[[#This Row],[CLASSE]]="CEU",Tableau2[[#This Row],[STATUT ]]="Admis"),1,0)</f>
        <v>0</v>
      </c>
      <c r="N770" s="64"/>
      <c r="O770" s="296"/>
      <c r="P77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1" spans="1:16" ht="21" x14ac:dyDescent="0.35">
      <c r="A771" s="310">
        <v>770</v>
      </c>
      <c r="B771" s="396" t="s">
        <v>2641</v>
      </c>
      <c r="C771" s="64" t="s">
        <v>2</v>
      </c>
      <c r="D771" s="295">
        <v>9</v>
      </c>
      <c r="E771" s="406">
        <v>8.75</v>
      </c>
      <c r="F771" s="482" t="s">
        <v>2009</v>
      </c>
      <c r="G771" s="396" t="s">
        <v>2089</v>
      </c>
      <c r="H771" s="300" t="str">
        <f>IF(Tableau2[[#This Row],[Moyennes]]="Absent","Absent",IF(Tableau2[[#This Row],[Moyennes]]&lt;5,"Redouble",IF(Tableau2[[#This Row],[Moyennes]]&gt;=5,"Admis"," ")))</f>
        <v>Admis</v>
      </c>
      <c r="J771" t="s">
        <v>663</v>
      </c>
      <c r="K771" t="s">
        <v>2652</v>
      </c>
      <c r="L771" s="64">
        <f>IF(AND(Tableau2[[#This Row],[CLASSE]]="CPU",Tableau2[[#This Row],[STATUT ]]="Admis"),1,0)</f>
        <v>1</v>
      </c>
      <c r="M771" s="64">
        <f>IF(AND(Tableau2[[#This Row],[CLASSE]]="CEU",Tableau2[[#This Row],[STATUT ]]="Admis"),1,0)</f>
        <v>0</v>
      </c>
      <c r="N771" s="64"/>
      <c r="O771" s="296"/>
      <c r="P77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2" spans="1:16" ht="21" x14ac:dyDescent="0.35">
      <c r="A772" s="310">
        <v>771</v>
      </c>
      <c r="B772" s="396" t="s">
        <v>2642</v>
      </c>
      <c r="C772" s="64" t="s">
        <v>1</v>
      </c>
      <c r="D772" s="295">
        <v>13</v>
      </c>
      <c r="E772" s="406">
        <v>8.6199999999999992</v>
      </c>
      <c r="F772" s="482" t="s">
        <v>2009</v>
      </c>
      <c r="G772" s="396" t="s">
        <v>2021</v>
      </c>
      <c r="H772" s="300" t="str">
        <f>IF(Tableau2[[#This Row],[Moyennes]]="Absent","Absent",IF(Tableau2[[#This Row],[Moyennes]]&lt;5,"Redouble",IF(Tableau2[[#This Row],[Moyennes]]&gt;=5,"Admis"," ")))</f>
        <v>Admis</v>
      </c>
      <c r="J772" t="s">
        <v>663</v>
      </c>
      <c r="K772" t="s">
        <v>2652</v>
      </c>
      <c r="L772" s="64">
        <f>IF(AND(Tableau2[[#This Row],[CLASSE]]="CPU",Tableau2[[#This Row],[STATUT ]]="Admis"),1,0)</f>
        <v>1</v>
      </c>
      <c r="M772" s="64">
        <f>IF(AND(Tableau2[[#This Row],[CLASSE]]="CEU",Tableau2[[#This Row],[STATUT ]]="Admis"),1,0)</f>
        <v>0</v>
      </c>
      <c r="N772" s="64"/>
      <c r="O772" s="296"/>
      <c r="P77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73" spans="1:16" ht="21" x14ac:dyDescent="0.35">
      <c r="A773" s="310">
        <v>772</v>
      </c>
      <c r="B773" s="396" t="s">
        <v>2643</v>
      </c>
      <c r="C773" s="64" t="s">
        <v>1</v>
      </c>
      <c r="D773" s="295">
        <v>12</v>
      </c>
      <c r="E773" s="406">
        <v>7</v>
      </c>
      <c r="F773" s="482" t="s">
        <v>2009</v>
      </c>
      <c r="G773" s="396" t="s">
        <v>2042</v>
      </c>
      <c r="H773" s="300" t="str">
        <f>IF(Tableau2[[#This Row],[Moyennes]]="Absent","Absent",IF(Tableau2[[#This Row],[Moyennes]]&lt;5,"Redouble",IF(Tableau2[[#This Row],[Moyennes]]&gt;=5,"Admis"," ")))</f>
        <v>Admis</v>
      </c>
      <c r="J773" t="s">
        <v>663</v>
      </c>
      <c r="K773" t="s">
        <v>2652</v>
      </c>
      <c r="L773" s="64">
        <f>IF(AND(Tableau2[[#This Row],[CLASSE]]="CPU",Tableau2[[#This Row],[STATUT ]]="Admis"),1,0)</f>
        <v>1</v>
      </c>
      <c r="M773" s="64">
        <f>IF(AND(Tableau2[[#This Row],[CLASSE]]="CEU",Tableau2[[#This Row],[STATUT ]]="Admis"),1,0)</f>
        <v>0</v>
      </c>
      <c r="N773" s="64"/>
      <c r="O773" s="296"/>
      <c r="P77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74" spans="1:16" ht="21" x14ac:dyDescent="0.35">
      <c r="A774" s="310">
        <v>773</v>
      </c>
      <c r="B774" s="396" t="s">
        <v>2644</v>
      </c>
      <c r="C774" s="64" t="s">
        <v>1</v>
      </c>
      <c r="D774" s="295">
        <v>11</v>
      </c>
      <c r="E774" s="406">
        <v>6.31</v>
      </c>
      <c r="F774" s="482" t="s">
        <v>2009</v>
      </c>
      <c r="G774" s="396" t="s">
        <v>2033</v>
      </c>
      <c r="H774" s="300" t="str">
        <f>IF(Tableau2[[#This Row],[Moyennes]]="Absent","Absent",IF(Tableau2[[#This Row],[Moyennes]]&lt;5,"Redouble",IF(Tableau2[[#This Row],[Moyennes]]&gt;=5,"Admis"," ")))</f>
        <v>Admis</v>
      </c>
      <c r="J774" t="s">
        <v>663</v>
      </c>
      <c r="K774" t="s">
        <v>2652</v>
      </c>
      <c r="L774" s="64">
        <f>IF(AND(Tableau2[[#This Row],[CLASSE]]="CPU",Tableau2[[#This Row],[STATUT ]]="Admis"),1,0)</f>
        <v>1</v>
      </c>
      <c r="M774" s="64">
        <f>IF(AND(Tableau2[[#This Row],[CLASSE]]="CEU",Tableau2[[#This Row],[STATUT ]]="Admis"),1,0)</f>
        <v>0</v>
      </c>
      <c r="N774" s="64"/>
      <c r="O774" s="296"/>
      <c r="P77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5" spans="1:16" ht="21" x14ac:dyDescent="0.35">
      <c r="A775" s="310">
        <v>774</v>
      </c>
      <c r="B775" s="396" t="s">
        <v>2645</v>
      </c>
      <c r="C775" s="64" t="s">
        <v>1</v>
      </c>
      <c r="D775" s="295">
        <v>14</v>
      </c>
      <c r="E775" s="406">
        <v>5</v>
      </c>
      <c r="F775" s="482" t="s">
        <v>2009</v>
      </c>
      <c r="G775" s="396" t="s">
        <v>3499</v>
      </c>
      <c r="H775" s="300" t="str">
        <f>IF(Tableau2[[#This Row],[Moyennes]]="Absent","Absent",IF(Tableau2[[#This Row],[Moyennes]]&lt;5,"Redouble",IF(Tableau2[[#This Row],[Moyennes]]&gt;=5,"Admis"," ")))</f>
        <v>Admis</v>
      </c>
      <c r="J775" t="s">
        <v>663</v>
      </c>
      <c r="K775" t="s">
        <v>2652</v>
      </c>
      <c r="L775" s="64">
        <f>IF(AND(Tableau2[[#This Row],[CLASSE]]="CPU",Tableau2[[#This Row],[STATUT ]]="Admis"),1,0)</f>
        <v>1</v>
      </c>
      <c r="M775" s="64">
        <f>IF(AND(Tableau2[[#This Row],[CLASSE]]="CEU",Tableau2[[#This Row],[STATUT ]]="Admis"),1,0)</f>
        <v>0</v>
      </c>
      <c r="N775" s="64"/>
      <c r="O775" s="296"/>
      <c r="P77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76" spans="1:16" ht="21" x14ac:dyDescent="0.35">
      <c r="A776" s="310">
        <v>775</v>
      </c>
      <c r="B776" s="396" t="s">
        <v>2646</v>
      </c>
      <c r="C776" s="64" t="s">
        <v>2</v>
      </c>
      <c r="D776" s="295">
        <v>10</v>
      </c>
      <c r="E776" s="406">
        <v>3.37</v>
      </c>
      <c r="F776" s="482" t="s">
        <v>2009</v>
      </c>
      <c r="G776" s="396" t="s">
        <v>2040</v>
      </c>
      <c r="H776" s="300" t="str">
        <f>IF(Tableau2[[#This Row],[Moyennes]]="Absent","Absent",IF(Tableau2[[#This Row],[Moyennes]]&lt;5,"Redouble",IF(Tableau2[[#This Row],[Moyennes]]&gt;=5,"Admis"," ")))</f>
        <v>Redouble</v>
      </c>
      <c r="J776" t="s">
        <v>663</v>
      </c>
      <c r="K776" t="s">
        <v>2652</v>
      </c>
      <c r="L776" s="64">
        <f>IF(AND(Tableau2[[#This Row],[CLASSE]]="CPU",Tableau2[[#This Row],[STATUT ]]="Admis"),1,0)</f>
        <v>0</v>
      </c>
      <c r="M776" s="64">
        <f>IF(AND(Tableau2[[#This Row],[CLASSE]]="CEU",Tableau2[[#This Row],[STATUT ]]="Admis"),1,0)</f>
        <v>0</v>
      </c>
      <c r="N776" s="64"/>
      <c r="O776" s="296"/>
      <c r="P77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77" spans="1:16" ht="21" x14ac:dyDescent="0.35">
      <c r="A777" s="310">
        <v>776</v>
      </c>
      <c r="B777" s="396" t="s">
        <v>2647</v>
      </c>
      <c r="C777" s="64" t="s">
        <v>2</v>
      </c>
      <c r="D777" s="295">
        <v>10</v>
      </c>
      <c r="E777" s="406">
        <v>5</v>
      </c>
      <c r="F777" s="482" t="s">
        <v>2009</v>
      </c>
      <c r="G777" s="396" t="s">
        <v>2078</v>
      </c>
      <c r="H777" s="300" t="str">
        <f>IF(Tableau2[[#This Row],[Moyennes]]="Absent","Absent",IF(Tableau2[[#This Row],[Moyennes]]&lt;5,"Redouble",IF(Tableau2[[#This Row],[Moyennes]]&gt;=5,"Admis"," ")))</f>
        <v>Admis</v>
      </c>
      <c r="J777" t="s">
        <v>663</v>
      </c>
      <c r="K777" t="s">
        <v>2652</v>
      </c>
      <c r="L777" s="64">
        <f>IF(AND(Tableau2[[#This Row],[CLASSE]]="CPU",Tableau2[[#This Row],[STATUT ]]="Admis"),1,0)</f>
        <v>1</v>
      </c>
      <c r="M777" s="64">
        <f>IF(AND(Tableau2[[#This Row],[CLASSE]]="CEU",Tableau2[[#This Row],[STATUT ]]="Admis"),1,0)</f>
        <v>0</v>
      </c>
      <c r="N777" s="64"/>
      <c r="O777" s="296"/>
      <c r="P77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8" spans="1:16" ht="21" x14ac:dyDescent="0.35">
      <c r="A778" s="310">
        <v>777</v>
      </c>
      <c r="B778" s="396" t="s">
        <v>2648</v>
      </c>
      <c r="C778" s="64" t="s">
        <v>1</v>
      </c>
      <c r="D778" s="295">
        <v>11</v>
      </c>
      <c r="E778" s="406">
        <v>5.68</v>
      </c>
      <c r="F778" s="482" t="s">
        <v>2009</v>
      </c>
      <c r="G778" s="396" t="s">
        <v>2046</v>
      </c>
      <c r="H778" s="300" t="str">
        <f>IF(Tableau2[[#This Row],[Moyennes]]="Absent","Absent",IF(Tableau2[[#This Row],[Moyennes]]&lt;5,"Redouble",IF(Tableau2[[#This Row],[Moyennes]]&gt;=5,"Admis"," ")))</f>
        <v>Admis</v>
      </c>
      <c r="J778" t="s">
        <v>663</v>
      </c>
      <c r="K778" t="s">
        <v>2652</v>
      </c>
      <c r="L778" s="64">
        <f>IF(AND(Tableau2[[#This Row],[CLASSE]]="CPU",Tableau2[[#This Row],[STATUT ]]="Admis"),1,0)</f>
        <v>1</v>
      </c>
      <c r="M778" s="64">
        <f>IF(AND(Tableau2[[#This Row],[CLASSE]]="CEU",Tableau2[[#This Row],[STATUT ]]="Admis"),1,0)</f>
        <v>0</v>
      </c>
      <c r="N778" s="64"/>
      <c r="O778" s="296"/>
      <c r="P77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79" spans="1:16" ht="21" x14ac:dyDescent="0.35">
      <c r="A779" s="310">
        <v>778</v>
      </c>
      <c r="B779" s="396" t="s">
        <v>2649</v>
      </c>
      <c r="C779" s="64" t="s">
        <v>2</v>
      </c>
      <c r="D779" s="295">
        <v>9</v>
      </c>
      <c r="E779" s="406">
        <v>4.25</v>
      </c>
      <c r="F779" s="482" t="s">
        <v>2009</v>
      </c>
      <c r="G779" s="396" t="s">
        <v>2014</v>
      </c>
      <c r="H779" s="300" t="str">
        <f>IF(Tableau2[[#This Row],[Moyennes]]="Absent","Absent",IF(Tableau2[[#This Row],[Moyennes]]&lt;5,"Redouble",IF(Tableau2[[#This Row],[Moyennes]]&gt;=5,"Admis"," ")))</f>
        <v>Redouble</v>
      </c>
      <c r="J779" t="s">
        <v>663</v>
      </c>
      <c r="K779" t="s">
        <v>2652</v>
      </c>
      <c r="L779" s="64">
        <f>IF(AND(Tableau2[[#This Row],[CLASSE]]="CPU",Tableau2[[#This Row],[STATUT ]]="Admis"),1,0)</f>
        <v>0</v>
      </c>
      <c r="M779" s="64">
        <f>IF(AND(Tableau2[[#This Row],[CLASSE]]="CEU",Tableau2[[#This Row],[STATUT ]]="Admis"),1,0)</f>
        <v>0</v>
      </c>
      <c r="N779" s="64"/>
      <c r="O779" s="296"/>
      <c r="P77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780" spans="1:16" ht="21" x14ac:dyDescent="0.35">
      <c r="A780" s="310">
        <v>779</v>
      </c>
      <c r="B780" s="396" t="s">
        <v>2650</v>
      </c>
      <c r="C780" s="64" t="s">
        <v>2</v>
      </c>
      <c r="D780" s="295">
        <v>9</v>
      </c>
      <c r="E780" s="406">
        <v>7.5</v>
      </c>
      <c r="F780" s="482" t="s">
        <v>2009</v>
      </c>
      <c r="G780" s="396" t="s">
        <v>3500</v>
      </c>
      <c r="H780" s="300" t="str">
        <f>IF(Tableau2[[#This Row],[Moyennes]]="Absent","Absent",IF(Tableau2[[#This Row],[Moyennes]]&lt;5,"Redouble",IF(Tableau2[[#This Row],[Moyennes]]&gt;=5,"Admis"," ")))</f>
        <v>Admis</v>
      </c>
      <c r="J780" t="s">
        <v>663</v>
      </c>
      <c r="K780" t="s">
        <v>2652</v>
      </c>
      <c r="L780" s="64">
        <f>IF(AND(Tableau2[[#This Row],[CLASSE]]="CPU",Tableau2[[#This Row],[STATUT ]]="Admis"),1,0)</f>
        <v>1</v>
      </c>
      <c r="M780" s="64">
        <f>IF(AND(Tableau2[[#This Row],[CLASSE]]="CEU",Tableau2[[#This Row],[STATUT ]]="Admis"),1,0)</f>
        <v>0</v>
      </c>
      <c r="N780" s="64"/>
      <c r="O780" s="296"/>
      <c r="P78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1" spans="1:16" ht="21" x14ac:dyDescent="0.35">
      <c r="A781" s="310">
        <v>780</v>
      </c>
      <c r="B781" s="396" t="s">
        <v>2651</v>
      </c>
      <c r="C781" s="64" t="s">
        <v>1</v>
      </c>
      <c r="D781" s="295">
        <v>13</v>
      </c>
      <c r="E781" s="406">
        <v>4.37</v>
      </c>
      <c r="F781" s="482" t="s">
        <v>2009</v>
      </c>
      <c r="G781" s="396" t="s">
        <v>2040</v>
      </c>
      <c r="H781" s="300" t="str">
        <f>IF(Tableau2[[#This Row],[Moyennes]]="Absent","Absent",IF(Tableau2[[#This Row],[Moyennes]]&lt;5,"Redouble",IF(Tableau2[[#This Row],[Moyennes]]&gt;=5,"Admis"," ")))</f>
        <v>Redouble</v>
      </c>
      <c r="J781" t="s">
        <v>663</v>
      </c>
      <c r="K781" t="s">
        <v>2652</v>
      </c>
      <c r="L781" s="64">
        <f>IF(AND(Tableau2[[#This Row],[CLASSE]]="CPU",Tableau2[[#This Row],[STATUT ]]="Admis"),1,0)</f>
        <v>0</v>
      </c>
      <c r="M781" s="64">
        <f>IF(AND(Tableau2[[#This Row],[CLASSE]]="CEU",Tableau2[[#This Row],[STATUT ]]="Admis"),1,0)</f>
        <v>0</v>
      </c>
      <c r="N781" s="64"/>
      <c r="O781" s="296"/>
      <c r="P78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2" spans="1:16" ht="21" x14ac:dyDescent="0.35">
      <c r="A782" s="310">
        <v>781</v>
      </c>
      <c r="B782" s="396" t="s">
        <v>3501</v>
      </c>
      <c r="C782" s="64" t="s">
        <v>1</v>
      </c>
      <c r="D782" s="295">
        <v>9</v>
      </c>
      <c r="E782" s="406">
        <v>9.5</v>
      </c>
      <c r="F782" s="482" t="s">
        <v>2009</v>
      </c>
      <c r="G782" s="396" t="s">
        <v>815</v>
      </c>
      <c r="H782" s="300" t="str">
        <f>IF(Tableau2[[#This Row],[Moyennes]]="Absent","Absent",IF(Tableau2[[#This Row],[Moyennes]]&lt;5,"Redouble",IF(Tableau2[[#This Row],[Moyennes]]&gt;=5,"Admis"," ")))</f>
        <v>Admis</v>
      </c>
      <c r="J782" t="s">
        <v>663</v>
      </c>
      <c r="K782" t="s">
        <v>2652</v>
      </c>
      <c r="L782" s="64">
        <f>IF(AND(Tableau2[[#This Row],[CLASSE]]="CPU",Tableau2[[#This Row],[STATUT ]]="Admis"),1,0)</f>
        <v>1</v>
      </c>
      <c r="M782" s="64">
        <f>IF(AND(Tableau2[[#This Row],[CLASSE]]="CEU",Tableau2[[#This Row],[STATUT ]]="Admis"),1,0)</f>
        <v>0</v>
      </c>
      <c r="N782" s="64"/>
      <c r="O782" s="296"/>
      <c r="P78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3" spans="1:16" ht="21" x14ac:dyDescent="0.35">
      <c r="A783" s="310">
        <v>782</v>
      </c>
      <c r="B783" s="396" t="s">
        <v>3502</v>
      </c>
      <c r="C783" s="64" t="s">
        <v>2</v>
      </c>
      <c r="D783" s="295">
        <v>9</v>
      </c>
      <c r="E783" s="406">
        <v>5.25</v>
      </c>
      <c r="F783" s="482" t="s">
        <v>2009</v>
      </c>
      <c r="G783" s="396" t="s">
        <v>2066</v>
      </c>
      <c r="H783" s="300" t="str">
        <f>IF(Tableau2[[#This Row],[Moyennes]]="Absent","Absent",IF(Tableau2[[#This Row],[Moyennes]]&lt;5,"Redouble",IF(Tableau2[[#This Row],[Moyennes]]&gt;=5,"Admis"," ")))</f>
        <v>Admis</v>
      </c>
      <c r="J783" t="s">
        <v>663</v>
      </c>
      <c r="K783" t="s">
        <v>2652</v>
      </c>
      <c r="L783" s="64">
        <f>IF(AND(Tableau2[[#This Row],[CLASSE]]="CPU",Tableau2[[#This Row],[STATUT ]]="Admis"),1,0)</f>
        <v>1</v>
      </c>
      <c r="M783" s="64">
        <f>IF(AND(Tableau2[[#This Row],[CLASSE]]="CEU",Tableau2[[#This Row],[STATUT ]]="Admis"),1,0)</f>
        <v>0</v>
      </c>
      <c r="N783" s="64"/>
      <c r="O783" s="296"/>
      <c r="P78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4" spans="1:16" ht="21" x14ac:dyDescent="0.35">
      <c r="A784" s="310">
        <v>783</v>
      </c>
      <c r="B784" s="396" t="s">
        <v>2653</v>
      </c>
      <c r="C784" s="64" t="s">
        <v>1</v>
      </c>
      <c r="D784" s="295">
        <v>9</v>
      </c>
      <c r="E784" s="406">
        <v>9.75</v>
      </c>
      <c r="F784" s="482" t="s">
        <v>2009</v>
      </c>
      <c r="G784" s="402" t="s">
        <v>3498</v>
      </c>
      <c r="H784" s="300" t="str">
        <f>IF(Tableau2[[#This Row],[Moyennes]]="Absent","Absent",IF(Tableau2[[#This Row],[Moyennes]]&lt;5,"Redouble",IF(Tableau2[[#This Row],[Moyennes]]&gt;=5,"Admis"," ")))</f>
        <v>Admis</v>
      </c>
      <c r="I784" s="486"/>
      <c r="J784" t="s">
        <v>663</v>
      </c>
      <c r="K784" t="s">
        <v>2652</v>
      </c>
      <c r="L784" s="64">
        <f>IF(AND(Tableau2[[#This Row],[CLASSE]]="CPU",Tableau2[[#This Row],[STATUT ]]="Admis"),1,0)</f>
        <v>1</v>
      </c>
      <c r="M784" s="64">
        <f>IF(AND(Tableau2[[#This Row],[CLASSE]]="CEU",Tableau2[[#This Row],[STATUT ]]="Admis"),1,0)</f>
        <v>0</v>
      </c>
      <c r="N784" s="64"/>
      <c r="O784" s="296"/>
      <c r="P78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5" spans="1:16" ht="21" x14ac:dyDescent="0.35">
      <c r="A785" s="310">
        <v>784</v>
      </c>
      <c r="B785" s="396" t="s">
        <v>2654</v>
      </c>
      <c r="C785" s="64" t="s">
        <v>1</v>
      </c>
      <c r="D785" s="295">
        <v>11</v>
      </c>
      <c r="E785" s="406">
        <v>9.3699999999999992</v>
      </c>
      <c r="F785" s="482" t="s">
        <v>2009</v>
      </c>
      <c r="G785" s="402" t="s">
        <v>2012</v>
      </c>
      <c r="H785" s="300" t="str">
        <f>IF(Tableau2[[#This Row],[Moyennes]]="Absent","Absent",IF(Tableau2[[#This Row],[Moyennes]]&lt;5,"Redouble",IF(Tableau2[[#This Row],[Moyennes]]&gt;=5,"Admis"," ")))</f>
        <v>Admis</v>
      </c>
      <c r="I785" s="486"/>
      <c r="J785" t="s">
        <v>663</v>
      </c>
      <c r="K785" t="s">
        <v>2652</v>
      </c>
      <c r="L785" s="64">
        <f>IF(AND(Tableau2[[#This Row],[CLASSE]]="CPU",Tableau2[[#This Row],[STATUT ]]="Admis"),1,0)</f>
        <v>1</v>
      </c>
      <c r="M785" s="64">
        <f>IF(AND(Tableau2[[#This Row],[CLASSE]]="CEU",Tableau2[[#This Row],[STATUT ]]="Admis"),1,0)</f>
        <v>0</v>
      </c>
      <c r="N785" s="64"/>
      <c r="O785" s="296"/>
      <c r="P78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6" spans="1:16" ht="21" x14ac:dyDescent="0.35">
      <c r="A786" s="310">
        <v>785</v>
      </c>
      <c r="B786" s="396" t="s">
        <v>2655</v>
      </c>
      <c r="C786" s="64" t="s">
        <v>1</v>
      </c>
      <c r="D786" s="295">
        <v>13</v>
      </c>
      <c r="E786" s="406">
        <v>9.25</v>
      </c>
      <c r="F786" s="482" t="s">
        <v>2009</v>
      </c>
      <c r="G786" s="402" t="s">
        <v>2018</v>
      </c>
      <c r="H786" s="300" t="str">
        <f>IF(Tableau2[[#This Row],[Moyennes]]="Absent","Absent",IF(Tableau2[[#This Row],[Moyennes]]&lt;5,"Redouble",IF(Tableau2[[#This Row],[Moyennes]]&gt;=5,"Admis"," ")))</f>
        <v>Admis</v>
      </c>
      <c r="I786" s="486"/>
      <c r="J786" t="s">
        <v>663</v>
      </c>
      <c r="K786" t="s">
        <v>2652</v>
      </c>
      <c r="L786" s="64">
        <f>IF(AND(Tableau2[[#This Row],[CLASSE]]="CPU",Tableau2[[#This Row],[STATUT ]]="Admis"),1,0)</f>
        <v>1</v>
      </c>
      <c r="M786" s="64">
        <f>IF(AND(Tableau2[[#This Row],[CLASSE]]="CEU",Tableau2[[#This Row],[STATUT ]]="Admis"),1,0)</f>
        <v>0</v>
      </c>
      <c r="N786" s="64"/>
      <c r="O786" s="296"/>
      <c r="P78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87" spans="1:16" ht="21" x14ac:dyDescent="0.35">
      <c r="A787" s="310">
        <v>786</v>
      </c>
      <c r="B787" s="396" t="s">
        <v>2656</v>
      </c>
      <c r="C787" s="64" t="s">
        <v>2</v>
      </c>
      <c r="D787" s="295">
        <v>12</v>
      </c>
      <c r="E787" s="406">
        <v>9.75</v>
      </c>
      <c r="F787" s="482" t="s">
        <v>2009</v>
      </c>
      <c r="G787" s="402" t="s">
        <v>838</v>
      </c>
      <c r="H787" s="300" t="str">
        <f>IF(Tableau2[[#This Row],[Moyennes]]="Absent","Absent",IF(Tableau2[[#This Row],[Moyennes]]&lt;5,"Redouble",IF(Tableau2[[#This Row],[Moyennes]]&gt;=5,"Admis"," ")))</f>
        <v>Admis</v>
      </c>
      <c r="I787" s="486"/>
      <c r="J787" t="s">
        <v>663</v>
      </c>
      <c r="K787" t="s">
        <v>2652</v>
      </c>
      <c r="L787" s="64">
        <f>IF(AND(Tableau2[[#This Row],[CLASSE]]="CPU",Tableau2[[#This Row],[STATUT ]]="Admis"),1,0)</f>
        <v>1</v>
      </c>
      <c r="M787" s="64">
        <f>IF(AND(Tableau2[[#This Row],[CLASSE]]="CEU",Tableau2[[#This Row],[STATUT ]]="Admis"),1,0)</f>
        <v>0</v>
      </c>
      <c r="N787" s="64"/>
      <c r="O787" s="296"/>
      <c r="P78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88" spans="1:16" ht="21" x14ac:dyDescent="0.35">
      <c r="A788" s="310">
        <v>787</v>
      </c>
      <c r="B788" s="403" t="s">
        <v>2657</v>
      </c>
      <c r="C788" s="64" t="s">
        <v>1</v>
      </c>
      <c r="D788" s="295">
        <v>11</v>
      </c>
      <c r="E788" s="406">
        <v>9.5</v>
      </c>
      <c r="F788" s="482" t="s">
        <v>2009</v>
      </c>
      <c r="G788" s="402" t="s">
        <v>815</v>
      </c>
      <c r="H788" s="300" t="str">
        <f>IF(Tableau2[[#This Row],[Moyennes]]="Absent","Absent",IF(Tableau2[[#This Row],[Moyennes]]&lt;5,"Redouble",IF(Tableau2[[#This Row],[Moyennes]]&gt;=5,"Admis"," ")))</f>
        <v>Admis</v>
      </c>
      <c r="I788" s="486"/>
      <c r="J788" t="s">
        <v>663</v>
      </c>
      <c r="K788" t="s">
        <v>2652</v>
      </c>
      <c r="L788" s="64">
        <f>IF(AND(Tableau2[[#This Row],[CLASSE]]="CPU",Tableau2[[#This Row],[STATUT ]]="Admis"),1,0)</f>
        <v>1</v>
      </c>
      <c r="M788" s="64">
        <f>IF(AND(Tableau2[[#This Row],[CLASSE]]="CEU",Tableau2[[#This Row],[STATUT ]]="Admis"),1,0)</f>
        <v>0</v>
      </c>
      <c r="N788" s="64"/>
      <c r="O788" s="296"/>
      <c r="P78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89" spans="1:16" ht="21" x14ac:dyDescent="0.35">
      <c r="A789" s="310">
        <v>788</v>
      </c>
      <c r="B789" s="396" t="s">
        <v>2658</v>
      </c>
      <c r="C789" s="64" t="s">
        <v>1</v>
      </c>
      <c r="D789" s="295">
        <v>10</v>
      </c>
      <c r="E789" s="406">
        <v>8</v>
      </c>
      <c r="F789" s="482" t="s">
        <v>2009</v>
      </c>
      <c r="G789" s="402" t="s">
        <v>2048</v>
      </c>
      <c r="H789" s="300" t="str">
        <f>IF(Tableau2[[#This Row],[Moyennes]]="Absent","Absent",IF(Tableau2[[#This Row],[Moyennes]]&lt;5,"Redouble",IF(Tableau2[[#This Row],[Moyennes]]&gt;=5,"Admis"," ")))</f>
        <v>Admis</v>
      </c>
      <c r="I789" s="486"/>
      <c r="J789" t="s">
        <v>663</v>
      </c>
      <c r="K789" t="s">
        <v>2652</v>
      </c>
      <c r="L789" s="64">
        <f>IF(AND(Tableau2[[#This Row],[CLASSE]]="CPU",Tableau2[[#This Row],[STATUT ]]="Admis"),1,0)</f>
        <v>1</v>
      </c>
      <c r="M789" s="64">
        <f>IF(AND(Tableau2[[#This Row],[CLASSE]]="CEU",Tableau2[[#This Row],[STATUT ]]="Admis"),1,0)</f>
        <v>0</v>
      </c>
      <c r="N789" s="64"/>
      <c r="O789" s="296"/>
      <c r="P78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0" spans="1:16" ht="21" x14ac:dyDescent="0.35">
      <c r="A790" s="310">
        <v>789</v>
      </c>
      <c r="B790" s="396" t="s">
        <v>2659</v>
      </c>
      <c r="C790" s="64" t="s">
        <v>2</v>
      </c>
      <c r="D790" s="295">
        <v>10</v>
      </c>
      <c r="E790" s="406">
        <v>7.87</v>
      </c>
      <c r="F790" s="482" t="s">
        <v>2009</v>
      </c>
      <c r="G790" s="396" t="s">
        <v>2027</v>
      </c>
      <c r="H790" s="300" t="str">
        <f>IF(Tableau2[[#This Row],[Moyennes]]="Absent","Absent",IF(Tableau2[[#This Row],[Moyennes]]&lt;5,"Redouble",IF(Tableau2[[#This Row],[Moyennes]]&gt;=5,"Admis"," ")))</f>
        <v>Admis</v>
      </c>
      <c r="J790" t="s">
        <v>663</v>
      </c>
      <c r="K790" t="s">
        <v>2652</v>
      </c>
      <c r="L790" s="64">
        <f>IF(AND(Tableau2[[#This Row],[CLASSE]]="CPU",Tableau2[[#This Row],[STATUT ]]="Admis"),1,0)</f>
        <v>1</v>
      </c>
      <c r="M790" s="64">
        <f>IF(AND(Tableau2[[#This Row],[CLASSE]]="CEU",Tableau2[[#This Row],[STATUT ]]="Admis"),1,0)</f>
        <v>0</v>
      </c>
      <c r="N790" s="64"/>
      <c r="O790" s="296"/>
      <c r="P79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1" spans="1:16" ht="21" x14ac:dyDescent="0.35">
      <c r="A791" s="310">
        <v>790</v>
      </c>
      <c r="B791" s="396" t="s">
        <v>2660</v>
      </c>
      <c r="C791" s="64" t="s">
        <v>1</v>
      </c>
      <c r="D791" s="295">
        <v>9</v>
      </c>
      <c r="E791" s="406">
        <v>8.1199999999999992</v>
      </c>
      <c r="F791" s="482" t="s">
        <v>2009</v>
      </c>
      <c r="G791" s="396" t="s">
        <v>2044</v>
      </c>
      <c r="H791" s="300" t="str">
        <f>IF(Tableau2[[#This Row],[Moyennes]]="Absent","Absent",IF(Tableau2[[#This Row],[Moyennes]]&lt;5,"Redouble",IF(Tableau2[[#This Row],[Moyennes]]&gt;=5,"Admis"," ")))</f>
        <v>Admis</v>
      </c>
      <c r="J791" t="s">
        <v>663</v>
      </c>
      <c r="K791" t="s">
        <v>2652</v>
      </c>
      <c r="L791" s="64">
        <f>IF(AND(Tableau2[[#This Row],[CLASSE]]="CPU",Tableau2[[#This Row],[STATUT ]]="Admis"),1,0)</f>
        <v>1</v>
      </c>
      <c r="M791" s="64">
        <f>IF(AND(Tableau2[[#This Row],[CLASSE]]="CEU",Tableau2[[#This Row],[STATUT ]]="Admis"),1,0)</f>
        <v>0</v>
      </c>
      <c r="N791" s="64"/>
      <c r="O791" s="296"/>
      <c r="P79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2" spans="1:16" ht="21" x14ac:dyDescent="0.35">
      <c r="A792" s="310">
        <v>791</v>
      </c>
      <c r="B792" s="396" t="s">
        <v>2661</v>
      </c>
      <c r="C792" s="64" t="s">
        <v>2</v>
      </c>
      <c r="D792" s="295">
        <v>11</v>
      </c>
      <c r="E792" s="406">
        <v>6.87</v>
      </c>
      <c r="F792" s="482" t="s">
        <v>2009</v>
      </c>
      <c r="G792" s="396" t="s">
        <v>2023</v>
      </c>
      <c r="H792" s="300" t="str">
        <f>IF(Tableau2[[#This Row],[Moyennes]]="Absent","Absent",IF(Tableau2[[#This Row],[Moyennes]]&lt;5,"Redouble",IF(Tableau2[[#This Row],[Moyennes]]&gt;=5,"Admis"," ")))</f>
        <v>Admis</v>
      </c>
      <c r="J792" t="s">
        <v>663</v>
      </c>
      <c r="K792" t="s">
        <v>2652</v>
      </c>
      <c r="L792" s="64">
        <f>IF(AND(Tableau2[[#This Row],[CLASSE]]="CPU",Tableau2[[#This Row],[STATUT ]]="Admis"),1,0)</f>
        <v>1</v>
      </c>
      <c r="M792" s="64">
        <f>IF(AND(Tableau2[[#This Row],[CLASSE]]="CEU",Tableau2[[#This Row],[STATUT ]]="Admis"),1,0)</f>
        <v>0</v>
      </c>
      <c r="N792" s="64"/>
      <c r="O792" s="296"/>
      <c r="P79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3" spans="1:16" ht="21" x14ac:dyDescent="0.35">
      <c r="A793" s="310">
        <v>792</v>
      </c>
      <c r="B793" s="396" t="s">
        <v>2662</v>
      </c>
      <c r="C793" s="64" t="s">
        <v>2</v>
      </c>
      <c r="D793" s="295">
        <v>9</v>
      </c>
      <c r="E793" s="406">
        <v>7</v>
      </c>
      <c r="F793" s="482" t="s">
        <v>2009</v>
      </c>
      <c r="G793" s="396" t="s">
        <v>2062</v>
      </c>
      <c r="H793" s="300" t="str">
        <f>IF(Tableau2[[#This Row],[Moyennes]]="Absent","Absent",IF(Tableau2[[#This Row],[Moyennes]]&lt;5,"Redouble",IF(Tableau2[[#This Row],[Moyennes]]&gt;=5,"Admis"," ")))</f>
        <v>Admis</v>
      </c>
      <c r="J793" t="s">
        <v>663</v>
      </c>
      <c r="K793" t="s">
        <v>2652</v>
      </c>
      <c r="L793" s="64">
        <f>IF(AND(Tableau2[[#This Row],[CLASSE]]="CPU",Tableau2[[#This Row],[STATUT ]]="Admis"),1,0)</f>
        <v>1</v>
      </c>
      <c r="M793" s="64">
        <f>IF(AND(Tableau2[[#This Row],[CLASSE]]="CEU",Tableau2[[#This Row],[STATUT ]]="Admis"),1,0)</f>
        <v>0</v>
      </c>
      <c r="N793" s="64"/>
      <c r="O793" s="296"/>
      <c r="P79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4" spans="1:16" ht="21" x14ac:dyDescent="0.35">
      <c r="A794" s="310">
        <v>793</v>
      </c>
      <c r="B794" s="396" t="s">
        <v>2663</v>
      </c>
      <c r="C794" s="64" t="s">
        <v>2</v>
      </c>
      <c r="D794" s="295">
        <v>9</v>
      </c>
      <c r="E794" s="406">
        <v>6</v>
      </c>
      <c r="F794" s="482" t="s">
        <v>2009</v>
      </c>
      <c r="G794" s="396" t="s">
        <v>2030</v>
      </c>
      <c r="H794" s="300" t="str">
        <f>IF(Tableau2[[#This Row],[Moyennes]]="Absent","Absent",IF(Tableau2[[#This Row],[Moyennes]]&lt;5,"Redouble",IF(Tableau2[[#This Row],[Moyennes]]&gt;=5,"Admis"," ")))</f>
        <v>Admis</v>
      </c>
      <c r="J794" t="s">
        <v>663</v>
      </c>
      <c r="K794" t="s">
        <v>2652</v>
      </c>
      <c r="L794" s="64">
        <f>IF(AND(Tableau2[[#This Row],[CLASSE]]="CPU",Tableau2[[#This Row],[STATUT ]]="Admis"),1,0)</f>
        <v>1</v>
      </c>
      <c r="M794" s="64">
        <f>IF(AND(Tableau2[[#This Row],[CLASSE]]="CEU",Tableau2[[#This Row],[STATUT ]]="Admis"),1,0)</f>
        <v>0</v>
      </c>
      <c r="N794" s="64"/>
      <c r="O794" s="296"/>
      <c r="P79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5" spans="1:16" ht="21" x14ac:dyDescent="0.35">
      <c r="A795" s="310">
        <v>794</v>
      </c>
      <c r="B795" s="396" t="s">
        <v>2664</v>
      </c>
      <c r="C795" s="64" t="s">
        <v>2</v>
      </c>
      <c r="D795" s="295">
        <v>12</v>
      </c>
      <c r="E795" s="406">
        <v>6.12</v>
      </c>
      <c r="F795" s="482" t="s">
        <v>2009</v>
      </c>
      <c r="G795" s="396" t="s">
        <v>2025</v>
      </c>
      <c r="H795" s="300" t="str">
        <f>IF(Tableau2[[#This Row],[Moyennes]]="Absent","Absent",IF(Tableau2[[#This Row],[Moyennes]]&lt;5,"Redouble",IF(Tableau2[[#This Row],[Moyennes]]&gt;=5,"Admis"," ")))</f>
        <v>Admis</v>
      </c>
      <c r="J795" t="s">
        <v>663</v>
      </c>
      <c r="K795" t="s">
        <v>2652</v>
      </c>
      <c r="L795" s="64">
        <f>IF(AND(Tableau2[[#This Row],[CLASSE]]="CPU",Tableau2[[#This Row],[STATUT ]]="Admis"),1,0)</f>
        <v>1</v>
      </c>
      <c r="M795" s="64">
        <f>IF(AND(Tableau2[[#This Row],[CLASSE]]="CEU",Tableau2[[#This Row],[STATUT ]]="Admis"),1,0)</f>
        <v>0</v>
      </c>
      <c r="N795" s="64"/>
      <c r="O795" s="296"/>
      <c r="P79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796" spans="1:16" ht="21" x14ac:dyDescent="0.35">
      <c r="A796" s="310">
        <v>795</v>
      </c>
      <c r="B796" s="396" t="s">
        <v>2665</v>
      </c>
      <c r="C796" s="64" t="s">
        <v>1</v>
      </c>
      <c r="D796" s="295">
        <v>9</v>
      </c>
      <c r="E796" s="406">
        <v>7.62</v>
      </c>
      <c r="F796" s="482" t="s">
        <v>2009</v>
      </c>
      <c r="G796" s="396" t="s">
        <v>2089</v>
      </c>
      <c r="H796" s="300" t="str">
        <f>IF(Tableau2[[#This Row],[Moyennes]]="Absent","Absent",IF(Tableau2[[#This Row],[Moyennes]]&lt;5,"Redouble",IF(Tableau2[[#This Row],[Moyennes]]&gt;=5,"Admis"," ")))</f>
        <v>Admis</v>
      </c>
      <c r="J796" t="s">
        <v>663</v>
      </c>
      <c r="K796" t="s">
        <v>2652</v>
      </c>
      <c r="L796" s="64">
        <f>IF(AND(Tableau2[[#This Row],[CLASSE]]="CPU",Tableau2[[#This Row],[STATUT ]]="Admis"),1,0)</f>
        <v>1</v>
      </c>
      <c r="M796" s="64">
        <f>IF(AND(Tableau2[[#This Row],[CLASSE]]="CEU",Tableau2[[#This Row],[STATUT ]]="Admis"),1,0)</f>
        <v>0</v>
      </c>
      <c r="N796" s="64"/>
      <c r="O796" s="296"/>
      <c r="P79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7" spans="1:16" ht="21" x14ac:dyDescent="0.35">
      <c r="A797" s="310">
        <v>796</v>
      </c>
      <c r="B797" s="396" t="s">
        <v>2666</v>
      </c>
      <c r="C797" s="64" t="s">
        <v>2</v>
      </c>
      <c r="D797" s="295">
        <v>11</v>
      </c>
      <c r="E797" s="406">
        <v>6.25</v>
      </c>
      <c r="F797" s="482" t="s">
        <v>2009</v>
      </c>
      <c r="G797" s="396" t="s">
        <v>2042</v>
      </c>
      <c r="H797" s="300" t="str">
        <f>IF(Tableau2[[#This Row],[Moyennes]]="Absent","Absent",IF(Tableau2[[#This Row],[Moyennes]]&lt;5,"Redouble",IF(Tableau2[[#This Row],[Moyennes]]&gt;=5,"Admis"," ")))</f>
        <v>Admis</v>
      </c>
      <c r="J797" t="s">
        <v>663</v>
      </c>
      <c r="K797" t="s">
        <v>2652</v>
      </c>
      <c r="L797" s="64">
        <f>IF(AND(Tableau2[[#This Row],[CLASSE]]="CPU",Tableau2[[#This Row],[STATUT ]]="Admis"),1,0)</f>
        <v>1</v>
      </c>
      <c r="M797" s="64">
        <f>IF(AND(Tableau2[[#This Row],[CLASSE]]="CEU",Tableau2[[#This Row],[STATUT ]]="Admis"),1,0)</f>
        <v>0</v>
      </c>
      <c r="N797" s="64"/>
      <c r="O797" s="296"/>
      <c r="P79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8" spans="1:16" ht="21" x14ac:dyDescent="0.35">
      <c r="A798" s="310">
        <v>797</v>
      </c>
      <c r="B798" s="396" t="s">
        <v>2667</v>
      </c>
      <c r="C798" s="64" t="s">
        <v>1</v>
      </c>
      <c r="D798" s="295">
        <v>9</v>
      </c>
      <c r="E798" s="406">
        <v>6.12</v>
      </c>
      <c r="F798" s="482" t="s">
        <v>2009</v>
      </c>
      <c r="G798" s="396" t="s">
        <v>2025</v>
      </c>
      <c r="H798" s="300" t="str">
        <f>IF(Tableau2[[#This Row],[Moyennes]]="Absent","Absent",IF(Tableau2[[#This Row],[Moyennes]]&lt;5,"Redouble",IF(Tableau2[[#This Row],[Moyennes]]&gt;=5,"Admis"," ")))</f>
        <v>Admis</v>
      </c>
      <c r="J798" t="s">
        <v>663</v>
      </c>
      <c r="K798" t="s">
        <v>2652</v>
      </c>
      <c r="L798" s="64">
        <f>IF(AND(Tableau2[[#This Row],[CLASSE]]="CPU",Tableau2[[#This Row],[STATUT ]]="Admis"),1,0)</f>
        <v>1</v>
      </c>
      <c r="M798" s="64">
        <f>IF(AND(Tableau2[[#This Row],[CLASSE]]="CEU",Tableau2[[#This Row],[STATUT ]]="Admis"),1,0)</f>
        <v>0</v>
      </c>
      <c r="N798" s="64"/>
      <c r="O798" s="296"/>
      <c r="P79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799" spans="1:16" ht="21" x14ac:dyDescent="0.35">
      <c r="A799" s="310">
        <v>798</v>
      </c>
      <c r="B799" s="396" t="s">
        <v>2668</v>
      </c>
      <c r="C799" s="64" t="s">
        <v>2</v>
      </c>
      <c r="D799" s="295">
        <v>9</v>
      </c>
      <c r="E799" s="406">
        <v>7.37</v>
      </c>
      <c r="F799" s="482" t="s">
        <v>2009</v>
      </c>
      <c r="G799" s="396" t="s">
        <v>2033</v>
      </c>
      <c r="H799" s="300" t="str">
        <f>IF(Tableau2[[#This Row],[Moyennes]]="Absent","Absent",IF(Tableau2[[#This Row],[Moyennes]]&lt;5,"Redouble",IF(Tableau2[[#This Row],[Moyennes]]&gt;=5,"Admis"," ")))</f>
        <v>Admis</v>
      </c>
      <c r="J799" t="s">
        <v>663</v>
      </c>
      <c r="K799" t="s">
        <v>2652</v>
      </c>
      <c r="L799" s="64">
        <f>IF(AND(Tableau2[[#This Row],[CLASSE]]="CPU",Tableau2[[#This Row],[STATUT ]]="Admis"),1,0)</f>
        <v>1</v>
      </c>
      <c r="M799" s="64">
        <f>IF(AND(Tableau2[[#This Row],[CLASSE]]="CEU",Tableau2[[#This Row],[STATUT ]]="Admis"),1,0)</f>
        <v>0</v>
      </c>
      <c r="N799" s="64"/>
      <c r="O799" s="296"/>
      <c r="P79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00" spans="1:16" ht="21" x14ac:dyDescent="0.35">
      <c r="A800" s="310">
        <v>799</v>
      </c>
      <c r="B800" s="396" t="s">
        <v>2669</v>
      </c>
      <c r="C800" s="64" t="s">
        <v>1</v>
      </c>
      <c r="D800" s="295">
        <v>11</v>
      </c>
      <c r="E800" s="406">
        <v>5.37</v>
      </c>
      <c r="F800" s="482" t="s">
        <v>2009</v>
      </c>
      <c r="G800" s="396" t="s">
        <v>2078</v>
      </c>
      <c r="H800" s="300" t="str">
        <f>IF(Tableau2[[#This Row],[Moyennes]]="Absent","Absent",IF(Tableau2[[#This Row],[Moyennes]]&lt;5,"Redouble",IF(Tableau2[[#This Row],[Moyennes]]&gt;=5,"Admis"," ")))</f>
        <v>Admis</v>
      </c>
      <c r="J800" t="s">
        <v>663</v>
      </c>
      <c r="K800" t="s">
        <v>2652</v>
      </c>
      <c r="L800" s="64">
        <f>IF(AND(Tableau2[[#This Row],[CLASSE]]="CPU",Tableau2[[#This Row],[STATUT ]]="Admis"),1,0)</f>
        <v>1</v>
      </c>
      <c r="M800" s="64">
        <f>IF(AND(Tableau2[[#This Row],[CLASSE]]="CEU",Tableau2[[#This Row],[STATUT ]]="Admis"),1,0)</f>
        <v>0</v>
      </c>
      <c r="N800" s="64"/>
      <c r="O800" s="296"/>
      <c r="P80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01" spans="1:16" ht="21" x14ac:dyDescent="0.35">
      <c r="A801" s="310">
        <v>800</v>
      </c>
      <c r="B801" s="396" t="s">
        <v>2670</v>
      </c>
      <c r="C801" s="64" t="s">
        <v>1</v>
      </c>
      <c r="D801" s="295">
        <v>13</v>
      </c>
      <c r="E801" s="406">
        <v>5</v>
      </c>
      <c r="F801" s="482" t="s">
        <v>2009</v>
      </c>
      <c r="G801" s="396" t="s">
        <v>2037</v>
      </c>
      <c r="H801" s="300" t="str">
        <f>IF(Tableau2[[#This Row],[Moyennes]]="Absent","Absent",IF(Tableau2[[#This Row],[Moyennes]]&lt;5,"Redouble",IF(Tableau2[[#This Row],[Moyennes]]&gt;=5,"Admis"," ")))</f>
        <v>Admis</v>
      </c>
      <c r="J801" t="s">
        <v>663</v>
      </c>
      <c r="K801" t="s">
        <v>2652</v>
      </c>
      <c r="L801" s="64">
        <f>IF(AND(Tableau2[[#This Row],[CLASSE]]="CPU",Tableau2[[#This Row],[STATUT ]]="Admis"),1,0)</f>
        <v>1</v>
      </c>
      <c r="M801" s="64">
        <f>IF(AND(Tableau2[[#This Row],[CLASSE]]="CEU",Tableau2[[#This Row],[STATUT ]]="Admis"),1,0)</f>
        <v>0</v>
      </c>
      <c r="N801" s="64"/>
      <c r="O801" s="296"/>
      <c r="P80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02" spans="1:16" ht="21" x14ac:dyDescent="0.35">
      <c r="A802" s="310">
        <v>801</v>
      </c>
      <c r="B802" s="396" t="s">
        <v>3503</v>
      </c>
      <c r="C802" s="64" t="s">
        <v>2</v>
      </c>
      <c r="D802" s="295">
        <v>9</v>
      </c>
      <c r="E802" s="406">
        <v>7.5</v>
      </c>
      <c r="F802" s="482" t="s">
        <v>2009</v>
      </c>
      <c r="G802" s="396" t="s">
        <v>2021</v>
      </c>
      <c r="H802" s="300" t="str">
        <f>IF(Tableau2[[#This Row],[Moyennes]]="Absent","Absent",IF(Tableau2[[#This Row],[Moyennes]]&lt;5,"Redouble",IF(Tableau2[[#This Row],[Moyennes]]&gt;=5,"Admis"," ")))</f>
        <v>Admis</v>
      </c>
      <c r="J802" t="s">
        <v>663</v>
      </c>
      <c r="K802" t="s">
        <v>2652</v>
      </c>
      <c r="L802" s="64">
        <f>IF(AND(Tableau2[[#This Row],[CLASSE]]="CPU",Tableau2[[#This Row],[STATUT ]]="Admis"),1,0)</f>
        <v>1</v>
      </c>
      <c r="M802" s="64">
        <f>IF(AND(Tableau2[[#This Row],[CLASSE]]="CEU",Tableau2[[#This Row],[STATUT ]]="Admis"),1,0)</f>
        <v>0</v>
      </c>
      <c r="N802" s="64"/>
      <c r="O802" s="296"/>
      <c r="P80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03" spans="1:16" ht="21" x14ac:dyDescent="0.35">
      <c r="A803" s="310">
        <v>802</v>
      </c>
      <c r="B803" s="396" t="s">
        <v>2671</v>
      </c>
      <c r="C803" s="64" t="s">
        <v>2</v>
      </c>
      <c r="D803" s="295">
        <v>9</v>
      </c>
      <c r="E803" s="406">
        <v>4.12</v>
      </c>
      <c r="F803" s="482" t="s">
        <v>2009</v>
      </c>
      <c r="G803" s="396" t="s">
        <v>2040</v>
      </c>
      <c r="H803" s="300" t="str">
        <f>IF(Tableau2[[#This Row],[Moyennes]]="Absent","Absent",IF(Tableau2[[#This Row],[Moyennes]]&lt;5,"Redouble",IF(Tableau2[[#This Row],[Moyennes]]&gt;=5,"Admis"," ")))</f>
        <v>Redouble</v>
      </c>
      <c r="J803" t="s">
        <v>663</v>
      </c>
      <c r="K803" t="s">
        <v>2652</v>
      </c>
      <c r="L803" s="64">
        <f>IF(AND(Tableau2[[#This Row],[CLASSE]]="CPU",Tableau2[[#This Row],[STATUT ]]="Admis"),1,0)</f>
        <v>0</v>
      </c>
      <c r="M803" s="64">
        <f>IF(AND(Tableau2[[#This Row],[CLASSE]]="CEU",Tableau2[[#This Row],[STATUT ]]="Admis"),1,0)</f>
        <v>0</v>
      </c>
      <c r="N803" s="64"/>
      <c r="O803" s="296"/>
      <c r="P80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04" spans="1:16" ht="21" x14ac:dyDescent="0.35">
      <c r="A804" s="310">
        <v>803</v>
      </c>
      <c r="B804" s="396" t="s">
        <v>2672</v>
      </c>
      <c r="C804" s="64" t="s">
        <v>1</v>
      </c>
      <c r="D804" s="295">
        <v>9</v>
      </c>
      <c r="E804" s="406">
        <v>5.75</v>
      </c>
      <c r="F804" s="482" t="s">
        <v>2009</v>
      </c>
      <c r="G804" s="396" t="s">
        <v>2066</v>
      </c>
      <c r="H804" s="300" t="str">
        <f>IF(Tableau2[[#This Row],[Moyennes]]="Absent","Absent",IF(Tableau2[[#This Row],[Moyennes]]&lt;5,"Redouble",IF(Tableau2[[#This Row],[Moyennes]]&gt;=5,"Admis"," ")))</f>
        <v>Admis</v>
      </c>
      <c r="J804" t="s">
        <v>663</v>
      </c>
      <c r="K804" t="s">
        <v>2652</v>
      </c>
      <c r="L804" s="64">
        <f>IF(AND(Tableau2[[#This Row],[CLASSE]]="CPU",Tableau2[[#This Row],[STATUT ]]="Admis"),1,0)</f>
        <v>1</v>
      </c>
      <c r="M804" s="64">
        <f>IF(AND(Tableau2[[#This Row],[CLASSE]]="CEU",Tableau2[[#This Row],[STATUT ]]="Admis"),1,0)</f>
        <v>0</v>
      </c>
      <c r="N804" s="64"/>
      <c r="O804" s="296"/>
      <c r="P80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05" spans="1:16" ht="21" x14ac:dyDescent="0.35">
      <c r="A805" s="310">
        <v>804</v>
      </c>
      <c r="B805" s="396" t="s">
        <v>2673</v>
      </c>
      <c r="C805" s="64" t="s">
        <v>1</v>
      </c>
      <c r="D805" s="295">
        <v>9</v>
      </c>
      <c r="E805" s="406">
        <v>1.62</v>
      </c>
      <c r="F805" s="482" t="s">
        <v>2009</v>
      </c>
      <c r="G805" s="396" t="s">
        <v>2214</v>
      </c>
      <c r="H805" s="300" t="str">
        <f>IF(Tableau2[[#This Row],[Moyennes]]="Absent","Absent",IF(Tableau2[[#This Row],[Moyennes]]&lt;5,"Redouble",IF(Tableau2[[#This Row],[Moyennes]]&gt;=5,"Admis"," ")))</f>
        <v>Redouble</v>
      </c>
      <c r="J805" t="s">
        <v>663</v>
      </c>
      <c r="K805" t="s">
        <v>2652</v>
      </c>
      <c r="L805" s="64">
        <f>IF(AND(Tableau2[[#This Row],[CLASSE]]="CPU",Tableau2[[#This Row],[STATUT ]]="Admis"),1,0)</f>
        <v>0</v>
      </c>
      <c r="M805" s="64">
        <f>IF(AND(Tableau2[[#This Row],[CLASSE]]="CEU",Tableau2[[#This Row],[STATUT ]]="Admis"),1,0)</f>
        <v>0</v>
      </c>
      <c r="N805" s="64"/>
      <c r="O805" s="296"/>
      <c r="P80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06" spans="1:16" ht="21" x14ac:dyDescent="0.35">
      <c r="A806" s="310">
        <v>805</v>
      </c>
      <c r="B806" s="396" t="s">
        <v>2674</v>
      </c>
      <c r="C806" s="64" t="s">
        <v>2</v>
      </c>
      <c r="D806" s="295">
        <v>9</v>
      </c>
      <c r="E806" s="406">
        <v>4.37</v>
      </c>
      <c r="F806" s="482" t="s">
        <v>2009</v>
      </c>
      <c r="G806" s="396" t="s">
        <v>2014</v>
      </c>
      <c r="H806" s="300" t="str">
        <f>IF(Tableau2[[#This Row],[Moyennes]]="Absent","Absent",IF(Tableau2[[#This Row],[Moyennes]]&lt;5,"Redouble",IF(Tableau2[[#This Row],[Moyennes]]&gt;=5,"Admis"," ")))</f>
        <v>Redouble</v>
      </c>
      <c r="J806" t="s">
        <v>663</v>
      </c>
      <c r="K806" t="s">
        <v>2652</v>
      </c>
      <c r="L806" s="64">
        <f>IF(AND(Tableau2[[#This Row],[CLASSE]]="CPU",Tableau2[[#This Row],[STATUT ]]="Admis"),1,0)</f>
        <v>0</v>
      </c>
      <c r="M806" s="64">
        <f>IF(AND(Tableau2[[#This Row],[CLASSE]]="CEU",Tableau2[[#This Row],[STATUT ]]="Admis"),1,0)</f>
        <v>0</v>
      </c>
      <c r="N806" s="64"/>
      <c r="O806" s="296"/>
      <c r="P80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07" spans="1:16" ht="21" x14ac:dyDescent="0.35">
      <c r="A807" s="310">
        <v>806</v>
      </c>
      <c r="B807" s="396" t="s">
        <v>3504</v>
      </c>
      <c r="C807" s="64" t="s">
        <v>1</v>
      </c>
      <c r="D807" s="295">
        <v>9</v>
      </c>
      <c r="E807" s="406">
        <v>7.12</v>
      </c>
      <c r="F807" s="482" t="s">
        <v>2009</v>
      </c>
      <c r="G807" s="396" t="s">
        <v>2016</v>
      </c>
      <c r="H807" s="300" t="str">
        <f>IF(Tableau2[[#This Row],[Moyennes]]="Absent","Absent",IF(Tableau2[[#This Row],[Moyennes]]&lt;5,"Redouble",IF(Tableau2[[#This Row],[Moyennes]]&gt;=5,"Admis"," ")))</f>
        <v>Admis</v>
      </c>
      <c r="J807" t="s">
        <v>663</v>
      </c>
      <c r="K807" t="s">
        <v>2652</v>
      </c>
      <c r="L807" s="64">
        <f>IF(AND(Tableau2[[#This Row],[CLASSE]]="CPU",Tableau2[[#This Row],[STATUT ]]="Admis"),1,0)</f>
        <v>1</v>
      </c>
      <c r="M807" s="64">
        <f>IF(AND(Tableau2[[#This Row],[CLASSE]]="CEU",Tableau2[[#This Row],[STATUT ]]="Admis"),1,0)</f>
        <v>0</v>
      </c>
      <c r="N807" s="64"/>
      <c r="O807" s="296"/>
      <c r="P80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08" spans="1:16" ht="21" x14ac:dyDescent="0.35">
      <c r="A808" s="310">
        <v>807</v>
      </c>
      <c r="B808" s="396" t="s">
        <v>2675</v>
      </c>
      <c r="C808" s="64" t="s">
        <v>1</v>
      </c>
      <c r="D808" s="295">
        <v>10</v>
      </c>
      <c r="E808" s="406">
        <v>4.37</v>
      </c>
      <c r="F808" s="482" t="s">
        <v>2009</v>
      </c>
      <c r="G808" s="402">
        <v>8</v>
      </c>
      <c r="H808" s="300" t="str">
        <f>IF(Tableau2[[#This Row],[Moyennes]]="Absent","Absent",IF(Tableau2[[#This Row],[Moyennes]]&lt;5,"Redouble",IF(Tableau2[[#This Row],[Moyennes]]&gt;=5,"Admis"," ")))</f>
        <v>Redouble</v>
      </c>
      <c r="I808" s="486"/>
      <c r="J808" t="s">
        <v>663</v>
      </c>
      <c r="K808" t="s">
        <v>2695</v>
      </c>
      <c r="L808" s="64">
        <f>IF(AND(Tableau2[[#This Row],[CLASSE]]="CPU",Tableau2[[#This Row],[STATUT ]]="Admis"),1,0)</f>
        <v>0</v>
      </c>
      <c r="M808" s="64">
        <f>IF(AND(Tableau2[[#This Row],[CLASSE]]="CEU",Tableau2[[#This Row],[STATUT ]]="Admis"),1,0)</f>
        <v>0</v>
      </c>
      <c r="N808" s="64"/>
      <c r="O808" s="296"/>
      <c r="P80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09" spans="1:16" ht="21" x14ac:dyDescent="0.35">
      <c r="A809" s="310">
        <v>808</v>
      </c>
      <c r="B809" s="396" t="s">
        <v>2676</v>
      </c>
      <c r="C809" s="64" t="s">
        <v>1</v>
      </c>
      <c r="D809" s="295">
        <v>13</v>
      </c>
      <c r="E809" s="406">
        <v>4.37</v>
      </c>
      <c r="F809" s="482" t="s">
        <v>2009</v>
      </c>
      <c r="G809" s="402" t="s">
        <v>2027</v>
      </c>
      <c r="H809" s="300" t="str">
        <f>IF(Tableau2[[#This Row],[Moyennes]]="Absent","Absent",IF(Tableau2[[#This Row],[Moyennes]]&lt;5,"Redouble",IF(Tableau2[[#This Row],[Moyennes]]&gt;=5,"Admis"," ")))</f>
        <v>Redouble</v>
      </c>
      <c r="I809" s="486"/>
      <c r="J809" t="s">
        <v>663</v>
      </c>
      <c r="K809" t="s">
        <v>2695</v>
      </c>
      <c r="L809" s="64">
        <f>IF(AND(Tableau2[[#This Row],[CLASSE]]="CPU",Tableau2[[#This Row],[STATUT ]]="Admis"),1,0)</f>
        <v>0</v>
      </c>
      <c r="M809" s="64">
        <f>IF(AND(Tableau2[[#This Row],[CLASSE]]="CEU",Tableau2[[#This Row],[STATUT ]]="Admis"),1,0)</f>
        <v>0</v>
      </c>
      <c r="N809" s="64"/>
      <c r="O809" s="296"/>
      <c r="P80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10" spans="1:16" ht="21" x14ac:dyDescent="0.35">
      <c r="A810" s="310">
        <v>809</v>
      </c>
      <c r="B810" s="396" t="s">
        <v>3505</v>
      </c>
      <c r="C810" s="64" t="s">
        <v>1</v>
      </c>
      <c r="D810" s="295">
        <v>11</v>
      </c>
      <c r="E810" s="406">
        <v>6.75</v>
      </c>
      <c r="F810" s="482" t="s">
        <v>2009</v>
      </c>
      <c r="G810" s="402" t="s">
        <v>2010</v>
      </c>
      <c r="H810" s="300" t="str">
        <f>IF(Tableau2[[#This Row],[Moyennes]]="Absent","Absent",IF(Tableau2[[#This Row],[Moyennes]]&lt;5,"Redouble",IF(Tableau2[[#This Row],[Moyennes]]&gt;=5,"Admis"," ")))</f>
        <v>Admis</v>
      </c>
      <c r="I810" s="486"/>
      <c r="J810" t="s">
        <v>663</v>
      </c>
      <c r="K810" t="s">
        <v>2695</v>
      </c>
      <c r="L810" s="64">
        <f>IF(AND(Tableau2[[#This Row],[CLASSE]]="CPU",Tableau2[[#This Row],[STATUT ]]="Admis"),1,0)</f>
        <v>1</v>
      </c>
      <c r="M810" s="64">
        <f>IF(AND(Tableau2[[#This Row],[CLASSE]]="CEU",Tableau2[[#This Row],[STATUT ]]="Admis"),1,0)</f>
        <v>0</v>
      </c>
      <c r="N810" s="64"/>
      <c r="O810" s="296"/>
      <c r="P81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11" spans="1:16" ht="21" x14ac:dyDescent="0.35">
      <c r="A811" s="310">
        <v>810</v>
      </c>
      <c r="B811" s="396" t="s">
        <v>2677</v>
      </c>
      <c r="C811" s="64" t="s">
        <v>1</v>
      </c>
      <c r="D811" s="295">
        <v>14</v>
      </c>
      <c r="E811" s="492" t="s">
        <v>2165</v>
      </c>
      <c r="F811" s="305" t="s">
        <v>2009</v>
      </c>
      <c r="G811" s="492" t="s">
        <v>2165</v>
      </c>
      <c r="H811" s="300" t="str">
        <f>IF(Tableau2[[#This Row],[Moyennes]]="Absent","Absent",IF(Tableau2[[#This Row],[Moyennes]]&lt;5,"Redouble",IF(Tableau2[[#This Row],[Moyennes]]&gt;=5,"Admis"," ")))</f>
        <v>Absent</v>
      </c>
      <c r="I811" s="494"/>
      <c r="J811" s="17" t="s">
        <v>663</v>
      </c>
      <c r="K811" s="17" t="s">
        <v>2695</v>
      </c>
      <c r="L811" s="64">
        <f>IF(AND(Tableau2[[#This Row],[CLASSE]]="CPU",Tableau2[[#This Row],[STATUT ]]="Admis"),1,0)</f>
        <v>0</v>
      </c>
      <c r="M811" s="64">
        <f>IF(AND(Tableau2[[#This Row],[CLASSE]]="CEU",Tableau2[[#This Row],[STATUT ]]="Admis"),1,0)</f>
        <v>0</v>
      </c>
      <c r="N811" s="64"/>
      <c r="O811" s="296"/>
      <c r="P81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12" spans="1:16" ht="21" x14ac:dyDescent="0.35">
      <c r="A812" s="310">
        <v>811</v>
      </c>
      <c r="B812" s="403" t="s">
        <v>2678</v>
      </c>
      <c r="C812" s="411" t="s">
        <v>2</v>
      </c>
      <c r="D812" s="295">
        <v>10</v>
      </c>
      <c r="E812" s="406">
        <v>3.87</v>
      </c>
      <c r="F812" s="482" t="s">
        <v>2009</v>
      </c>
      <c r="G812" s="402" t="s">
        <v>2021</v>
      </c>
      <c r="H812" s="300" t="str">
        <f>IF(Tableau2[[#This Row],[Moyennes]]="Absent","Absent",IF(Tableau2[[#This Row],[Moyennes]]&lt;5,"Redouble",IF(Tableau2[[#This Row],[Moyennes]]&gt;=5,"Admis"," ")))</f>
        <v>Redouble</v>
      </c>
      <c r="I812" s="486"/>
      <c r="J812" t="s">
        <v>663</v>
      </c>
      <c r="K812" t="s">
        <v>2695</v>
      </c>
      <c r="L812" s="64">
        <f>IF(AND(Tableau2[[#This Row],[CLASSE]]="CPU",Tableau2[[#This Row],[STATUT ]]="Admis"),1,0)</f>
        <v>0</v>
      </c>
      <c r="M812" s="64">
        <f>IF(AND(Tableau2[[#This Row],[CLASSE]]="CEU",Tableau2[[#This Row],[STATUT ]]="Admis"),1,0)</f>
        <v>0</v>
      </c>
      <c r="N812" s="64"/>
      <c r="O812" s="296"/>
      <c r="P81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13" spans="1:16" ht="21" x14ac:dyDescent="0.35">
      <c r="A813" s="310">
        <v>812</v>
      </c>
      <c r="B813" s="396" t="s">
        <v>2679</v>
      </c>
      <c r="C813" s="64" t="s">
        <v>2</v>
      </c>
      <c r="D813" s="295">
        <v>14</v>
      </c>
      <c r="E813" s="406">
        <v>8</v>
      </c>
      <c r="F813" s="482" t="s">
        <v>2009</v>
      </c>
      <c r="G813" s="402" t="s">
        <v>2431</v>
      </c>
      <c r="H813" s="300" t="str">
        <f>IF(Tableau2[[#This Row],[Moyennes]]="Absent","Absent",IF(Tableau2[[#This Row],[Moyennes]]&lt;5,"Redouble",IF(Tableau2[[#This Row],[Moyennes]]&gt;=5,"Admis"," ")))</f>
        <v>Admis</v>
      </c>
      <c r="I813" s="486"/>
      <c r="J813" t="s">
        <v>663</v>
      </c>
      <c r="K813" t="s">
        <v>2695</v>
      </c>
      <c r="L813" s="64">
        <f>IF(AND(Tableau2[[#This Row],[CLASSE]]="CPU",Tableau2[[#This Row],[STATUT ]]="Admis"),1,0)</f>
        <v>1</v>
      </c>
      <c r="M813" s="64">
        <f>IF(AND(Tableau2[[#This Row],[CLASSE]]="CEU",Tableau2[[#This Row],[STATUT ]]="Admis"),1,0)</f>
        <v>0</v>
      </c>
      <c r="N813" s="64"/>
      <c r="O813" s="296"/>
      <c r="P81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14" spans="1:16" ht="21" x14ac:dyDescent="0.35">
      <c r="A814" s="310">
        <v>813</v>
      </c>
      <c r="B814" s="396" t="s">
        <v>2680</v>
      </c>
      <c r="C814" s="64" t="s">
        <v>1</v>
      </c>
      <c r="D814" s="295">
        <v>12</v>
      </c>
      <c r="E814" s="406">
        <v>6.37</v>
      </c>
      <c r="F814" s="482" t="s">
        <v>2009</v>
      </c>
      <c r="G814" s="396" t="s">
        <v>815</v>
      </c>
      <c r="H814" s="300" t="str">
        <f>IF(Tableau2[[#This Row],[Moyennes]]="Absent","Absent",IF(Tableau2[[#This Row],[Moyennes]]&lt;5,"Redouble",IF(Tableau2[[#This Row],[Moyennes]]&gt;=5,"Admis"," ")))</f>
        <v>Admis</v>
      </c>
      <c r="J814" t="s">
        <v>663</v>
      </c>
      <c r="K814" t="s">
        <v>2695</v>
      </c>
      <c r="L814" s="64">
        <f>IF(AND(Tableau2[[#This Row],[CLASSE]]="CPU",Tableau2[[#This Row],[STATUT ]]="Admis"),1,0)</f>
        <v>1</v>
      </c>
      <c r="M814" s="64">
        <f>IF(AND(Tableau2[[#This Row],[CLASSE]]="CEU",Tableau2[[#This Row],[STATUT ]]="Admis"),1,0)</f>
        <v>0</v>
      </c>
      <c r="N814" s="64"/>
      <c r="O814" s="296"/>
      <c r="P81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15" spans="1:16" ht="21" x14ac:dyDescent="0.35">
      <c r="A815" s="310">
        <v>814</v>
      </c>
      <c r="B815" s="396" t="s">
        <v>2681</v>
      </c>
      <c r="C815" s="64" t="s">
        <v>2</v>
      </c>
      <c r="D815" s="295">
        <v>14</v>
      </c>
      <c r="E815" s="492" t="s">
        <v>2165</v>
      </c>
      <c r="F815" s="305" t="s">
        <v>2009</v>
      </c>
      <c r="G815" s="492" t="s">
        <v>2165</v>
      </c>
      <c r="H815" s="300" t="str">
        <f>IF(Tableau2[[#This Row],[Moyennes]]="Absent","Absent",IF(Tableau2[[#This Row],[Moyennes]]&lt;5,"Redouble",IF(Tableau2[[#This Row],[Moyennes]]&gt;=5,"Admis"," ")))</f>
        <v>Absent</v>
      </c>
      <c r="I815" s="17"/>
      <c r="J815" s="17" t="s">
        <v>663</v>
      </c>
      <c r="K815" s="17" t="s">
        <v>2695</v>
      </c>
      <c r="L815" s="64">
        <f>IF(AND(Tableau2[[#This Row],[CLASSE]]="CPU",Tableau2[[#This Row],[STATUT ]]="Admis"),1,0)</f>
        <v>0</v>
      </c>
      <c r="M815" s="64">
        <f>IF(AND(Tableau2[[#This Row],[CLASSE]]="CEU",Tableau2[[#This Row],[STATUT ]]="Admis"),1,0)</f>
        <v>0</v>
      </c>
      <c r="N815" s="64"/>
      <c r="O815" s="296"/>
      <c r="P81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16" spans="1:16" ht="21" x14ac:dyDescent="0.35">
      <c r="A816" s="310">
        <v>815</v>
      </c>
      <c r="B816" s="396" t="s">
        <v>2682</v>
      </c>
      <c r="C816" s="64" t="s">
        <v>1</v>
      </c>
      <c r="D816" s="295">
        <v>10</v>
      </c>
      <c r="E816" s="406">
        <v>3.75</v>
      </c>
      <c r="F816" s="482" t="s">
        <v>2009</v>
      </c>
      <c r="G816" s="396" t="s">
        <v>2033</v>
      </c>
      <c r="H816" s="300" t="str">
        <f>IF(Tableau2[[#This Row],[Moyennes]]="Absent","Absent",IF(Tableau2[[#This Row],[Moyennes]]&lt;5,"Redouble",IF(Tableau2[[#This Row],[Moyennes]]&gt;=5,"Admis"," ")))</f>
        <v>Redouble</v>
      </c>
      <c r="J816" t="s">
        <v>663</v>
      </c>
      <c r="K816" t="s">
        <v>2695</v>
      </c>
      <c r="L816" s="64">
        <f>IF(AND(Tableau2[[#This Row],[CLASSE]]="CPU",Tableau2[[#This Row],[STATUT ]]="Admis"),1,0)</f>
        <v>0</v>
      </c>
      <c r="M816" s="64">
        <f>IF(AND(Tableau2[[#This Row],[CLASSE]]="CEU",Tableau2[[#This Row],[STATUT ]]="Admis"),1,0)</f>
        <v>0</v>
      </c>
      <c r="N816" s="64"/>
      <c r="O816" s="296"/>
      <c r="P81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CP2</v>
      </c>
    </row>
    <row r="817" spans="1:16" ht="21" x14ac:dyDescent="0.35">
      <c r="A817" s="310">
        <v>816</v>
      </c>
      <c r="B817" s="396" t="s">
        <v>2683</v>
      </c>
      <c r="C817" s="64" t="s">
        <v>1</v>
      </c>
      <c r="D817" s="295">
        <v>10</v>
      </c>
      <c r="E817" s="492" t="s">
        <v>2165</v>
      </c>
      <c r="F817" s="305" t="s">
        <v>2009</v>
      </c>
      <c r="G817" s="492" t="s">
        <v>2165</v>
      </c>
      <c r="H817" s="300" t="str">
        <f>IF(Tableau2[[#This Row],[Moyennes]]="Absent","Absent",IF(Tableau2[[#This Row],[Moyennes]]&lt;5,"Redouble",IF(Tableau2[[#This Row],[Moyennes]]&gt;=5,"Admis"," ")))</f>
        <v>Absent</v>
      </c>
      <c r="I817" s="17"/>
      <c r="J817" s="17" t="s">
        <v>663</v>
      </c>
      <c r="K817" s="17" t="s">
        <v>2695</v>
      </c>
      <c r="L817" s="64">
        <f>IF(AND(Tableau2[[#This Row],[CLASSE]]="CPU",Tableau2[[#This Row],[STATUT ]]="Admis"),1,0)</f>
        <v>0</v>
      </c>
      <c r="M817" s="64">
        <f>IF(AND(Tableau2[[#This Row],[CLASSE]]="CEU",Tableau2[[#This Row],[STATUT ]]="Admis"),1,0)</f>
        <v>0</v>
      </c>
      <c r="N817" s="64"/>
      <c r="O817" s="296"/>
      <c r="P81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18" spans="1:16" ht="21" x14ac:dyDescent="0.35">
      <c r="A818" s="310">
        <v>817</v>
      </c>
      <c r="B818" s="396" t="s">
        <v>2684</v>
      </c>
      <c r="C818" s="64" t="s">
        <v>1</v>
      </c>
      <c r="D818" s="295">
        <v>12</v>
      </c>
      <c r="E818" s="492" t="s">
        <v>2165</v>
      </c>
      <c r="F818" s="305" t="s">
        <v>2009</v>
      </c>
      <c r="G818" s="492" t="s">
        <v>2165</v>
      </c>
      <c r="H818" s="300" t="str">
        <f>IF(Tableau2[[#This Row],[Moyennes]]="Absent","Absent",IF(Tableau2[[#This Row],[Moyennes]]&lt;5,"Redouble",IF(Tableau2[[#This Row],[Moyennes]]&gt;=5,"Admis"," ")))</f>
        <v>Absent</v>
      </c>
      <c r="I818" s="17"/>
      <c r="J818" s="17" t="s">
        <v>663</v>
      </c>
      <c r="K818" s="17" t="s">
        <v>2695</v>
      </c>
      <c r="L818" s="64">
        <f>IF(AND(Tableau2[[#This Row],[CLASSE]]="CPU",Tableau2[[#This Row],[STATUT ]]="Admis"),1,0)</f>
        <v>0</v>
      </c>
      <c r="M818" s="64">
        <f>IF(AND(Tableau2[[#This Row],[CLASSE]]="CEU",Tableau2[[#This Row],[STATUT ]]="Admis"),1,0)</f>
        <v>0</v>
      </c>
      <c r="N818" s="64"/>
      <c r="O818" s="296"/>
      <c r="P81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19" spans="1:16" ht="21" x14ac:dyDescent="0.35">
      <c r="A819" s="310">
        <v>818</v>
      </c>
      <c r="B819" s="396" t="s">
        <v>2685</v>
      </c>
      <c r="C819" s="64" t="s">
        <v>1</v>
      </c>
      <c r="D819" s="295">
        <v>9</v>
      </c>
      <c r="E819" s="492" t="s">
        <v>2165</v>
      </c>
      <c r="F819" s="305" t="s">
        <v>2009</v>
      </c>
      <c r="G819" s="492" t="s">
        <v>2165</v>
      </c>
      <c r="H819" s="300" t="str">
        <f>IF(Tableau2[[#This Row],[Moyennes]]="Absent","Absent",IF(Tableau2[[#This Row],[Moyennes]]&lt;5,"Redouble",IF(Tableau2[[#This Row],[Moyennes]]&gt;=5,"Admis"," ")))</f>
        <v>Absent</v>
      </c>
      <c r="I819" s="17"/>
      <c r="J819" s="17" t="s">
        <v>663</v>
      </c>
      <c r="K819" s="17" t="s">
        <v>2695</v>
      </c>
      <c r="L819" s="64">
        <f>IF(AND(Tableau2[[#This Row],[CLASSE]]="CPU",Tableau2[[#This Row],[STATUT ]]="Admis"),1,0)</f>
        <v>0</v>
      </c>
      <c r="M819" s="64">
        <f>IF(AND(Tableau2[[#This Row],[CLASSE]]="CEU",Tableau2[[#This Row],[STATUT ]]="Admis"),1,0)</f>
        <v>0</v>
      </c>
      <c r="N819" s="64"/>
      <c r="O819" s="296"/>
      <c r="P81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20" spans="1:16" ht="21" x14ac:dyDescent="0.35">
      <c r="A820" s="310">
        <v>819</v>
      </c>
      <c r="B820" s="396" t="s">
        <v>2686</v>
      </c>
      <c r="C820" s="64" t="s">
        <v>1</v>
      </c>
      <c r="D820" s="295">
        <v>14</v>
      </c>
      <c r="E820" s="406">
        <v>6.12</v>
      </c>
      <c r="F820" s="482" t="s">
        <v>2009</v>
      </c>
      <c r="G820" s="396" t="s">
        <v>2012</v>
      </c>
      <c r="H820" s="300" t="str">
        <f>IF(Tableau2[[#This Row],[Moyennes]]="Absent","Absent",IF(Tableau2[[#This Row],[Moyennes]]&lt;5,"Redouble",IF(Tableau2[[#This Row],[Moyennes]]&gt;=5,"Admis"," ")))</f>
        <v>Admis</v>
      </c>
      <c r="J820" t="s">
        <v>663</v>
      </c>
      <c r="K820" t="s">
        <v>2695</v>
      </c>
      <c r="L820" s="64">
        <f>IF(AND(Tableau2[[#This Row],[CLASSE]]="CPU",Tableau2[[#This Row],[STATUT ]]="Admis"),1,0)</f>
        <v>1</v>
      </c>
      <c r="M820" s="64">
        <f>IF(AND(Tableau2[[#This Row],[CLASSE]]="CEU",Tableau2[[#This Row],[STATUT ]]="Admis"),1,0)</f>
        <v>0</v>
      </c>
      <c r="N820" s="64"/>
      <c r="O820" s="296"/>
      <c r="P82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21" spans="1:16" ht="21" x14ac:dyDescent="0.35">
      <c r="A821" s="310">
        <v>820</v>
      </c>
      <c r="B821" s="396" t="s">
        <v>2687</v>
      </c>
      <c r="C821" s="64" t="s">
        <v>1</v>
      </c>
      <c r="D821" s="295">
        <v>13</v>
      </c>
      <c r="E821" s="406">
        <v>5.5</v>
      </c>
      <c r="F821" s="482" t="s">
        <v>2009</v>
      </c>
      <c r="G821" s="396" t="s">
        <v>2018</v>
      </c>
      <c r="H821" s="300" t="str">
        <f>IF(Tableau2[[#This Row],[Moyennes]]="Absent","Absent",IF(Tableau2[[#This Row],[Moyennes]]&lt;5,"Redouble",IF(Tableau2[[#This Row],[Moyennes]]&gt;=5,"Admis"," ")))</f>
        <v>Admis</v>
      </c>
      <c r="J821" t="s">
        <v>663</v>
      </c>
      <c r="K821" t="s">
        <v>2695</v>
      </c>
      <c r="L821" s="64">
        <f>IF(AND(Tableau2[[#This Row],[CLASSE]]="CPU",Tableau2[[#This Row],[STATUT ]]="Admis"),1,0)</f>
        <v>1</v>
      </c>
      <c r="M821" s="64">
        <f>IF(AND(Tableau2[[#This Row],[CLASSE]]="CEU",Tableau2[[#This Row],[STATUT ]]="Admis"),1,0)</f>
        <v>0</v>
      </c>
      <c r="N821" s="64"/>
      <c r="O821" s="296"/>
      <c r="P82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CE2</v>
      </c>
    </row>
    <row r="822" spans="1:16" ht="21" x14ac:dyDescent="0.35">
      <c r="A822" s="310">
        <v>821</v>
      </c>
      <c r="B822" s="396" t="s">
        <v>3506</v>
      </c>
      <c r="C822" s="64" t="s">
        <v>1</v>
      </c>
      <c r="D822" s="295">
        <v>9</v>
      </c>
      <c r="E822" s="406">
        <v>5</v>
      </c>
      <c r="F822" s="482" t="s">
        <v>2009</v>
      </c>
      <c r="G822" s="396" t="s">
        <v>2048</v>
      </c>
      <c r="H822" s="300" t="str">
        <f>IF(Tableau2[[#This Row],[Moyennes]]="Absent","Absent",IF(Tableau2[[#This Row],[Moyennes]]&lt;5,"Redouble",IF(Tableau2[[#This Row],[Moyennes]]&gt;=5,"Admis"," ")))</f>
        <v>Admis</v>
      </c>
      <c r="J822" t="s">
        <v>663</v>
      </c>
      <c r="K822" t="s">
        <v>2695</v>
      </c>
      <c r="L822" s="64">
        <f>IF(AND(Tableau2[[#This Row],[CLASSE]]="CPU",Tableau2[[#This Row],[STATUT ]]="Admis"),1,0)</f>
        <v>1</v>
      </c>
      <c r="M822" s="64">
        <f>IF(AND(Tableau2[[#This Row],[CLASSE]]="CEU",Tableau2[[#This Row],[STATUT ]]="Admis"),1,0)</f>
        <v>0</v>
      </c>
      <c r="N822" s="64"/>
      <c r="O822" s="296"/>
      <c r="P82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23" spans="1:16" ht="21" x14ac:dyDescent="0.35">
      <c r="A823" s="310">
        <v>822</v>
      </c>
      <c r="B823" s="396" t="s">
        <v>2688</v>
      </c>
      <c r="C823" s="64" t="s">
        <v>1</v>
      </c>
      <c r="D823" s="295">
        <v>13</v>
      </c>
      <c r="E823" s="492" t="s">
        <v>2165</v>
      </c>
      <c r="F823" s="305" t="s">
        <v>2009</v>
      </c>
      <c r="G823" s="492" t="s">
        <v>2165</v>
      </c>
      <c r="H823" s="300" t="str">
        <f>IF(Tableau2[[#This Row],[Moyennes]]="Absent","Absent",IF(Tableau2[[#This Row],[Moyennes]]&lt;5,"Redouble",IF(Tableau2[[#This Row],[Moyennes]]&gt;=5,"Admis"," ")))</f>
        <v>Absent</v>
      </c>
      <c r="I823" s="17"/>
      <c r="J823" s="17" t="s">
        <v>663</v>
      </c>
      <c r="K823" s="17" t="s">
        <v>2695</v>
      </c>
      <c r="L823" s="64">
        <f>IF(AND(Tableau2[[#This Row],[CLASSE]]="CPU",Tableau2[[#This Row],[STATUT ]]="Admis"),1,0)</f>
        <v>0</v>
      </c>
      <c r="M823" s="64">
        <f>IF(AND(Tableau2[[#This Row],[CLASSE]]="CEU",Tableau2[[#This Row],[STATUT ]]="Admis"),1,0)</f>
        <v>0</v>
      </c>
      <c r="N823" s="64"/>
      <c r="O823" s="296"/>
      <c r="P82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24" spans="1:16" ht="21" x14ac:dyDescent="0.35">
      <c r="A824" s="310">
        <v>823</v>
      </c>
      <c r="B824" s="396" t="s">
        <v>2689</v>
      </c>
      <c r="C824" s="64" t="s">
        <v>2</v>
      </c>
      <c r="D824" s="295">
        <v>12</v>
      </c>
      <c r="E824" s="492" t="s">
        <v>2165</v>
      </c>
      <c r="F824" s="305" t="s">
        <v>2009</v>
      </c>
      <c r="G824" s="492" t="s">
        <v>2165</v>
      </c>
      <c r="H824" s="300" t="str">
        <f>IF(Tableau2[[#This Row],[Moyennes]]="Absent","Absent",IF(Tableau2[[#This Row],[Moyennes]]&lt;5,"Redouble",IF(Tableau2[[#This Row],[Moyennes]]&gt;=5,"Admis"," ")))</f>
        <v>Absent</v>
      </c>
      <c r="I824" s="17"/>
      <c r="J824" s="17" t="s">
        <v>663</v>
      </c>
      <c r="K824" s="17" t="s">
        <v>2695</v>
      </c>
      <c r="L824" s="64">
        <f>IF(AND(Tableau2[[#This Row],[CLASSE]]="CPU",Tableau2[[#This Row],[STATUT ]]="Admis"),1,0)</f>
        <v>0</v>
      </c>
      <c r="M824" s="64">
        <f>IF(AND(Tableau2[[#This Row],[CLASSE]]="CEU",Tableau2[[#This Row],[STATUT ]]="Admis"),1,0)</f>
        <v>0</v>
      </c>
      <c r="N824" s="64"/>
      <c r="O824" s="296"/>
      <c r="P82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25" spans="1:16" ht="21" x14ac:dyDescent="0.35">
      <c r="A825" s="310">
        <v>824</v>
      </c>
      <c r="B825" s="396" t="s">
        <v>2690</v>
      </c>
      <c r="C825" s="64" t="s">
        <v>2</v>
      </c>
      <c r="D825" s="295">
        <v>9</v>
      </c>
      <c r="E825" s="406">
        <v>5.37</v>
      </c>
      <c r="F825" s="482" t="s">
        <v>2009</v>
      </c>
      <c r="G825" s="396" t="s">
        <v>2044</v>
      </c>
      <c r="H825" s="300" t="str">
        <f>IF(Tableau2[[#This Row],[Moyennes]]="Absent","Absent",IF(Tableau2[[#This Row],[Moyennes]]&lt;5,"Redouble",IF(Tableau2[[#This Row],[Moyennes]]&gt;=5,"Admis"," ")))</f>
        <v>Admis</v>
      </c>
      <c r="J825" t="s">
        <v>663</v>
      </c>
      <c r="K825" t="s">
        <v>2695</v>
      </c>
      <c r="L825" s="64">
        <f>IF(AND(Tableau2[[#This Row],[CLASSE]]="CPU",Tableau2[[#This Row],[STATUT ]]="Admis"),1,0)</f>
        <v>1</v>
      </c>
      <c r="M825" s="64">
        <f>IF(AND(Tableau2[[#This Row],[CLASSE]]="CEU",Tableau2[[#This Row],[STATUT ]]="Admis"),1,0)</f>
        <v>0</v>
      </c>
      <c r="N825" s="64"/>
      <c r="O825" s="296"/>
      <c r="P82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CE1</v>
      </c>
    </row>
    <row r="826" spans="1:16" ht="21" x14ac:dyDescent="0.35">
      <c r="A826" s="310">
        <v>825</v>
      </c>
      <c r="B826" s="396" t="s">
        <v>2691</v>
      </c>
      <c r="C826" s="64" t="s">
        <v>2</v>
      </c>
      <c r="D826" s="295">
        <v>10</v>
      </c>
      <c r="E826" s="299" t="s">
        <v>2165</v>
      </c>
      <c r="F826" s="305" t="s">
        <v>2009</v>
      </c>
      <c r="G826" s="299" t="s">
        <v>2165</v>
      </c>
      <c r="H826" s="300" t="str">
        <f>IF(Tableau2[[#This Row],[Moyennes]]="Absent","Absent",IF(Tableau2[[#This Row],[Moyennes]]&lt;5,"Redouble",IF(Tableau2[[#This Row],[Moyennes]]&gt;=5,"Admis"," ")))</f>
        <v>Absent</v>
      </c>
      <c r="I826" s="17"/>
      <c r="J826" s="17" t="s">
        <v>663</v>
      </c>
      <c r="K826" s="17" t="s">
        <v>2695</v>
      </c>
      <c r="L826" s="64">
        <f>IF(AND(Tableau2[[#This Row],[CLASSE]]="CPU",Tableau2[[#This Row],[STATUT ]]="Admis"),1,0)</f>
        <v>0</v>
      </c>
      <c r="M826" s="64">
        <f>IF(AND(Tableau2[[#This Row],[CLASSE]]="CEU",Tableau2[[#This Row],[STATUT ]]="Admis"),1,0)</f>
        <v>0</v>
      </c>
      <c r="N826" s="64"/>
      <c r="O826" s="296"/>
      <c r="P82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27" spans="1:16" ht="21" x14ac:dyDescent="0.35">
      <c r="A827" s="310">
        <v>826</v>
      </c>
      <c r="B827" s="396" t="s">
        <v>2692</v>
      </c>
      <c r="C827" s="64" t="s">
        <v>1</v>
      </c>
      <c r="D827" s="295">
        <v>9</v>
      </c>
      <c r="E827" s="299" t="s">
        <v>2165</v>
      </c>
      <c r="F827" s="305" t="s">
        <v>2009</v>
      </c>
      <c r="G827" s="299" t="s">
        <v>2165</v>
      </c>
      <c r="H827" s="300" t="str">
        <f>IF(Tableau2[[#This Row],[Moyennes]]="Absent","Absent",IF(Tableau2[[#This Row],[Moyennes]]&lt;5,"Redouble",IF(Tableau2[[#This Row],[Moyennes]]&gt;=5,"Admis"," ")))</f>
        <v>Absent</v>
      </c>
      <c r="I827" s="17"/>
      <c r="J827" s="17" t="s">
        <v>663</v>
      </c>
      <c r="K827" s="17" t="s">
        <v>2695</v>
      </c>
      <c r="L827" s="316">
        <f>IF(AND(Tableau2[[#This Row],[CLASSE]]="CPU",Tableau2[[#This Row],[STATUT ]]="Admis"),1,0)</f>
        <v>0</v>
      </c>
      <c r="M827" s="316">
        <f>IF(AND(Tableau2[[#This Row],[CLASSE]]="CEU",Tableau2[[#This Row],[STATUT ]]="Admis"),1,0)</f>
        <v>0</v>
      </c>
      <c r="N827" s="316"/>
      <c r="O827" s="297"/>
      <c r="P82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28" spans="1:16" ht="21" x14ac:dyDescent="0.35">
      <c r="A828" s="310">
        <v>827</v>
      </c>
      <c r="B828" s="396" t="s">
        <v>2693</v>
      </c>
      <c r="C828" s="64" t="s">
        <v>1</v>
      </c>
      <c r="D828" s="295">
        <v>11</v>
      </c>
      <c r="E828" s="299" t="s">
        <v>2165</v>
      </c>
      <c r="F828" s="305" t="s">
        <v>2009</v>
      </c>
      <c r="G828" s="299" t="s">
        <v>2165</v>
      </c>
      <c r="H828" s="300" t="str">
        <f>IF(Tableau2[[#This Row],[Moyennes]]="Absent","Absent",IF(Tableau2[[#This Row],[Moyennes]]&lt;5,"Redouble",IF(Tableau2[[#This Row],[Moyennes]]&gt;=5,"Admis"," ")))</f>
        <v>Absent</v>
      </c>
      <c r="I828" s="17"/>
      <c r="J828" s="17" t="s">
        <v>663</v>
      </c>
      <c r="K828" s="17" t="s">
        <v>2695</v>
      </c>
      <c r="L828" s="64">
        <f>IF(AND(Tableau2[[#This Row],[CLASSE]]="CPU",Tableau2[[#This Row],[STATUT ]]="Admis"),1,0)</f>
        <v>0</v>
      </c>
      <c r="M828" s="64">
        <f>IF(AND(Tableau2[[#This Row],[CLASSE]]="CEU",Tableau2[[#This Row],[STATUT ]]="Admis"),1,0)</f>
        <v>0</v>
      </c>
      <c r="N828" s="64"/>
      <c r="O828" s="296"/>
      <c r="P82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29" spans="1:16" ht="21" x14ac:dyDescent="0.35">
      <c r="A829" s="310">
        <v>828</v>
      </c>
      <c r="B829" s="396" t="s">
        <v>2694</v>
      </c>
      <c r="C829" s="64" t="s">
        <v>1</v>
      </c>
      <c r="D829" s="295">
        <v>9</v>
      </c>
      <c r="E829" s="299" t="s">
        <v>2165</v>
      </c>
      <c r="F829" s="305" t="s">
        <v>2009</v>
      </c>
      <c r="G829" s="299" t="s">
        <v>2165</v>
      </c>
      <c r="H829" s="300" t="str">
        <f>IF(Tableau2[[#This Row],[Moyennes]]="Absent","Absent",IF(Tableau2[[#This Row],[Moyennes]]&lt;5,"Redouble",IF(Tableau2[[#This Row],[Moyennes]]&gt;=5,"Admis"," ")))</f>
        <v>Absent</v>
      </c>
      <c r="I829" s="17"/>
      <c r="J829" s="17" t="s">
        <v>663</v>
      </c>
      <c r="K829" s="17" t="s">
        <v>2695</v>
      </c>
      <c r="L829" s="64">
        <f>IF(AND(Tableau2[[#This Row],[CLASSE]]="CPU",Tableau2[[#This Row],[STATUT ]]="Admis"),1,0)</f>
        <v>0</v>
      </c>
      <c r="M829" s="64">
        <f>IF(AND(Tableau2[[#This Row],[CLASSE]]="CEU",Tableau2[[#This Row],[STATUT ]]="Admis"),1,0)</f>
        <v>0</v>
      </c>
      <c r="N829" s="64"/>
      <c r="O829" s="296"/>
      <c r="P82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0" spans="1:16" ht="21" x14ac:dyDescent="0.35">
      <c r="A830" s="310">
        <v>829</v>
      </c>
      <c r="B830" s="64" t="s">
        <v>3529</v>
      </c>
      <c r="C830" s="64" t="s">
        <v>2</v>
      </c>
      <c r="D830" s="295"/>
      <c r="E830" s="299" t="s">
        <v>2165</v>
      </c>
      <c r="F830" s="305" t="s">
        <v>2009</v>
      </c>
      <c r="G830" s="299" t="s">
        <v>2165</v>
      </c>
      <c r="H830" s="300" t="str">
        <f>IF(Tableau2[[#This Row],[Moyennes]]="Absent","Absent",IF(Tableau2[[#This Row],[Moyennes]]&lt;5,"Redouble",IF(Tableau2[[#This Row],[Moyennes]]&gt;=5,"Admis"," ")))</f>
        <v>Absent</v>
      </c>
      <c r="I830" s="427"/>
      <c r="J830" s="17" t="s">
        <v>663</v>
      </c>
      <c r="K830" s="17" t="s">
        <v>1590</v>
      </c>
      <c r="L830" s="64">
        <f>IF(AND(Tableau2[[#This Row],[CLASSE]]="CPU",Tableau2[[#This Row],[STATUT ]]="Admis"),1,0)</f>
        <v>0</v>
      </c>
      <c r="M830" s="64">
        <f>IF(AND(Tableau2[[#This Row],[CLASSE]]="CEU",Tableau2[[#This Row],[STATUT ]]="Admis"),1,0)</f>
        <v>0</v>
      </c>
      <c r="N830" s="64"/>
      <c r="O830" s="296"/>
      <c r="P83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1" spans="1:16" ht="21" x14ac:dyDescent="0.35">
      <c r="A831" s="310">
        <v>830</v>
      </c>
      <c r="B831" s="64" t="s">
        <v>3531</v>
      </c>
      <c r="C831" s="64" t="s">
        <v>2</v>
      </c>
      <c r="D831" s="295"/>
      <c r="E831" s="299" t="s">
        <v>2165</v>
      </c>
      <c r="F831" s="305" t="s">
        <v>2009</v>
      </c>
      <c r="G831" s="299" t="s">
        <v>2165</v>
      </c>
      <c r="H831" s="300" t="str">
        <f>IF(Tableau2[[#This Row],[Moyennes]]="Absent","Absent",IF(Tableau2[[#This Row],[Moyennes]]&lt;5,"Redouble",IF(Tableau2[[#This Row],[Moyennes]]&gt;=5,"Admis"," ")))</f>
        <v>Absent</v>
      </c>
      <c r="I831" s="427"/>
      <c r="J831" s="17" t="s">
        <v>663</v>
      </c>
      <c r="K831" s="17" t="s">
        <v>2652</v>
      </c>
      <c r="L831" s="64">
        <f>IF(AND(Tableau2[[#This Row],[CLASSE]]="CPU",Tableau2[[#This Row],[STATUT ]]="Admis"),1,0)</f>
        <v>0</v>
      </c>
      <c r="M831" s="64">
        <f>IF(AND(Tableau2[[#This Row],[CLASSE]]="CEU",Tableau2[[#This Row],[STATUT ]]="Admis"),1,0)</f>
        <v>0</v>
      </c>
      <c r="N831" s="64"/>
      <c r="O831" s="296"/>
      <c r="P83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2" spans="1:16" ht="21" x14ac:dyDescent="0.35">
      <c r="A832" s="310">
        <v>831</v>
      </c>
      <c r="B832" s="64" t="s">
        <v>3532</v>
      </c>
      <c r="C832" s="64" t="s">
        <v>2</v>
      </c>
      <c r="D832" s="295"/>
      <c r="E832" s="299" t="s">
        <v>2165</v>
      </c>
      <c r="F832" s="305" t="s">
        <v>2009</v>
      </c>
      <c r="G832" s="299" t="s">
        <v>2165</v>
      </c>
      <c r="H832" s="300" t="str">
        <f>IF(Tableau2[[#This Row],[Moyennes]]="Absent","Absent",IF(Tableau2[[#This Row],[Moyennes]]&lt;5,"Redouble",IF(Tableau2[[#This Row],[Moyennes]]&gt;=5,"Admis"," ")))</f>
        <v>Absent</v>
      </c>
      <c r="I832" s="427"/>
      <c r="J832" s="17" t="s">
        <v>663</v>
      </c>
      <c r="K832" s="17" t="s">
        <v>2652</v>
      </c>
      <c r="L832" s="64">
        <f>IF(AND(Tableau2[[#This Row],[CLASSE]]="CPU",Tableau2[[#This Row],[STATUT ]]="Admis"),1,0)</f>
        <v>0</v>
      </c>
      <c r="M832" s="64">
        <f>IF(AND(Tableau2[[#This Row],[CLASSE]]="CEU",Tableau2[[#This Row],[STATUT ]]="Admis"),1,0)</f>
        <v>0</v>
      </c>
      <c r="N832" s="64"/>
      <c r="O832" s="296"/>
      <c r="P83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3" spans="1:16" ht="21" x14ac:dyDescent="0.35">
      <c r="A833" s="310">
        <v>832</v>
      </c>
      <c r="B833" s="64" t="s">
        <v>3533</v>
      </c>
      <c r="C833" s="64" t="s">
        <v>2</v>
      </c>
      <c r="D833" s="295"/>
      <c r="E833" s="299" t="s">
        <v>2165</v>
      </c>
      <c r="F833" s="305" t="s">
        <v>2009</v>
      </c>
      <c r="G833" s="299" t="s">
        <v>2165</v>
      </c>
      <c r="H833" s="300" t="str">
        <f>IF(Tableau2[[#This Row],[Moyennes]]="Absent","Absent",IF(Tableau2[[#This Row],[Moyennes]]&lt;5,"Redouble",IF(Tableau2[[#This Row],[Moyennes]]&gt;=5,"Admis"," ")))</f>
        <v>Absent</v>
      </c>
      <c r="I833" s="427"/>
      <c r="J833" s="17" t="s">
        <v>663</v>
      </c>
      <c r="K833" s="17" t="s">
        <v>2652</v>
      </c>
      <c r="L833" s="64">
        <f>IF(AND(Tableau2[[#This Row],[CLASSE]]="CPU",Tableau2[[#This Row],[STATUT ]]="Admis"),1,0)</f>
        <v>0</v>
      </c>
      <c r="M833" s="64">
        <f>IF(AND(Tableau2[[#This Row],[CLASSE]]="CEU",Tableau2[[#This Row],[STATUT ]]="Admis"),1,0)</f>
        <v>0</v>
      </c>
      <c r="N833" s="64"/>
      <c r="O833" s="296"/>
      <c r="P83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4" spans="1:16" ht="21" x14ac:dyDescent="0.35">
      <c r="A834" s="310">
        <v>833</v>
      </c>
      <c r="B834" s="64" t="s">
        <v>3534</v>
      </c>
      <c r="C834" s="64" t="s">
        <v>2</v>
      </c>
      <c r="D834" s="295"/>
      <c r="E834" s="299" t="s">
        <v>2165</v>
      </c>
      <c r="F834" s="305" t="s">
        <v>2009</v>
      </c>
      <c r="G834" s="299" t="s">
        <v>2165</v>
      </c>
      <c r="H834" s="300" t="str">
        <f>IF(Tableau2[[#This Row],[Moyennes]]="Absent","Absent",IF(Tableau2[[#This Row],[Moyennes]]&lt;5,"Redouble",IF(Tableau2[[#This Row],[Moyennes]]&gt;=5,"Admis"," ")))</f>
        <v>Absent</v>
      </c>
      <c r="I834" s="427"/>
      <c r="J834" s="17" t="s">
        <v>663</v>
      </c>
      <c r="K834" s="17" t="s">
        <v>1738</v>
      </c>
      <c r="L834" s="64">
        <f>IF(AND(Tableau2[[#This Row],[CLASSE]]="CPU",Tableau2[[#This Row],[STATUT ]]="Admis"),1,0)</f>
        <v>0</v>
      </c>
      <c r="M834" s="64">
        <f>IF(AND(Tableau2[[#This Row],[CLASSE]]="CEU",Tableau2[[#This Row],[STATUT ]]="Admis"),1,0)</f>
        <v>0</v>
      </c>
      <c r="N834" s="64"/>
      <c r="O834" s="296"/>
      <c r="P83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5" spans="1:16" ht="21" x14ac:dyDescent="0.35">
      <c r="A835" s="310">
        <v>834</v>
      </c>
      <c r="B835" s="64" t="s">
        <v>3535</v>
      </c>
      <c r="C835" s="64" t="s">
        <v>2</v>
      </c>
      <c r="D835" s="295"/>
      <c r="E835" s="299" t="s">
        <v>2165</v>
      </c>
      <c r="F835" s="305" t="s">
        <v>2009</v>
      </c>
      <c r="G835" s="299" t="s">
        <v>2165</v>
      </c>
      <c r="H835" s="300" t="str">
        <f>IF(Tableau2[[#This Row],[Moyennes]]="Absent","Absent",IF(Tableau2[[#This Row],[Moyennes]]&lt;5,"Redouble",IF(Tableau2[[#This Row],[Moyennes]]&gt;=5,"Admis"," ")))</f>
        <v>Absent</v>
      </c>
      <c r="I835" s="427"/>
      <c r="J835" s="17" t="s">
        <v>663</v>
      </c>
      <c r="K835" s="334" t="s">
        <v>1738</v>
      </c>
      <c r="L835" s="64">
        <f>IF(AND(Tableau2[[#This Row],[CLASSE]]="CPU",Tableau2[[#This Row],[STATUT ]]="Admis"),1,0)</f>
        <v>0</v>
      </c>
      <c r="M835" s="64">
        <f>IF(AND(Tableau2[[#This Row],[CLASSE]]="CEU",Tableau2[[#This Row],[STATUT ]]="Admis"),1,0)</f>
        <v>0</v>
      </c>
      <c r="N835" s="64"/>
      <c r="O835" s="296"/>
      <c r="P83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6" spans="1:16" ht="21" x14ac:dyDescent="0.35">
      <c r="A836" s="310">
        <v>835</v>
      </c>
      <c r="B836" s="64" t="s">
        <v>3530</v>
      </c>
      <c r="C836" s="64" t="s">
        <v>1</v>
      </c>
      <c r="D836" s="295"/>
      <c r="E836" s="299" t="s">
        <v>2165</v>
      </c>
      <c r="F836" s="305" t="s">
        <v>2009</v>
      </c>
      <c r="G836" s="299" t="s">
        <v>2165</v>
      </c>
      <c r="H836" s="300" t="str">
        <f>IF(Tableau2[[#This Row],[Moyennes]]="Absent","Absent",IF(Tableau2[[#This Row],[Moyennes]]&lt;5,"Redouble",IF(Tableau2[[#This Row],[Moyennes]]&gt;=5,"Admis"," ")))</f>
        <v>Absent</v>
      </c>
      <c r="I836" s="427"/>
      <c r="J836" s="17" t="s">
        <v>663</v>
      </c>
      <c r="K836" s="17" t="s">
        <v>1307</v>
      </c>
      <c r="L836" s="64">
        <f>IF(AND(Tableau2[[#This Row],[CLASSE]]="CPU",Tableau2[[#This Row],[STATUT ]]="Admis"),1,0)</f>
        <v>0</v>
      </c>
      <c r="M836" s="64">
        <f>IF(AND(Tableau2[[#This Row],[CLASSE]]="CEU",Tableau2[[#This Row],[STATUT ]]="Admis"),1,0)</f>
        <v>0</v>
      </c>
      <c r="N836" s="64"/>
      <c r="O836" s="296"/>
      <c r="P83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7" spans="1:16" ht="21" x14ac:dyDescent="0.35">
      <c r="A837" s="310">
        <v>836</v>
      </c>
      <c r="B837" s="64" t="s">
        <v>3536</v>
      </c>
      <c r="C837" s="64" t="s">
        <v>1</v>
      </c>
      <c r="D837" s="295"/>
      <c r="E837" s="299" t="s">
        <v>2165</v>
      </c>
      <c r="F837" s="305" t="s">
        <v>2009</v>
      </c>
      <c r="G837" s="299" t="s">
        <v>2165</v>
      </c>
      <c r="H837" s="300" t="str">
        <f>IF(Tableau2[[#This Row],[Moyennes]]="Absent","Absent",IF(Tableau2[[#This Row],[Moyennes]]&lt;5,"Redouble",IF(Tableau2[[#This Row],[Moyennes]]&gt;=5,"Admis"," ")))</f>
        <v>Absent</v>
      </c>
      <c r="I837" s="427"/>
      <c r="J837" s="17" t="s">
        <v>663</v>
      </c>
      <c r="K837" s="17" t="s">
        <v>2652</v>
      </c>
      <c r="L837" s="64">
        <f>IF(AND(Tableau2[[#This Row],[CLASSE]]="CPU",Tableau2[[#This Row],[STATUT ]]="Admis"),1,0)</f>
        <v>0</v>
      </c>
      <c r="M837" s="64">
        <f>IF(AND(Tableau2[[#This Row],[CLASSE]]="CEU",Tableau2[[#This Row],[STATUT ]]="Admis"),1,0)</f>
        <v>0</v>
      </c>
      <c r="N837" s="64"/>
      <c r="O837" s="296"/>
      <c r="P83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8" spans="1:16" ht="21" x14ac:dyDescent="0.35">
      <c r="A838" s="310">
        <v>837</v>
      </c>
      <c r="B838" s="64" t="s">
        <v>3537</v>
      </c>
      <c r="C838" s="64" t="s">
        <v>1</v>
      </c>
      <c r="D838" s="295"/>
      <c r="E838" s="299" t="s">
        <v>2165</v>
      </c>
      <c r="F838" s="305" t="s">
        <v>2009</v>
      </c>
      <c r="G838" s="299" t="s">
        <v>2165</v>
      </c>
      <c r="H838" s="300" t="str">
        <f>IF(Tableau2[[#This Row],[Moyennes]]="Absent","Absent",IF(Tableau2[[#This Row],[Moyennes]]&lt;5,"Redouble",IF(Tableau2[[#This Row],[Moyennes]]&gt;=5,"Admis"," ")))</f>
        <v>Absent</v>
      </c>
      <c r="I838" s="427"/>
      <c r="J838" s="300" t="s">
        <v>660</v>
      </c>
      <c r="K838" s="334" t="s">
        <v>563</v>
      </c>
      <c r="L838" s="64">
        <f>IF(AND(Tableau2[[#This Row],[CLASSE]]="CPU",Tableau2[[#This Row],[STATUT ]]="Admis"),1,0)</f>
        <v>0</v>
      </c>
      <c r="M838" s="64">
        <f>IF(AND(Tableau2[[#This Row],[CLASSE]]="CEU",Tableau2[[#This Row],[STATUT ]]="Admis"),1,0)</f>
        <v>0</v>
      </c>
      <c r="N838" s="64"/>
      <c r="O838" s="296"/>
      <c r="P83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39" spans="1:16" ht="21" x14ac:dyDescent="0.35">
      <c r="A839" s="310">
        <v>838</v>
      </c>
      <c r="B839" s="64" t="s">
        <v>3538</v>
      </c>
      <c r="C839" s="64" t="s">
        <v>1</v>
      </c>
      <c r="D839" s="295"/>
      <c r="E839" s="299" t="s">
        <v>2165</v>
      </c>
      <c r="F839" s="305" t="s">
        <v>2009</v>
      </c>
      <c r="G839" s="299" t="s">
        <v>2165</v>
      </c>
      <c r="H839" s="300" t="str">
        <f>IF(Tableau2[[#This Row],[Moyennes]]="Absent","Absent",IF(Tableau2[[#This Row],[Moyennes]]&lt;5,"Redouble",IF(Tableau2[[#This Row],[Moyennes]]&gt;=5,"Admis"," ")))</f>
        <v>Absent</v>
      </c>
      <c r="I839" s="427"/>
      <c r="J839" s="300" t="s">
        <v>660</v>
      </c>
      <c r="K839" s="334" t="s">
        <v>355</v>
      </c>
      <c r="L839" s="64">
        <f>IF(AND(Tableau2[[#This Row],[CLASSE]]="CPU",Tableau2[[#This Row],[STATUT ]]="Admis"),1,0)</f>
        <v>0</v>
      </c>
      <c r="M839" s="64">
        <f>IF(AND(Tableau2[[#This Row],[CLASSE]]="CEU",Tableau2[[#This Row],[STATUT ]]="Admis"),1,0)</f>
        <v>0</v>
      </c>
      <c r="N839" s="64"/>
      <c r="O839" s="296"/>
      <c r="P83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0" spans="1:16" ht="21" x14ac:dyDescent="0.35">
      <c r="A840" s="310">
        <v>839</v>
      </c>
      <c r="B840" s="64" t="s">
        <v>3539</v>
      </c>
      <c r="C840" s="64" t="s">
        <v>1</v>
      </c>
      <c r="D840" s="295"/>
      <c r="E840" s="299" t="s">
        <v>2165</v>
      </c>
      <c r="F840" s="305" t="s">
        <v>2009</v>
      </c>
      <c r="G840" s="299" t="s">
        <v>2165</v>
      </c>
      <c r="H840" s="300" t="str">
        <f>IF(Tableau2[[#This Row],[Moyennes]]="Absent","Absent",IF(Tableau2[[#This Row],[Moyennes]]&lt;5,"Redouble",IF(Tableau2[[#This Row],[Moyennes]]&gt;=5,"Admis"," ")))</f>
        <v>Absent</v>
      </c>
      <c r="I840" s="427"/>
      <c r="J840" s="300" t="s">
        <v>660</v>
      </c>
      <c r="K840" s="334" t="s">
        <v>221</v>
      </c>
      <c r="L840" s="64">
        <f>IF(AND(Tableau2[[#This Row],[CLASSE]]="CPU",Tableau2[[#This Row],[STATUT ]]="Admis"),1,0)</f>
        <v>0</v>
      </c>
      <c r="M840" s="64">
        <f>IF(AND(Tableau2[[#This Row],[CLASSE]]="CEU",Tableau2[[#This Row],[STATUT ]]="Admis"),1,0)</f>
        <v>0</v>
      </c>
      <c r="N840" s="64"/>
      <c r="O840" s="296"/>
      <c r="P84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1" spans="1:16" ht="21" x14ac:dyDescent="0.35">
      <c r="A841" s="310">
        <v>840</v>
      </c>
      <c r="B841" s="64" t="s">
        <v>3540</v>
      </c>
      <c r="C841" s="64" t="s">
        <v>1</v>
      </c>
      <c r="D841" s="295"/>
      <c r="E841" s="299" t="s">
        <v>2165</v>
      </c>
      <c r="F841" s="305" t="s">
        <v>2009</v>
      </c>
      <c r="G841" s="299" t="s">
        <v>2165</v>
      </c>
      <c r="H841" s="300" t="str">
        <f>IF(Tableau2[[#This Row],[Moyennes]]="Absent","Absent",IF(Tableau2[[#This Row],[Moyennes]]&lt;5,"Redouble",IF(Tableau2[[#This Row],[Moyennes]]&gt;=5,"Admis"," ")))</f>
        <v>Absent</v>
      </c>
      <c r="I841" s="427"/>
      <c r="J841" s="300" t="s">
        <v>662</v>
      </c>
      <c r="K841" s="334" t="s">
        <v>714</v>
      </c>
      <c r="L841" s="64">
        <f>IF(AND(Tableau2[[#This Row],[CLASSE]]="CPU",Tableau2[[#This Row],[STATUT ]]="Admis"),1,0)</f>
        <v>0</v>
      </c>
      <c r="M841" s="64">
        <f>IF(AND(Tableau2[[#This Row],[CLASSE]]="CEU",Tableau2[[#This Row],[STATUT ]]="Admis"),1,0)</f>
        <v>0</v>
      </c>
      <c r="N841" s="64"/>
      <c r="O841" s="296"/>
      <c r="P84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2" spans="1:16" ht="21" x14ac:dyDescent="0.35">
      <c r="A842" s="310">
        <v>841</v>
      </c>
      <c r="B842" s="64" t="s">
        <v>3541</v>
      </c>
      <c r="C842" s="64" t="s">
        <v>1</v>
      </c>
      <c r="D842" s="295"/>
      <c r="E842" s="299" t="s">
        <v>2165</v>
      </c>
      <c r="F842" s="305" t="s">
        <v>2009</v>
      </c>
      <c r="G842" s="299" t="s">
        <v>2165</v>
      </c>
      <c r="H842" s="300" t="str">
        <f>IF(Tableau2[[#This Row],[Moyennes]]="Absent","Absent",IF(Tableau2[[#This Row],[Moyennes]]&lt;5,"Redouble",IF(Tableau2[[#This Row],[Moyennes]]&gt;=5,"Admis"," ")))</f>
        <v>Absent</v>
      </c>
      <c r="I842" s="427"/>
      <c r="J842" s="300" t="s">
        <v>662</v>
      </c>
      <c r="K842" s="334" t="s">
        <v>2163</v>
      </c>
      <c r="L842" s="64">
        <f>IF(AND(Tableau2[[#This Row],[CLASSE]]="CPU",Tableau2[[#This Row],[STATUT ]]="Admis"),1,0)</f>
        <v>0</v>
      </c>
      <c r="M842" s="64">
        <f>IF(AND(Tableau2[[#This Row],[CLASSE]]="CEU",Tableau2[[#This Row],[STATUT ]]="Admis"),1,0)</f>
        <v>0</v>
      </c>
      <c r="N842" s="64"/>
      <c r="O842" s="296"/>
      <c r="P84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3" spans="1:16" ht="21" x14ac:dyDescent="0.35">
      <c r="A843" s="310">
        <v>842</v>
      </c>
      <c r="B843" s="64" t="s">
        <v>3542</v>
      </c>
      <c r="C843" s="64" t="s">
        <v>1</v>
      </c>
      <c r="D843" s="295"/>
      <c r="E843" s="299" t="s">
        <v>2165</v>
      </c>
      <c r="F843" s="305" t="s">
        <v>2009</v>
      </c>
      <c r="G843" s="299" t="s">
        <v>2165</v>
      </c>
      <c r="H843" s="300" t="str">
        <f>IF(Tableau2[[#This Row],[Moyennes]]="Absent","Absent",IF(Tableau2[[#This Row],[Moyennes]]&lt;5,"Redouble",IF(Tableau2[[#This Row],[Moyennes]]&gt;=5,"Admis"," ")))</f>
        <v>Absent</v>
      </c>
      <c r="I843" s="427"/>
      <c r="J843" s="300" t="s">
        <v>662</v>
      </c>
      <c r="K843" s="334" t="s">
        <v>2198</v>
      </c>
      <c r="L843" s="64">
        <f>IF(AND(Tableau2[[#This Row],[CLASSE]]="CPU",Tableau2[[#This Row],[STATUT ]]="Admis"),1,0)</f>
        <v>0</v>
      </c>
      <c r="M843" s="64">
        <f>IF(AND(Tableau2[[#This Row],[CLASSE]]="CEU",Tableau2[[#This Row],[STATUT ]]="Admis"),1,0)</f>
        <v>0</v>
      </c>
      <c r="N843" s="64"/>
      <c r="O843" s="296"/>
      <c r="P84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4" spans="1:16" ht="21" x14ac:dyDescent="0.35">
      <c r="A844" s="310">
        <v>843</v>
      </c>
      <c r="B844" s="64" t="s">
        <v>3543</v>
      </c>
      <c r="C844" s="64" t="s">
        <v>1</v>
      </c>
      <c r="D844" s="295"/>
      <c r="E844" s="299" t="s">
        <v>2165</v>
      </c>
      <c r="F844" s="305" t="s">
        <v>2009</v>
      </c>
      <c r="G844" s="299" t="s">
        <v>2165</v>
      </c>
      <c r="H844" s="300" t="str">
        <f>IF(Tableau2[[#This Row],[Moyennes]]="Absent","Absent",IF(Tableau2[[#This Row],[Moyennes]]&lt;5,"Redouble",IF(Tableau2[[#This Row],[Moyennes]]&gt;=5,"Admis"," ")))</f>
        <v>Absent</v>
      </c>
      <c r="I844" s="427"/>
      <c r="J844" s="300" t="s">
        <v>662</v>
      </c>
      <c r="K844" s="334" t="s">
        <v>2096</v>
      </c>
      <c r="L844" s="64">
        <f>IF(AND(Tableau2[[#This Row],[CLASSE]]="CPU",Tableau2[[#This Row],[STATUT ]]="Admis"),1,0)</f>
        <v>0</v>
      </c>
      <c r="M844" s="64">
        <f>IF(AND(Tableau2[[#This Row],[CLASSE]]="CEU",Tableau2[[#This Row],[STATUT ]]="Admis"),1,0)</f>
        <v>0</v>
      </c>
      <c r="N844" s="64"/>
      <c r="O844" s="296"/>
      <c r="P84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5" spans="1:16" ht="21" x14ac:dyDescent="0.35">
      <c r="A845" s="310">
        <v>844</v>
      </c>
      <c r="B845" s="64" t="s">
        <v>3544</v>
      </c>
      <c r="C845" s="64" t="s">
        <v>1</v>
      </c>
      <c r="D845" s="295"/>
      <c r="E845" s="299" t="s">
        <v>2165</v>
      </c>
      <c r="F845" s="305" t="s">
        <v>2009</v>
      </c>
      <c r="G845" s="299" t="s">
        <v>2165</v>
      </c>
      <c r="H845" s="300" t="str">
        <f>IF(Tableau2[[#This Row],[Moyennes]]="Absent","Absent",IF(Tableau2[[#This Row],[Moyennes]]&lt;5,"Redouble",IF(Tableau2[[#This Row],[Moyennes]]&gt;=5,"Admis"," ")))</f>
        <v>Absent</v>
      </c>
      <c r="I845" s="427"/>
      <c r="J845" s="300" t="s">
        <v>662</v>
      </c>
      <c r="K845" s="334" t="s">
        <v>2096</v>
      </c>
      <c r="L845" s="64">
        <f>IF(AND(Tableau2[[#This Row],[CLASSE]]="CPU",Tableau2[[#This Row],[STATUT ]]="Admis"),1,0)</f>
        <v>0</v>
      </c>
      <c r="M845" s="64">
        <f>IF(AND(Tableau2[[#This Row],[CLASSE]]="CEU",Tableau2[[#This Row],[STATUT ]]="Admis"),1,0)</f>
        <v>0</v>
      </c>
      <c r="N845" s="64"/>
      <c r="O845" s="296"/>
      <c r="P84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6" spans="1:16" ht="21" x14ac:dyDescent="0.35">
      <c r="A846" s="310">
        <v>845</v>
      </c>
      <c r="B846" s="64" t="s">
        <v>3545</v>
      </c>
      <c r="C846" s="64" t="s">
        <v>1</v>
      </c>
      <c r="D846" s="295"/>
      <c r="E846" s="299" t="s">
        <v>2165</v>
      </c>
      <c r="F846" s="305" t="s">
        <v>2009</v>
      </c>
      <c r="G846" s="299" t="s">
        <v>2165</v>
      </c>
      <c r="H846" s="300" t="str">
        <f>IF(Tableau2[[#This Row],[Moyennes]]="Absent","Absent",IF(Tableau2[[#This Row],[Moyennes]]&lt;5,"Redouble",IF(Tableau2[[#This Row],[Moyennes]]&gt;=5,"Admis"," ")))</f>
        <v>Absent</v>
      </c>
      <c r="I846" s="427"/>
      <c r="J846" s="300" t="s">
        <v>662</v>
      </c>
      <c r="K846" s="334" t="s">
        <v>2116</v>
      </c>
      <c r="L846" s="64">
        <f>IF(AND(Tableau2[[#This Row],[CLASSE]]="CPU",Tableau2[[#This Row],[STATUT ]]="Admis"),1,0)</f>
        <v>0</v>
      </c>
      <c r="M846" s="64">
        <f>IF(AND(Tableau2[[#This Row],[CLASSE]]="CEU",Tableau2[[#This Row],[STATUT ]]="Admis"),1,0)</f>
        <v>0</v>
      </c>
      <c r="N846" s="64"/>
      <c r="O846" s="296"/>
      <c r="P84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7" spans="1:16" ht="21" x14ac:dyDescent="0.35">
      <c r="A847" s="310">
        <v>846</v>
      </c>
      <c r="B847" s="64" t="s">
        <v>3546</v>
      </c>
      <c r="C847" s="64" t="s">
        <v>1</v>
      </c>
      <c r="D847" s="295"/>
      <c r="E847" s="299" t="s">
        <v>2165</v>
      </c>
      <c r="F847" s="305" t="s">
        <v>2009</v>
      </c>
      <c r="G847" s="299" t="s">
        <v>2165</v>
      </c>
      <c r="H847" s="300" t="str">
        <f>IF(Tableau2[[#This Row],[Moyennes]]="Absent","Absent",IF(Tableau2[[#This Row],[Moyennes]]&lt;5,"Redouble",IF(Tableau2[[#This Row],[Moyennes]]&gt;=5,"Admis"," ")))</f>
        <v>Absent</v>
      </c>
      <c r="I847" s="427"/>
      <c r="J847" s="300" t="s">
        <v>662</v>
      </c>
      <c r="K847" s="334" t="s">
        <v>2116</v>
      </c>
      <c r="L847" s="64">
        <f>IF(AND(Tableau2[[#This Row],[CLASSE]]="CPU",Tableau2[[#This Row],[STATUT ]]="Admis"),1,0)</f>
        <v>0</v>
      </c>
      <c r="M847" s="64">
        <f>IF(AND(Tableau2[[#This Row],[CLASSE]]="CEU",Tableau2[[#This Row],[STATUT ]]="Admis"),1,0)</f>
        <v>0</v>
      </c>
      <c r="N847" s="64"/>
      <c r="O847" s="296"/>
      <c r="P847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8" spans="1:16" ht="21" x14ac:dyDescent="0.35">
      <c r="A848" s="310">
        <v>847</v>
      </c>
      <c r="B848" s="64" t="s">
        <v>3547</v>
      </c>
      <c r="C848" s="64" t="s">
        <v>1</v>
      </c>
      <c r="D848" s="295"/>
      <c r="E848" s="299" t="s">
        <v>2165</v>
      </c>
      <c r="F848" s="305" t="s">
        <v>2009</v>
      </c>
      <c r="G848" s="299" t="s">
        <v>2165</v>
      </c>
      <c r="H848" s="300" t="str">
        <f>IF(Tableau2[[#This Row],[Moyennes]]="Absent","Absent",IF(Tableau2[[#This Row],[Moyennes]]&lt;5,"Redouble",IF(Tableau2[[#This Row],[Moyennes]]&gt;=5,"Admis"," ")))</f>
        <v>Absent</v>
      </c>
      <c r="I848" s="427"/>
      <c r="J848" s="300" t="s">
        <v>662</v>
      </c>
      <c r="K848" s="334" t="s">
        <v>2116</v>
      </c>
      <c r="L848" s="64">
        <f>IF(AND(Tableau2[[#This Row],[CLASSE]]="CPU",Tableau2[[#This Row],[STATUT ]]="Admis"),1,0)</f>
        <v>0</v>
      </c>
      <c r="M848" s="64">
        <f>IF(AND(Tableau2[[#This Row],[CLASSE]]="CEU",Tableau2[[#This Row],[STATUT ]]="Admis"),1,0)</f>
        <v>0</v>
      </c>
      <c r="N848" s="64"/>
      <c r="O848" s="296"/>
      <c r="P848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49" spans="1:23" ht="21" x14ac:dyDescent="0.35">
      <c r="A849" s="310">
        <v>848</v>
      </c>
      <c r="B849" s="64" t="s">
        <v>3548</v>
      </c>
      <c r="C849" s="64" t="s">
        <v>1</v>
      </c>
      <c r="D849" s="295"/>
      <c r="E849" s="299" t="s">
        <v>2165</v>
      </c>
      <c r="F849" s="305" t="s">
        <v>2009</v>
      </c>
      <c r="G849" s="299" t="s">
        <v>2165</v>
      </c>
      <c r="H849" s="300" t="str">
        <f>IF(Tableau2[[#This Row],[Moyennes]]="Absent","Absent",IF(Tableau2[[#This Row],[Moyennes]]&lt;5,"Redouble",IF(Tableau2[[#This Row],[Moyennes]]&gt;=5,"Admis"," ")))</f>
        <v>Absent</v>
      </c>
      <c r="I849" s="427"/>
      <c r="J849" s="300" t="s">
        <v>662</v>
      </c>
      <c r="K849" s="334" t="s">
        <v>2116</v>
      </c>
      <c r="L849" s="64">
        <f>IF(AND(Tableau2[[#This Row],[CLASSE]]="CPU",Tableau2[[#This Row],[STATUT ]]="Admis"),1,0)</f>
        <v>0</v>
      </c>
      <c r="M849" s="64">
        <f>IF(AND(Tableau2[[#This Row],[CLASSE]]="CEU",Tableau2[[#This Row],[STATUT ]]="Admis"),1,0)</f>
        <v>0</v>
      </c>
      <c r="N849" s="64"/>
      <c r="O849" s="296"/>
      <c r="P849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0" spans="1:23" ht="21" x14ac:dyDescent="0.35">
      <c r="A850" s="310">
        <v>849</v>
      </c>
      <c r="B850" s="64" t="s">
        <v>3549</v>
      </c>
      <c r="C850" s="64" t="s">
        <v>1</v>
      </c>
      <c r="D850" s="295"/>
      <c r="E850" s="299" t="s">
        <v>2165</v>
      </c>
      <c r="F850" s="305" t="s">
        <v>2009</v>
      </c>
      <c r="G850" s="299" t="s">
        <v>2165</v>
      </c>
      <c r="H850" s="300" t="str">
        <f>IF(Tableau2[[#This Row],[Moyennes]]="Absent","Absent",IF(Tableau2[[#This Row],[Moyennes]]&lt;5,"Redouble",IF(Tableau2[[#This Row],[Moyennes]]&gt;=5,"Admis"," ")))</f>
        <v>Absent</v>
      </c>
      <c r="I850" s="427"/>
      <c r="J850" s="300" t="s">
        <v>662</v>
      </c>
      <c r="K850" s="334" t="s">
        <v>2116</v>
      </c>
      <c r="L850" s="64">
        <f>IF(AND(Tableau2[[#This Row],[CLASSE]]="CPU",Tableau2[[#This Row],[STATUT ]]="Admis"),1,0)</f>
        <v>0</v>
      </c>
      <c r="M850" s="64">
        <f>IF(AND(Tableau2[[#This Row],[CLASSE]]="CEU",Tableau2[[#This Row],[STATUT ]]="Admis"),1,0)</f>
        <v>0</v>
      </c>
      <c r="N850" s="64"/>
      <c r="O850" s="296"/>
      <c r="P850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1" spans="1:23" ht="21" x14ac:dyDescent="0.35">
      <c r="A851" s="310">
        <v>850</v>
      </c>
      <c r="B851" s="64" t="s">
        <v>3550</v>
      </c>
      <c r="C851" s="64" t="s">
        <v>1</v>
      </c>
      <c r="D851" s="295"/>
      <c r="E851" s="299" t="s">
        <v>2165</v>
      </c>
      <c r="F851" s="305" t="s">
        <v>2009</v>
      </c>
      <c r="G851" s="299" t="s">
        <v>2165</v>
      </c>
      <c r="H851" s="300" t="str">
        <f>IF(Tableau2[[#This Row],[Moyennes]]="Absent","Absent",IF(Tableau2[[#This Row],[Moyennes]]&lt;5,"Redouble",IF(Tableau2[[#This Row],[Moyennes]]&gt;=5,"Admis"," ")))</f>
        <v>Absent</v>
      </c>
      <c r="I851" s="427"/>
      <c r="J851" s="300" t="s">
        <v>662</v>
      </c>
      <c r="K851" s="334" t="s">
        <v>2116</v>
      </c>
      <c r="L851" s="64">
        <f>IF(AND(Tableau2[[#This Row],[CLASSE]]="CPU",Tableau2[[#This Row],[STATUT ]]="Admis"),1,0)</f>
        <v>0</v>
      </c>
      <c r="M851" s="64">
        <f>IF(AND(Tableau2[[#This Row],[CLASSE]]="CEU",Tableau2[[#This Row],[STATUT ]]="Admis"),1,0)</f>
        <v>0</v>
      </c>
      <c r="N851" s="64"/>
      <c r="O851" s="296"/>
      <c r="P851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2" spans="1:23" ht="21" x14ac:dyDescent="0.35">
      <c r="A852" s="310">
        <v>851</v>
      </c>
      <c r="B852" s="64" t="s">
        <v>3551</v>
      </c>
      <c r="C852" s="64" t="s">
        <v>1</v>
      </c>
      <c r="D852" s="295"/>
      <c r="E852" s="299" t="s">
        <v>2165</v>
      </c>
      <c r="F852" s="305" t="s">
        <v>2009</v>
      </c>
      <c r="G852" s="299" t="s">
        <v>2165</v>
      </c>
      <c r="H852" s="300" t="str">
        <f>IF(Tableau2[[#This Row],[Moyennes]]="Absent","Absent",IF(Tableau2[[#This Row],[Moyennes]]&lt;5,"Redouble",IF(Tableau2[[#This Row],[Moyennes]]&gt;=5,"Admis"," ")))</f>
        <v>Absent</v>
      </c>
      <c r="I852" s="427"/>
      <c r="J852" s="300" t="s">
        <v>662</v>
      </c>
      <c r="K852" s="334" t="s">
        <v>2116</v>
      </c>
      <c r="L852" s="64">
        <f>IF(AND(Tableau2[[#This Row],[CLASSE]]="CPU",Tableau2[[#This Row],[STATUT ]]="Admis"),1,0)</f>
        <v>0</v>
      </c>
      <c r="M852" s="64">
        <f>IF(AND(Tableau2[[#This Row],[CLASSE]]="CEU",Tableau2[[#This Row],[STATUT ]]="Admis"),1,0)</f>
        <v>0</v>
      </c>
      <c r="N852" s="64"/>
      <c r="O852" s="296"/>
      <c r="P852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3" spans="1:23" ht="21" x14ac:dyDescent="0.35">
      <c r="A853" s="310">
        <v>852</v>
      </c>
      <c r="B853" s="64" t="s">
        <v>3552</v>
      </c>
      <c r="C853" s="64" t="s">
        <v>1</v>
      </c>
      <c r="D853" s="295"/>
      <c r="E853" s="299" t="s">
        <v>2165</v>
      </c>
      <c r="F853" s="305" t="s">
        <v>2009</v>
      </c>
      <c r="G853" s="299" t="s">
        <v>2165</v>
      </c>
      <c r="H853" s="300" t="str">
        <f>IF(Tableau2[[#This Row],[Moyennes]]="Absent","Absent",IF(Tableau2[[#This Row],[Moyennes]]&lt;5,"Redouble",IF(Tableau2[[#This Row],[Moyennes]]&gt;=5,"Admis"," ")))</f>
        <v>Absent</v>
      </c>
      <c r="I853" s="427"/>
      <c r="J853" s="300" t="s">
        <v>662</v>
      </c>
      <c r="K853" s="334" t="s">
        <v>2116</v>
      </c>
      <c r="L853" s="64">
        <f>IF(AND(Tableau2[[#This Row],[CLASSE]]="CPU",Tableau2[[#This Row],[STATUT ]]="Admis"),1,0)</f>
        <v>0</v>
      </c>
      <c r="M853" s="64">
        <f>IF(AND(Tableau2[[#This Row],[CLASSE]]="CEU",Tableau2[[#This Row],[STATUT ]]="Admis"),1,0)</f>
        <v>0</v>
      </c>
      <c r="N853" s="64"/>
      <c r="O853" s="296"/>
      <c r="P853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4" spans="1:23" ht="21" x14ac:dyDescent="0.35">
      <c r="A854" s="310">
        <v>853</v>
      </c>
      <c r="B854" s="64" t="s">
        <v>3553</v>
      </c>
      <c r="C854" s="64" t="s">
        <v>1</v>
      </c>
      <c r="D854" s="295"/>
      <c r="E854" s="299" t="s">
        <v>2165</v>
      </c>
      <c r="F854" s="305" t="s">
        <v>2009</v>
      </c>
      <c r="G854" s="299" t="s">
        <v>2165</v>
      </c>
      <c r="H854" s="300" t="str">
        <f>IF(Tableau2[[#This Row],[Moyennes]]="Absent","Absent",IF(Tableau2[[#This Row],[Moyennes]]&lt;5,"Redouble",IF(Tableau2[[#This Row],[Moyennes]]&gt;=5,"Admis"," ")))</f>
        <v>Absent</v>
      </c>
      <c r="I854" s="427"/>
      <c r="J854" s="300" t="s">
        <v>662</v>
      </c>
      <c r="K854" s="334" t="s">
        <v>2116</v>
      </c>
      <c r="L854" s="64">
        <f>IF(AND(Tableau2[[#This Row],[CLASSE]]="CPU",Tableau2[[#This Row],[STATUT ]]="Admis"),1,0)</f>
        <v>0</v>
      </c>
      <c r="M854" s="64">
        <f>IF(AND(Tableau2[[#This Row],[CLASSE]]="CEU",Tableau2[[#This Row],[STATUT ]]="Admis"),1,0)</f>
        <v>0</v>
      </c>
      <c r="N854" s="64"/>
      <c r="O854" s="296"/>
      <c r="P854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5" spans="1:23" ht="21" x14ac:dyDescent="0.35">
      <c r="A855" s="310">
        <v>854</v>
      </c>
      <c r="B855" s="64" t="s">
        <v>3554</v>
      </c>
      <c r="C855" s="64" t="s">
        <v>1</v>
      </c>
      <c r="D855" s="295"/>
      <c r="E855" s="299" t="s">
        <v>2165</v>
      </c>
      <c r="F855" s="305" t="s">
        <v>2009</v>
      </c>
      <c r="G855" s="299" t="s">
        <v>2165</v>
      </c>
      <c r="H855" s="300" t="str">
        <f>IF(Tableau2[[#This Row],[Moyennes]]="Absent","Absent",IF(Tableau2[[#This Row],[Moyennes]]&lt;5,"Redouble",IF(Tableau2[[#This Row],[Moyennes]]&gt;=5,"Admis"," ")))</f>
        <v>Absent</v>
      </c>
      <c r="I855" s="427"/>
      <c r="J855" s="300" t="s">
        <v>662</v>
      </c>
      <c r="K855" s="334" t="s">
        <v>221</v>
      </c>
      <c r="L855" s="64">
        <f>IF(AND(Tableau2[[#This Row],[CLASSE]]="CPU",Tableau2[[#This Row],[STATUT ]]="Admis"),1,0)</f>
        <v>0</v>
      </c>
      <c r="M855" s="64">
        <f>IF(AND(Tableau2[[#This Row],[CLASSE]]="CEU",Tableau2[[#This Row],[STATUT ]]="Admis"),1,0)</f>
        <v>0</v>
      </c>
      <c r="N855" s="64"/>
      <c r="O855" s="296"/>
      <c r="P855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6" spans="1:23" ht="21" x14ac:dyDescent="0.35">
      <c r="A856" s="310">
        <v>855</v>
      </c>
      <c r="B856" s="64" t="s">
        <v>3555</v>
      </c>
      <c r="C856" s="64" t="s">
        <v>1</v>
      </c>
      <c r="D856" s="295"/>
      <c r="E856" s="299" t="s">
        <v>2165</v>
      </c>
      <c r="F856" s="305" t="s">
        <v>2009</v>
      </c>
      <c r="G856" s="299" t="s">
        <v>2165</v>
      </c>
      <c r="H856" s="300" t="str">
        <f>IF(Tableau2[[#This Row],[Moyennes]]="Absent","Absent",IF(Tableau2[[#This Row],[Moyennes]]&lt;5,"Redouble",IF(Tableau2[[#This Row],[Moyennes]]&gt;=5,"Admis"," ")))</f>
        <v>Absent</v>
      </c>
      <c r="I856" s="427"/>
      <c r="J856" s="300" t="s">
        <v>662</v>
      </c>
      <c r="K856" s="334" t="s">
        <v>221</v>
      </c>
      <c r="L856" s="64">
        <f>IF(AND(Tableau2[[#This Row],[CLASSE]]="CPU",Tableau2[[#This Row],[STATUT ]]="Admis"),1,0)</f>
        <v>0</v>
      </c>
      <c r="M856" s="64">
        <f>IF(AND(Tableau2[[#This Row],[CLASSE]]="CEU",Tableau2[[#This Row],[STATUT ]]="Admis"),1,0)</f>
        <v>0</v>
      </c>
      <c r="N856" s="64"/>
      <c r="O856" s="296"/>
      <c r="P856" s="19" t="str">
        <f>IF(AND(Tableau2[[#This Row],[Moyennes]]="Absent",Tableau2[[#This Row],[CLASSE]]="CPU"),"Absent",IF(AND(Tableau2[[#This Row],[Ages]]&gt;=12,Tableau2[[#This Row],[Moyennes]]&gt;=5,Tableau2[[#This Row],[CLASSE]]="CPU"),"CE2",IF(AND(Tableau2[[#This Row],[Ages]]&gt;=12,Tableau2[[#This Row],[Moyennes]]&lt;5,Tableau2[[#This Row],[CLASSE]]="CPU"),"CE1",IF(AND(Tableau2[[#This Row],[CLASSE]]="CPU",Tableau2[[#This Row],[Ages]]&lt;12,Tableau2[[#This Row],[Moyennes]]&gt;=5,Tableau2[[#This Row],[CLASSE]]="CPU"),"CE1",IF(AND(Tableau2[[#This Row],[Ages]]&lt;12,Tableau2[[#This Row],[Moyennes]]&lt;5,Tableau2[[#This Row],[CLASSE]]="CPU"),"CP2","PAS CONCERNE")))))</f>
        <v>Absent</v>
      </c>
    </row>
    <row r="858" spans="1:23" x14ac:dyDescent="0.35">
      <c r="T858">
        <v>206</v>
      </c>
      <c r="V858">
        <v>90</v>
      </c>
      <c r="W858">
        <v>5</v>
      </c>
    </row>
    <row r="859" spans="1:23" x14ac:dyDescent="0.35">
      <c r="T859">
        <v>210</v>
      </c>
      <c r="V859">
        <v>116</v>
      </c>
      <c r="W859">
        <v>1</v>
      </c>
    </row>
    <row r="863" spans="1:23" x14ac:dyDescent="0.35">
      <c r="S863" s="664"/>
      <c r="T863" s="664">
        <v>855</v>
      </c>
      <c r="U863" s="664">
        <v>828</v>
      </c>
      <c r="V863">
        <f>T863-U863</f>
        <v>27</v>
      </c>
    </row>
    <row r="864" spans="1:23" x14ac:dyDescent="0.35">
      <c r="S864" s="664" t="s">
        <v>1</v>
      </c>
      <c r="T864" s="664">
        <v>463</v>
      </c>
      <c r="U864" s="664">
        <v>442</v>
      </c>
      <c r="V864">
        <f t="shared" ref="V864:V865" si="0">T864-U864</f>
        <v>21</v>
      </c>
    </row>
    <row r="865" spans="19:22" x14ac:dyDescent="0.35">
      <c r="S865" s="664" t="s">
        <v>2</v>
      </c>
      <c r="T865" s="664">
        <v>392</v>
      </c>
      <c r="U865" s="664">
        <v>386</v>
      </c>
      <c r="V865">
        <f t="shared" si="0"/>
        <v>6</v>
      </c>
    </row>
    <row r="869" spans="19:22" x14ac:dyDescent="0.35">
      <c r="U869">
        <v>109</v>
      </c>
    </row>
    <row r="870" spans="19:22" x14ac:dyDescent="0.35">
      <c r="U870">
        <v>91</v>
      </c>
      <c r="V870">
        <v>92</v>
      </c>
    </row>
  </sheetData>
  <phoneticPr fontId="2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54DC-C5D6-46B8-8BC5-1025EE38FD0E}">
  <sheetPr codeName="Feuil1"/>
  <dimension ref="A7:M30"/>
  <sheetViews>
    <sheetView topLeftCell="A3" zoomScale="71" zoomScaleNormal="71" workbookViewId="0">
      <selection activeCell="E13" sqref="E13"/>
    </sheetView>
  </sheetViews>
  <sheetFormatPr baseColWidth="10" defaultColWidth="10.90625" defaultRowHeight="14.5" x14ac:dyDescent="0.35"/>
  <cols>
    <col min="1" max="1" width="21.36328125" bestFit="1" customWidth="1"/>
    <col min="2" max="2" width="24.1796875" bestFit="1" customWidth="1"/>
    <col min="3" max="3" width="7" bestFit="1" customWidth="1"/>
    <col min="4" max="5" width="12.36328125" bestFit="1" customWidth="1"/>
    <col min="6" max="6" width="7" bestFit="1" customWidth="1"/>
    <col min="7" max="7" width="6" bestFit="1" customWidth="1"/>
    <col min="8" max="8" width="8" bestFit="1" customWidth="1"/>
    <col min="9" max="9" width="12.36328125" bestFit="1" customWidth="1"/>
    <col min="10" max="10" width="21.36328125" bestFit="1" customWidth="1"/>
    <col min="11" max="11" width="24.1796875" bestFit="1" customWidth="1"/>
    <col min="12" max="12" width="7" bestFit="1" customWidth="1"/>
    <col min="13" max="14" width="12.36328125" bestFit="1" customWidth="1"/>
    <col min="15" max="27" width="22.26953125" bestFit="1" customWidth="1"/>
    <col min="28" max="28" width="11.7265625" bestFit="1" customWidth="1"/>
  </cols>
  <sheetData>
    <row r="7" spans="1:13" x14ac:dyDescent="0.35">
      <c r="A7" s="40" t="s">
        <v>3379</v>
      </c>
      <c r="B7" s="40" t="s">
        <v>1967</v>
      </c>
    </row>
    <row r="8" spans="1:13" x14ac:dyDescent="0.35">
      <c r="A8" s="40" t="s">
        <v>655</v>
      </c>
      <c r="B8" t="s">
        <v>2</v>
      </c>
      <c r="C8" t="s">
        <v>1</v>
      </c>
      <c r="D8" t="s">
        <v>656</v>
      </c>
      <c r="J8" s="40" t="s">
        <v>2002</v>
      </c>
      <c r="K8" t="s">
        <v>663</v>
      </c>
    </row>
    <row r="9" spans="1:13" x14ac:dyDescent="0.35">
      <c r="A9" s="41" t="s">
        <v>660</v>
      </c>
      <c r="B9" s="196">
        <v>0.46649484536082475</v>
      </c>
      <c r="C9" s="196">
        <v>0.53350515463917525</v>
      </c>
      <c r="D9" s="409">
        <v>1</v>
      </c>
    </row>
    <row r="10" spans="1:13" x14ac:dyDescent="0.35">
      <c r="A10" s="287" t="s">
        <v>2165</v>
      </c>
      <c r="B10" s="196">
        <v>0.44680851063829785</v>
      </c>
      <c r="C10" s="196">
        <v>0.55319148936170215</v>
      </c>
      <c r="D10" s="409">
        <v>1</v>
      </c>
      <c r="J10" s="40" t="s">
        <v>3379</v>
      </c>
      <c r="K10" s="40" t="s">
        <v>1967</v>
      </c>
    </row>
    <row r="11" spans="1:13" x14ac:dyDescent="0.35">
      <c r="A11" s="287" t="s">
        <v>3376</v>
      </c>
      <c r="B11" s="196">
        <v>0.47499999999999998</v>
      </c>
      <c r="C11" s="196">
        <v>0.52500000000000002</v>
      </c>
      <c r="D11" s="409">
        <v>1</v>
      </c>
      <c r="J11" s="40" t="s">
        <v>655</v>
      </c>
      <c r="K11" t="s">
        <v>2</v>
      </c>
      <c r="L11" t="s">
        <v>1</v>
      </c>
      <c r="M11" t="s">
        <v>656</v>
      </c>
    </row>
    <row r="12" spans="1:13" x14ac:dyDescent="0.35">
      <c r="A12" s="287" t="s">
        <v>3377</v>
      </c>
      <c r="B12" s="196">
        <v>0.33333333333333331</v>
      </c>
      <c r="C12" s="196">
        <v>0.66666666666666663</v>
      </c>
      <c r="D12" s="409">
        <v>1</v>
      </c>
      <c r="J12" s="41" t="s">
        <v>2165</v>
      </c>
      <c r="K12" s="196">
        <v>0.5</v>
      </c>
      <c r="L12" s="196">
        <v>0.5</v>
      </c>
      <c r="M12" s="196">
        <v>1</v>
      </c>
    </row>
    <row r="13" spans="1:13" x14ac:dyDescent="0.35">
      <c r="A13" s="287" t="s">
        <v>3378</v>
      </c>
      <c r="B13" s="196">
        <v>0.46666666666666667</v>
      </c>
      <c r="C13" s="196">
        <v>0.53333333333333333</v>
      </c>
      <c r="D13" s="409">
        <v>1</v>
      </c>
      <c r="J13" s="41" t="s">
        <v>3376</v>
      </c>
      <c r="K13" s="196">
        <v>0.44086021505376344</v>
      </c>
      <c r="L13" s="196">
        <v>0.55913978494623651</v>
      </c>
      <c r="M13" s="196">
        <v>1</v>
      </c>
    </row>
    <row r="14" spans="1:13" x14ac:dyDescent="0.35">
      <c r="A14" s="287" t="s">
        <v>3380</v>
      </c>
      <c r="B14" s="196">
        <v>0.49206349206349204</v>
      </c>
      <c r="C14" s="196">
        <v>0.50793650793650791</v>
      </c>
      <c r="D14" s="409">
        <v>1</v>
      </c>
      <c r="J14" s="41" t="s">
        <v>3377</v>
      </c>
      <c r="K14" s="196">
        <v>0.44230769230769229</v>
      </c>
      <c r="L14" s="196">
        <v>0.55769230769230771</v>
      </c>
      <c r="M14" s="196">
        <v>1</v>
      </c>
    </row>
    <row r="15" spans="1:13" x14ac:dyDescent="0.35">
      <c r="A15" s="41" t="s">
        <v>663</v>
      </c>
      <c r="B15" s="196">
        <v>0.43689320388349512</v>
      </c>
      <c r="C15" s="196">
        <v>0.56310679611650483</v>
      </c>
      <c r="D15" s="409">
        <v>1</v>
      </c>
      <c r="J15" s="41" t="s">
        <v>3378</v>
      </c>
      <c r="K15" s="196">
        <v>0.35483870967741937</v>
      </c>
      <c r="L15" s="196">
        <v>0.64516129032258063</v>
      </c>
      <c r="M15" s="196">
        <v>1</v>
      </c>
    </row>
    <row r="16" spans="1:13" x14ac:dyDescent="0.35">
      <c r="A16" s="287" t="s">
        <v>2165</v>
      </c>
      <c r="B16" s="196">
        <v>0.5</v>
      </c>
      <c r="C16" s="196">
        <v>0.5</v>
      </c>
      <c r="D16" s="409">
        <v>1</v>
      </c>
      <c r="J16" s="41" t="s">
        <v>656</v>
      </c>
      <c r="K16" s="196">
        <v>0.43689320388349512</v>
      </c>
      <c r="L16" s="196">
        <v>0.56310679611650483</v>
      </c>
      <c r="M16" s="196">
        <v>1</v>
      </c>
    </row>
    <row r="17" spans="1:4" x14ac:dyDescent="0.35">
      <c r="A17" s="287" t="s">
        <v>3376</v>
      </c>
      <c r="B17" s="196">
        <v>0.44086021505376344</v>
      </c>
      <c r="C17" s="196">
        <v>0.55913978494623651</v>
      </c>
      <c r="D17" s="409">
        <v>1</v>
      </c>
    </row>
    <row r="18" spans="1:4" x14ac:dyDescent="0.35">
      <c r="A18" s="287" t="s">
        <v>3377</v>
      </c>
      <c r="B18" s="196">
        <v>0.44230769230769229</v>
      </c>
      <c r="C18" s="196">
        <v>0.55769230769230771</v>
      </c>
      <c r="D18" s="409">
        <v>1</v>
      </c>
    </row>
    <row r="19" spans="1:4" x14ac:dyDescent="0.35">
      <c r="A19" s="287" t="s">
        <v>3378</v>
      </c>
      <c r="B19" s="196">
        <v>0.35483870967741937</v>
      </c>
      <c r="C19" s="196">
        <v>0.64516129032258063</v>
      </c>
      <c r="D19" s="409">
        <v>1</v>
      </c>
    </row>
    <row r="20" spans="1:4" x14ac:dyDescent="0.35">
      <c r="A20" s="41" t="s">
        <v>662</v>
      </c>
      <c r="B20" s="196">
        <v>0.50270270270270268</v>
      </c>
      <c r="C20" s="196">
        <v>0.49729729729729732</v>
      </c>
      <c r="D20" s="409">
        <v>1</v>
      </c>
    </row>
    <row r="21" spans="1:4" x14ac:dyDescent="0.35">
      <c r="A21" s="287" t="s">
        <v>2165</v>
      </c>
      <c r="B21" s="196">
        <v>0.58823529411764708</v>
      </c>
      <c r="C21" s="196">
        <v>0.41176470588235292</v>
      </c>
      <c r="D21" s="409">
        <v>1</v>
      </c>
    </row>
    <row r="22" spans="1:4" x14ac:dyDescent="0.35">
      <c r="A22" s="287" t="s">
        <v>3376</v>
      </c>
      <c r="B22" s="196">
        <v>0.46590909090909088</v>
      </c>
      <c r="C22" s="196">
        <v>0.53409090909090906</v>
      </c>
      <c r="D22" s="409">
        <v>1</v>
      </c>
    </row>
    <row r="23" spans="1:4" x14ac:dyDescent="0.35">
      <c r="A23" s="287" t="s">
        <v>3377</v>
      </c>
      <c r="B23" s="196">
        <v>0.35483870967741937</v>
      </c>
      <c r="C23" s="196">
        <v>0.64516129032258063</v>
      </c>
      <c r="D23" s="409">
        <v>1</v>
      </c>
    </row>
    <row r="24" spans="1:4" x14ac:dyDescent="0.35">
      <c r="A24" s="287" t="s">
        <v>3378</v>
      </c>
      <c r="B24" s="196">
        <v>0.63265306122448983</v>
      </c>
      <c r="C24" s="196">
        <v>0.36734693877551022</v>
      </c>
      <c r="D24" s="409">
        <v>1</v>
      </c>
    </row>
    <row r="25" spans="1:4" x14ac:dyDescent="0.35">
      <c r="A25" s="41" t="s">
        <v>661</v>
      </c>
      <c r="B25" s="196">
        <v>0.44897959183673469</v>
      </c>
      <c r="C25" s="196">
        <v>0.55102040816326525</v>
      </c>
      <c r="D25" s="409">
        <v>1</v>
      </c>
    </row>
    <row r="26" spans="1:4" x14ac:dyDescent="0.35">
      <c r="A26" s="287" t="s">
        <v>2165</v>
      </c>
      <c r="B26" s="196">
        <v>0.44444444444444442</v>
      </c>
      <c r="C26" s="196">
        <v>0.55555555555555558</v>
      </c>
      <c r="D26" s="409">
        <v>1</v>
      </c>
    </row>
    <row r="27" spans="1:4" x14ac:dyDescent="0.35">
      <c r="A27" s="287" t="s">
        <v>3376</v>
      </c>
      <c r="B27" s="196">
        <v>0.32</v>
      </c>
      <c r="C27" s="196">
        <v>0.68</v>
      </c>
      <c r="D27" s="409">
        <v>1</v>
      </c>
    </row>
    <row r="28" spans="1:4" x14ac:dyDescent="0.35">
      <c r="A28" s="287" t="s">
        <v>3377</v>
      </c>
      <c r="B28" s="196">
        <v>0.625</v>
      </c>
      <c r="C28" s="196">
        <v>0.375</v>
      </c>
      <c r="D28" s="409">
        <v>1</v>
      </c>
    </row>
    <row r="29" spans="1:4" x14ac:dyDescent="0.35">
      <c r="A29" s="287" t="s">
        <v>3378</v>
      </c>
      <c r="B29" s="196">
        <v>0.7142857142857143</v>
      </c>
      <c r="C29" s="196">
        <v>0.2857142857142857</v>
      </c>
      <c r="D29" s="409">
        <v>1</v>
      </c>
    </row>
    <row r="30" spans="1:4" x14ac:dyDescent="0.35">
      <c r="A30" s="41" t="s">
        <v>656</v>
      </c>
      <c r="B30" s="196">
        <v>0.46618357487922707</v>
      </c>
      <c r="C30" s="196">
        <v>0.53381642512077299</v>
      </c>
      <c r="D30" s="409">
        <v>1</v>
      </c>
    </row>
  </sheetData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C0689-623D-4410-B6AE-B6EB418A8C43}">
  <sheetPr codeName="Feuil11"/>
  <dimension ref="B1:BF971"/>
  <sheetViews>
    <sheetView topLeftCell="B3" zoomScale="55" zoomScaleNormal="55" workbookViewId="0">
      <selection activeCell="E13" sqref="E13"/>
    </sheetView>
  </sheetViews>
  <sheetFormatPr baseColWidth="10" defaultColWidth="13.7265625" defaultRowHeight="15" customHeight="1" x14ac:dyDescent="0.35"/>
  <cols>
    <col min="2" max="2" width="35.81640625" style="64" customWidth="1"/>
    <col min="3" max="3" width="27" style="19" customWidth="1"/>
    <col min="4" max="4" width="35.81640625" style="19" customWidth="1"/>
    <col min="5" max="5" width="35.7265625" style="19" customWidth="1"/>
    <col min="6" max="6" width="9.90625" style="19" customWidth="1"/>
    <col min="7" max="7" width="11.453125" style="19" customWidth="1"/>
    <col min="8" max="8" width="11.54296875" style="19" customWidth="1"/>
    <col min="9" max="9" width="44.54296875" style="19" customWidth="1"/>
    <col min="10" max="10" width="12.36328125" style="19" customWidth="1"/>
    <col min="11" max="11" width="10.90625" style="19" customWidth="1"/>
    <col min="12" max="12" width="13.36328125" style="19" customWidth="1"/>
    <col min="13" max="13" width="21.54296875" style="19" customWidth="1"/>
    <col min="14" max="14" width="54.36328125" style="19" customWidth="1"/>
    <col min="15" max="15" width="36.81640625" style="19" customWidth="1"/>
    <col min="16" max="16" width="39.08984375" style="19" customWidth="1"/>
    <col min="17" max="17" width="27.36328125" style="19" customWidth="1"/>
    <col min="18" max="18" width="142" style="19" customWidth="1"/>
    <col min="19" max="22" width="10.1796875" customWidth="1"/>
    <col min="23" max="23" width="18.453125" customWidth="1"/>
    <col min="24" max="24" width="33" customWidth="1"/>
    <col min="25" max="26" width="19.90625" customWidth="1"/>
    <col min="27" max="27" width="29.36328125" customWidth="1"/>
    <col min="28" max="28" width="13.6328125" customWidth="1"/>
    <col min="29" max="29" width="10.1796875" customWidth="1"/>
    <col min="30" max="30" width="15.453125" style="17" customWidth="1"/>
    <col min="31" max="36" width="10.1796875" customWidth="1"/>
    <col min="37" max="37" width="13.26953125" customWidth="1"/>
    <col min="42" max="43" width="30.36328125" customWidth="1"/>
    <col min="44" max="44" width="20.36328125" customWidth="1"/>
    <col min="45" max="45" width="36.26953125" customWidth="1"/>
    <col min="49" max="49" width="53.36328125" customWidth="1"/>
    <col min="53" max="53" width="20.1796875" customWidth="1"/>
    <col min="56" max="57" width="27.1796875" customWidth="1"/>
  </cols>
  <sheetData>
    <row r="1" spans="2:57" s="124" customFormat="1" ht="21" customHeight="1" x14ac:dyDescent="0.35">
      <c r="AD1" s="136"/>
      <c r="AF1" s="65"/>
      <c r="AG1" s="65"/>
      <c r="AH1" s="65"/>
      <c r="AI1" s="65"/>
      <c r="AJ1" s="65"/>
      <c r="AK1" s="65"/>
    </row>
    <row r="2" spans="2:57" s="124" customFormat="1" ht="21" customHeight="1" x14ac:dyDescent="0.35">
      <c r="AD2" s="136"/>
      <c r="AF2" s="65"/>
      <c r="AG2" s="65"/>
      <c r="AH2" s="65"/>
      <c r="AI2" s="65"/>
      <c r="AJ2" s="65"/>
      <c r="AK2" s="65"/>
    </row>
    <row r="3" spans="2:57" s="124" customFormat="1" ht="21" customHeight="1" thickBot="1" x14ac:dyDescent="0.4">
      <c r="B3" s="109" t="s">
        <v>668</v>
      </c>
      <c r="C3" s="110" t="s">
        <v>669</v>
      </c>
      <c r="D3" s="111" t="s">
        <v>670</v>
      </c>
      <c r="E3" s="112" t="s">
        <v>671</v>
      </c>
      <c r="F3" s="113" t="s">
        <v>664</v>
      </c>
      <c r="G3" s="114" t="s">
        <v>665</v>
      </c>
      <c r="H3" s="115" t="s">
        <v>658</v>
      </c>
      <c r="I3" s="116" t="s">
        <v>672</v>
      </c>
      <c r="J3" s="117" t="s">
        <v>673</v>
      </c>
      <c r="K3" s="117" t="s">
        <v>674</v>
      </c>
      <c r="L3" s="122" t="s">
        <v>675</v>
      </c>
      <c r="M3" s="118" t="s">
        <v>676</v>
      </c>
      <c r="N3" s="123" t="s">
        <v>667</v>
      </c>
      <c r="O3" s="121" t="s">
        <v>677</v>
      </c>
      <c r="P3" s="119" t="s">
        <v>867</v>
      </c>
      <c r="Q3" s="129" t="s">
        <v>676</v>
      </c>
      <c r="R3" s="130" t="s">
        <v>868</v>
      </c>
      <c r="AB3" s="65"/>
      <c r="AD3" s="136"/>
      <c r="AF3" s="65"/>
      <c r="AG3" s="65"/>
      <c r="AH3" s="65"/>
      <c r="AI3" s="65"/>
      <c r="AJ3" s="65"/>
      <c r="AK3" s="65"/>
    </row>
    <row r="4" spans="2:57" s="65" customFormat="1" ht="88.5" customHeight="1" thickBot="1" x14ac:dyDescent="0.4">
      <c r="B4" s="99" t="s">
        <v>662</v>
      </c>
      <c r="C4" s="209" t="s">
        <v>662</v>
      </c>
      <c r="D4" s="210" t="s">
        <v>662</v>
      </c>
      <c r="E4" s="211" t="s">
        <v>869</v>
      </c>
      <c r="F4" s="66">
        <v>16</v>
      </c>
      <c r="G4" s="67">
        <v>6</v>
      </c>
      <c r="H4" s="68">
        <f t="shared" ref="H4:H9" si="0">F4+G4</f>
        <v>22</v>
      </c>
      <c r="I4" s="212" t="s">
        <v>679</v>
      </c>
      <c r="J4" s="176" t="s">
        <v>2</v>
      </c>
      <c r="K4" s="69">
        <v>42</v>
      </c>
      <c r="L4" s="74" t="s">
        <v>680</v>
      </c>
      <c r="M4" s="213">
        <v>2250544557036</v>
      </c>
      <c r="N4" s="70" t="s">
        <v>681</v>
      </c>
      <c r="O4" s="70" t="s">
        <v>682</v>
      </c>
      <c r="P4" s="214" t="s">
        <v>683</v>
      </c>
      <c r="Q4" s="215" t="s">
        <v>684</v>
      </c>
      <c r="R4" s="216" t="str">
        <f>CONCATENATE(B4," ",C4," ",D4," ",E4," ",I4," ",J4," ",L4," ",M4," ",N4," ",O4," ",P4," ",Q4)</f>
        <v>GUEYO GUEYO GUEYO GUEYO Résidentiel KOUAKOU NAFIASSOU VERONIQUE F BEPC 2250544557036 KOUADIO KOUASSI ATHANASE  /0709143515 Epp Résidentiel 2 N'GORAN KOFFI GERARD 01 03 71 99 90</v>
      </c>
      <c r="W4" s="132" t="s">
        <v>872</v>
      </c>
      <c r="X4" s="132" t="s">
        <v>872</v>
      </c>
      <c r="Y4" s="131" t="s">
        <v>664</v>
      </c>
      <c r="Z4" s="132" t="s">
        <v>870</v>
      </c>
      <c r="AA4" s="131" t="s">
        <v>665</v>
      </c>
      <c r="AB4" s="132" t="s">
        <v>871</v>
      </c>
      <c r="AC4" s="131" t="s">
        <v>658</v>
      </c>
      <c r="AD4" s="131" t="s">
        <v>876</v>
      </c>
      <c r="AN4" s="125" t="s">
        <v>868</v>
      </c>
      <c r="AO4" s="124"/>
      <c r="AP4" s="109" t="s">
        <v>668</v>
      </c>
      <c r="AQ4" s="110" t="s">
        <v>669</v>
      </c>
      <c r="AR4" s="111" t="s">
        <v>670</v>
      </c>
      <c r="AS4" s="112" t="s">
        <v>671</v>
      </c>
      <c r="AT4" s="113" t="s">
        <v>664</v>
      </c>
      <c r="AU4" s="114" t="s">
        <v>665</v>
      </c>
      <c r="AV4" s="115" t="s">
        <v>658</v>
      </c>
      <c r="AW4" s="116" t="s">
        <v>672</v>
      </c>
      <c r="AX4" s="117" t="s">
        <v>673</v>
      </c>
      <c r="AY4" s="117" t="s">
        <v>674</v>
      </c>
      <c r="AZ4" s="122" t="s">
        <v>675</v>
      </c>
      <c r="BA4" s="118" t="s">
        <v>676</v>
      </c>
      <c r="BB4" s="123" t="s">
        <v>667</v>
      </c>
      <c r="BC4" s="121" t="s">
        <v>677</v>
      </c>
      <c r="BD4" s="119" t="s">
        <v>867</v>
      </c>
      <c r="BE4" s="120" t="s">
        <v>676</v>
      </c>
    </row>
    <row r="5" spans="2:57" s="65" customFormat="1" ht="41.25" customHeight="1" thickBot="1" x14ac:dyDescent="0.4">
      <c r="B5" s="99" t="s">
        <v>662</v>
      </c>
      <c r="C5" s="217" t="s">
        <v>662</v>
      </c>
      <c r="D5" s="210" t="s">
        <v>662</v>
      </c>
      <c r="E5" s="211" t="s">
        <v>685</v>
      </c>
      <c r="F5" s="66">
        <v>6</v>
      </c>
      <c r="G5" s="67">
        <v>9</v>
      </c>
      <c r="H5" s="68">
        <f t="shared" si="0"/>
        <v>15</v>
      </c>
      <c r="I5" s="212" t="s">
        <v>686</v>
      </c>
      <c r="J5" s="176" t="s">
        <v>2</v>
      </c>
      <c r="K5" s="69">
        <v>34</v>
      </c>
      <c r="L5" s="74" t="s">
        <v>680</v>
      </c>
      <c r="M5" s="213">
        <v>2250586124307</v>
      </c>
      <c r="N5" s="70" t="s">
        <v>681</v>
      </c>
      <c r="O5" s="70" t="s">
        <v>687</v>
      </c>
      <c r="P5" s="214" t="s">
        <v>688</v>
      </c>
      <c r="Q5" s="215" t="s">
        <v>689</v>
      </c>
      <c r="R5" s="216" t="str">
        <f t="shared" ref="R5:R42" si="1">CONCATENATE(B5," ",C5," ",D5," ",E5," ",I5," ",J5," ",L5," ",M5," ",N5," ",O5," ",P5," ",Q5)</f>
        <v>GUEYO GUEYO GUEYO N'guessankro BROU AKISSI SUZANNE F BEPC 2250586124307 KOUADIO KOUASSI ATHANASE  /0709143515 Epp Dagouayo KONAN KOFFI LIONEL 07 47 78 24 78</v>
      </c>
      <c r="W5" s="127" t="s">
        <v>668</v>
      </c>
      <c r="X5" s="132" t="s">
        <v>661</v>
      </c>
      <c r="Y5" s="132">
        <f>SUMIFS(F4:F42,B4:B42,X5)</f>
        <v>113</v>
      </c>
      <c r="Z5" s="133">
        <f>(Y5)/AC5</f>
        <v>0.44313725490196076</v>
      </c>
      <c r="AA5" s="132">
        <f>SUMIFS(G4:G42,B4:B42,X5)</f>
        <v>142</v>
      </c>
      <c r="AB5" s="133">
        <f>(AA5)/AC5</f>
        <v>0.55686274509803924</v>
      </c>
      <c r="AC5" s="132">
        <f>Y5+AA5</f>
        <v>255</v>
      </c>
      <c r="AD5" s="138">
        <f>COUNTIF(B4:B42,X5)</f>
        <v>11</v>
      </c>
      <c r="AN5" s="96" t="s">
        <v>3528</v>
      </c>
      <c r="AP5" s="99" t="s">
        <v>660</v>
      </c>
      <c r="AQ5" s="224" t="s">
        <v>873</v>
      </c>
      <c r="AR5" s="225" t="s">
        <v>660</v>
      </c>
      <c r="AS5" s="79" t="s">
        <v>722</v>
      </c>
      <c r="AT5" s="226">
        <v>15</v>
      </c>
      <c r="AU5" s="227">
        <v>12</v>
      </c>
      <c r="AV5" s="228">
        <v>27</v>
      </c>
      <c r="AW5" s="229" t="s">
        <v>723</v>
      </c>
      <c r="AX5" s="71" t="s">
        <v>724</v>
      </c>
      <c r="AY5" s="82">
        <v>26</v>
      </c>
      <c r="AZ5" s="71" t="s">
        <v>721</v>
      </c>
      <c r="BA5" s="230" t="s">
        <v>725</v>
      </c>
      <c r="BB5" s="231" t="s">
        <v>726</v>
      </c>
      <c r="BC5" s="79" t="s">
        <v>727</v>
      </c>
      <c r="BD5" s="231" t="s">
        <v>728</v>
      </c>
      <c r="BE5" s="230" t="s">
        <v>725</v>
      </c>
    </row>
    <row r="6" spans="2:57" s="65" customFormat="1" ht="41.25" customHeight="1" thickBot="1" x14ac:dyDescent="0.4">
      <c r="B6" s="99" t="s">
        <v>662</v>
      </c>
      <c r="C6" s="217" t="s">
        <v>662</v>
      </c>
      <c r="D6" s="210" t="s">
        <v>662</v>
      </c>
      <c r="E6" s="218" t="s">
        <v>690</v>
      </c>
      <c r="F6" s="66">
        <v>14</v>
      </c>
      <c r="G6" s="67">
        <v>8</v>
      </c>
      <c r="H6" s="68">
        <f t="shared" si="0"/>
        <v>22</v>
      </c>
      <c r="I6" s="212" t="s">
        <v>691</v>
      </c>
      <c r="J6" s="176" t="s">
        <v>9</v>
      </c>
      <c r="K6" s="69">
        <v>35</v>
      </c>
      <c r="L6" s="74" t="s">
        <v>692</v>
      </c>
      <c r="M6" s="213">
        <v>2250505363293</v>
      </c>
      <c r="N6" s="70" t="s">
        <v>681</v>
      </c>
      <c r="O6" s="70" t="s">
        <v>693</v>
      </c>
      <c r="P6" s="214" t="s">
        <v>694</v>
      </c>
      <c r="Q6" s="215" t="s">
        <v>695</v>
      </c>
      <c r="R6" s="216" t="str">
        <f t="shared" si="1"/>
        <v>GUEYO GUEYO GUEYO Bodouyo-bloc OUATTARA BARTINZANA YAYA M Tle A avec BEPC 2250505363293 KOUADIO KOUASSI ATHANASE  /0709143515 Epp Bodouyo-Bloc AYEKOUE ASSI JEAN CLAUDE 07 48 59 06 81</v>
      </c>
      <c r="U6" s="124"/>
      <c r="V6" s="124"/>
      <c r="W6" s="128" t="s">
        <v>669</v>
      </c>
      <c r="X6" s="132" t="s">
        <v>874</v>
      </c>
      <c r="Y6" s="132">
        <f>SUMIFS(F4:F42,C4:C42,X6)</f>
        <v>24</v>
      </c>
      <c r="Z6" s="133">
        <f t="shared" ref="Z6:Z8" si="2">(Y6)/AC6</f>
        <v>0.33333333333333331</v>
      </c>
      <c r="AA6" s="132">
        <f>SUMIFS(G4:G42,C4:C42,X6)</f>
        <v>48</v>
      </c>
      <c r="AB6" s="133">
        <f t="shared" ref="AB6:AB8" si="3">(AA6)/AC6</f>
        <v>0.66666666666666663</v>
      </c>
      <c r="AC6" s="132">
        <f t="shared" ref="AC6:AC8" si="4">Y6+AA6</f>
        <v>72</v>
      </c>
      <c r="AD6" s="138">
        <f>COUNTIF(C4:C42,X6)</f>
        <v>3</v>
      </c>
      <c r="AP6" s="99" t="s">
        <v>660</v>
      </c>
      <c r="AQ6" s="224" t="s">
        <v>873</v>
      </c>
      <c r="AR6" s="225" t="s">
        <v>660</v>
      </c>
      <c r="AS6" s="77" t="s">
        <v>730</v>
      </c>
      <c r="AT6" s="226">
        <v>13</v>
      </c>
      <c r="AU6" s="227">
        <v>12</v>
      </c>
      <c r="AV6" s="228">
        <v>25</v>
      </c>
      <c r="AW6" s="231" t="s">
        <v>731</v>
      </c>
      <c r="AX6" s="71" t="s">
        <v>724</v>
      </c>
      <c r="AY6" s="82"/>
      <c r="AZ6" s="71"/>
      <c r="BA6" s="230" t="s">
        <v>732</v>
      </c>
      <c r="BB6" s="231" t="s">
        <v>726</v>
      </c>
      <c r="BC6" s="84" t="s">
        <v>733</v>
      </c>
      <c r="BD6" s="231" t="s">
        <v>734</v>
      </c>
      <c r="BE6" s="230" t="s">
        <v>732</v>
      </c>
    </row>
    <row r="7" spans="2:57" s="65" customFormat="1" ht="41.25" customHeight="1" thickBot="1" x14ac:dyDescent="0.4">
      <c r="B7" s="99" t="s">
        <v>662</v>
      </c>
      <c r="C7" s="217" t="s">
        <v>662</v>
      </c>
      <c r="D7" s="210" t="s">
        <v>662</v>
      </c>
      <c r="E7" s="211" t="s">
        <v>696</v>
      </c>
      <c r="F7" s="66">
        <v>15</v>
      </c>
      <c r="G7" s="67">
        <v>8</v>
      </c>
      <c r="H7" s="68">
        <f t="shared" si="0"/>
        <v>23</v>
      </c>
      <c r="I7" s="212" t="s">
        <v>697</v>
      </c>
      <c r="J7" s="176" t="s">
        <v>9</v>
      </c>
      <c r="K7" s="69">
        <v>30</v>
      </c>
      <c r="L7" s="74" t="s">
        <v>698</v>
      </c>
      <c r="M7" s="213">
        <v>2250504418619</v>
      </c>
      <c r="N7" s="70" t="s">
        <v>681</v>
      </c>
      <c r="O7" s="70" t="s">
        <v>699</v>
      </c>
      <c r="P7" s="214" t="s">
        <v>700</v>
      </c>
      <c r="Q7" s="215" t="s">
        <v>701</v>
      </c>
      <c r="R7" s="216" t="str">
        <f t="shared" si="1"/>
        <v>GUEYO GUEYO GUEYO Tourekro KONAN HENRY AIME CESAIRE M Tle D avec BEPC 2250504418619 KOUADIO KOUASSI ATHANASE  /0709143515 Epp Tourékro LOBOGNON JOHN PHILEMON 07 09 50 20 16</v>
      </c>
      <c r="W7" s="128" t="s">
        <v>670</v>
      </c>
      <c r="X7" s="132" t="s">
        <v>662</v>
      </c>
      <c r="Y7" s="132">
        <f>SUMIFS(F4:F42,D4:D42,X7)</f>
        <v>57</v>
      </c>
      <c r="Z7" s="133">
        <f t="shared" si="2"/>
        <v>0.56999999999999995</v>
      </c>
      <c r="AA7" s="132">
        <f>SUMIFS(G4:G42,D4:D42,X7)</f>
        <v>43</v>
      </c>
      <c r="AB7" s="133">
        <f t="shared" si="3"/>
        <v>0.43</v>
      </c>
      <c r="AC7" s="132">
        <f t="shared" si="4"/>
        <v>100</v>
      </c>
      <c r="AD7" s="138">
        <f>COUNTIF(D4:D42,X7)</f>
        <v>5</v>
      </c>
      <c r="AP7" s="99" t="s">
        <v>660</v>
      </c>
      <c r="AQ7" s="224" t="s">
        <v>873</v>
      </c>
      <c r="AR7" s="225" t="s">
        <v>660</v>
      </c>
      <c r="AS7" s="77" t="s">
        <v>736</v>
      </c>
      <c r="AT7" s="232">
        <v>12</v>
      </c>
      <c r="AU7" s="67">
        <v>7</v>
      </c>
      <c r="AV7" s="68">
        <v>19</v>
      </c>
      <c r="AW7" s="231" t="s">
        <v>737</v>
      </c>
      <c r="AX7" s="73" t="s">
        <v>724</v>
      </c>
      <c r="AY7" s="233">
        <v>32</v>
      </c>
      <c r="AZ7" s="73" t="s">
        <v>738</v>
      </c>
      <c r="BA7" s="234" t="s">
        <v>739</v>
      </c>
      <c r="BB7" s="231" t="s">
        <v>726</v>
      </c>
      <c r="BC7" s="84" t="s">
        <v>733</v>
      </c>
      <c r="BD7" s="231" t="s">
        <v>734</v>
      </c>
      <c r="BE7" s="234" t="s">
        <v>739</v>
      </c>
    </row>
    <row r="8" spans="2:57" s="65" customFormat="1" ht="41.25" customHeight="1" thickBot="1" x14ac:dyDescent="0.4">
      <c r="B8" s="99" t="s">
        <v>662</v>
      </c>
      <c r="C8" s="217" t="s">
        <v>662</v>
      </c>
      <c r="D8" s="210" t="s">
        <v>662</v>
      </c>
      <c r="E8" s="211" t="s">
        <v>702</v>
      </c>
      <c r="F8" s="94">
        <v>6</v>
      </c>
      <c r="G8" s="93">
        <v>12</v>
      </c>
      <c r="H8" s="126">
        <f t="shared" si="0"/>
        <v>18</v>
      </c>
      <c r="I8" s="212" t="s">
        <v>703</v>
      </c>
      <c r="J8" s="176" t="s">
        <v>2</v>
      </c>
      <c r="K8" s="69">
        <v>35</v>
      </c>
      <c r="L8" s="74" t="s">
        <v>680</v>
      </c>
      <c r="M8" s="213">
        <v>2250556207322</v>
      </c>
      <c r="N8" s="70" t="s">
        <v>681</v>
      </c>
      <c r="O8" s="70" t="s">
        <v>704</v>
      </c>
      <c r="P8" s="214" t="s">
        <v>705</v>
      </c>
      <c r="Q8" s="215" t="s">
        <v>706</v>
      </c>
      <c r="R8" s="216" t="str">
        <f t="shared" si="1"/>
        <v>GUEYO GUEYO GUEYO Yobouet-Kouassikro TIBAH AKISSI MALA CLARISSE F BEPC 2250556207322 KOUADIO KOUASSI ATHANASE  /0709143515 Epp Yobouet-Kouassikro BAYE ELIE EDMOND 07 78 85 96 00</v>
      </c>
      <c r="W8" s="128" t="s">
        <v>671</v>
      </c>
      <c r="X8" s="132" t="s">
        <v>702</v>
      </c>
      <c r="Y8" s="132">
        <f>SUMIFS(F4:F42,E4:E42,X8)</f>
        <v>6</v>
      </c>
      <c r="Z8" s="133">
        <f t="shared" si="2"/>
        <v>0.33333333333333331</v>
      </c>
      <c r="AA8" s="132">
        <f>SUMIFS(G4:G42,E4:E42,X8)</f>
        <v>12</v>
      </c>
      <c r="AB8" s="133">
        <f t="shared" si="3"/>
        <v>0.66666666666666663</v>
      </c>
      <c r="AC8" s="132">
        <f t="shared" si="4"/>
        <v>18</v>
      </c>
      <c r="AD8" s="138">
        <f>COUNTIF(E4:E42,X8)</f>
        <v>1</v>
      </c>
      <c r="AP8" s="99" t="s">
        <v>660</v>
      </c>
      <c r="AQ8" s="224" t="s">
        <v>873</v>
      </c>
      <c r="AR8" s="225" t="s">
        <v>660</v>
      </c>
      <c r="AS8" s="77" t="s">
        <v>740</v>
      </c>
      <c r="AT8" s="232">
        <v>10</v>
      </c>
      <c r="AU8" s="67">
        <v>11</v>
      </c>
      <c r="AV8" s="68">
        <v>21</v>
      </c>
      <c r="AW8" s="231" t="s">
        <v>227</v>
      </c>
      <c r="AX8" s="73" t="s">
        <v>724</v>
      </c>
      <c r="AY8" s="233">
        <v>39</v>
      </c>
      <c r="AZ8" s="74" t="s">
        <v>741</v>
      </c>
      <c r="BA8" s="230" t="s">
        <v>742</v>
      </c>
      <c r="BB8" s="231" t="s">
        <v>726</v>
      </c>
      <c r="BC8" s="84" t="s">
        <v>743</v>
      </c>
      <c r="BD8" s="231" t="s">
        <v>744</v>
      </c>
      <c r="BE8" s="230" t="s">
        <v>742</v>
      </c>
    </row>
    <row r="9" spans="2:57" s="65" customFormat="1" ht="41.25" customHeight="1" thickBot="1" x14ac:dyDescent="0.4">
      <c r="B9" s="99" t="s">
        <v>662</v>
      </c>
      <c r="C9" s="217" t="s">
        <v>662</v>
      </c>
      <c r="D9" s="219" t="s">
        <v>707</v>
      </c>
      <c r="E9" s="126" t="s">
        <v>708</v>
      </c>
      <c r="F9" s="733">
        <v>23</v>
      </c>
      <c r="G9" s="733">
        <v>27</v>
      </c>
      <c r="H9" s="733">
        <f t="shared" si="0"/>
        <v>50</v>
      </c>
      <c r="I9" s="86" t="s">
        <v>709</v>
      </c>
      <c r="J9" s="176" t="s">
        <v>9</v>
      </c>
      <c r="K9" s="69">
        <v>25</v>
      </c>
      <c r="L9" s="74" t="s">
        <v>698</v>
      </c>
      <c r="M9" s="213">
        <v>2250594367132</v>
      </c>
      <c r="N9" s="70" t="s">
        <v>681</v>
      </c>
      <c r="O9" s="266" t="s">
        <v>710</v>
      </c>
      <c r="P9" s="214" t="s">
        <v>711</v>
      </c>
      <c r="Q9" s="215" t="s">
        <v>712</v>
      </c>
      <c r="R9" s="216" t="str">
        <f t="shared" si="1"/>
        <v>GUEYO GUEYO DABOUYO Alikro OUATTARA ZIE DRAMANE M Tle D avec BEPC 2250594367132 KOUADIO KOUASSI ATHANASE  /0709143515 Epp Alikro AKO ADJE OBERLIN 05 86 78 75 67</v>
      </c>
      <c r="AD9" s="137"/>
      <c r="AP9" s="99" t="s">
        <v>660</v>
      </c>
      <c r="AQ9" s="224" t="s">
        <v>873</v>
      </c>
      <c r="AR9" s="225" t="s">
        <v>660</v>
      </c>
      <c r="AS9" s="77" t="s">
        <v>746</v>
      </c>
      <c r="AT9" s="232">
        <v>7</v>
      </c>
      <c r="AU9" s="67">
        <v>10</v>
      </c>
      <c r="AV9" s="68">
        <v>17</v>
      </c>
      <c r="AW9" s="231" t="s">
        <v>747</v>
      </c>
      <c r="AX9" s="73" t="s">
        <v>724</v>
      </c>
      <c r="AY9" s="233">
        <v>39</v>
      </c>
      <c r="AZ9" s="74" t="s">
        <v>741</v>
      </c>
      <c r="BA9" s="230" t="s">
        <v>748</v>
      </c>
      <c r="BB9" s="231" t="s">
        <v>726</v>
      </c>
      <c r="BC9" s="84" t="s">
        <v>749</v>
      </c>
      <c r="BD9" s="236" t="s">
        <v>750</v>
      </c>
      <c r="BE9" s="230" t="s">
        <v>748</v>
      </c>
    </row>
    <row r="10" spans="2:57" s="65" customFormat="1" ht="41.25" customHeight="1" thickBot="1" x14ac:dyDescent="0.4">
      <c r="B10" s="99" t="s">
        <v>662</v>
      </c>
      <c r="C10" s="217" t="s">
        <v>662</v>
      </c>
      <c r="D10" s="219" t="s">
        <v>707</v>
      </c>
      <c r="E10" s="126" t="s">
        <v>708</v>
      </c>
      <c r="F10" s="734"/>
      <c r="G10" s="734"/>
      <c r="H10" s="734"/>
      <c r="I10" s="86" t="s">
        <v>713</v>
      </c>
      <c r="J10" s="176" t="s">
        <v>9</v>
      </c>
      <c r="K10" s="69">
        <v>30</v>
      </c>
      <c r="L10" s="74" t="s">
        <v>698</v>
      </c>
      <c r="M10" s="213">
        <v>2250504445415</v>
      </c>
      <c r="N10" s="70" t="s">
        <v>681</v>
      </c>
      <c r="O10" s="70" t="s">
        <v>710</v>
      </c>
      <c r="P10" s="214" t="s">
        <v>711</v>
      </c>
      <c r="Q10" s="215" t="s">
        <v>712</v>
      </c>
      <c r="R10" s="216" t="str">
        <f t="shared" si="1"/>
        <v>GUEYO GUEYO DABOUYO Alikro SANOGO SEYDOU M Tle D avec BEPC 2250504445415 KOUADIO KOUASSI ATHANASE  /0709143515 Epp Alikro AKO ADJE OBERLIN 05 86 78 75 67</v>
      </c>
      <c r="X10" s="207" t="str">
        <f>X5</f>
        <v>SOUBRE</v>
      </c>
      <c r="Y10" s="208">
        <f>AD5</f>
        <v>11</v>
      </c>
      <c r="AD10" s="137"/>
      <c r="AP10" s="99" t="s">
        <v>660</v>
      </c>
      <c r="AQ10" s="224" t="s">
        <v>873</v>
      </c>
      <c r="AR10" s="225" t="s">
        <v>660</v>
      </c>
      <c r="AS10" s="238" t="s">
        <v>752</v>
      </c>
      <c r="AT10" s="232">
        <v>4</v>
      </c>
      <c r="AU10" s="67">
        <v>15</v>
      </c>
      <c r="AV10" s="68">
        <v>19</v>
      </c>
      <c r="AW10" s="231" t="s">
        <v>753</v>
      </c>
      <c r="AX10" s="73" t="s">
        <v>724</v>
      </c>
      <c r="AY10" s="233"/>
      <c r="AZ10" s="74"/>
      <c r="BA10" s="230" t="s">
        <v>754</v>
      </c>
      <c r="BB10" s="231" t="s">
        <v>755</v>
      </c>
      <c r="BC10" s="84" t="s">
        <v>756</v>
      </c>
      <c r="BD10" s="214" t="s">
        <v>757</v>
      </c>
      <c r="BE10" s="230" t="s">
        <v>754</v>
      </c>
    </row>
    <row r="11" spans="2:57" s="65" customFormat="1" ht="41.25" customHeight="1" thickBot="1" x14ac:dyDescent="0.4">
      <c r="B11" s="99" t="s">
        <v>662</v>
      </c>
      <c r="C11" s="220" t="s">
        <v>662</v>
      </c>
      <c r="D11" s="219" t="s">
        <v>707</v>
      </c>
      <c r="E11" s="221" t="s">
        <v>714</v>
      </c>
      <c r="F11" s="744">
        <v>29</v>
      </c>
      <c r="G11" s="746">
        <v>21</v>
      </c>
      <c r="H11" s="748">
        <f>F11+G11</f>
        <v>50</v>
      </c>
      <c r="I11" s="212" t="s">
        <v>715</v>
      </c>
      <c r="J11" s="176" t="s">
        <v>9</v>
      </c>
      <c r="K11" s="69">
        <v>30</v>
      </c>
      <c r="L11" s="74" t="s">
        <v>716</v>
      </c>
      <c r="M11" s="222">
        <v>2250546895969</v>
      </c>
      <c r="N11" s="70" t="s">
        <v>681</v>
      </c>
      <c r="O11" s="266" t="s">
        <v>717</v>
      </c>
      <c r="P11" s="214" t="s">
        <v>718</v>
      </c>
      <c r="Q11" s="215" t="s">
        <v>719</v>
      </c>
      <c r="R11" s="216" t="str">
        <f t="shared" si="1"/>
        <v>GUEYO GUEYO DABOUYO Dabouyo 3 YAO KOUADIO BLAISE M BTS 2250546895969 KOUADIO KOUASSI ATHANASE  /0709143515 Epp Dabouyo3  BALET WASSIA MARIE France 07 58 74 32 45</v>
      </c>
      <c r="X11" s="207" t="str">
        <f t="shared" ref="X11:X13" si="5">X6</f>
        <v>BUYO 2/CP</v>
      </c>
      <c r="Y11" s="208">
        <f t="shared" ref="Y11:Y13" si="6">AD6</f>
        <v>3</v>
      </c>
      <c r="AD11" s="137"/>
      <c r="AP11" s="99" t="s">
        <v>660</v>
      </c>
      <c r="AQ11" s="224" t="s">
        <v>873</v>
      </c>
      <c r="AR11" s="225" t="s">
        <v>660</v>
      </c>
      <c r="AS11" s="238" t="s">
        <v>752</v>
      </c>
      <c r="AT11" s="232">
        <v>4</v>
      </c>
      <c r="AU11" s="67">
        <v>15</v>
      </c>
      <c r="AV11" s="68">
        <v>19</v>
      </c>
      <c r="AW11" s="80" t="s">
        <v>759</v>
      </c>
      <c r="AX11" s="74" t="s">
        <v>724</v>
      </c>
      <c r="AY11" s="233">
        <v>25</v>
      </c>
      <c r="AZ11" s="74" t="s">
        <v>760</v>
      </c>
      <c r="BA11" s="230" t="s">
        <v>761</v>
      </c>
      <c r="BB11" s="231" t="s">
        <v>726</v>
      </c>
      <c r="BC11" s="84" t="s">
        <v>756</v>
      </c>
      <c r="BD11" s="214" t="s">
        <v>757</v>
      </c>
      <c r="BE11" s="230" t="s">
        <v>761</v>
      </c>
    </row>
    <row r="12" spans="2:57" s="65" customFormat="1" ht="41.25" customHeight="1" thickBot="1" x14ac:dyDescent="0.4">
      <c r="B12" s="99" t="s">
        <v>662</v>
      </c>
      <c r="C12" s="223" t="s">
        <v>662</v>
      </c>
      <c r="D12" s="219" t="s">
        <v>707</v>
      </c>
      <c r="E12" s="221" t="s">
        <v>866</v>
      </c>
      <c r="F12" s="745"/>
      <c r="G12" s="747"/>
      <c r="H12" s="749"/>
      <c r="I12" s="212" t="s">
        <v>720</v>
      </c>
      <c r="J12" s="176" t="s">
        <v>9</v>
      </c>
      <c r="K12" s="69">
        <v>33</v>
      </c>
      <c r="L12" s="74" t="s">
        <v>721</v>
      </c>
      <c r="M12" s="222">
        <v>2250545154103</v>
      </c>
      <c r="N12" s="70" t="s">
        <v>681</v>
      </c>
      <c r="O12" s="70" t="s">
        <v>717</v>
      </c>
      <c r="P12" s="214" t="s">
        <v>718</v>
      </c>
      <c r="Q12" s="215" t="s">
        <v>719</v>
      </c>
      <c r="R12" s="216" t="str">
        <f t="shared" si="1"/>
        <v>GUEYO GUEYO DABOUYO Dabouyo 4 KOFFI KOUAKOU MATHURIN M 3ème  2250545154103 KOUADIO KOUASSI ATHANASE  /0709143515 Epp Dabouyo3  BALET WASSIA MARIE France 07 58 74 32 45</v>
      </c>
      <c r="X12" s="207" t="str">
        <f t="shared" si="5"/>
        <v>GUEYO</v>
      </c>
      <c r="Y12" s="208">
        <f t="shared" si="6"/>
        <v>5</v>
      </c>
      <c r="AD12" s="137"/>
      <c r="AP12" s="99" t="s">
        <v>660</v>
      </c>
      <c r="AQ12" s="224" t="s">
        <v>873</v>
      </c>
      <c r="AR12" s="225" t="s">
        <v>660</v>
      </c>
      <c r="AS12" s="77" t="s">
        <v>763</v>
      </c>
      <c r="AT12" s="232">
        <v>6</v>
      </c>
      <c r="AU12" s="67">
        <v>13</v>
      </c>
      <c r="AV12" s="68">
        <v>19</v>
      </c>
      <c r="AW12" s="231" t="s">
        <v>501</v>
      </c>
      <c r="AX12" s="73" t="s">
        <v>2</v>
      </c>
      <c r="AY12" s="233">
        <v>27</v>
      </c>
      <c r="AZ12" s="74" t="s">
        <v>741</v>
      </c>
      <c r="BA12" s="239" t="s">
        <v>764</v>
      </c>
      <c r="BB12" s="231" t="s">
        <v>726</v>
      </c>
      <c r="BC12" s="84" t="s">
        <v>765</v>
      </c>
      <c r="BD12" s="236" t="s">
        <v>766</v>
      </c>
      <c r="BE12" s="239" t="s">
        <v>764</v>
      </c>
    </row>
    <row r="13" spans="2:57" s="65" customFormat="1" ht="39" customHeight="1" thickBot="1" x14ac:dyDescent="0.4">
      <c r="B13" s="99" t="s">
        <v>660</v>
      </c>
      <c r="C13" s="224" t="s">
        <v>873</v>
      </c>
      <c r="D13" s="225" t="s">
        <v>660</v>
      </c>
      <c r="E13" s="79" t="s">
        <v>722</v>
      </c>
      <c r="F13" s="226">
        <v>15</v>
      </c>
      <c r="G13" s="227">
        <v>12</v>
      </c>
      <c r="H13" s="228">
        <f t="shared" ref="H13:H30" si="7">F13+G13</f>
        <v>27</v>
      </c>
      <c r="I13" s="229" t="s">
        <v>723</v>
      </c>
      <c r="J13" s="71" t="s">
        <v>724</v>
      </c>
      <c r="K13" s="82">
        <v>26</v>
      </c>
      <c r="L13" s="71" t="s">
        <v>721</v>
      </c>
      <c r="M13" s="230" t="s">
        <v>725</v>
      </c>
      <c r="N13" s="231" t="s">
        <v>726</v>
      </c>
      <c r="O13" s="79" t="s">
        <v>727</v>
      </c>
      <c r="P13" s="231" t="s">
        <v>728</v>
      </c>
      <c r="Q13" s="230" t="s">
        <v>729</v>
      </c>
      <c r="R13" s="216" t="str">
        <f t="shared" si="1"/>
        <v>BUYO BUYO 1/CP BUYO Kouamékro YAO KOUADIO HYACINTHE H 3ème  0545021799 GEORGES OUATTARA 0749828388 EPP ALEXANDREKRO KOFFI JEAN MARC SYLVAIN 0554934621</v>
      </c>
      <c r="X13" s="207" t="str">
        <f t="shared" si="5"/>
        <v>Yobouet-Kouassikro</v>
      </c>
      <c r="Y13" s="208">
        <f t="shared" si="6"/>
        <v>1</v>
      </c>
      <c r="AD13" s="137"/>
      <c r="AP13" s="99" t="s">
        <v>660</v>
      </c>
      <c r="AQ13" s="224" t="s">
        <v>873</v>
      </c>
      <c r="AR13" s="225" t="s">
        <v>660</v>
      </c>
      <c r="AS13" s="77" t="s">
        <v>768</v>
      </c>
      <c r="AT13" s="232">
        <v>14</v>
      </c>
      <c r="AU13" s="67">
        <v>11</v>
      </c>
      <c r="AV13" s="68">
        <v>25</v>
      </c>
      <c r="AW13" s="231" t="s">
        <v>769</v>
      </c>
      <c r="AX13" s="73" t="s">
        <v>724</v>
      </c>
      <c r="AY13" s="233">
        <v>46</v>
      </c>
      <c r="AZ13" s="74" t="s">
        <v>721</v>
      </c>
      <c r="BA13" s="239" t="s">
        <v>420</v>
      </c>
      <c r="BB13" s="231" t="s">
        <v>726</v>
      </c>
      <c r="BC13" s="84" t="s">
        <v>765</v>
      </c>
      <c r="BD13" s="236" t="s">
        <v>766</v>
      </c>
      <c r="BE13" s="239" t="s">
        <v>420</v>
      </c>
    </row>
    <row r="14" spans="2:57" s="65" customFormat="1" ht="39" customHeight="1" thickBot="1" x14ac:dyDescent="0.4">
      <c r="B14" s="99" t="s">
        <v>660</v>
      </c>
      <c r="C14" s="224" t="s">
        <v>873</v>
      </c>
      <c r="D14" s="225" t="s">
        <v>660</v>
      </c>
      <c r="E14" s="77" t="s">
        <v>730</v>
      </c>
      <c r="F14" s="226">
        <v>13</v>
      </c>
      <c r="G14" s="227">
        <v>12</v>
      </c>
      <c r="H14" s="228">
        <f t="shared" si="7"/>
        <v>25</v>
      </c>
      <c r="I14" s="231" t="s">
        <v>731</v>
      </c>
      <c r="J14" s="71" t="s">
        <v>724</v>
      </c>
      <c r="K14" s="82"/>
      <c r="L14" s="71"/>
      <c r="M14" s="230" t="s">
        <v>732</v>
      </c>
      <c r="N14" s="231" t="s">
        <v>726</v>
      </c>
      <c r="O14" s="84" t="s">
        <v>733</v>
      </c>
      <c r="P14" s="231" t="s">
        <v>734</v>
      </c>
      <c r="Q14" s="230" t="s">
        <v>735</v>
      </c>
      <c r="R14" s="216" t="str">
        <f t="shared" si="1"/>
        <v>BUYO BUYO 1/CP BUYO Okabo YAO  SERAPHIN SIALLOUE H  0506763862 GEORGES OUATTARA 0749828388 EPP COULIBALYKRO VAGBEU MATHURIN ZADI 0546848662</v>
      </c>
      <c r="AD14" s="137"/>
      <c r="AP14" s="99" t="s">
        <v>660</v>
      </c>
      <c r="AQ14" s="224" t="s">
        <v>873</v>
      </c>
      <c r="AR14" s="225" t="s">
        <v>660</v>
      </c>
      <c r="AS14" s="238" t="s">
        <v>770</v>
      </c>
      <c r="AT14" s="240">
        <v>10</v>
      </c>
      <c r="AU14" s="93">
        <v>15</v>
      </c>
      <c r="AV14" s="126">
        <v>25</v>
      </c>
      <c r="AW14" s="231" t="s">
        <v>771</v>
      </c>
      <c r="AX14" s="74" t="s">
        <v>2</v>
      </c>
      <c r="AY14" s="233">
        <v>36</v>
      </c>
      <c r="AZ14" s="74" t="s">
        <v>721</v>
      </c>
      <c r="BA14" s="234" t="s">
        <v>772</v>
      </c>
      <c r="BB14" s="231" t="s">
        <v>755</v>
      </c>
      <c r="BC14" s="84" t="s">
        <v>773</v>
      </c>
      <c r="BD14" s="236" t="s">
        <v>774</v>
      </c>
      <c r="BE14" s="234" t="s">
        <v>772</v>
      </c>
    </row>
    <row r="15" spans="2:57" s="65" customFormat="1" ht="39" customHeight="1" thickBot="1" x14ac:dyDescent="0.4">
      <c r="B15" s="99" t="s">
        <v>660</v>
      </c>
      <c r="C15" s="224" t="s">
        <v>873</v>
      </c>
      <c r="D15" s="225" t="s">
        <v>660</v>
      </c>
      <c r="E15" s="77" t="s">
        <v>736</v>
      </c>
      <c r="F15" s="232">
        <v>12</v>
      </c>
      <c r="G15" s="67">
        <v>7</v>
      </c>
      <c r="H15" s="68">
        <f t="shared" si="7"/>
        <v>19</v>
      </c>
      <c r="I15" s="231" t="s">
        <v>737</v>
      </c>
      <c r="J15" s="73" t="s">
        <v>724</v>
      </c>
      <c r="K15" s="233">
        <v>32</v>
      </c>
      <c r="L15" s="73" t="s">
        <v>738</v>
      </c>
      <c r="M15" s="234" t="s">
        <v>739</v>
      </c>
      <c r="N15" s="231" t="s">
        <v>726</v>
      </c>
      <c r="O15" s="84" t="s">
        <v>733</v>
      </c>
      <c r="P15" s="231" t="s">
        <v>734</v>
      </c>
      <c r="Q15" s="230" t="s">
        <v>735</v>
      </c>
      <c r="R15" s="216" t="str">
        <f t="shared" si="1"/>
        <v>BUYO BUYO 1/CP BUYO Tolba KOUAME KOUASSI H. LEOPOLD H Tle 0749571054 GEORGES OUATTARA 0749828388 EPP COULIBALYKRO VAGBEU MATHURIN ZADI 0546848662</v>
      </c>
      <c r="AD15" s="137"/>
      <c r="AP15" s="99" t="s">
        <v>660</v>
      </c>
      <c r="AQ15" s="224" t="s">
        <v>873</v>
      </c>
      <c r="AR15" s="225" t="s">
        <v>660</v>
      </c>
      <c r="AS15" s="238" t="s">
        <v>770</v>
      </c>
      <c r="AT15" s="241">
        <v>11</v>
      </c>
      <c r="AU15" s="241">
        <v>10</v>
      </c>
      <c r="AV15" s="241">
        <v>21</v>
      </c>
      <c r="AW15" s="242" t="s">
        <v>776</v>
      </c>
      <c r="AX15" s="76" t="s">
        <v>724</v>
      </c>
      <c r="AY15" s="243">
        <v>44</v>
      </c>
      <c r="AZ15" s="76" t="s">
        <v>738</v>
      </c>
      <c r="BA15" s="244" t="s">
        <v>777</v>
      </c>
      <c r="BB15" s="231" t="s">
        <v>778</v>
      </c>
      <c r="BC15" s="84" t="s">
        <v>779</v>
      </c>
      <c r="BD15" s="236" t="s">
        <v>774</v>
      </c>
      <c r="BE15" s="244" t="s">
        <v>777</v>
      </c>
    </row>
    <row r="16" spans="2:57" s="65" customFormat="1" ht="39" customHeight="1" thickBot="1" x14ac:dyDescent="0.4">
      <c r="B16" s="99" t="s">
        <v>660</v>
      </c>
      <c r="C16" s="224" t="s">
        <v>873</v>
      </c>
      <c r="D16" s="225" t="s">
        <v>660</v>
      </c>
      <c r="E16" s="77" t="s">
        <v>740</v>
      </c>
      <c r="F16" s="232">
        <v>10</v>
      </c>
      <c r="G16" s="67">
        <v>11</v>
      </c>
      <c r="H16" s="68">
        <f t="shared" si="7"/>
        <v>21</v>
      </c>
      <c r="I16" s="231" t="s">
        <v>227</v>
      </c>
      <c r="J16" s="73" t="s">
        <v>724</v>
      </c>
      <c r="K16" s="233">
        <v>39</v>
      </c>
      <c r="L16" s="74" t="s">
        <v>741</v>
      </c>
      <c r="M16" s="230" t="s">
        <v>742</v>
      </c>
      <c r="N16" s="231" t="s">
        <v>726</v>
      </c>
      <c r="O16" s="84" t="s">
        <v>743</v>
      </c>
      <c r="P16" s="231" t="s">
        <v>744</v>
      </c>
      <c r="Q16" s="235" t="s">
        <v>745</v>
      </c>
      <c r="R16" s="216" t="str">
        <f t="shared" si="1"/>
        <v>BUYO BUYO 1/CP BUYO Yaoblékro N'GUESSAN KOUASSI DESIRE H 2nde 0545892390 GEORGES OUATTARA 0749828388 EPP NOUPKOUDOU ASSIENIN NAFIASSOU MARIE LAURE 0707658142</v>
      </c>
      <c r="AD16" s="137"/>
      <c r="AP16" s="99" t="s">
        <v>660</v>
      </c>
      <c r="AQ16" s="224" t="s">
        <v>873</v>
      </c>
      <c r="AR16" s="225" t="s">
        <v>660</v>
      </c>
      <c r="AS16" s="238" t="s">
        <v>770</v>
      </c>
      <c r="AT16" s="172">
        <v>11</v>
      </c>
      <c r="AU16" s="172">
        <v>4</v>
      </c>
      <c r="AV16" s="172">
        <v>15</v>
      </c>
      <c r="AW16" s="245" t="s">
        <v>780</v>
      </c>
      <c r="AX16" s="76" t="s">
        <v>724</v>
      </c>
      <c r="AY16" s="243">
        <v>36</v>
      </c>
      <c r="AZ16" s="76" t="s">
        <v>738</v>
      </c>
      <c r="BA16" s="244" t="s">
        <v>781</v>
      </c>
      <c r="BB16" s="245" t="s">
        <v>782</v>
      </c>
      <c r="BC16" s="174" t="s">
        <v>783</v>
      </c>
      <c r="BD16" s="236" t="s">
        <v>774</v>
      </c>
      <c r="BE16" s="244" t="s">
        <v>781</v>
      </c>
    </row>
    <row r="17" spans="2:57" s="65" customFormat="1" ht="39" customHeight="1" thickBot="1" x14ac:dyDescent="0.4">
      <c r="B17" s="99" t="s">
        <v>660</v>
      </c>
      <c r="C17" s="224" t="s">
        <v>873</v>
      </c>
      <c r="D17" s="225" t="s">
        <v>660</v>
      </c>
      <c r="E17" s="77" t="s">
        <v>746</v>
      </c>
      <c r="F17" s="232">
        <v>7</v>
      </c>
      <c r="G17" s="67">
        <v>10</v>
      </c>
      <c r="H17" s="68">
        <f t="shared" si="7"/>
        <v>17</v>
      </c>
      <c r="I17" s="231" t="s">
        <v>747</v>
      </c>
      <c r="J17" s="73" t="s">
        <v>724</v>
      </c>
      <c r="K17" s="233">
        <v>39</v>
      </c>
      <c r="L17" s="74" t="s">
        <v>741</v>
      </c>
      <c r="M17" s="230" t="s">
        <v>748</v>
      </c>
      <c r="N17" s="231" t="s">
        <v>726</v>
      </c>
      <c r="O17" s="84" t="s">
        <v>749</v>
      </c>
      <c r="P17" s="236" t="s">
        <v>750</v>
      </c>
      <c r="Q17" s="237" t="s">
        <v>751</v>
      </c>
      <c r="R17" s="216" t="str">
        <f t="shared" si="1"/>
        <v>BUYO BUYO 1/CP BUYO KOUAKOU N’drikro YAO YAO JULES H 2nde 0504951183 GEORGES OUATTARA 0749828388 EPP KOUAKOU N'DRIKRO KOUA DAMOI FRANCK 0505793222</v>
      </c>
      <c r="AD17" s="137"/>
      <c r="AP17" s="99" t="s">
        <v>660</v>
      </c>
      <c r="AQ17" s="247" t="s">
        <v>874</v>
      </c>
      <c r="AR17" s="248" t="s">
        <v>784</v>
      </c>
      <c r="AS17" s="238" t="s">
        <v>785</v>
      </c>
      <c r="AT17" s="241">
        <v>8</v>
      </c>
      <c r="AU17" s="241">
        <v>16</v>
      </c>
      <c r="AV17" s="241">
        <v>24</v>
      </c>
      <c r="AW17" s="231" t="s">
        <v>786</v>
      </c>
      <c r="AX17" s="77" t="s">
        <v>2</v>
      </c>
      <c r="AY17" s="85">
        <v>27</v>
      </c>
      <c r="AZ17" s="77" t="s">
        <v>760</v>
      </c>
      <c r="BA17" s="249" t="s">
        <v>787</v>
      </c>
      <c r="BB17" s="231" t="s">
        <v>788</v>
      </c>
      <c r="BC17" s="84" t="s">
        <v>789</v>
      </c>
      <c r="BD17" s="77" t="s">
        <v>790</v>
      </c>
      <c r="BE17" s="249" t="s">
        <v>787</v>
      </c>
    </row>
    <row r="18" spans="2:57" s="65" customFormat="1" ht="39" customHeight="1" thickBot="1" x14ac:dyDescent="0.4">
      <c r="B18" s="99" t="s">
        <v>660</v>
      </c>
      <c r="C18" s="224" t="s">
        <v>873</v>
      </c>
      <c r="D18" s="225" t="s">
        <v>660</v>
      </c>
      <c r="E18" s="238" t="s">
        <v>752</v>
      </c>
      <c r="F18" s="232">
        <v>4</v>
      </c>
      <c r="G18" s="67">
        <v>15</v>
      </c>
      <c r="H18" s="68">
        <f t="shared" si="7"/>
        <v>19</v>
      </c>
      <c r="I18" s="231" t="s">
        <v>753</v>
      </c>
      <c r="J18" s="73" t="s">
        <v>724</v>
      </c>
      <c r="K18" s="233"/>
      <c r="L18" s="74"/>
      <c r="M18" s="230" t="s">
        <v>754</v>
      </c>
      <c r="N18" s="231" t="s">
        <v>755</v>
      </c>
      <c r="O18" s="84" t="s">
        <v>756</v>
      </c>
      <c r="P18" s="214" t="s">
        <v>757</v>
      </c>
      <c r="Q18" s="237" t="s">
        <v>758</v>
      </c>
      <c r="R18" s="216" t="str">
        <f t="shared" si="1"/>
        <v>BUYO BUYO 1/CP BUYO Mayakoffikro KOUAKOU KONAN ISAAC  H  0595196050 GEORGES OUATTARA 0749828389 EPP MAYAKOFFIKRO SALIFOU KOFFI ABDOURAMANE 0504941390</v>
      </c>
      <c r="AD18" s="137"/>
      <c r="AP18" s="99" t="s">
        <v>660</v>
      </c>
      <c r="AQ18" s="247" t="s">
        <v>874</v>
      </c>
      <c r="AR18" s="248" t="s">
        <v>784</v>
      </c>
      <c r="AS18" s="238" t="s">
        <v>785</v>
      </c>
      <c r="AT18" s="241">
        <v>8</v>
      </c>
      <c r="AU18" s="241">
        <v>15</v>
      </c>
      <c r="AV18" s="241">
        <v>23</v>
      </c>
      <c r="AW18" s="231" t="s">
        <v>792</v>
      </c>
      <c r="AX18" s="77" t="s">
        <v>724</v>
      </c>
      <c r="AY18" s="85">
        <v>22</v>
      </c>
      <c r="AZ18" s="77" t="s">
        <v>760</v>
      </c>
      <c r="BA18" s="249" t="s">
        <v>793</v>
      </c>
      <c r="BB18" s="231" t="s">
        <v>788</v>
      </c>
      <c r="BC18" s="84" t="s">
        <v>789</v>
      </c>
      <c r="BD18" s="77" t="s">
        <v>790</v>
      </c>
      <c r="BE18" s="249" t="s">
        <v>793</v>
      </c>
    </row>
    <row r="19" spans="2:57" s="65" customFormat="1" ht="39" customHeight="1" thickBot="1" x14ac:dyDescent="0.4">
      <c r="B19" s="99" t="s">
        <v>660</v>
      </c>
      <c r="C19" s="224" t="s">
        <v>873</v>
      </c>
      <c r="D19" s="225" t="s">
        <v>660</v>
      </c>
      <c r="E19" s="238" t="s">
        <v>752</v>
      </c>
      <c r="F19" s="232">
        <v>4</v>
      </c>
      <c r="G19" s="67">
        <v>15</v>
      </c>
      <c r="H19" s="68">
        <f t="shared" si="7"/>
        <v>19</v>
      </c>
      <c r="I19" s="80" t="s">
        <v>759</v>
      </c>
      <c r="J19" s="74" t="s">
        <v>724</v>
      </c>
      <c r="K19" s="233">
        <v>25</v>
      </c>
      <c r="L19" s="74" t="s">
        <v>760</v>
      </c>
      <c r="M19" s="230" t="s">
        <v>761</v>
      </c>
      <c r="N19" s="231" t="s">
        <v>726</v>
      </c>
      <c r="O19" s="84" t="s">
        <v>756</v>
      </c>
      <c r="P19" s="214" t="s">
        <v>757</v>
      </c>
      <c r="Q19" s="237" t="s">
        <v>762</v>
      </c>
      <c r="R19" s="216" t="str">
        <f t="shared" si="1"/>
        <v>BUYO BUYO 1/CP BUYO Mayakoffikro KOUADIO KOUAKOU CELESTIN  H BAC 0585720858 GEORGES OUATTARA 0749828388 EPP MAYAKOFFIKRO SALIFOU KOFFI ABDOURAMANE 050494139</v>
      </c>
      <c r="AD19" s="137"/>
      <c r="AP19" s="99" t="s">
        <v>660</v>
      </c>
      <c r="AQ19" s="247" t="s">
        <v>874</v>
      </c>
      <c r="AR19" s="248" t="s">
        <v>784</v>
      </c>
      <c r="AS19" s="251" t="s">
        <v>794</v>
      </c>
      <c r="AT19" s="252">
        <v>8</v>
      </c>
      <c r="AU19" s="253">
        <v>17</v>
      </c>
      <c r="AV19" s="254">
        <v>25</v>
      </c>
      <c r="AW19" s="245" t="s">
        <v>795</v>
      </c>
      <c r="AX19" s="78" t="s">
        <v>2</v>
      </c>
      <c r="AY19" s="255">
        <v>32</v>
      </c>
      <c r="AZ19" s="78" t="s">
        <v>738</v>
      </c>
      <c r="BA19" s="256" t="s">
        <v>796</v>
      </c>
      <c r="BB19" s="245" t="s">
        <v>788</v>
      </c>
      <c r="BC19" s="175" t="s">
        <v>797</v>
      </c>
      <c r="BD19" s="236" t="s">
        <v>798</v>
      </c>
      <c r="BE19" s="256" t="s">
        <v>796</v>
      </c>
    </row>
    <row r="20" spans="2:57" s="65" customFormat="1" ht="39" customHeight="1" thickBot="1" x14ac:dyDescent="0.4">
      <c r="B20" s="99" t="s">
        <v>660</v>
      </c>
      <c r="C20" s="224" t="s">
        <v>873</v>
      </c>
      <c r="D20" s="225" t="s">
        <v>660</v>
      </c>
      <c r="E20" s="77" t="s">
        <v>763</v>
      </c>
      <c r="F20" s="232">
        <v>6</v>
      </c>
      <c r="G20" s="67">
        <v>13</v>
      </c>
      <c r="H20" s="68">
        <f t="shared" si="7"/>
        <v>19</v>
      </c>
      <c r="I20" s="231" t="s">
        <v>501</v>
      </c>
      <c r="J20" s="73" t="s">
        <v>2</v>
      </c>
      <c r="K20" s="233">
        <v>27</v>
      </c>
      <c r="L20" s="74" t="s">
        <v>741</v>
      </c>
      <c r="M20" s="239" t="s">
        <v>764</v>
      </c>
      <c r="N20" s="231" t="s">
        <v>726</v>
      </c>
      <c r="O20" s="84" t="s">
        <v>765</v>
      </c>
      <c r="P20" s="236" t="s">
        <v>766</v>
      </c>
      <c r="Q20" s="237" t="s">
        <v>767</v>
      </c>
      <c r="R20" s="216" t="str">
        <f t="shared" si="1"/>
        <v>BUYO BUYO 1/CP BUYO Tanokouadiokro KOUASSI AHOU SONIA F 2nde 0769038495 GEORGES OUATTARA 0749828388 EPP WONSEALY 1 NITE YAO DOMESAC ELIAKIM 0574791965</v>
      </c>
      <c r="AD20" s="137"/>
      <c r="AP20" s="99" t="s">
        <v>660</v>
      </c>
      <c r="AQ20" s="225" t="s">
        <v>865</v>
      </c>
      <c r="AR20" s="248" t="s">
        <v>864</v>
      </c>
      <c r="AS20" s="79" t="s">
        <v>722</v>
      </c>
      <c r="AT20" s="173">
        <v>7</v>
      </c>
      <c r="AU20" s="173">
        <v>10</v>
      </c>
      <c r="AV20" s="173">
        <v>17</v>
      </c>
      <c r="AW20" s="231" t="s">
        <v>532</v>
      </c>
      <c r="AX20" s="79" t="s">
        <v>724</v>
      </c>
      <c r="AY20" s="258">
        <v>31</v>
      </c>
      <c r="AZ20" s="79" t="s">
        <v>741</v>
      </c>
      <c r="BA20" s="259" t="s">
        <v>552</v>
      </c>
      <c r="BB20" s="231" t="s">
        <v>782</v>
      </c>
      <c r="BC20" s="79" t="s">
        <v>727</v>
      </c>
      <c r="BD20" s="231" t="s">
        <v>728</v>
      </c>
      <c r="BE20" s="259" t="s">
        <v>552</v>
      </c>
    </row>
    <row r="21" spans="2:57" s="65" customFormat="1" ht="39" customHeight="1" thickBot="1" x14ac:dyDescent="0.4">
      <c r="B21" s="99" t="s">
        <v>660</v>
      </c>
      <c r="C21" s="224" t="s">
        <v>873</v>
      </c>
      <c r="D21" s="225" t="s">
        <v>660</v>
      </c>
      <c r="E21" s="77" t="s">
        <v>768</v>
      </c>
      <c r="F21" s="232">
        <v>14</v>
      </c>
      <c r="G21" s="67">
        <v>11</v>
      </c>
      <c r="H21" s="68">
        <f t="shared" si="7"/>
        <v>25</v>
      </c>
      <c r="I21" s="231" t="s">
        <v>769</v>
      </c>
      <c r="J21" s="73" t="s">
        <v>724</v>
      </c>
      <c r="K21" s="233">
        <v>46</v>
      </c>
      <c r="L21" s="74" t="s">
        <v>721</v>
      </c>
      <c r="M21" s="239" t="s">
        <v>420</v>
      </c>
      <c r="N21" s="231" t="s">
        <v>726</v>
      </c>
      <c r="O21" s="84" t="s">
        <v>765</v>
      </c>
      <c r="P21" s="236" t="s">
        <v>766</v>
      </c>
      <c r="Q21" s="237" t="s">
        <v>767</v>
      </c>
      <c r="R21" s="216" t="str">
        <f t="shared" si="1"/>
        <v>BUYO BUYO 1/CP BUYO Koffi konankro LAMINE  KOFFI CELESTIN  H 3ème  0749239434 GEORGES OUATTARA 0749828388 EPP WONSEALY 1 NITE YAO DOMESAC ELIAKIM 0574791965</v>
      </c>
      <c r="AD21" s="137"/>
      <c r="AP21" s="99" t="s">
        <v>660</v>
      </c>
      <c r="AQ21" s="225" t="s">
        <v>865</v>
      </c>
      <c r="AR21" s="248" t="s">
        <v>864</v>
      </c>
      <c r="AS21" s="77" t="s">
        <v>736</v>
      </c>
      <c r="AT21" s="241">
        <v>11</v>
      </c>
      <c r="AU21" s="241">
        <v>14</v>
      </c>
      <c r="AV21" s="241">
        <v>25</v>
      </c>
      <c r="AW21" s="231" t="s">
        <v>800</v>
      </c>
      <c r="AX21" s="77" t="s">
        <v>724</v>
      </c>
      <c r="AY21" s="85">
        <v>38</v>
      </c>
      <c r="AZ21" s="77" t="s">
        <v>738</v>
      </c>
      <c r="BA21" s="249" t="s">
        <v>351</v>
      </c>
      <c r="BB21" s="231" t="s">
        <v>782</v>
      </c>
      <c r="BC21" s="84" t="s">
        <v>733</v>
      </c>
      <c r="BD21" s="231" t="s">
        <v>734</v>
      </c>
      <c r="BE21" s="249" t="s">
        <v>351</v>
      </c>
    </row>
    <row r="22" spans="2:57" s="65" customFormat="1" ht="39" customHeight="1" thickBot="1" x14ac:dyDescent="0.4">
      <c r="B22" s="99" t="s">
        <v>660</v>
      </c>
      <c r="C22" s="224" t="s">
        <v>873</v>
      </c>
      <c r="D22" s="225" t="s">
        <v>660</v>
      </c>
      <c r="E22" s="238" t="s">
        <v>770</v>
      </c>
      <c r="F22" s="240">
        <v>10</v>
      </c>
      <c r="G22" s="93">
        <v>15</v>
      </c>
      <c r="H22" s="126">
        <f t="shared" si="7"/>
        <v>25</v>
      </c>
      <c r="I22" s="231" t="s">
        <v>771</v>
      </c>
      <c r="J22" s="74" t="s">
        <v>2</v>
      </c>
      <c r="K22" s="233">
        <v>36</v>
      </c>
      <c r="L22" s="74" t="s">
        <v>721</v>
      </c>
      <c r="M22" s="234" t="s">
        <v>772</v>
      </c>
      <c r="N22" s="231" t="s">
        <v>755</v>
      </c>
      <c r="O22" s="84" t="s">
        <v>773</v>
      </c>
      <c r="P22" s="236" t="s">
        <v>774</v>
      </c>
      <c r="Q22" s="235" t="s">
        <v>775</v>
      </c>
      <c r="R22" s="216" t="str">
        <f t="shared" si="1"/>
        <v>BUYO BUYO 1/CP BUYO Wonsealy KOURAI TOULY DIANE F 3ème  0769930681 GEORGES OUATTARA 0749828389 EPP WONSEALY 2 SAKO BAKARY 0505223575</v>
      </c>
      <c r="AD22" s="137"/>
      <c r="AP22" s="99" t="s">
        <v>660</v>
      </c>
      <c r="AQ22" s="225" t="s">
        <v>865</v>
      </c>
      <c r="AR22" s="248" t="s">
        <v>864</v>
      </c>
      <c r="AS22" s="77" t="s">
        <v>730</v>
      </c>
      <c r="AT22" s="241">
        <v>13</v>
      </c>
      <c r="AU22" s="241">
        <v>8</v>
      </c>
      <c r="AV22" s="241">
        <v>21</v>
      </c>
      <c r="AW22" s="231" t="s">
        <v>801</v>
      </c>
      <c r="AX22" s="77" t="s">
        <v>724</v>
      </c>
      <c r="AY22" s="85"/>
      <c r="AZ22" s="77"/>
      <c r="BA22" s="230" t="s">
        <v>802</v>
      </c>
      <c r="BB22" s="231" t="s">
        <v>782</v>
      </c>
      <c r="BC22" s="84" t="s">
        <v>733</v>
      </c>
      <c r="BD22" s="231" t="s">
        <v>734</v>
      </c>
      <c r="BE22" s="230" t="s">
        <v>802</v>
      </c>
    </row>
    <row r="23" spans="2:57" s="65" customFormat="1" ht="39" customHeight="1" thickBot="1" x14ac:dyDescent="0.4">
      <c r="B23" s="99" t="s">
        <v>660</v>
      </c>
      <c r="C23" s="224" t="s">
        <v>873</v>
      </c>
      <c r="D23" s="225" t="s">
        <v>660</v>
      </c>
      <c r="E23" s="238" t="s">
        <v>770</v>
      </c>
      <c r="F23" s="241">
        <v>11</v>
      </c>
      <c r="G23" s="241">
        <v>10</v>
      </c>
      <c r="H23" s="241">
        <f t="shared" si="7"/>
        <v>21</v>
      </c>
      <c r="I23" s="242" t="s">
        <v>776</v>
      </c>
      <c r="J23" s="76" t="s">
        <v>724</v>
      </c>
      <c r="K23" s="243">
        <v>44</v>
      </c>
      <c r="L23" s="76" t="s">
        <v>738</v>
      </c>
      <c r="M23" s="244" t="s">
        <v>777</v>
      </c>
      <c r="N23" s="231" t="s">
        <v>778</v>
      </c>
      <c r="O23" s="84" t="s">
        <v>779</v>
      </c>
      <c r="P23" s="236" t="s">
        <v>774</v>
      </c>
      <c r="Q23" s="235" t="s">
        <v>775</v>
      </c>
      <c r="R23" s="216" t="str">
        <f t="shared" si="1"/>
        <v>BUYO BUYO 1/CP BUYO Wonsealy KANGA KOUASSI SIMEON  H Tle 0701392820 GEORGES OUATTARA 0749828390 EPP WONSEALY 3 SAKO BAKARY 0505223575</v>
      </c>
      <c r="AD23" s="137"/>
      <c r="AP23" s="99"/>
      <c r="AQ23" s="224"/>
      <c r="AR23" s="225"/>
      <c r="AS23" s="238"/>
      <c r="AT23" s="240"/>
      <c r="AU23" s="93"/>
      <c r="AV23" s="126"/>
      <c r="AW23" s="231"/>
      <c r="AX23" s="74"/>
      <c r="AY23" s="233"/>
      <c r="AZ23" s="74"/>
      <c r="BA23" s="234"/>
      <c r="BB23" s="231"/>
      <c r="BC23" s="84"/>
      <c r="BD23" s="236"/>
      <c r="BE23" s="234"/>
    </row>
    <row r="24" spans="2:57" s="65" customFormat="1" ht="39" customHeight="1" thickBot="1" x14ac:dyDescent="0.4">
      <c r="B24" s="99" t="s">
        <v>660</v>
      </c>
      <c r="C24" s="224" t="s">
        <v>873</v>
      </c>
      <c r="D24" s="225" t="s">
        <v>660</v>
      </c>
      <c r="E24" s="238" t="s">
        <v>770</v>
      </c>
      <c r="F24" s="172">
        <v>11</v>
      </c>
      <c r="G24" s="172">
        <v>4</v>
      </c>
      <c r="H24" s="172">
        <f t="shared" si="7"/>
        <v>15</v>
      </c>
      <c r="I24" s="245" t="s">
        <v>780</v>
      </c>
      <c r="J24" s="76" t="s">
        <v>724</v>
      </c>
      <c r="K24" s="243">
        <v>36</v>
      </c>
      <c r="L24" s="76" t="s">
        <v>738</v>
      </c>
      <c r="M24" s="244" t="s">
        <v>781</v>
      </c>
      <c r="N24" s="245" t="s">
        <v>782</v>
      </c>
      <c r="O24" s="174" t="s">
        <v>783</v>
      </c>
      <c r="P24" s="236" t="s">
        <v>774</v>
      </c>
      <c r="Q24" s="246" t="s">
        <v>775</v>
      </c>
      <c r="R24" s="216" t="str">
        <f t="shared" si="1"/>
        <v>BUYO BUYO 1/CP BUYO Wonsealy ZOGBO WONBLEGON FRANCIS H Tle 0757148655 GEORGES OUATTARA 0749828391 EPP WONSEALY 4 SAKO BAKARY 0505223575</v>
      </c>
      <c r="AD24" s="137"/>
      <c r="AP24" s="99"/>
      <c r="AQ24" s="224"/>
      <c r="AR24" s="225"/>
      <c r="AS24" s="238"/>
      <c r="AT24" s="241"/>
      <c r="AU24" s="241"/>
      <c r="AV24" s="241"/>
      <c r="AW24" s="242"/>
      <c r="AX24" s="76"/>
      <c r="AY24" s="243"/>
      <c r="AZ24" s="76"/>
      <c r="BA24" s="244"/>
      <c r="BB24" s="231"/>
      <c r="BC24" s="84"/>
      <c r="BD24" s="236"/>
      <c r="BE24" s="244"/>
    </row>
    <row r="25" spans="2:57" s="65" customFormat="1" ht="39" customHeight="1" x14ac:dyDescent="0.35">
      <c r="B25" s="99" t="s">
        <v>660</v>
      </c>
      <c r="C25" s="247" t="s">
        <v>874</v>
      </c>
      <c r="D25" s="248" t="s">
        <v>784</v>
      </c>
      <c r="E25" s="238" t="s">
        <v>785</v>
      </c>
      <c r="F25" s="241">
        <v>8</v>
      </c>
      <c r="G25" s="241">
        <v>16</v>
      </c>
      <c r="H25" s="241">
        <f t="shared" si="7"/>
        <v>24</v>
      </c>
      <c r="I25" s="231" t="s">
        <v>786</v>
      </c>
      <c r="J25" s="77" t="s">
        <v>2</v>
      </c>
      <c r="K25" s="85">
        <v>27</v>
      </c>
      <c r="L25" s="77" t="s">
        <v>760</v>
      </c>
      <c r="M25" s="249" t="s">
        <v>787</v>
      </c>
      <c r="N25" s="231" t="s">
        <v>788</v>
      </c>
      <c r="O25" s="84" t="s">
        <v>789</v>
      </c>
      <c r="P25" s="77" t="s">
        <v>790</v>
      </c>
      <c r="Q25" s="250" t="s">
        <v>791</v>
      </c>
      <c r="R25" s="216" t="str">
        <f t="shared" si="1"/>
        <v>BUYO BUYO 2/CP DAPEOUA Bindougou SEGUI LEHIRI MARIE JEANNE  F BAC 0575692554 SANGARE OUSMANE 0787141423 EPP TROFORKRO KOUAME DJA ARMAND NOEL 0576486390</v>
      </c>
      <c r="AD25" s="137"/>
      <c r="AP25" s="99"/>
      <c r="AQ25" s="224"/>
      <c r="AR25" s="225"/>
      <c r="AS25" s="238"/>
      <c r="AT25" s="172"/>
      <c r="AU25" s="172"/>
      <c r="AV25" s="172"/>
      <c r="AW25" s="245"/>
      <c r="AX25" s="76"/>
      <c r="AY25" s="243"/>
      <c r="AZ25" s="76"/>
      <c r="BA25" s="244"/>
      <c r="BB25" s="245"/>
      <c r="BC25" s="174"/>
      <c r="BD25" s="236"/>
      <c r="BE25" s="244"/>
    </row>
    <row r="26" spans="2:57" s="65" customFormat="1" ht="39" customHeight="1" x14ac:dyDescent="0.35">
      <c r="B26" s="99" t="s">
        <v>660</v>
      </c>
      <c r="C26" s="247" t="s">
        <v>874</v>
      </c>
      <c r="D26" s="248" t="s">
        <v>784</v>
      </c>
      <c r="E26" s="238" t="s">
        <v>785</v>
      </c>
      <c r="F26" s="241">
        <v>8</v>
      </c>
      <c r="G26" s="241">
        <v>15</v>
      </c>
      <c r="H26" s="241">
        <f t="shared" si="7"/>
        <v>23</v>
      </c>
      <c r="I26" s="231" t="s">
        <v>792</v>
      </c>
      <c r="J26" s="77" t="s">
        <v>724</v>
      </c>
      <c r="K26" s="85">
        <v>22</v>
      </c>
      <c r="L26" s="77" t="s">
        <v>760</v>
      </c>
      <c r="M26" s="249" t="s">
        <v>793</v>
      </c>
      <c r="N26" s="231" t="s">
        <v>788</v>
      </c>
      <c r="O26" s="84" t="s">
        <v>789</v>
      </c>
      <c r="P26" s="77" t="s">
        <v>790</v>
      </c>
      <c r="Q26" s="250" t="s">
        <v>791</v>
      </c>
      <c r="R26" s="216" t="str">
        <f t="shared" si="1"/>
        <v>BUYO BUYO 2/CP DAPEOUA Bindougou COULIBALY MOHAMED H BAC 0778110717 SANGARE OUSMANE 0787141423 EPP TROFORKRO KOUAME DJA ARMAND NOEL 0576486390</v>
      </c>
      <c r="AD26" s="137"/>
      <c r="AP26" s="99"/>
      <c r="AQ26" s="247"/>
      <c r="AR26" s="248"/>
      <c r="AS26" s="238"/>
      <c r="AT26" s="241"/>
      <c r="AU26" s="241"/>
      <c r="AV26" s="241"/>
      <c r="AW26" s="231"/>
      <c r="AX26" s="77"/>
      <c r="AY26" s="85"/>
      <c r="AZ26" s="77"/>
      <c r="BA26" s="249"/>
      <c r="BB26" s="231"/>
      <c r="BC26" s="84"/>
      <c r="BD26" s="77"/>
      <c r="BE26" s="249"/>
    </row>
    <row r="27" spans="2:57" s="65" customFormat="1" ht="39" customHeight="1" x14ac:dyDescent="0.35">
      <c r="B27" s="99" t="s">
        <v>660</v>
      </c>
      <c r="C27" s="247" t="s">
        <v>874</v>
      </c>
      <c r="D27" s="248" t="s">
        <v>784</v>
      </c>
      <c r="E27" s="251" t="s">
        <v>794</v>
      </c>
      <c r="F27" s="252">
        <v>8</v>
      </c>
      <c r="G27" s="253">
        <v>17</v>
      </c>
      <c r="H27" s="254">
        <f t="shared" si="7"/>
        <v>25</v>
      </c>
      <c r="I27" s="245" t="s">
        <v>795</v>
      </c>
      <c r="J27" s="78" t="s">
        <v>2</v>
      </c>
      <c r="K27" s="255">
        <v>32</v>
      </c>
      <c r="L27" s="78" t="s">
        <v>738</v>
      </c>
      <c r="M27" s="256" t="s">
        <v>796</v>
      </c>
      <c r="N27" s="245" t="s">
        <v>788</v>
      </c>
      <c r="O27" s="175" t="s">
        <v>797</v>
      </c>
      <c r="P27" s="236" t="s">
        <v>798</v>
      </c>
      <c r="Q27" s="257" t="s">
        <v>799</v>
      </c>
      <c r="R27" s="216" t="str">
        <f t="shared" si="1"/>
        <v>BUYO BUYO 2/CP DAPEOUA Gnaboya  EBOUHE AFFOUE JUDITH  F Tle 0566373041 SANGARE OUSMANE 0787141423 EPP GNABOYA SILUE LIOFRA ADAMA 0504509036</v>
      </c>
      <c r="AD27" s="137"/>
      <c r="AP27" s="99"/>
      <c r="AQ27" s="247"/>
      <c r="AR27" s="248"/>
      <c r="AS27" s="238"/>
      <c r="AT27" s="241"/>
      <c r="AU27" s="241"/>
      <c r="AV27" s="241"/>
      <c r="AW27" s="231"/>
      <c r="AX27" s="77"/>
      <c r="AY27" s="85"/>
      <c r="AZ27" s="77"/>
      <c r="BA27" s="249"/>
      <c r="BB27" s="231"/>
      <c r="BC27" s="84"/>
      <c r="BD27" s="77"/>
      <c r="BE27" s="249"/>
    </row>
    <row r="28" spans="2:57" s="65" customFormat="1" ht="39" customHeight="1" x14ac:dyDescent="0.35">
      <c r="B28" s="99" t="s">
        <v>660</v>
      </c>
      <c r="C28" s="225" t="s">
        <v>865</v>
      </c>
      <c r="D28" s="248" t="s">
        <v>864</v>
      </c>
      <c r="E28" s="79" t="s">
        <v>722</v>
      </c>
      <c r="F28" s="173">
        <v>7</v>
      </c>
      <c r="G28" s="173">
        <v>10</v>
      </c>
      <c r="H28" s="173">
        <f t="shared" si="7"/>
        <v>17</v>
      </c>
      <c r="I28" s="231" t="s">
        <v>532</v>
      </c>
      <c r="J28" s="79" t="s">
        <v>724</v>
      </c>
      <c r="K28" s="258">
        <v>31</v>
      </c>
      <c r="L28" s="79" t="s">
        <v>741</v>
      </c>
      <c r="M28" s="259" t="s">
        <v>552</v>
      </c>
      <c r="N28" s="231" t="s">
        <v>782</v>
      </c>
      <c r="O28" s="79" t="s">
        <v>727</v>
      </c>
      <c r="P28" s="231" t="s">
        <v>728</v>
      </c>
      <c r="Q28" s="230" t="s">
        <v>729</v>
      </c>
      <c r="R28" s="216" t="str">
        <f t="shared" si="1"/>
        <v>BUYO BUYO 1/EC BUYO/EC Kouamékro AMANI KOUAKOU JOSEPH H 2nde 0747078900 GEORGES OUATTARA 0749828391 EPP ALEXANDREKRO KOFFI JEAN MARC SYLVAIN 0554934621</v>
      </c>
      <c r="AD28" s="137"/>
      <c r="AP28" s="99"/>
      <c r="AQ28" s="247"/>
      <c r="AR28" s="248"/>
      <c r="AS28" s="251"/>
      <c r="AT28" s="252"/>
      <c r="AU28" s="253"/>
      <c r="AV28" s="254"/>
      <c r="AW28" s="245"/>
      <c r="AX28" s="78"/>
      <c r="AY28" s="255"/>
      <c r="AZ28" s="78"/>
      <c r="BA28" s="256"/>
      <c r="BB28" s="245"/>
      <c r="BC28" s="175"/>
      <c r="BD28" s="236"/>
      <c r="BE28" s="256"/>
    </row>
    <row r="29" spans="2:57" s="65" customFormat="1" ht="39" customHeight="1" x14ac:dyDescent="0.35">
      <c r="B29" s="99" t="s">
        <v>660</v>
      </c>
      <c r="C29" s="225" t="s">
        <v>865</v>
      </c>
      <c r="D29" s="248" t="s">
        <v>864</v>
      </c>
      <c r="E29" s="77" t="s">
        <v>736</v>
      </c>
      <c r="F29" s="241">
        <v>11</v>
      </c>
      <c r="G29" s="241">
        <v>14</v>
      </c>
      <c r="H29" s="241">
        <f t="shared" si="7"/>
        <v>25</v>
      </c>
      <c r="I29" s="231" t="s">
        <v>800</v>
      </c>
      <c r="J29" s="77" t="s">
        <v>724</v>
      </c>
      <c r="K29" s="85">
        <v>38</v>
      </c>
      <c r="L29" s="77" t="s">
        <v>738</v>
      </c>
      <c r="M29" s="249" t="s">
        <v>351</v>
      </c>
      <c r="N29" s="231" t="s">
        <v>782</v>
      </c>
      <c r="O29" s="84" t="s">
        <v>733</v>
      </c>
      <c r="P29" s="231" t="s">
        <v>734</v>
      </c>
      <c r="Q29" s="230" t="s">
        <v>735</v>
      </c>
      <c r="R29" s="216" t="str">
        <f t="shared" si="1"/>
        <v>BUYO BUYO 1/EC BUYO/EC Tolba KOUAME KOUAKOU JUDICAEL H Tle 0778105883 GEORGES OUATTARA 0749828391 EPP COULIBALYKRO VAGBEU MATHURIN ZADI 0546848662</v>
      </c>
      <c r="AD29" s="137"/>
      <c r="AP29" s="99"/>
      <c r="AQ29" s="225"/>
      <c r="AR29" s="248"/>
      <c r="AS29" s="79"/>
      <c r="AT29" s="173"/>
      <c r="AU29" s="173"/>
      <c r="AV29" s="173"/>
      <c r="AW29" s="231"/>
      <c r="AX29" s="79"/>
      <c r="AY29" s="258"/>
      <c r="AZ29" s="79"/>
      <c r="BA29" s="259"/>
      <c r="BB29" s="231"/>
      <c r="BC29" s="79"/>
      <c r="BD29" s="231"/>
      <c r="BE29" s="259"/>
    </row>
    <row r="30" spans="2:57" s="65" customFormat="1" ht="39" customHeight="1" x14ac:dyDescent="0.35">
      <c r="B30" s="99" t="s">
        <v>660</v>
      </c>
      <c r="C30" s="225" t="s">
        <v>865</v>
      </c>
      <c r="D30" s="248" t="s">
        <v>864</v>
      </c>
      <c r="E30" s="77" t="s">
        <v>730</v>
      </c>
      <c r="F30" s="241">
        <v>13</v>
      </c>
      <c r="G30" s="241">
        <v>8</v>
      </c>
      <c r="H30" s="241">
        <f t="shared" si="7"/>
        <v>21</v>
      </c>
      <c r="I30" s="231" t="s">
        <v>801</v>
      </c>
      <c r="J30" s="77" t="s">
        <v>724</v>
      </c>
      <c r="K30" s="85"/>
      <c r="L30" s="77"/>
      <c r="M30" s="230" t="s">
        <v>802</v>
      </c>
      <c r="N30" s="231" t="s">
        <v>782</v>
      </c>
      <c r="O30" s="84" t="s">
        <v>733</v>
      </c>
      <c r="P30" s="231" t="s">
        <v>734</v>
      </c>
      <c r="Q30" s="77" t="s">
        <v>735</v>
      </c>
      <c r="R30" s="216" t="str">
        <f t="shared" si="1"/>
        <v>BUYO BUYO 1/EC BUYO/EC Okabo ZOUGRANA OUSSENI H  0574543635 GEORGES OUATTARA 0749828391 EPP COULIBALYKRO VAGBEU MATHURIN ZADI 0546848662</v>
      </c>
      <c r="AD30" s="137"/>
      <c r="AP30" s="99"/>
      <c r="AQ30" s="225"/>
      <c r="AR30" s="248"/>
      <c r="AS30" s="77"/>
      <c r="AT30" s="241"/>
      <c r="AU30" s="241"/>
      <c r="AV30" s="241"/>
      <c r="AW30" s="231"/>
      <c r="AX30" s="77"/>
      <c r="AY30" s="85"/>
      <c r="AZ30" s="77"/>
      <c r="BA30" s="249"/>
      <c r="BB30" s="231"/>
      <c r="BC30" s="84"/>
      <c r="BD30" s="231"/>
      <c r="BE30" s="249"/>
    </row>
    <row r="31" spans="2:57" s="65" customFormat="1" ht="26.25" customHeight="1" x14ac:dyDescent="0.35">
      <c r="B31" s="99" t="s">
        <v>661</v>
      </c>
      <c r="C31" s="219" t="s">
        <v>803</v>
      </c>
      <c r="D31" s="260" t="s">
        <v>661</v>
      </c>
      <c r="E31" s="261" t="s">
        <v>804</v>
      </c>
      <c r="F31" s="80">
        <v>7</v>
      </c>
      <c r="G31" s="74">
        <v>13</v>
      </c>
      <c r="H31" s="81">
        <f>F31+G31</f>
        <v>20</v>
      </c>
      <c r="I31" s="229" t="s">
        <v>805</v>
      </c>
      <c r="J31" s="71" t="s">
        <v>724</v>
      </c>
      <c r="K31" s="82">
        <v>28</v>
      </c>
      <c r="L31" s="71"/>
      <c r="M31" s="262" t="s">
        <v>806</v>
      </c>
      <c r="N31" s="91" t="s">
        <v>807</v>
      </c>
      <c r="O31" s="273" t="s">
        <v>808</v>
      </c>
      <c r="P31" s="263" t="s">
        <v>809</v>
      </c>
      <c r="Q31" s="262">
        <v>22505</v>
      </c>
      <c r="R31" s="216" t="str">
        <f t="shared" si="1"/>
        <v>SOUBRE SOUBRE 1 SOUBRE Bohoussoukro KONAN KOUAME ADRIEN H  05 95 48 11 23 BABO AHIPOH MATHURIN/ 0142283875 Epp Bohoussoukro BOTTI HOIN BI AXEL IVAN TRESOR 22505</v>
      </c>
      <c r="AD31" s="137"/>
      <c r="AP31" s="99"/>
      <c r="AQ31" s="225"/>
      <c r="AR31" s="248"/>
      <c r="AS31" s="77"/>
      <c r="AT31" s="241"/>
      <c r="AU31" s="241"/>
      <c r="AV31" s="241"/>
      <c r="AW31" s="231"/>
      <c r="AX31" s="77"/>
      <c r="AY31" s="85"/>
      <c r="AZ31" s="77"/>
      <c r="BA31" s="230"/>
      <c r="BB31" s="231"/>
      <c r="BC31" s="84"/>
      <c r="BD31" s="231"/>
      <c r="BE31" s="230"/>
    </row>
    <row r="32" spans="2:57" s="65" customFormat="1" ht="37.5" customHeight="1" thickBot="1" x14ac:dyDescent="0.4">
      <c r="B32" s="99" t="s">
        <v>661</v>
      </c>
      <c r="C32" s="219" t="s">
        <v>803</v>
      </c>
      <c r="D32" s="260" t="s">
        <v>661</v>
      </c>
      <c r="E32" s="261" t="s">
        <v>810</v>
      </c>
      <c r="F32" s="80">
        <v>11</v>
      </c>
      <c r="G32" s="74">
        <v>14</v>
      </c>
      <c r="H32" s="81">
        <f>F32+G32</f>
        <v>25</v>
      </c>
      <c r="I32" s="212" t="s">
        <v>811</v>
      </c>
      <c r="J32" s="73" t="s">
        <v>724</v>
      </c>
      <c r="K32" s="73">
        <v>19</v>
      </c>
      <c r="L32" s="73"/>
      <c r="M32" s="81" t="s">
        <v>812</v>
      </c>
      <c r="N32" s="84" t="s">
        <v>807</v>
      </c>
      <c r="O32" s="273" t="s">
        <v>808</v>
      </c>
      <c r="P32" s="86" t="s">
        <v>809</v>
      </c>
      <c r="Q32" s="274"/>
      <c r="R32" s="216" t="str">
        <f t="shared" si="1"/>
        <v xml:space="preserve">SOUBRE SOUBRE 1 SOUBRE Lapokro YAO KOUADION FRANCK H  05 54 67 98 32 BABO AHIPOH MATHURIN/ 0142283875 Epp Bohoussoukro BOTTI HOIN BI AXEL IVAN TRESOR </v>
      </c>
      <c r="AD32" s="137"/>
      <c r="AP32" s="99"/>
      <c r="AQ32" s="219"/>
      <c r="AR32" s="260"/>
      <c r="AS32" s="261"/>
      <c r="AT32" s="80"/>
      <c r="AU32" s="74"/>
      <c r="AV32" s="81"/>
      <c r="AW32" s="229"/>
      <c r="AX32" s="71"/>
      <c r="AY32" s="82"/>
      <c r="AZ32" s="71"/>
      <c r="BA32" s="262"/>
      <c r="BB32" s="91"/>
      <c r="BC32" s="273"/>
      <c r="BD32" s="263"/>
      <c r="BE32" s="262"/>
    </row>
    <row r="33" spans="2:57" s="65" customFormat="1" ht="33" customHeight="1" thickBot="1" x14ac:dyDescent="0.4">
      <c r="B33" s="99" t="s">
        <v>661</v>
      </c>
      <c r="C33" s="210" t="s">
        <v>663</v>
      </c>
      <c r="D33" s="264" t="s">
        <v>663</v>
      </c>
      <c r="E33" s="265" t="s">
        <v>813</v>
      </c>
      <c r="F33" s="740">
        <v>20</v>
      </c>
      <c r="G33" s="742">
        <v>23</v>
      </c>
      <c r="H33" s="738">
        <f t="shared" ref="H33:H41" si="8">F33+G33</f>
        <v>43</v>
      </c>
      <c r="I33" s="70" t="s">
        <v>814</v>
      </c>
      <c r="J33" s="70" t="s">
        <v>9</v>
      </c>
      <c r="K33" s="70">
        <v>30</v>
      </c>
      <c r="L33" s="70" t="s">
        <v>815</v>
      </c>
      <c r="M33" s="275" t="s">
        <v>816</v>
      </c>
      <c r="N33" s="77" t="s">
        <v>817</v>
      </c>
      <c r="O33" s="77" t="s">
        <v>818</v>
      </c>
      <c r="P33" s="88" t="s">
        <v>819</v>
      </c>
      <c r="Q33" s="266" t="s">
        <v>820</v>
      </c>
      <c r="R33" s="216" t="str">
        <f t="shared" si="1"/>
        <v>SOUBRE GRAND-ZATTRY GRAND-ZATTRY Gbaleville OUEDRAOGO SOUMAILA M 3è 05 84 55 04 36 EDJA KROU/ 07 07 43 55 70 Epp Gbaleville GNAKO ELIE DANIEL 01 60 18 63 97</v>
      </c>
      <c r="AD33" s="137"/>
      <c r="AP33" s="99"/>
      <c r="AQ33" s="219"/>
      <c r="AR33" s="260"/>
      <c r="AS33" s="261"/>
      <c r="AT33" s="80"/>
      <c r="AU33" s="74"/>
      <c r="AV33" s="81"/>
      <c r="AW33" s="212"/>
      <c r="AX33" s="73"/>
      <c r="AY33" s="73"/>
      <c r="AZ33" s="73"/>
      <c r="BA33" s="81"/>
      <c r="BB33" s="84"/>
      <c r="BC33" s="273"/>
      <c r="BD33" s="86"/>
      <c r="BE33" s="81"/>
    </row>
    <row r="34" spans="2:57" s="65" customFormat="1" ht="33" customHeight="1" thickBot="1" x14ac:dyDescent="0.4">
      <c r="B34" s="99" t="s">
        <v>661</v>
      </c>
      <c r="C34" s="210" t="s">
        <v>663</v>
      </c>
      <c r="D34" s="264" t="s">
        <v>663</v>
      </c>
      <c r="E34" s="267" t="s">
        <v>813</v>
      </c>
      <c r="F34" s="741"/>
      <c r="G34" s="743"/>
      <c r="H34" s="739"/>
      <c r="I34" s="77" t="s">
        <v>821</v>
      </c>
      <c r="J34" s="84" t="s">
        <v>9</v>
      </c>
      <c r="K34" s="85">
        <v>34</v>
      </c>
      <c r="L34" s="84" t="s">
        <v>815</v>
      </c>
      <c r="M34" s="276" t="s">
        <v>822</v>
      </c>
      <c r="N34" s="77" t="s">
        <v>817</v>
      </c>
      <c r="O34" s="77" t="s">
        <v>818</v>
      </c>
      <c r="P34" s="84" t="s">
        <v>819</v>
      </c>
      <c r="Q34" s="70" t="s">
        <v>820</v>
      </c>
      <c r="R34" s="216" t="str">
        <f t="shared" si="1"/>
        <v>SOUBRE GRAND-ZATTRY GRAND-ZATTRY Gbaleville OBROU SERI CASIMIR M 3è 05 86 09 23 74 EDJA KROU/ 07 07 43 55 70 Epp Gbaleville GNAKO ELIE DANIEL 01 60 18 63 97</v>
      </c>
      <c r="AD34" s="137"/>
      <c r="AP34" s="99"/>
      <c r="AQ34" s="210"/>
      <c r="AR34" s="264"/>
      <c r="AS34" s="265"/>
      <c r="AT34" s="668"/>
      <c r="AU34" s="670"/>
      <c r="AV34" s="666"/>
      <c r="AW34" s="70"/>
      <c r="AX34" s="70"/>
      <c r="AY34" s="70"/>
      <c r="AZ34" s="70"/>
      <c r="BA34" s="275"/>
      <c r="BB34" s="77"/>
      <c r="BC34" s="77"/>
      <c r="BD34" s="88"/>
      <c r="BE34" s="275"/>
    </row>
    <row r="35" spans="2:57" s="65" customFormat="1" ht="33" customHeight="1" thickBot="1" x14ac:dyDescent="0.4">
      <c r="B35" s="99" t="s">
        <v>661</v>
      </c>
      <c r="C35" s="210" t="s">
        <v>663</v>
      </c>
      <c r="D35" s="264" t="s">
        <v>663</v>
      </c>
      <c r="E35" s="268" t="s">
        <v>823</v>
      </c>
      <c r="F35" s="86">
        <v>17</v>
      </c>
      <c r="G35" s="73">
        <v>14</v>
      </c>
      <c r="H35" s="87">
        <f t="shared" si="8"/>
        <v>31</v>
      </c>
      <c r="I35" s="77" t="s">
        <v>824</v>
      </c>
      <c r="J35" s="84" t="s">
        <v>9</v>
      </c>
      <c r="K35" s="85">
        <v>38</v>
      </c>
      <c r="L35" s="77" t="s">
        <v>760</v>
      </c>
      <c r="M35" s="277" t="s">
        <v>825</v>
      </c>
      <c r="N35" s="77" t="s">
        <v>817</v>
      </c>
      <c r="O35" s="84" t="s">
        <v>826</v>
      </c>
      <c r="P35" s="278" t="s">
        <v>827</v>
      </c>
      <c r="Q35" s="84" t="s">
        <v>828</v>
      </c>
      <c r="R35" s="216" t="str">
        <f t="shared" si="1"/>
        <v>SOUBRE GRAND-ZATTRY GRAND-ZATTRY Roa BAGODOU MABO ALAIN M BAC 05 86 09 94 56 EDJA KROU/ 07 07 43 55 70 EPP ROA KOUASSI KOUAKOU FRANCOIS 07 47 96 26 42</v>
      </c>
      <c r="AD35" s="137"/>
      <c r="AP35" s="99"/>
      <c r="AQ35" s="210"/>
      <c r="AR35" s="264"/>
      <c r="AS35" s="267"/>
      <c r="AT35" s="669"/>
      <c r="AU35" s="176"/>
      <c r="AV35" s="667"/>
      <c r="AW35" s="77"/>
      <c r="AX35" s="84"/>
      <c r="AY35" s="85"/>
      <c r="AZ35" s="84"/>
      <c r="BA35" s="276"/>
      <c r="BB35" s="77"/>
      <c r="BC35" s="77"/>
      <c r="BD35" s="84"/>
      <c r="BE35" s="276"/>
    </row>
    <row r="36" spans="2:57" s="65" customFormat="1" ht="33" customHeight="1" thickBot="1" x14ac:dyDescent="0.4">
      <c r="B36" s="99" t="s">
        <v>661</v>
      </c>
      <c r="C36" s="210" t="s">
        <v>663</v>
      </c>
      <c r="D36" s="264" t="s">
        <v>663</v>
      </c>
      <c r="E36" s="268" t="s">
        <v>829</v>
      </c>
      <c r="F36" s="88">
        <v>5</v>
      </c>
      <c r="G36" s="89">
        <v>8</v>
      </c>
      <c r="H36" s="90">
        <f t="shared" si="8"/>
        <v>13</v>
      </c>
      <c r="I36" s="77" t="s">
        <v>830</v>
      </c>
      <c r="J36" s="84" t="s">
        <v>9</v>
      </c>
      <c r="K36" s="85">
        <v>32</v>
      </c>
      <c r="L36" s="84" t="s">
        <v>831</v>
      </c>
      <c r="M36" s="276" t="s">
        <v>832</v>
      </c>
      <c r="N36" s="77" t="s">
        <v>817</v>
      </c>
      <c r="O36" s="84" t="s">
        <v>833</v>
      </c>
      <c r="P36" s="84" t="s">
        <v>834</v>
      </c>
      <c r="Q36" s="269" t="s">
        <v>835</v>
      </c>
      <c r="R36" s="216" t="str">
        <f t="shared" si="1"/>
        <v>SOUBRE GRAND-ZATTRY GRAND-ZATTRY Gadago GUEDE SEPE FRANCK M BAC+1 05 44 51 07 48 EDJA KROU/ 07 07 43 55 70 EPP GADAGO ZORO BI TCHAN MEDARD 01 71 85 04 95</v>
      </c>
      <c r="AD36" s="137"/>
      <c r="AP36" s="99"/>
      <c r="AQ36" s="210"/>
      <c r="AR36" s="264"/>
      <c r="AS36" s="268"/>
      <c r="AT36" s="86"/>
      <c r="AU36" s="73"/>
      <c r="AV36" s="87"/>
      <c r="AW36" s="77"/>
      <c r="AX36" s="84"/>
      <c r="AY36" s="85"/>
      <c r="AZ36" s="77"/>
      <c r="BA36" s="277"/>
      <c r="BB36" s="77"/>
      <c r="BC36" s="84"/>
      <c r="BD36" s="278"/>
      <c r="BE36" s="277"/>
    </row>
    <row r="37" spans="2:57" s="65" customFormat="1" ht="33" customHeight="1" thickBot="1" x14ac:dyDescent="0.4">
      <c r="B37" s="99" t="s">
        <v>661</v>
      </c>
      <c r="C37" s="210" t="s">
        <v>663</v>
      </c>
      <c r="D37" s="264" t="s">
        <v>663</v>
      </c>
      <c r="E37" s="270" t="s">
        <v>836</v>
      </c>
      <c r="F37" s="84">
        <v>5</v>
      </c>
      <c r="G37" s="84">
        <v>13</v>
      </c>
      <c r="H37" s="84">
        <f t="shared" si="8"/>
        <v>18</v>
      </c>
      <c r="I37" s="77" t="s">
        <v>837</v>
      </c>
      <c r="J37" s="84" t="s">
        <v>9</v>
      </c>
      <c r="K37" s="85">
        <v>54</v>
      </c>
      <c r="L37" s="84" t="s">
        <v>838</v>
      </c>
      <c r="M37" s="276" t="s">
        <v>839</v>
      </c>
      <c r="N37" s="77" t="s">
        <v>817</v>
      </c>
      <c r="O37" s="84" t="s">
        <v>840</v>
      </c>
      <c r="P37" s="84" t="s">
        <v>841</v>
      </c>
      <c r="Q37" s="84" t="s">
        <v>842</v>
      </c>
      <c r="R37" s="216" t="str">
        <f t="shared" si="1"/>
        <v>SOUBRE GRAND-ZATTRY GRAND-ZATTRY Kipiri DAH GNIME AUGUSTE M 1ère 05 84 22 45 69 EDJA KROU/ 07 07 43 55 70 EPP KIPIRI TEA AIME CESAIRE 01 41 35 77 96</v>
      </c>
      <c r="AD37" s="137"/>
      <c r="AP37" s="99"/>
      <c r="AQ37" s="210"/>
      <c r="AR37" s="264"/>
      <c r="AS37" s="268"/>
      <c r="AT37" s="88"/>
      <c r="AU37" s="89"/>
      <c r="AV37" s="90"/>
      <c r="AW37" s="77"/>
      <c r="AX37" s="84"/>
      <c r="AY37" s="85"/>
      <c r="AZ37" s="84"/>
      <c r="BA37" s="276"/>
      <c r="BB37" s="77"/>
      <c r="BC37" s="84"/>
      <c r="BD37" s="84"/>
      <c r="BE37" s="276"/>
    </row>
    <row r="38" spans="2:57" s="65" customFormat="1" ht="33" customHeight="1" thickBot="1" x14ac:dyDescent="0.4">
      <c r="B38" s="99" t="s">
        <v>661</v>
      </c>
      <c r="C38" s="210" t="s">
        <v>663</v>
      </c>
      <c r="D38" s="264" t="s">
        <v>663</v>
      </c>
      <c r="E38" s="270" t="s">
        <v>843</v>
      </c>
      <c r="F38" s="84">
        <v>19</v>
      </c>
      <c r="G38" s="84">
        <v>11</v>
      </c>
      <c r="H38" s="84">
        <f t="shared" si="8"/>
        <v>30</v>
      </c>
      <c r="I38" s="77" t="s">
        <v>844</v>
      </c>
      <c r="J38" s="84" t="s">
        <v>9</v>
      </c>
      <c r="K38" s="85">
        <v>48</v>
      </c>
      <c r="L38" s="84" t="s">
        <v>815</v>
      </c>
      <c r="M38" s="276" t="s">
        <v>845</v>
      </c>
      <c r="N38" s="77" t="s">
        <v>817</v>
      </c>
      <c r="O38" s="84" t="s">
        <v>846</v>
      </c>
      <c r="P38" s="84" t="s">
        <v>847</v>
      </c>
      <c r="Q38" s="84" t="s">
        <v>848</v>
      </c>
      <c r="R38" s="216" t="str">
        <f t="shared" si="1"/>
        <v>SOUBRE GRAND-ZATTRY GRAND-ZATTRY Blésséoua MABO ONE LAZARE M 3è 05 65 66 76 93 EDJA KROU/ 07 07 43 55 70 EPP BLESSEOUA 1 WALEKA BOTI MARUIS 07 07 27 27 25</v>
      </c>
      <c r="AD38" s="137"/>
      <c r="AP38" s="99"/>
      <c r="AQ38" s="210"/>
      <c r="AR38" s="264"/>
      <c r="AS38" s="270"/>
      <c r="AT38" s="84"/>
      <c r="AU38" s="84"/>
      <c r="AV38" s="84"/>
      <c r="AW38" s="77"/>
      <c r="AX38" s="84"/>
      <c r="AY38" s="85"/>
      <c r="AZ38" s="84"/>
      <c r="BA38" s="276"/>
      <c r="BB38" s="77"/>
      <c r="BC38" s="84"/>
      <c r="BD38" s="84"/>
      <c r="BE38" s="276"/>
    </row>
    <row r="39" spans="2:57" s="65" customFormat="1" ht="33" customHeight="1" thickBot="1" x14ac:dyDescent="0.4">
      <c r="B39" s="99" t="s">
        <v>661</v>
      </c>
      <c r="C39" s="210" t="s">
        <v>663</v>
      </c>
      <c r="D39" s="264" t="s">
        <v>663</v>
      </c>
      <c r="E39" s="271" t="s">
        <v>849</v>
      </c>
      <c r="F39" s="735">
        <v>23</v>
      </c>
      <c r="G39" s="735">
        <v>30</v>
      </c>
      <c r="H39" s="735">
        <f>F39+G39</f>
        <v>53</v>
      </c>
      <c r="I39" s="77" t="s">
        <v>850</v>
      </c>
      <c r="J39" s="84" t="s">
        <v>9</v>
      </c>
      <c r="K39" s="85">
        <v>32</v>
      </c>
      <c r="L39" s="84" t="s">
        <v>738</v>
      </c>
      <c r="M39" s="276" t="s">
        <v>851</v>
      </c>
      <c r="N39" s="77" t="s">
        <v>817</v>
      </c>
      <c r="O39" s="174" t="s">
        <v>852</v>
      </c>
      <c r="P39" s="84" t="s">
        <v>853</v>
      </c>
      <c r="Q39" s="84" t="s">
        <v>854</v>
      </c>
      <c r="R39" s="216" t="str">
        <f t="shared" si="1"/>
        <v>SOUBRE GRAND-ZATTRY GRAND-ZATTRY Petit Goa(Lazoua) KOUADIO YAO IGNACE M Tle 05 54 88 05 04 EDJA KROU/ 07 07 43 55 70 Epp Lazoua LEGNON BLE DESIRE 07 58 21 94 95</v>
      </c>
      <c r="AD39" s="137"/>
      <c r="AP39" s="99"/>
      <c r="AQ39" s="210"/>
      <c r="AR39" s="264"/>
      <c r="AS39" s="270"/>
      <c r="AT39" s="84"/>
      <c r="AU39" s="84"/>
      <c r="AV39" s="84"/>
      <c r="AW39" s="77"/>
      <c r="AX39" s="84"/>
      <c r="AY39" s="85"/>
      <c r="AZ39" s="84"/>
      <c r="BA39" s="276"/>
      <c r="BB39" s="77"/>
      <c r="BC39" s="84"/>
      <c r="BD39" s="84"/>
      <c r="BE39" s="276"/>
    </row>
    <row r="40" spans="2:57" s="65" customFormat="1" ht="33" customHeight="1" thickBot="1" x14ac:dyDescent="0.4">
      <c r="B40" s="99" t="s">
        <v>661</v>
      </c>
      <c r="C40" s="210" t="s">
        <v>663</v>
      </c>
      <c r="D40" s="264" t="s">
        <v>663</v>
      </c>
      <c r="E40" s="271" t="s">
        <v>849</v>
      </c>
      <c r="F40" s="736"/>
      <c r="G40" s="737"/>
      <c r="H40" s="737"/>
      <c r="I40" s="77" t="s">
        <v>855</v>
      </c>
      <c r="J40" s="84" t="s">
        <v>9</v>
      </c>
      <c r="K40" s="85">
        <v>31</v>
      </c>
      <c r="L40" s="84" t="s">
        <v>738</v>
      </c>
      <c r="M40" s="276" t="s">
        <v>856</v>
      </c>
      <c r="N40" s="77" t="s">
        <v>817</v>
      </c>
      <c r="O40" s="174" t="s">
        <v>852</v>
      </c>
      <c r="P40" s="84" t="s">
        <v>853</v>
      </c>
      <c r="Q40" s="84" t="s">
        <v>854</v>
      </c>
      <c r="R40" s="216" t="str">
        <f t="shared" si="1"/>
        <v>SOUBRE GRAND-ZATTRY GRAND-ZATTRY Petit Goa(Lazoua)  YOU BERO DENIS ROMEO M Tle 05 45 74 95 88 EDJA KROU/ 07 07 43 55 70 Epp Lazoua LEGNON BLE DESIRE 07 58 21 94 95</v>
      </c>
      <c r="AD40" s="137"/>
      <c r="AP40" s="99"/>
      <c r="AQ40" s="210"/>
      <c r="AR40" s="264"/>
      <c r="AS40" s="271"/>
      <c r="AT40" s="174"/>
      <c r="AU40" s="174"/>
      <c r="AV40" s="174"/>
      <c r="AW40" s="77"/>
      <c r="AX40" s="84"/>
      <c r="AY40" s="85"/>
      <c r="AZ40" s="84"/>
      <c r="BA40" s="276"/>
      <c r="BB40" s="77"/>
      <c r="BC40" s="174"/>
      <c r="BD40" s="84"/>
      <c r="BE40" s="276"/>
    </row>
    <row r="41" spans="2:57" s="65" customFormat="1" ht="33" customHeight="1" thickBot="1" x14ac:dyDescent="0.4">
      <c r="B41" s="99" t="s">
        <v>661</v>
      </c>
      <c r="C41" s="210" t="s">
        <v>663</v>
      </c>
      <c r="D41" s="264" t="s">
        <v>663</v>
      </c>
      <c r="E41" s="268" t="s">
        <v>857</v>
      </c>
      <c r="F41" s="91">
        <v>6</v>
      </c>
      <c r="G41" s="84">
        <v>16</v>
      </c>
      <c r="H41" s="84">
        <f t="shared" si="8"/>
        <v>22</v>
      </c>
      <c r="I41" s="77" t="s">
        <v>858</v>
      </c>
      <c r="J41" s="84" t="s">
        <v>9</v>
      </c>
      <c r="K41" s="85">
        <v>44</v>
      </c>
      <c r="L41" s="84" t="s">
        <v>738</v>
      </c>
      <c r="M41" s="276" t="s">
        <v>859</v>
      </c>
      <c r="N41" s="77" t="s">
        <v>817</v>
      </c>
      <c r="O41" s="174" t="s">
        <v>860</v>
      </c>
      <c r="P41" s="84" t="s">
        <v>861</v>
      </c>
      <c r="Q41" s="84" t="s">
        <v>862</v>
      </c>
      <c r="R41" s="216" t="str">
        <f t="shared" si="1"/>
        <v>SOUBRE GRAND-ZATTRY GRAND-ZATTRY Maheoua SERI DJORLAUD SEVERIN M Tle 05 65 12 55 24 EDJA KROU/ 07 07 43 55 70 Epp Mahéoua KOFFI KOUADIO SILVERE 07 07 03 25 08</v>
      </c>
      <c r="AD41" s="137"/>
      <c r="AP41" s="99"/>
      <c r="AQ41" s="210"/>
      <c r="AR41" s="264"/>
      <c r="AS41" s="271"/>
      <c r="AT41" s="175"/>
      <c r="AU41" s="665"/>
      <c r="AV41" s="665"/>
      <c r="AW41" s="77"/>
      <c r="AX41" s="84"/>
      <c r="AY41" s="85"/>
      <c r="AZ41" s="84"/>
      <c r="BA41" s="276"/>
      <c r="BB41" s="77"/>
      <c r="BC41" s="174"/>
      <c r="BD41" s="84"/>
      <c r="BE41" s="276"/>
    </row>
    <row r="42" spans="2:57" s="65" customFormat="1" ht="43.5" customHeight="1" thickBot="1" x14ac:dyDescent="0.4">
      <c r="B42" s="272" t="s">
        <v>863</v>
      </c>
      <c r="C42" s="279"/>
      <c r="D42" s="70"/>
      <c r="E42" s="70"/>
      <c r="F42" s="92">
        <v>392</v>
      </c>
      <c r="G42" s="92">
        <v>463</v>
      </c>
      <c r="H42" s="92">
        <v>855</v>
      </c>
      <c r="I42" s="272"/>
      <c r="J42" s="272"/>
      <c r="K42" s="272"/>
      <c r="L42" s="272"/>
      <c r="M42" s="272"/>
      <c r="N42" s="272"/>
      <c r="O42" s="272"/>
      <c r="P42" s="272"/>
      <c r="Q42" s="272"/>
      <c r="R42" s="216" t="str">
        <f t="shared" si="1"/>
        <v xml:space="preserve">EFFECTIF GENERAL INSCRITS           </v>
      </c>
      <c r="AD42" s="137"/>
      <c r="AP42" s="99"/>
      <c r="AQ42" s="210"/>
      <c r="AR42" s="264"/>
      <c r="AS42" s="268"/>
      <c r="AT42" s="91"/>
      <c r="AU42" s="84"/>
      <c r="AV42" s="84"/>
      <c r="AW42" s="77"/>
      <c r="AX42" s="84"/>
      <c r="AY42" s="85"/>
      <c r="AZ42" s="84"/>
      <c r="BA42" s="276"/>
      <c r="BB42" s="77"/>
      <c r="BC42" s="174"/>
      <c r="BD42" s="84"/>
      <c r="BE42" s="276"/>
    </row>
    <row r="43" spans="2:57" ht="15.75" customHeight="1" x14ac:dyDescent="0.35">
      <c r="AP43" s="272"/>
      <c r="AQ43" s="279"/>
      <c r="AR43" s="70"/>
      <c r="AS43" s="70"/>
      <c r="AT43" s="92"/>
      <c r="AU43" s="92"/>
      <c r="AV43" s="92"/>
      <c r="AW43" s="272"/>
      <c r="AX43" s="272"/>
      <c r="AY43" s="272"/>
      <c r="AZ43" s="272"/>
      <c r="BA43" s="272"/>
      <c r="BB43" s="272"/>
      <c r="BC43" s="272"/>
      <c r="BD43" s="272"/>
      <c r="BE43" s="272"/>
    </row>
    <row r="44" spans="2:57" ht="15.75" customHeight="1" x14ac:dyDescent="0.35">
      <c r="AP44" s="65"/>
    </row>
    <row r="45" spans="2:57" ht="15.75" customHeight="1" x14ac:dyDescent="0.35">
      <c r="AP45" s="65"/>
    </row>
    <row r="46" spans="2:57" ht="15.75" customHeight="1" x14ac:dyDescent="0.35">
      <c r="AP46" s="65"/>
    </row>
    <row r="47" spans="2:57" ht="15.75" customHeight="1" x14ac:dyDescent="0.35">
      <c r="AP47" s="65"/>
    </row>
    <row r="48" spans="2:57" ht="15.75" customHeight="1" x14ac:dyDescent="0.35">
      <c r="AP48" s="65"/>
    </row>
    <row r="49" spans="43:58" ht="15.75" customHeight="1" x14ac:dyDescent="0.35"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</row>
    <row r="50" spans="43:58" ht="15.75" customHeight="1" x14ac:dyDescent="0.35"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</row>
    <row r="51" spans="43:58" ht="15.75" customHeight="1" x14ac:dyDescent="0.35"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</row>
    <row r="52" spans="43:58" ht="15.75" customHeight="1" x14ac:dyDescent="0.35"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</row>
    <row r="53" spans="43:58" ht="15.75" customHeight="1" x14ac:dyDescent="0.35"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</row>
    <row r="54" spans="43:58" ht="15.75" customHeight="1" x14ac:dyDescent="0.35"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</row>
    <row r="55" spans="43:58" ht="15.75" customHeight="1" x14ac:dyDescent="0.35"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</row>
    <row r="56" spans="43:58" ht="15.75" customHeight="1" x14ac:dyDescent="0.35"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</row>
    <row r="57" spans="43:58" ht="15.75" customHeight="1" x14ac:dyDescent="0.35"/>
    <row r="58" spans="43:58" ht="15.75" customHeight="1" x14ac:dyDescent="0.35"/>
    <row r="59" spans="43:58" ht="15.75" customHeight="1" x14ac:dyDescent="0.35"/>
    <row r="60" spans="43:58" ht="15.75" customHeight="1" x14ac:dyDescent="0.35"/>
    <row r="61" spans="43:58" ht="15.75" customHeight="1" x14ac:dyDescent="0.35"/>
    <row r="62" spans="43:58" ht="15.75" customHeight="1" x14ac:dyDescent="0.35"/>
    <row r="63" spans="43:58" ht="15.75" customHeight="1" x14ac:dyDescent="0.35"/>
    <row r="64" spans="43:58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</sheetData>
  <mergeCells count="12">
    <mergeCell ref="F9:F10"/>
    <mergeCell ref="G9:G10"/>
    <mergeCell ref="H9:H10"/>
    <mergeCell ref="F39:F40"/>
    <mergeCell ref="G39:G40"/>
    <mergeCell ref="H39:H40"/>
    <mergeCell ref="H33:H34"/>
    <mergeCell ref="F33:F34"/>
    <mergeCell ref="G33:G34"/>
    <mergeCell ref="F11:F12"/>
    <mergeCell ref="G11:G12"/>
    <mergeCell ref="H11:H12"/>
  </mergeCells>
  <phoneticPr fontId="20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5A17-0DE8-4781-B54E-DD56C4BAFE62}">
  <sheetPr codeName="Feuil4">
    <tabColor theme="5" tint="0.79998168889431442"/>
  </sheetPr>
  <dimension ref="A1:BI100"/>
  <sheetViews>
    <sheetView tabSelected="1" view="pageBreakPreview" zoomScale="70" zoomScaleNormal="88" zoomScaleSheetLayoutView="70" workbookViewId="0">
      <pane xSplit="4" ySplit="4" topLeftCell="AD5" activePane="bottomRight" state="frozen"/>
      <selection pane="topRight" activeCell="E1" sqref="E1"/>
      <selection pane="bottomLeft" activeCell="A5" sqref="A5"/>
      <selection pane="bottomRight" activeCell="AI14" sqref="AI14:AI16"/>
    </sheetView>
  </sheetViews>
  <sheetFormatPr baseColWidth="10" defaultColWidth="10.90625" defaultRowHeight="14" x14ac:dyDescent="0.3"/>
  <cols>
    <col min="1" max="2" width="10.90625" style="317"/>
    <col min="3" max="3" width="26.7265625" style="317" customWidth="1"/>
    <col min="4" max="4" width="27.453125" style="317" customWidth="1"/>
    <col min="5" max="5" width="10.90625" style="317"/>
    <col min="6" max="6" width="10.90625" style="318"/>
    <col min="7" max="18" width="10.90625" style="317"/>
    <col min="19" max="19" width="16.6328125" style="318" customWidth="1"/>
    <col min="20" max="27" width="10.90625" style="318"/>
    <col min="28" max="28" width="10.90625" style="317"/>
    <col min="29" max="29" width="19" style="318" customWidth="1"/>
    <col min="30" max="49" width="10.90625" style="317"/>
    <col min="50" max="61" width="10.90625" style="318"/>
    <col min="62" max="16384" width="10.90625" style="317"/>
  </cols>
  <sheetData>
    <row r="1" spans="3:61" ht="20.5" thickBot="1" x14ac:dyDescent="0.45">
      <c r="C1" s="514" t="s">
        <v>2698</v>
      </c>
      <c r="D1" s="515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5"/>
      <c r="AA1" s="515"/>
      <c r="AB1" s="515"/>
      <c r="AC1" s="515"/>
      <c r="AD1" s="515"/>
      <c r="AE1" s="515"/>
      <c r="AF1" s="515"/>
      <c r="AG1" s="515"/>
      <c r="AH1" s="515"/>
      <c r="AI1" s="515"/>
      <c r="AJ1" s="515"/>
      <c r="AK1" s="515"/>
      <c r="AL1" s="515"/>
      <c r="AM1" s="515"/>
      <c r="AN1" s="515"/>
      <c r="AO1" s="515"/>
      <c r="AP1" s="515"/>
      <c r="AQ1" s="515"/>
      <c r="AR1" s="515"/>
      <c r="AS1" s="515"/>
      <c r="AT1" s="515"/>
      <c r="AU1" s="515"/>
      <c r="AV1" s="515"/>
      <c r="AW1" s="515"/>
      <c r="AX1" s="515"/>
      <c r="AY1" s="515"/>
      <c r="AZ1" s="515"/>
      <c r="BA1" s="515"/>
      <c r="BB1" s="515"/>
      <c r="BC1" s="515"/>
      <c r="BD1" s="515"/>
      <c r="BE1" s="515"/>
      <c r="BF1" s="515"/>
      <c r="BG1" s="515"/>
      <c r="BH1" s="515"/>
      <c r="BI1" s="515"/>
    </row>
    <row r="2" spans="3:61" ht="15" customHeight="1" thickBot="1" x14ac:dyDescent="0.35"/>
    <row r="3" spans="3:61" ht="32.25" customHeight="1" thickBot="1" x14ac:dyDescent="0.35">
      <c r="C3" s="862" t="s">
        <v>1981</v>
      </c>
      <c r="D3" s="864" t="s">
        <v>1982</v>
      </c>
      <c r="E3" s="866" t="s">
        <v>1983</v>
      </c>
      <c r="F3" s="867"/>
      <c r="G3" s="870" t="s">
        <v>1984</v>
      </c>
      <c r="H3" s="872" t="s">
        <v>1985</v>
      </c>
      <c r="I3" s="874" t="s">
        <v>1986</v>
      </c>
      <c r="J3" s="857" t="s">
        <v>3509</v>
      </c>
      <c r="K3" s="856"/>
      <c r="L3" s="858" t="s">
        <v>1984</v>
      </c>
      <c r="M3" s="859"/>
      <c r="N3" s="835" t="s">
        <v>1985</v>
      </c>
      <c r="O3" s="837"/>
      <c r="P3" s="858" t="s">
        <v>1986</v>
      </c>
      <c r="Q3" s="860"/>
      <c r="R3" s="852" t="s">
        <v>3516</v>
      </c>
      <c r="S3" s="853"/>
      <c r="T3" s="853"/>
      <c r="U3" s="854"/>
      <c r="V3" s="840" t="s">
        <v>1984</v>
      </c>
      <c r="W3" s="840"/>
      <c r="X3" s="861" t="s">
        <v>1985</v>
      </c>
      <c r="Y3" s="861"/>
      <c r="Z3" s="840" t="s">
        <v>1986</v>
      </c>
      <c r="AA3" s="840"/>
      <c r="AB3" s="852" t="s">
        <v>3517</v>
      </c>
      <c r="AC3" s="853"/>
      <c r="AD3" s="853"/>
      <c r="AE3" s="854"/>
      <c r="AF3" s="840" t="s">
        <v>1984</v>
      </c>
      <c r="AG3" s="840"/>
      <c r="AH3" s="861" t="s">
        <v>1985</v>
      </c>
      <c r="AI3" s="861"/>
      <c r="AJ3" s="840" t="s">
        <v>1986</v>
      </c>
      <c r="AK3" s="840"/>
      <c r="AL3" s="852" t="s">
        <v>3518</v>
      </c>
      <c r="AM3" s="853"/>
      <c r="AN3" s="853"/>
      <c r="AO3" s="854"/>
      <c r="AP3" s="840" t="s">
        <v>1984</v>
      </c>
      <c r="AQ3" s="840"/>
      <c r="AR3" s="861" t="s">
        <v>1985</v>
      </c>
      <c r="AS3" s="861"/>
      <c r="AT3" s="840" t="s">
        <v>1986</v>
      </c>
      <c r="AU3" s="840"/>
      <c r="AV3" s="941" t="s">
        <v>3520</v>
      </c>
      <c r="AW3" s="942"/>
      <c r="AX3" s="855" t="s">
        <v>3519</v>
      </c>
      <c r="AY3" s="855"/>
      <c r="AZ3" s="856"/>
      <c r="BA3" s="835" t="s">
        <v>1984</v>
      </c>
      <c r="BB3" s="836"/>
      <c r="BC3" s="837"/>
      <c r="BD3" s="835" t="s">
        <v>1985</v>
      </c>
      <c r="BE3" s="836"/>
      <c r="BF3" s="837"/>
      <c r="BG3" s="835" t="s">
        <v>1986</v>
      </c>
      <c r="BH3" s="836"/>
      <c r="BI3" s="837"/>
    </row>
    <row r="4" spans="3:61" ht="27.75" customHeight="1" thickBot="1" x14ac:dyDescent="0.35">
      <c r="C4" s="863"/>
      <c r="D4" s="865"/>
      <c r="E4" s="868"/>
      <c r="F4" s="869"/>
      <c r="G4" s="871"/>
      <c r="H4" s="873"/>
      <c r="I4" s="875"/>
      <c r="J4" s="319" t="s">
        <v>2009</v>
      </c>
      <c r="K4" s="320" t="s">
        <v>2244</v>
      </c>
      <c r="L4" s="321" t="s">
        <v>2726</v>
      </c>
      <c r="M4" s="322" t="s">
        <v>2727</v>
      </c>
      <c r="N4" s="321" t="s">
        <v>2726</v>
      </c>
      <c r="O4" s="322" t="s">
        <v>2727</v>
      </c>
      <c r="P4" s="321" t="s">
        <v>2726</v>
      </c>
      <c r="Q4" s="322" t="s">
        <v>2727</v>
      </c>
      <c r="R4" s="838" t="s">
        <v>3514</v>
      </c>
      <c r="S4" s="839"/>
      <c r="T4" s="319" t="s">
        <v>2009</v>
      </c>
      <c r="U4" s="320" t="s">
        <v>2244</v>
      </c>
      <c r="V4" s="321" t="s">
        <v>2726</v>
      </c>
      <c r="W4" s="322" t="s">
        <v>2727</v>
      </c>
      <c r="X4" s="321" t="s">
        <v>2726</v>
      </c>
      <c r="Y4" s="322" t="s">
        <v>2727</v>
      </c>
      <c r="Z4" s="321" t="s">
        <v>2726</v>
      </c>
      <c r="AA4" s="322" t="s">
        <v>2727</v>
      </c>
      <c r="AB4" s="850" t="s">
        <v>3515</v>
      </c>
      <c r="AC4" s="851"/>
      <c r="AD4" s="319" t="s">
        <v>2009</v>
      </c>
      <c r="AE4" s="320" t="s">
        <v>2244</v>
      </c>
      <c r="AF4" s="321" t="s">
        <v>2726</v>
      </c>
      <c r="AG4" s="322" t="s">
        <v>2727</v>
      </c>
      <c r="AH4" s="321" t="s">
        <v>2726</v>
      </c>
      <c r="AI4" s="322" t="s">
        <v>2727</v>
      </c>
      <c r="AJ4" s="321" t="s">
        <v>2726</v>
      </c>
      <c r="AK4" s="322" t="s">
        <v>2727</v>
      </c>
      <c r="AL4" s="939" t="s">
        <v>3513</v>
      </c>
      <c r="AM4" s="940"/>
      <c r="AN4" s="319" t="s">
        <v>2009</v>
      </c>
      <c r="AO4" s="320" t="s">
        <v>2244</v>
      </c>
      <c r="AP4" s="321" t="s">
        <v>2726</v>
      </c>
      <c r="AQ4" s="322" t="s">
        <v>2727</v>
      </c>
      <c r="AR4" s="321" t="s">
        <v>2726</v>
      </c>
      <c r="AS4" s="322" t="s">
        <v>2727</v>
      </c>
      <c r="AT4" s="321" t="s">
        <v>2726</v>
      </c>
      <c r="AU4" s="519" t="s">
        <v>2727</v>
      </c>
      <c r="AV4" s="943"/>
      <c r="AW4" s="944"/>
      <c r="AX4" s="520" t="s">
        <v>3378</v>
      </c>
      <c r="AY4" s="320" t="s">
        <v>3376</v>
      </c>
      <c r="AZ4" s="516" t="s">
        <v>3377</v>
      </c>
      <c r="BA4" s="319" t="s">
        <v>3510</v>
      </c>
      <c r="BB4" s="320" t="s">
        <v>3511</v>
      </c>
      <c r="BC4" s="516" t="s">
        <v>3512</v>
      </c>
      <c r="BD4" s="319" t="s">
        <v>3510</v>
      </c>
      <c r="BE4" s="320" t="s">
        <v>3511</v>
      </c>
      <c r="BF4" s="516" t="s">
        <v>3512</v>
      </c>
      <c r="BG4" s="319" t="s">
        <v>3510</v>
      </c>
      <c r="BH4" s="320" t="s">
        <v>3511</v>
      </c>
      <c r="BI4" s="516" t="s">
        <v>3512</v>
      </c>
    </row>
    <row r="5" spans="3:61" ht="15.5" customHeight="1" x14ac:dyDescent="0.35">
      <c r="C5" s="879" t="s">
        <v>1989</v>
      </c>
      <c r="D5" s="876" t="s">
        <v>2393</v>
      </c>
      <c r="E5" s="335" t="s">
        <v>1990</v>
      </c>
      <c r="F5" s="507">
        <f>COUNTIFS(Tableau2[VILLAGE],"BINDOUGOU",Tableau2[Sexes],"F")</f>
        <v>17</v>
      </c>
      <c r="G5" s="508">
        <f>F5*100/F7</f>
        <v>36.170212765957444</v>
      </c>
      <c r="H5" s="508">
        <f>F5*100/$F$40</f>
        <v>4.3478260869565215</v>
      </c>
      <c r="I5" s="508">
        <f>F5*100/$F$100</f>
        <v>1.9883040935672514</v>
      </c>
      <c r="J5" s="509">
        <f>COUNTIFS(Tableau2[VILLAGE],"BINDOUGOU",Tableau2[CLASSE],"CPU",Tableau2[Sexes],"F")</f>
        <v>17</v>
      </c>
      <c r="K5" s="509">
        <f>COUNTIFS(Tableau2[VILLAGE],"BINDOUGOU",Tableau2[CLASSE],"CEU",Tableau2[Sexes],"F")</f>
        <v>0</v>
      </c>
      <c r="L5" s="510">
        <f>J5*100/J7</f>
        <v>36.170212765957444</v>
      </c>
      <c r="M5" s="510">
        <v>0</v>
      </c>
      <c r="N5" s="510">
        <f>J5*100/$J$40</f>
        <v>5.1829268292682924</v>
      </c>
      <c r="O5" s="510">
        <f>K5*100/$K$40</f>
        <v>0</v>
      </c>
      <c r="P5" s="510">
        <f>J5*100/$J$100</f>
        <v>2.1464646464646466</v>
      </c>
      <c r="Q5" s="510">
        <f>K5*100/$K$100</f>
        <v>0</v>
      </c>
      <c r="R5" s="337" t="s">
        <v>1990</v>
      </c>
      <c r="S5" s="509">
        <f>COUNTIFS(Tableau2[VILLAGE],"BINDOUGOU",Tableau2[[STATUT ]],"admis",Tableau2[Sexes],"F")</f>
        <v>13</v>
      </c>
      <c r="T5" s="509">
        <f>COUNTIFS(Tableau2[VILLAGE],"BINDOUGOU",Tableau2[CE1-CE2],1,Tableau2[Sexes],"F")</f>
        <v>13</v>
      </c>
      <c r="U5" s="509">
        <f>COUNTIFS(Tableau2[VILLAGE],"BINDOUGOU",Tableau2[CM1-CM2],1,Tableau2[Sexes],"F")</f>
        <v>0</v>
      </c>
      <c r="V5" s="510">
        <f>T5*100/$L$7</f>
        <v>13</v>
      </c>
      <c r="W5" s="847"/>
      <c r="X5" s="510">
        <f>T5*100/$L$40</f>
        <v>13</v>
      </c>
      <c r="Y5" s="847"/>
      <c r="Z5" s="510">
        <f>T5*100/$L$100</f>
        <v>13</v>
      </c>
      <c r="AA5" s="847"/>
      <c r="AB5" s="337" t="s">
        <v>1990</v>
      </c>
      <c r="AC5" s="509">
        <f>COUNTIFS(Tableau2[VILLAGE],"BINDOUGOU",Tableau2[[STATUT ]],"Redouble",Tableau2[Sexes],"F")</f>
        <v>0</v>
      </c>
      <c r="AD5" s="509">
        <f>COUNTIFS(Tableau2[VILLAGE],"BINDOUGOU",Tableau2[CLASSE],"CPU",Tableau2[[STATUT ]],"Redouble",Tableau2[Sexes],"F")</f>
        <v>0</v>
      </c>
      <c r="AE5" s="509">
        <f>COUNTIFS(Tableau2[VILLAGE],"BINDOUGOU",Tableau2[CLASSE],"CEU",Tableau2[[STATUT ]],"Redouble",Tableau2[Sexes],"F")</f>
        <v>0</v>
      </c>
      <c r="AF5" s="510">
        <f>AC5*100/AC7</f>
        <v>0</v>
      </c>
      <c r="AG5" s="847"/>
      <c r="AH5" s="510">
        <f>AC6*100/AD40</f>
        <v>4.918032786885246</v>
      </c>
      <c r="AI5" s="847"/>
      <c r="AJ5" s="510">
        <f>AC5*100/AD100</f>
        <v>0</v>
      </c>
      <c r="AK5" s="847"/>
      <c r="AL5" s="323" t="s">
        <v>1990</v>
      </c>
      <c r="AM5" s="509">
        <f>COUNTIFS(Tableau2[VILLAGE],"BINDOUGOU",Tableau2[[STATUT ]],"Absent",Tableau2[Sexes],"F")</f>
        <v>4</v>
      </c>
      <c r="AN5" s="509">
        <f>COUNTIFS(Tableau2[VILLAGE],"BINDOUGOU",Tableau2[CLASSE],"CPU",Tableau2[[STATUT ]],"Absent",Tableau2[Sexes],"F")</f>
        <v>4</v>
      </c>
      <c r="AO5" s="509">
        <f>COUNTIFS(Tableau2[VILLAGE],"BINDOUGOU",Tableau2[CLASSE],"CEU",Tableau2[[STATUT ]],"Absent",Tableau2[Sexes],"F")</f>
        <v>0</v>
      </c>
      <c r="AP5" s="510">
        <f>AM5*100/AM7</f>
        <v>80</v>
      </c>
      <c r="AQ5" s="847"/>
      <c r="AR5" s="510">
        <f>AM6*100/AN40</f>
        <v>2</v>
      </c>
      <c r="AS5" s="847"/>
      <c r="AT5" s="510">
        <f>AM5*100/AN100</f>
        <v>3.0769230769230771</v>
      </c>
      <c r="AU5" s="847"/>
      <c r="AV5" s="521" t="s">
        <v>1990</v>
      </c>
      <c r="AW5" s="529">
        <f>SUM(AX5:AZ5)</f>
        <v>13</v>
      </c>
      <c r="AX5" s="509">
        <f>COUNTIFS(Tableau2[VILLAGE],"BINDOUGOU",Tableau2[Colonne1],"CP2",Tableau2[Sexes],"F")</f>
        <v>0</v>
      </c>
      <c r="AY5" s="509">
        <f>COUNTIFS(Tableau2[VILLAGE],"BINDOUGOU",Tableau2[Colonne1],"CE1",Tableau2[Sexes],"F")</f>
        <v>13</v>
      </c>
      <c r="AZ5" s="509">
        <f>COUNTIFS(Tableau2[VILLAGE],"BINDOUGOU",Tableau2[Colonne1],"CE2",Tableau2[Sexes],"F")</f>
        <v>0</v>
      </c>
      <c r="BA5" s="510">
        <f>AX5*100/AX7</f>
        <v>0</v>
      </c>
      <c r="BB5" s="510">
        <f>AY5*100/AY7</f>
        <v>35.135135135135137</v>
      </c>
      <c r="BC5" s="510">
        <f>AZ5*100/AZ7</f>
        <v>0</v>
      </c>
      <c r="BD5" s="510">
        <f>AX5*100/$AX$40</f>
        <v>0</v>
      </c>
      <c r="BE5" s="510">
        <f>AY5*100/$AY$40</f>
        <v>6.5</v>
      </c>
      <c r="BF5" s="510">
        <f>AZ5*100/$AZ$40</f>
        <v>0</v>
      </c>
      <c r="BG5" s="510">
        <f>AX5*100/$AX$100</f>
        <v>0</v>
      </c>
      <c r="BH5" s="510">
        <f>AY5*100/$AY$100</f>
        <v>3.2019704433497536</v>
      </c>
      <c r="BI5" s="510">
        <f>AZ5*100/$AZ$100</f>
        <v>0</v>
      </c>
    </row>
    <row r="6" spans="3:61" ht="15.5" customHeight="1" thickBot="1" x14ac:dyDescent="0.4">
      <c r="C6" s="880"/>
      <c r="D6" s="877"/>
      <c r="E6" s="336" t="s">
        <v>665</v>
      </c>
      <c r="F6" s="507">
        <f>COUNTIFS(Tableau2[VILLAGE],"BINDOUGOU",Tableau2[Sexes],"G")</f>
        <v>30</v>
      </c>
      <c r="G6" s="508">
        <f>F6*100/F7</f>
        <v>63.829787234042556</v>
      </c>
      <c r="H6" s="508">
        <f>F6*100/$F$40</f>
        <v>7.6726342710997439</v>
      </c>
      <c r="I6" s="508">
        <f>F6*100/$F$100</f>
        <v>3.5087719298245612</v>
      </c>
      <c r="J6" s="509">
        <f>COUNTIFS(Tableau2[VILLAGE],"BINDOUGOU",Tableau2[CLASSE],"CPU",Tableau2[Sexes],"G")</f>
        <v>30</v>
      </c>
      <c r="K6" s="509">
        <f>COUNTIFS(Tableau2[VILLAGE],"BINDOUGOU",Tableau2[CLASSE],"CEU",Tableau2[Sexes],"G")</f>
        <v>0</v>
      </c>
      <c r="L6" s="510">
        <f>J6*100/J7</f>
        <v>63.829787234042556</v>
      </c>
      <c r="M6" s="510">
        <v>0</v>
      </c>
      <c r="N6" s="510">
        <f>J6*100/$J$40</f>
        <v>9.1463414634146343</v>
      </c>
      <c r="O6" s="510">
        <f>K6*100/$K$40</f>
        <v>0</v>
      </c>
      <c r="P6" s="510">
        <f>J6*100/$J$100</f>
        <v>3.7878787878787881</v>
      </c>
      <c r="Q6" s="510">
        <f>K6*100/$K$100</f>
        <v>0</v>
      </c>
      <c r="R6" s="338" t="s">
        <v>665</v>
      </c>
      <c r="S6" s="509">
        <f>COUNTIFS(Tableau2[VILLAGE],"BINDOUGOU",Tableau2[[STATUT ]],"admis",Tableau2[Sexes],"G")</f>
        <v>26</v>
      </c>
      <c r="T6" s="509">
        <f>COUNTIFS(Tableau2[VILLAGE],"BINDOUGOU",Tableau2[CE1-CE2],1,Tableau2[Sexes],"G")</f>
        <v>26</v>
      </c>
      <c r="U6" s="509">
        <f>COUNTIFS(Tableau2[VILLAGE],"BINDOUGOU",Tableau2[CM1-CM2],1,Tableau2[Sexes],"G")</f>
        <v>0</v>
      </c>
      <c r="V6" s="510">
        <f>T6*100/$L$7</f>
        <v>26</v>
      </c>
      <c r="W6" s="848"/>
      <c r="X6" s="510">
        <f>T6*100/$L$40</f>
        <v>26</v>
      </c>
      <c r="Y6" s="848"/>
      <c r="Z6" s="510">
        <f>T6*100/$L$100</f>
        <v>26</v>
      </c>
      <c r="AA6" s="848"/>
      <c r="AB6" s="338" t="s">
        <v>665</v>
      </c>
      <c r="AC6" s="509">
        <f>COUNTIFS(Tableau2[VILLAGE],"BINDOUGOU",Tableau2[[STATUT ]],"REDOUBLE",Tableau2[Sexes],"G")</f>
        <v>3</v>
      </c>
      <c r="AD6" s="509">
        <f>COUNTIFS(Tableau2[VILLAGE],"BINDOUGOU",Tableau2[CLASSE],"CPU",Tableau2[[STATUT ]],"Redouble",Tableau2[Sexes],"G")</f>
        <v>3</v>
      </c>
      <c r="AE6" s="509">
        <f>COUNTIFS(Tableau2[VILLAGE],"BINDOUGOU",Tableau2[CLASSE],"CEU",Tableau2[[STATUT ]],"Redouble",Tableau2[Sexes],"G")</f>
        <v>0</v>
      </c>
      <c r="AF6" s="510">
        <f>AC6*100/AC7</f>
        <v>100</v>
      </c>
      <c r="AG6" s="848"/>
      <c r="AH6" s="510">
        <f>AD6*100/AD40</f>
        <v>4.918032786885246</v>
      </c>
      <c r="AI6" s="848"/>
      <c r="AJ6" s="510">
        <f>AD6*100/AD100</f>
        <v>1.8404907975460123</v>
      </c>
      <c r="AK6" s="848"/>
      <c r="AL6" s="332" t="s">
        <v>665</v>
      </c>
      <c r="AM6" s="509">
        <f>COUNTIFS(Tableau2[VILLAGE],"BINDOUGOU",Tableau2[[STATUT ]],"Absent",Tableau2[Sexes],"G")</f>
        <v>1</v>
      </c>
      <c r="AN6" s="509">
        <f>COUNTIFS(Tableau2[VILLAGE],"BINDOUGOU",Tableau2[CLASSE],"CPU",Tableau2[[STATUT ]],"Absent",Tableau2[Sexes],"G")</f>
        <v>1</v>
      </c>
      <c r="AO6" s="509">
        <f>COUNTIFS(Tableau2[VILLAGE],"BINDOUGOU",Tableau2[CLASSE],"CEU",Tableau2[[STATUT ]],"Absent",Tableau2[Sexes],"G")</f>
        <v>0</v>
      </c>
      <c r="AP6" s="510">
        <f>AM6*100/AM7</f>
        <v>20</v>
      </c>
      <c r="AQ6" s="848"/>
      <c r="AR6" s="510">
        <f>AN6*100/AN40</f>
        <v>2</v>
      </c>
      <c r="AS6" s="848"/>
      <c r="AT6" s="510">
        <f>AN6*100/AN100</f>
        <v>0.76923076923076927</v>
      </c>
      <c r="AU6" s="848"/>
      <c r="AV6" s="522" t="s">
        <v>665</v>
      </c>
      <c r="AW6" s="529">
        <f>SUM(AX6:AZ6)</f>
        <v>29</v>
      </c>
      <c r="AX6" s="509">
        <f>COUNTIFS(Tableau2[VILLAGE],"BINDOUGOU",Tableau2[Colonne1],"CP2",Tableau2[Sexes],"G")</f>
        <v>3</v>
      </c>
      <c r="AY6" s="509">
        <f>COUNTIFS(Tableau2[VILLAGE],"BINDOUGOU",Tableau2[Colonne1],"CE1",Tableau2[Sexes],"G")</f>
        <v>24</v>
      </c>
      <c r="AZ6" s="509">
        <f>COUNTIFS(Tableau2[VILLAGE],"BINDOUGOU",Tableau2[Colonne1],"CE2",Tableau2[Sexes],"G")</f>
        <v>2</v>
      </c>
      <c r="BA6" s="510">
        <f>AX6*100/AX7</f>
        <v>100</v>
      </c>
      <c r="BB6" s="510">
        <f>AY6*100/AY7</f>
        <v>64.86486486486487</v>
      </c>
      <c r="BC6" s="510">
        <f>AZ6*100/AZ7</f>
        <v>100</v>
      </c>
      <c r="BD6" s="510">
        <f>AX6*100/$AX$40</f>
        <v>5</v>
      </c>
      <c r="BE6" s="510">
        <f>AY6*100/$AY$40</f>
        <v>12</v>
      </c>
      <c r="BF6" s="510">
        <f>AZ6*100/$AZ$40</f>
        <v>11.111111111111111</v>
      </c>
      <c r="BG6" s="510">
        <f>AX6*100/$AX$100</f>
        <v>2.0408163265306123</v>
      </c>
      <c r="BH6" s="510">
        <f>AY6*100/$AY$100</f>
        <v>5.9113300492610836</v>
      </c>
      <c r="BI6" s="510">
        <f>AZ6*100/$AZ$100</f>
        <v>1.834862385321101</v>
      </c>
    </row>
    <row r="7" spans="3:61" ht="16" customHeight="1" thickBot="1" x14ac:dyDescent="0.35">
      <c r="C7" s="880"/>
      <c r="D7" s="878"/>
      <c r="E7" s="325" t="s">
        <v>658</v>
      </c>
      <c r="F7" s="339">
        <f>COUNTIFS(Tableau2[VILLAGE],"BINDOUGOU")</f>
        <v>47</v>
      </c>
      <c r="G7" s="340">
        <f>SUM(G5:G6)</f>
        <v>100</v>
      </c>
      <c r="H7" s="340">
        <f t="shared" ref="H7:I7" si="0">SUM(H5:H6)</f>
        <v>12.020460358056265</v>
      </c>
      <c r="I7" s="340">
        <f t="shared" si="0"/>
        <v>5.4970760233918128</v>
      </c>
      <c r="J7" s="333">
        <f>SUM(J5:J6)</f>
        <v>47</v>
      </c>
      <c r="K7" s="333">
        <f>SUM(K5:K6)</f>
        <v>0</v>
      </c>
      <c r="L7" s="343">
        <f>SUM(L5:L6)</f>
        <v>100</v>
      </c>
      <c r="M7" s="343">
        <f>SUM(M5:M6)</f>
        <v>0</v>
      </c>
      <c r="N7" s="343">
        <f t="shared" ref="N7:O7" si="1">SUM(N5:N6)</f>
        <v>14.329268292682926</v>
      </c>
      <c r="O7" s="343">
        <f t="shared" si="1"/>
        <v>0</v>
      </c>
      <c r="P7" s="343">
        <f t="shared" ref="P7:Q7" si="2">SUM(P5:P6)</f>
        <v>5.9343434343434343</v>
      </c>
      <c r="Q7" s="343">
        <f t="shared" si="2"/>
        <v>0</v>
      </c>
      <c r="R7" s="333" t="s">
        <v>658</v>
      </c>
      <c r="S7" s="333">
        <f>COUNTIFS(Tableau2[VILLAGE],"BINDOUGOU",Tableau2[[STATUT ]],"admis")</f>
        <v>39</v>
      </c>
      <c r="T7" s="333">
        <f>COUNTIFS(Tableau2[VILLAGE],"BINDOUGOU",Tableau2[CE1-CE2],1)</f>
        <v>39</v>
      </c>
      <c r="U7" s="333">
        <f>COUNTIFS(Tableau2[VILLAGE],"BINDOUGOU",Tableau2[CM1-CM2],1)</f>
        <v>0</v>
      </c>
      <c r="V7" s="343">
        <f>SUM(V5:V6)</f>
        <v>39</v>
      </c>
      <c r="W7" s="849"/>
      <c r="X7" s="344">
        <f>SUM(X5:X6)</f>
        <v>39</v>
      </c>
      <c r="Y7" s="849"/>
      <c r="Z7" s="344">
        <f>SUM(Z5:Z6)</f>
        <v>39</v>
      </c>
      <c r="AA7" s="849"/>
      <c r="AB7" s="333" t="s">
        <v>658</v>
      </c>
      <c r="AC7" s="333">
        <f>COUNTIFS(Tableau2[VILLAGE],"BINDOUGOU",Tableau2[[STATUT ]],"REDOUBLE")</f>
        <v>3</v>
      </c>
      <c r="AD7" s="333">
        <f>SUM(AD5:AD6)</f>
        <v>3</v>
      </c>
      <c r="AE7" s="333">
        <f>SUM(AE5:AE6)</f>
        <v>0</v>
      </c>
      <c r="AF7" s="343">
        <f>SUM(AF5:AF6)</f>
        <v>100</v>
      </c>
      <c r="AG7" s="849"/>
      <c r="AH7" s="344">
        <f>SUM(AH5:AH6)</f>
        <v>9.8360655737704921</v>
      </c>
      <c r="AI7" s="849"/>
      <c r="AJ7" s="344">
        <f>SUM(AJ5:AJ6)</f>
        <v>1.8404907975460123</v>
      </c>
      <c r="AK7" s="849"/>
      <c r="AL7" s="333" t="s">
        <v>658</v>
      </c>
      <c r="AM7" s="333">
        <f>COUNTIFS(Tableau2[VILLAGE],"BINDOUGOU",Tableau2[[STATUT ]],"Absent")</f>
        <v>5</v>
      </c>
      <c r="AN7" s="333">
        <f>SUM(AN5:AN6)</f>
        <v>5</v>
      </c>
      <c r="AO7" s="333">
        <f>SUM(AO5:AO6)</f>
        <v>0</v>
      </c>
      <c r="AP7" s="343">
        <f>SUM(AP5:AP6)</f>
        <v>100</v>
      </c>
      <c r="AQ7" s="849"/>
      <c r="AR7" s="344">
        <f>SUM(AR5:AR6)</f>
        <v>4</v>
      </c>
      <c r="AS7" s="849"/>
      <c r="AT7" s="344">
        <f>SUM(AT5:AT6)</f>
        <v>3.8461538461538463</v>
      </c>
      <c r="AU7" s="849"/>
      <c r="AV7" s="342" t="s">
        <v>658</v>
      </c>
      <c r="AW7" s="530">
        <f>SUM(AX7:AZ7)</f>
        <v>42</v>
      </c>
      <c r="AX7" s="527">
        <f t="shared" ref="AX7:BI7" si="3">SUM(AX5:AX6)</f>
        <v>3</v>
      </c>
      <c r="AY7" s="333">
        <f t="shared" si="3"/>
        <v>37</v>
      </c>
      <c r="AZ7" s="333">
        <f t="shared" si="3"/>
        <v>2</v>
      </c>
      <c r="BA7" s="517">
        <f t="shared" si="3"/>
        <v>100</v>
      </c>
      <c r="BB7" s="517">
        <f t="shared" si="3"/>
        <v>100</v>
      </c>
      <c r="BC7" s="517">
        <f t="shared" si="3"/>
        <v>100</v>
      </c>
      <c r="BD7" s="517">
        <f t="shared" si="3"/>
        <v>5</v>
      </c>
      <c r="BE7" s="517">
        <f t="shared" si="3"/>
        <v>18.5</v>
      </c>
      <c r="BF7" s="517">
        <f t="shared" si="3"/>
        <v>11.111111111111111</v>
      </c>
      <c r="BG7" s="517">
        <f t="shared" si="3"/>
        <v>2.0408163265306123</v>
      </c>
      <c r="BH7" s="517">
        <f t="shared" si="3"/>
        <v>9.1133004926108363</v>
      </c>
      <c r="BI7" s="517">
        <f t="shared" si="3"/>
        <v>1.834862385321101</v>
      </c>
    </row>
    <row r="8" spans="3:61" ht="15.5" customHeight="1" x14ac:dyDescent="0.35">
      <c r="C8" s="880"/>
      <c r="D8" s="876" t="s">
        <v>2477</v>
      </c>
      <c r="E8" s="323" t="s">
        <v>1990</v>
      </c>
      <c r="F8" s="509">
        <f>COUNTIFS(Tableau2[VILLAGE],"COULIBALYKRO (TOLBA)",Tableau2[Sexes],"F")</f>
        <v>11</v>
      </c>
      <c r="G8" s="508">
        <f>F8*100/F10</f>
        <v>44</v>
      </c>
      <c r="H8" s="508">
        <f>F8*100/$F$40</f>
        <v>2.8132992327365729</v>
      </c>
      <c r="I8" s="508">
        <f>F8*100/$F$100</f>
        <v>1.2865497076023391</v>
      </c>
      <c r="J8" s="509">
        <f>COUNTIFS(Tableau2[VILLAGE],"COULIBALYKRO (TOLBA)",Tableau2[CLASSE],"CPU",Tableau2[Sexes],"F")</f>
        <v>0</v>
      </c>
      <c r="K8" s="509">
        <f>COUNTIFS(Tableau2[VILLAGE],"COULIBALYKRO (TOLBA)",Tableau2[CLASSE],"CEU",Tableau2[Sexes],"F")</f>
        <v>11</v>
      </c>
      <c r="L8" s="510">
        <v>0</v>
      </c>
      <c r="M8" s="510">
        <f>K8*100/K10</f>
        <v>44</v>
      </c>
      <c r="N8" s="510">
        <f>J8*100/$J$40</f>
        <v>0</v>
      </c>
      <c r="O8" s="510">
        <f t="shared" ref="O8:O9" si="4">K8*100/$K$40</f>
        <v>17.460317460317459</v>
      </c>
      <c r="P8" s="510">
        <f t="shared" ref="P8:P9" si="5">J8*100/$J$100</f>
        <v>0</v>
      </c>
      <c r="Q8" s="510">
        <f t="shared" ref="Q8:Q9" si="6">K8*100/$K$100</f>
        <v>17.460317460317459</v>
      </c>
      <c r="R8" s="323" t="s">
        <v>1990</v>
      </c>
      <c r="S8" s="509">
        <f>COUNTIFS(Tableau2[VILLAGE],"COULIBALYKRO (TOLBA)",Tableau2[[STATUT ]],"admis",Tableau2[Sexes],"F")</f>
        <v>8</v>
      </c>
      <c r="T8" s="509">
        <f>COUNTIFS(Tableau2[VILLAGE],"COULIBALYKRO (TOLBA)",Tableau2[CE1-CE2],1,Tableau2[Sexes],"F")</f>
        <v>0</v>
      </c>
      <c r="U8" s="509">
        <f>COUNTIFS(Tableau2[VILLAGE],"COULIBALYKRO (TOLBA)",Tableau2[CM1-CM2],1,Tableau2[Sexes],"F")</f>
        <v>8</v>
      </c>
      <c r="V8" s="847"/>
      <c r="W8" s="510">
        <f>U8*100/U10</f>
        <v>40</v>
      </c>
      <c r="X8" s="847"/>
      <c r="Y8" s="510">
        <f>U8*100/$M$40</f>
        <v>8</v>
      </c>
      <c r="Z8" s="847"/>
      <c r="AA8" s="510">
        <f>U8*100/$M$100</f>
        <v>8</v>
      </c>
      <c r="AB8" s="323" t="s">
        <v>1990</v>
      </c>
      <c r="AC8" s="509">
        <f>COUNTIFS(Tableau2[VILLAGE],"COULIBALYKRO (TOLBA)",Tableau2[[STATUT ]],"Redouble",Tableau2[Sexes],"F")</f>
        <v>2</v>
      </c>
      <c r="AD8" s="509">
        <f>COUNTIFS(Tableau2[VILLAGE],"COULIBALYKRO (TOLBA)",Tableau2[CLASSE],"CPU",Tableau2[[STATUT ]],"Redouble",Tableau2[Sexes],"F")</f>
        <v>0</v>
      </c>
      <c r="AE8" s="509">
        <f>COUNTIFS(Tableau2[VILLAGE],"COULIBALYKRO (TOLBA)",Tableau2[CLASSE],"CEU",Tableau2[[STATUT ]],"Redouble",Tableau2[Sexes],"F")</f>
        <v>2</v>
      </c>
      <c r="AF8" s="847"/>
      <c r="AG8" s="510">
        <f>AE8*100/AE10</f>
        <v>100</v>
      </c>
      <c r="AH8" s="847"/>
      <c r="AI8" s="510">
        <f>AE8*100/AE40</f>
        <v>22.222222222222221</v>
      </c>
      <c r="AJ8" s="847"/>
      <c r="AK8" s="510">
        <f>AE8*100/AE100</f>
        <v>22.222222222222221</v>
      </c>
      <c r="AL8" s="323" t="s">
        <v>1990</v>
      </c>
      <c r="AM8" s="509">
        <f>COUNTIFS(Tableau2[VILLAGE],"COULIBALYKRO (TOLBA)",Tableau2[[STATUT ]],"Absent",Tableau2[Sexes],"F")</f>
        <v>1</v>
      </c>
      <c r="AN8" s="509">
        <f>COUNTIFS(Tableau2[VILLAGE],"COULIBALYKRO (TOLBA)",Tableau2[CLASSE],"CPU",Tableau2[[STATUT ]],"Absent",Tableau2[Sexes],"F")</f>
        <v>0</v>
      </c>
      <c r="AO8" s="509">
        <f>COUNTIFS(Tableau2[VILLAGE],"COULIBALYKRO (TOLBA)",Tableau2[CLASSE],"CEU",Tableau2[[STATUT ]],"Absent",Tableau2[Sexes],"F")</f>
        <v>1</v>
      </c>
      <c r="AP8" s="847"/>
      <c r="AQ8" s="510">
        <f>AO8*100/AO10</f>
        <v>33.333333333333336</v>
      </c>
      <c r="AR8" s="847"/>
      <c r="AS8" s="510">
        <f>AO8*100/AO40</f>
        <v>16.666666666666668</v>
      </c>
      <c r="AT8" s="847"/>
      <c r="AU8" s="510">
        <f>AO8*100/AO100</f>
        <v>16.666666666666668</v>
      </c>
      <c r="AV8" s="335" t="s">
        <v>1990</v>
      </c>
      <c r="AW8" s="529">
        <f t="shared" ref="AW8:AW71" si="7">SUM(AX8:AZ8)</f>
        <v>0</v>
      </c>
      <c r="AX8" s="509">
        <f>COUNTIFS(Tableau2[VILLAGE],"COULIBALYKRO (TOLBA)",Tableau2[Colonne1],"CP2",Tableau2[Sexes],"F")</f>
        <v>0</v>
      </c>
      <c r="AY8" s="509">
        <f>COUNTIFS(Tableau2[VILLAGE],"COULIBALYKRO (TOLBA)",Tableau2[Colonne1],"CE1",Tableau2[Sexes],"F")</f>
        <v>0</v>
      </c>
      <c r="AZ8" s="509">
        <f>COUNTIFS(Tableau2[VILLAGE],"COULIBALYKRO (TOLBA)",Tableau2[Colonne1],"CE2",Tableau2[Sexes],"F")</f>
        <v>0</v>
      </c>
      <c r="BA8" s="510">
        <v>0</v>
      </c>
      <c r="BB8" s="510">
        <v>0</v>
      </c>
      <c r="BC8" s="510">
        <v>0</v>
      </c>
      <c r="BD8" s="510">
        <f t="shared" ref="BD8:BD9" si="8">AX8*100/$AX$40</f>
        <v>0</v>
      </c>
      <c r="BE8" s="510">
        <f t="shared" ref="BE8:BE9" si="9">AY8*100/$AY$40</f>
        <v>0</v>
      </c>
      <c r="BF8" s="510">
        <f t="shared" ref="BF8:BF9" si="10">AZ8*100/$AZ$40</f>
        <v>0</v>
      </c>
      <c r="BG8" s="510">
        <f t="shared" ref="BG8:BG9" si="11">AX8*100/$AX$100</f>
        <v>0</v>
      </c>
      <c r="BH8" s="510">
        <f t="shared" ref="BH8:BH9" si="12">AY8*100/$AY$100</f>
        <v>0</v>
      </c>
      <c r="BI8" s="510">
        <f t="shared" ref="BI8:BI9" si="13">AZ8*100/$AZ$100</f>
        <v>0</v>
      </c>
    </row>
    <row r="9" spans="3:61" ht="15.5" customHeight="1" thickBot="1" x14ac:dyDescent="0.4">
      <c r="C9" s="880"/>
      <c r="D9" s="877"/>
      <c r="E9" s="324" t="s">
        <v>665</v>
      </c>
      <c r="F9" s="509">
        <f>COUNTIFS(Tableau2[VILLAGE],"COULIBALYKRO (TOLBA)",Tableau2[Sexes],"G")</f>
        <v>14</v>
      </c>
      <c r="G9" s="508">
        <f>F9*100/F10</f>
        <v>56</v>
      </c>
      <c r="H9" s="508">
        <f>F9*100/$F$40</f>
        <v>3.5805626598465472</v>
      </c>
      <c r="I9" s="508">
        <f>F9*100/$F$100</f>
        <v>1.6374269005847952</v>
      </c>
      <c r="J9" s="509">
        <f>COUNTIFS(Tableau2[VILLAGE],"COULIBALYKRO (TOLBA)",Tableau2[CLASSE],"CPU",Tableau2[Sexes],"G")</f>
        <v>0</v>
      </c>
      <c r="K9" s="509">
        <f>COUNTIFS(Tableau2[VILLAGE],"COULIBALYKRO (TOLBA)",Tableau2[CLASSE],"CEU",Tableau2[Sexes],"G")</f>
        <v>14</v>
      </c>
      <c r="L9" s="510">
        <v>0</v>
      </c>
      <c r="M9" s="510">
        <f>K9*100/K10</f>
        <v>56</v>
      </c>
      <c r="N9" s="510">
        <f t="shared" ref="N9" si="14">J9*100/$J$40</f>
        <v>0</v>
      </c>
      <c r="O9" s="510">
        <f t="shared" si="4"/>
        <v>22.222222222222221</v>
      </c>
      <c r="P9" s="510">
        <f t="shared" si="5"/>
        <v>0</v>
      </c>
      <c r="Q9" s="510">
        <f t="shared" si="6"/>
        <v>22.222222222222221</v>
      </c>
      <c r="R9" s="324" t="s">
        <v>665</v>
      </c>
      <c r="S9" s="509">
        <f>COUNTIFS(Tableau2[VILLAGE],"COULIBALYKRO (TOLBA)",Tableau2[[STATUT ]],"admis",Tableau2[Sexes],"G")</f>
        <v>12</v>
      </c>
      <c r="T9" s="509">
        <f>COUNTIFS(Tableau2[VILLAGE],"COULIBALYKRO (TOLBA)",Tableau2[CE1-CE2],1,Tableau2[Sexes],"G")</f>
        <v>0</v>
      </c>
      <c r="U9" s="509">
        <f>COUNTIFS(Tableau2[VILLAGE],"COULIBALYKRO (TOLBA)",Tableau2[CM1-CM2],1,Tableau2[Sexes],"G")</f>
        <v>12</v>
      </c>
      <c r="V9" s="848"/>
      <c r="W9" s="510">
        <f>U9*100/U10</f>
        <v>60</v>
      </c>
      <c r="X9" s="848"/>
      <c r="Y9" s="510">
        <f>U9*100/$M$40</f>
        <v>12</v>
      </c>
      <c r="Z9" s="848"/>
      <c r="AA9" s="510">
        <f>U9*100/$M$100</f>
        <v>12</v>
      </c>
      <c r="AB9" s="324" t="s">
        <v>665</v>
      </c>
      <c r="AC9" s="509">
        <f>COUNTIFS(Tableau2[VILLAGE],"COULIBALYKRO (TOLBA)",Tableau2[[STATUT ]],"Redouble",Tableau2[Sexes],"G")</f>
        <v>0</v>
      </c>
      <c r="AD9" s="509">
        <f>COUNTIFS(Tableau2[VILLAGE],"COULIBALYKRO (TOLBA)",Tableau2[CLASSE],"CPU",Tableau2[[STATUT ]],"Redouble",Tableau2[Sexes],"G")</f>
        <v>0</v>
      </c>
      <c r="AE9" s="509">
        <f>COUNTIFS(Tableau2[VILLAGE],"COULIBALYKRO (TOLBA)",Tableau2[CLASSE],"CEU",Tableau2[[STATUT ]],"Redouble",Tableau2[Sexes],"G")</f>
        <v>0</v>
      </c>
      <c r="AF9" s="848"/>
      <c r="AG9" s="510">
        <f>AE9*100/AE10</f>
        <v>0</v>
      </c>
      <c r="AH9" s="848"/>
      <c r="AI9" s="510">
        <f>AE9*100/AE40</f>
        <v>0</v>
      </c>
      <c r="AJ9" s="848"/>
      <c r="AK9" s="510">
        <f>AE9*100/AE100</f>
        <v>0</v>
      </c>
      <c r="AL9" s="324" t="s">
        <v>665</v>
      </c>
      <c r="AM9" s="509">
        <f>COUNTIFS(Tableau2[VILLAGE],"COULIBALYKRO (TOLBA)",Tableau2[[STATUT ]],"Absent",Tableau2[Sexes],"G")</f>
        <v>2</v>
      </c>
      <c r="AN9" s="509">
        <f>COUNTIFS(Tableau2[VILLAGE],"COULIBALYKRO (TOLBA)",Tableau2[CLASSE],"CPU",Tableau2[[STATUT ]],"Absent",Tableau2[Sexes],"G")</f>
        <v>0</v>
      </c>
      <c r="AO9" s="509">
        <f>COUNTIFS(Tableau2[VILLAGE],"COULIBALYKRO (TOLBA)",Tableau2[CLASSE],"CEU",Tableau2[[STATUT ]],"Absent",Tableau2[Sexes],"G")</f>
        <v>2</v>
      </c>
      <c r="AP9" s="848"/>
      <c r="AQ9" s="510">
        <f>AO9*100/AO10</f>
        <v>66.666666666666671</v>
      </c>
      <c r="AR9" s="848"/>
      <c r="AS9" s="510">
        <f>AO9*100/AO40</f>
        <v>33.333333333333336</v>
      </c>
      <c r="AT9" s="848"/>
      <c r="AU9" s="510">
        <f>AO9*100/AO100</f>
        <v>33.333333333333336</v>
      </c>
      <c r="AV9" s="336" t="s">
        <v>665</v>
      </c>
      <c r="AW9" s="529">
        <f t="shared" si="7"/>
        <v>0</v>
      </c>
      <c r="AX9" s="509">
        <f>COUNTIFS(Tableau2[VILLAGE],"COULIBALYKRO (TOLBA)",Tableau2[Colonne1],"CP2",Tableau2[Sexes],"G")</f>
        <v>0</v>
      </c>
      <c r="AY9" s="509">
        <f>COUNTIFS(Tableau2[VILLAGE],"COULIBALYKRO (TOLBA)",Tableau2[Colonne1],"CE1",Tableau2[Sexes],"G")</f>
        <v>0</v>
      </c>
      <c r="AZ9" s="509">
        <f>COUNTIFS(Tableau2[VILLAGE],"COULIBALYKRO (TOLBA)",Tableau2[Colonne1],"CE2",Tableau2[Sexes],"G")</f>
        <v>0</v>
      </c>
      <c r="BA9" s="510">
        <v>0</v>
      </c>
      <c r="BB9" s="510">
        <v>0</v>
      </c>
      <c r="BC9" s="510">
        <v>0</v>
      </c>
      <c r="BD9" s="510">
        <f t="shared" si="8"/>
        <v>0</v>
      </c>
      <c r="BE9" s="510">
        <f t="shared" si="9"/>
        <v>0</v>
      </c>
      <c r="BF9" s="510">
        <f t="shared" si="10"/>
        <v>0</v>
      </c>
      <c r="BG9" s="510">
        <f t="shared" si="11"/>
        <v>0</v>
      </c>
      <c r="BH9" s="510">
        <f t="shared" si="12"/>
        <v>0</v>
      </c>
      <c r="BI9" s="510">
        <f t="shared" si="13"/>
        <v>0</v>
      </c>
    </row>
    <row r="10" spans="3:61" ht="16" customHeight="1" thickBot="1" x14ac:dyDescent="0.35">
      <c r="C10" s="880"/>
      <c r="D10" s="878"/>
      <c r="E10" s="325" t="s">
        <v>658</v>
      </c>
      <c r="F10" s="333">
        <f>COUNTIFS(Tableau2[VILLAGE],"COULIBALYKRO (TOLBA)")</f>
        <v>25</v>
      </c>
      <c r="G10" s="340">
        <f>SUM(G8:G9)</f>
        <v>100</v>
      </c>
      <c r="H10" s="340">
        <f t="shared" ref="H10:I10" si="15">SUM(H8:H9)</f>
        <v>6.3938618925831197</v>
      </c>
      <c r="I10" s="340">
        <f t="shared" si="15"/>
        <v>2.9239766081871341</v>
      </c>
      <c r="J10" s="333">
        <f t="shared" ref="J10:K10" si="16">SUM(J8:J9)</f>
        <v>0</v>
      </c>
      <c r="K10" s="333">
        <f t="shared" si="16"/>
        <v>25</v>
      </c>
      <c r="L10" s="333">
        <f t="shared" ref="L10" si="17">SUM(L8:L9)</f>
        <v>0</v>
      </c>
      <c r="M10" s="343">
        <f t="shared" ref="M10:Q25" si="18">SUM(M8:M9)</f>
        <v>100</v>
      </c>
      <c r="N10" s="343">
        <f t="shared" si="18"/>
        <v>0</v>
      </c>
      <c r="O10" s="343">
        <f t="shared" si="18"/>
        <v>39.682539682539684</v>
      </c>
      <c r="P10" s="343">
        <f t="shared" si="18"/>
        <v>0</v>
      </c>
      <c r="Q10" s="343">
        <f t="shared" si="18"/>
        <v>39.682539682539684</v>
      </c>
      <c r="R10" s="333" t="s">
        <v>658</v>
      </c>
      <c r="S10" s="333">
        <f>COUNTIFS(Tableau2[VILLAGE],"COULIBALYKRO (TOLBA)",Tableau2[[STATUT ]],"admis")</f>
        <v>20</v>
      </c>
      <c r="T10" s="333">
        <f>COUNTIFS(Tableau2[VILLAGE],"COULIBALYKRO (TOLBA)",Tableau2[CE1-CE2],1)</f>
        <v>0</v>
      </c>
      <c r="U10" s="333">
        <f>COUNTIFS(Tableau2[VILLAGE],"COULIBALYKRO (TOLBA)",Tableau2[CM1-CM2],1)</f>
        <v>20</v>
      </c>
      <c r="V10" s="849"/>
      <c r="W10" s="343">
        <f t="shared" ref="W10" si="19">SUM(W8:W9)</f>
        <v>100</v>
      </c>
      <c r="X10" s="849"/>
      <c r="Y10" s="344">
        <f t="shared" ref="Y10" si="20">SUM(Y8:Y9)</f>
        <v>20</v>
      </c>
      <c r="Z10" s="849"/>
      <c r="AA10" s="344">
        <f>SUM(AA8:AA9)</f>
        <v>20</v>
      </c>
      <c r="AB10" s="333" t="s">
        <v>658</v>
      </c>
      <c r="AC10" s="333">
        <f>COUNTIFS(Tableau2[VILLAGE],"COULIBALYKRO (TOLBA)",Tableau2[[STATUT ]],"Redouble")</f>
        <v>2</v>
      </c>
      <c r="AD10" s="333">
        <f t="shared" ref="AD10:AE10" si="21">SUM(AD8:AD9)</f>
        <v>0</v>
      </c>
      <c r="AE10" s="333">
        <f t="shared" si="21"/>
        <v>2</v>
      </c>
      <c r="AF10" s="849"/>
      <c r="AG10" s="343">
        <f t="shared" ref="AG10" si="22">SUM(AG8:AG9)</f>
        <v>100</v>
      </c>
      <c r="AH10" s="849"/>
      <c r="AI10" s="344">
        <f t="shared" ref="AI10" si="23">SUM(AI8:AI9)</f>
        <v>22.222222222222221</v>
      </c>
      <c r="AJ10" s="849"/>
      <c r="AK10" s="344">
        <f>SUM(AK8:AK9)</f>
        <v>22.222222222222221</v>
      </c>
      <c r="AL10" s="333" t="s">
        <v>658</v>
      </c>
      <c r="AM10" s="333">
        <f>COUNTIFS(Tableau2[VILLAGE],"COULIBALYKRO (TOLBA)",Tableau2[[STATUT ]],"Absent")</f>
        <v>3</v>
      </c>
      <c r="AN10" s="333">
        <f t="shared" ref="AN10:AO10" si="24">SUM(AN8:AN9)</f>
        <v>0</v>
      </c>
      <c r="AO10" s="333">
        <f t="shared" si="24"/>
        <v>3</v>
      </c>
      <c r="AP10" s="849"/>
      <c r="AQ10" s="343">
        <f t="shared" ref="AQ10" si="25">SUM(AQ8:AQ9)</f>
        <v>100</v>
      </c>
      <c r="AR10" s="849"/>
      <c r="AS10" s="344">
        <f t="shared" ref="AS10" si="26">SUM(AS8:AS9)</f>
        <v>50</v>
      </c>
      <c r="AT10" s="849"/>
      <c r="AU10" s="344">
        <f>SUM(AU8:AU9)</f>
        <v>50</v>
      </c>
      <c r="AV10" s="342" t="s">
        <v>658</v>
      </c>
      <c r="AW10" s="530">
        <f t="shared" si="7"/>
        <v>0</v>
      </c>
      <c r="AX10" s="527">
        <f>SUM(AX8:AX9)</f>
        <v>0</v>
      </c>
      <c r="AY10" s="333">
        <f>SUM(AY8:AY9)</f>
        <v>0</v>
      </c>
      <c r="AZ10" s="333">
        <f>SUM(AZ8:AZ9)</f>
        <v>0</v>
      </c>
      <c r="BA10" s="343">
        <f t="shared" ref="BA10:BI10" si="27">SUM(BA8:BA9)</f>
        <v>0</v>
      </c>
      <c r="BB10" s="517">
        <f t="shared" si="27"/>
        <v>0</v>
      </c>
      <c r="BC10" s="517">
        <f t="shared" si="27"/>
        <v>0</v>
      </c>
      <c r="BD10" s="517">
        <f t="shared" si="27"/>
        <v>0</v>
      </c>
      <c r="BE10" s="517">
        <f t="shared" si="27"/>
        <v>0</v>
      </c>
      <c r="BF10" s="517">
        <f t="shared" si="27"/>
        <v>0</v>
      </c>
      <c r="BG10" s="517">
        <f t="shared" si="27"/>
        <v>0</v>
      </c>
      <c r="BH10" s="517">
        <f t="shared" si="27"/>
        <v>0</v>
      </c>
      <c r="BI10" s="517">
        <f t="shared" si="27"/>
        <v>0</v>
      </c>
    </row>
    <row r="11" spans="3:61" ht="15.5" customHeight="1" x14ac:dyDescent="0.35">
      <c r="C11" s="880"/>
      <c r="D11" s="876" t="s">
        <v>2316</v>
      </c>
      <c r="E11" s="326" t="s">
        <v>1990</v>
      </c>
      <c r="F11" s="509">
        <f>COUNTIFS(Tableau2[VILLAGE],"GNABOYA",Tableau2[Sexes],"F")</f>
        <v>8</v>
      </c>
      <c r="G11" s="508">
        <f>F11*100/F13</f>
        <v>32</v>
      </c>
      <c r="H11" s="508">
        <f>F11*100/$F$40</f>
        <v>2.0460358056265986</v>
      </c>
      <c r="I11" s="508">
        <f>F11*100/$F$100</f>
        <v>0.93567251461988299</v>
      </c>
      <c r="J11" s="509">
        <f>COUNTIFS(Tableau2[VILLAGE],"GNABOYA",Tableau2[CLASSE],"CPU",Tableau2[Sexes],"F")</f>
        <v>8</v>
      </c>
      <c r="K11" s="509">
        <f>COUNTIFS(Tableau2[VILLAGE],"GNABOYA",Tableau2[CLASSE],"CEU",Tableau2[Sexes],"F")</f>
        <v>0</v>
      </c>
      <c r="L11" s="510">
        <f>J11*100/J13</f>
        <v>32</v>
      </c>
      <c r="M11" s="510">
        <v>0</v>
      </c>
      <c r="N11" s="510">
        <f>J11*100/$J$40</f>
        <v>2.4390243902439024</v>
      </c>
      <c r="O11" s="510">
        <f>K11*100/$K$40</f>
        <v>0</v>
      </c>
      <c r="P11" s="510">
        <f t="shared" ref="P11:P12" si="28">J11*100/$J$100</f>
        <v>1.0101010101010102</v>
      </c>
      <c r="Q11" s="510">
        <f t="shared" ref="Q11:Q12" si="29">K11*100/$K$100</f>
        <v>0</v>
      </c>
      <c r="R11" s="326" t="s">
        <v>1990</v>
      </c>
      <c r="S11" s="509">
        <f>COUNTIFS(Tableau2[VILLAGE],"GNABOYA",Tableau2[[STATUT ]],"admis",Tableau2[Sexes],"F")</f>
        <v>6</v>
      </c>
      <c r="T11" s="509">
        <f>COUNTIFS(Tableau2[VILLAGE],"GNABOYA",Tableau2[CE1-CE2],1,Tableau2[Sexes],"F")</f>
        <v>6</v>
      </c>
      <c r="U11" s="509">
        <f>COUNTIFS(Tableau2[VILLAGE],"GNABOYA",Tableau2[CM1-CM2],1,Tableau2[Sexes],"F")</f>
        <v>0</v>
      </c>
      <c r="V11" s="510">
        <f>T11*100/T13</f>
        <v>33.333333333333336</v>
      </c>
      <c r="W11" s="847"/>
      <c r="X11" s="510">
        <f>T11*100/$L$40</f>
        <v>6</v>
      </c>
      <c r="Y11" s="847"/>
      <c r="Z11" s="510">
        <f>T11*100/$L$100</f>
        <v>6</v>
      </c>
      <c r="AA11" s="847"/>
      <c r="AB11" s="326" t="s">
        <v>1990</v>
      </c>
      <c r="AC11" s="509">
        <f>COUNTIFS(Tableau2[VILLAGE],"GNABOYA",Tableau2[[STATUT ]],"Redouble",Tableau2[Sexes],"F")</f>
        <v>1</v>
      </c>
      <c r="AD11" s="509">
        <f>COUNTIFS(Tableau2[VILLAGE],"BINDOUGOU",Tableau2[CLASSE],"CPU",Tableau2[[STATUT ]],"Redouble",Tableau2[Sexes],"F")</f>
        <v>0</v>
      </c>
      <c r="AE11" s="509">
        <f>COUNTIFS(Tableau2[VILLAGE],"COULIBALYKRO (TOLBA)",Tableau2[CLASSE],"CEU",Tableau2[[STATUT ]],"Redouble",Tableau2[Sexes],"F")</f>
        <v>2</v>
      </c>
      <c r="AF11" s="510">
        <f>AD11*100/AD13</f>
        <v>0</v>
      </c>
      <c r="AG11" s="847"/>
      <c r="AH11" s="510">
        <f>AD11*100/AD40</f>
        <v>0</v>
      </c>
      <c r="AI11" s="847"/>
      <c r="AJ11" s="510">
        <f>AD11*100/AD100</f>
        <v>0</v>
      </c>
      <c r="AK11" s="847"/>
      <c r="AL11" s="326" t="s">
        <v>1990</v>
      </c>
      <c r="AM11" s="509">
        <f>COUNTIFS(Tableau2[VILLAGE],"GNABOYA",Tableau2[[STATUT ]],"Absent",Tableau2[Sexes],"F")</f>
        <v>1</v>
      </c>
      <c r="AN11" s="509">
        <f>COUNTIFS(Tableau2[VILLAGE],"BINDOUGOU",Tableau2[CLASSE],"CPU",Tableau2[[STATUT ]],"Absent",Tableau2[Sexes],"F")</f>
        <v>4</v>
      </c>
      <c r="AO11" s="509">
        <f>COUNTIFS(Tableau2[VILLAGE],"COULIBALYKRO (TOLBA)",Tableau2[CLASSE],"CEU",Tableau2[[STATUT ]],"Absent",Tableau2[Sexes],"F")</f>
        <v>1</v>
      </c>
      <c r="AP11" s="510">
        <f>AN11*100/AN13</f>
        <v>80</v>
      </c>
      <c r="AQ11" s="847"/>
      <c r="AR11" s="510">
        <f>AN11*100/AN40</f>
        <v>8</v>
      </c>
      <c r="AS11" s="847"/>
      <c r="AT11" s="510">
        <f>AN11*100/AN100</f>
        <v>3.0769230769230771</v>
      </c>
      <c r="AU11" s="847"/>
      <c r="AV11" s="345" t="s">
        <v>1990</v>
      </c>
      <c r="AW11" s="529">
        <f t="shared" si="7"/>
        <v>7</v>
      </c>
      <c r="AX11" s="509">
        <f>COUNTIFS(Tableau2[VILLAGE],"GNABOYA",Tableau2[Colonne1],"CP2",Tableau2[Sexes],"F")</f>
        <v>1</v>
      </c>
      <c r="AY11" s="509">
        <f>COUNTIFS(Tableau2[VILLAGE],"GNABOYA",Tableau2[Colonne1],"CE1",Tableau2[Sexes],"F")</f>
        <v>4</v>
      </c>
      <c r="AZ11" s="509">
        <f>COUNTIFS(Tableau2[VILLAGE],"GNABOYA",Tableau2[Colonne1],"CE2",Tableau2[Sexes],"F")</f>
        <v>2</v>
      </c>
      <c r="BA11" s="510">
        <f t="shared" ref="BA11:BC11" si="30">AX11*100/AX13</f>
        <v>33.333333333333336</v>
      </c>
      <c r="BB11" s="510">
        <f t="shared" si="30"/>
        <v>28.571428571428573</v>
      </c>
      <c r="BC11" s="510">
        <f t="shared" si="30"/>
        <v>40</v>
      </c>
      <c r="BD11" s="510">
        <f t="shared" ref="BD11:BD12" si="31">AX11*100/$AX$40</f>
        <v>1.6666666666666667</v>
      </c>
      <c r="BE11" s="510">
        <f t="shared" ref="BE11:BE12" si="32">AY11*100/$AY$40</f>
        <v>2</v>
      </c>
      <c r="BF11" s="510">
        <f t="shared" ref="BF11:BF12" si="33">AZ11*100/$AZ$40</f>
        <v>11.111111111111111</v>
      </c>
      <c r="BG11" s="510">
        <f t="shared" ref="BG11:BG12" si="34">AX11*100/$AX$100</f>
        <v>0.68027210884353739</v>
      </c>
      <c r="BH11" s="510">
        <f t="shared" ref="BH11:BH12" si="35">AY11*100/$AY$100</f>
        <v>0.98522167487684731</v>
      </c>
      <c r="BI11" s="510">
        <f t="shared" ref="BI11:BI12" si="36">AZ11*100/$AZ$100</f>
        <v>1.834862385321101</v>
      </c>
    </row>
    <row r="12" spans="3:61" ht="15.5" customHeight="1" thickBot="1" x14ac:dyDescent="0.4">
      <c r="C12" s="880"/>
      <c r="D12" s="877"/>
      <c r="E12" s="324" t="s">
        <v>665</v>
      </c>
      <c r="F12" s="509">
        <f>COUNTIFS(Tableau2[VILLAGE],"GNABOYA",Tableau2[Sexes],"G")</f>
        <v>17</v>
      </c>
      <c r="G12" s="508">
        <f>F12*100/F13</f>
        <v>68</v>
      </c>
      <c r="H12" s="508">
        <f>F12*100/$F$40</f>
        <v>4.3478260869565215</v>
      </c>
      <c r="I12" s="508">
        <f>F12*100/$F$100</f>
        <v>1.9883040935672514</v>
      </c>
      <c r="J12" s="509">
        <f>COUNTIFS(Tableau2[VILLAGE],"GNABOYA",Tableau2[CLASSE],"CPU",Tableau2[Sexes],"G")</f>
        <v>17</v>
      </c>
      <c r="K12" s="509">
        <f>COUNTIFS(Tableau2[VILLAGE],"GNABOYA",Tableau2[CLASSE],"CEU",Tableau2[Sexes],"G")</f>
        <v>0</v>
      </c>
      <c r="L12" s="510">
        <f>J12*100/J13</f>
        <v>68</v>
      </c>
      <c r="M12" s="510">
        <v>0</v>
      </c>
      <c r="N12" s="510">
        <f t="shared" ref="N12" si="37">J12*100/$J$40</f>
        <v>5.1829268292682924</v>
      </c>
      <c r="O12" s="510">
        <f t="shared" ref="O12" si="38">K12*100/$K$40</f>
        <v>0</v>
      </c>
      <c r="P12" s="510">
        <f t="shared" si="28"/>
        <v>2.1464646464646466</v>
      </c>
      <c r="Q12" s="510">
        <f t="shared" si="29"/>
        <v>0</v>
      </c>
      <c r="R12" s="324" t="s">
        <v>665</v>
      </c>
      <c r="S12" s="509">
        <f>COUNTIFS(Tableau2[VILLAGE],"GNABOYA",Tableau2[[STATUT ]],"admis",Tableau2[Sexes],"G")</f>
        <v>12</v>
      </c>
      <c r="T12" s="509">
        <f>COUNTIFS(Tableau2[VILLAGE],"GNABOYA",Tableau2[CE1-CE2],1,Tableau2[Sexes],"G")</f>
        <v>12</v>
      </c>
      <c r="U12" s="509">
        <f>COUNTIFS(Tableau2[VILLAGE],"GNABOYA",Tableau2[CM1-CM2],1,Tableau2[Sexes],"G")</f>
        <v>0</v>
      </c>
      <c r="V12" s="510">
        <f>T12*100/T13</f>
        <v>66.666666666666671</v>
      </c>
      <c r="W12" s="848"/>
      <c r="X12" s="510">
        <f t="shared" ref="X12" si="39">T12*100/$L$40</f>
        <v>12</v>
      </c>
      <c r="Y12" s="848"/>
      <c r="Z12" s="510">
        <f t="shared" ref="Z12" si="40">T12*100/$L$100</f>
        <v>12</v>
      </c>
      <c r="AA12" s="848"/>
      <c r="AB12" s="324" t="s">
        <v>665</v>
      </c>
      <c r="AC12" s="509">
        <f>COUNTIFS(Tableau2[VILLAGE],"GNABOYA",Tableau2[[STATUT ]],"Redouble",Tableau2[Sexes],"G")</f>
        <v>3</v>
      </c>
      <c r="AD12" s="509">
        <f>COUNTIFS(Tableau2[VILLAGE],"BINDOUGOU",Tableau2[CLASSE],"CPU",Tableau2[[STATUT ]],"Redouble",Tableau2[Sexes],"G")</f>
        <v>3</v>
      </c>
      <c r="AE12" s="509">
        <f>COUNTIFS(Tableau2[VILLAGE],"COULIBALYKRO (TOLBA)",Tableau2[CLASSE],"CEU",Tableau2[[STATUT ]],"Redouble",Tableau2[Sexes],"G")</f>
        <v>0</v>
      </c>
      <c r="AF12" s="510">
        <f>AD12*100/AD13</f>
        <v>100</v>
      </c>
      <c r="AG12" s="848"/>
      <c r="AH12" s="510">
        <f>AD12*100/AD40</f>
        <v>4.918032786885246</v>
      </c>
      <c r="AI12" s="848"/>
      <c r="AJ12" s="510">
        <f>AD12*100/AD100</f>
        <v>1.8404907975460123</v>
      </c>
      <c r="AK12" s="848"/>
      <c r="AL12" s="324" t="s">
        <v>665</v>
      </c>
      <c r="AM12" s="509">
        <f>COUNTIFS(Tableau2[VILLAGE],"GNABOYA",Tableau2[[STATUT ]],"Absent",Tableau2[Sexes],"G")</f>
        <v>2</v>
      </c>
      <c r="AN12" s="509">
        <f>COUNTIFS(Tableau2[VILLAGE],"BINDOUGOU",Tableau2[CLASSE],"CPU",Tableau2[[STATUT ]],"Absent",Tableau2[Sexes],"G")</f>
        <v>1</v>
      </c>
      <c r="AO12" s="509">
        <f>COUNTIFS(Tableau2[VILLAGE],"COULIBALYKRO (TOLBA)",Tableau2[CLASSE],"CEU",Tableau2[[STATUT ]],"Absent",Tableau2[Sexes],"G")</f>
        <v>2</v>
      </c>
      <c r="AP12" s="510">
        <f>AN12*100/AN13</f>
        <v>20</v>
      </c>
      <c r="AQ12" s="848"/>
      <c r="AR12" s="510">
        <f>AN12*100/AN40</f>
        <v>2</v>
      </c>
      <c r="AS12" s="848"/>
      <c r="AT12" s="510">
        <f>AN12*100/AN100</f>
        <v>0.76923076923076927</v>
      </c>
      <c r="AU12" s="848"/>
      <c r="AV12" s="336" t="s">
        <v>665</v>
      </c>
      <c r="AW12" s="529">
        <f t="shared" si="7"/>
        <v>15</v>
      </c>
      <c r="AX12" s="509">
        <f>COUNTIFS(Tableau2[VILLAGE],"GNABOYA",Tableau2[Colonne1],"CP2",Tableau2[Sexes],"G")</f>
        <v>2</v>
      </c>
      <c r="AY12" s="509">
        <f>COUNTIFS(Tableau2[VILLAGE],"GNABOYA",Tableau2[Colonne1],"CE1",Tableau2[Sexes],"G")</f>
        <v>10</v>
      </c>
      <c r="AZ12" s="509">
        <f>COUNTIFS(Tableau2[VILLAGE],"GNABOYA",Tableau2[Colonne1],"CE2",Tableau2[Sexes],"G")</f>
        <v>3</v>
      </c>
      <c r="BA12" s="510">
        <f t="shared" ref="BA12" si="41">AX12*100/AX13</f>
        <v>66.666666666666671</v>
      </c>
      <c r="BB12" s="510">
        <f t="shared" ref="BB12" si="42">AY12*100/AY13</f>
        <v>71.428571428571431</v>
      </c>
      <c r="BC12" s="510">
        <f t="shared" ref="BC12" si="43">AZ12*100/AZ13</f>
        <v>60</v>
      </c>
      <c r="BD12" s="510">
        <f t="shared" si="31"/>
        <v>3.3333333333333335</v>
      </c>
      <c r="BE12" s="510">
        <f t="shared" si="32"/>
        <v>5</v>
      </c>
      <c r="BF12" s="510">
        <f t="shared" si="33"/>
        <v>16.666666666666668</v>
      </c>
      <c r="BG12" s="510">
        <f t="shared" si="34"/>
        <v>1.3605442176870748</v>
      </c>
      <c r="BH12" s="510">
        <f t="shared" si="35"/>
        <v>2.4630541871921183</v>
      </c>
      <c r="BI12" s="510">
        <f t="shared" si="36"/>
        <v>2.7522935779816513</v>
      </c>
    </row>
    <row r="13" spans="3:61" ht="16" customHeight="1" thickBot="1" x14ac:dyDescent="0.35">
      <c r="C13" s="880"/>
      <c r="D13" s="878"/>
      <c r="E13" s="325" t="s">
        <v>658</v>
      </c>
      <c r="F13" s="333">
        <f>COUNTIFS(Tableau2[VILLAGE],"GNABOYA")</f>
        <v>25</v>
      </c>
      <c r="G13" s="340">
        <f>SUM(G11:G12)</f>
        <v>100</v>
      </c>
      <c r="H13" s="340">
        <f t="shared" ref="H13:I13" si="44">SUM(H11:H12)</f>
        <v>6.3938618925831197</v>
      </c>
      <c r="I13" s="340">
        <f t="shared" si="44"/>
        <v>2.9239766081871341</v>
      </c>
      <c r="J13" s="333">
        <f t="shared" ref="J13:L28" si="45">SUM(J11:J12)</f>
        <v>25</v>
      </c>
      <c r="K13" s="333">
        <f t="shared" si="45"/>
        <v>0</v>
      </c>
      <c r="L13" s="343">
        <f t="shared" si="45"/>
        <v>100</v>
      </c>
      <c r="M13" s="343">
        <f t="shared" ref="M13" si="46">SUM(M11:M12)</f>
        <v>0</v>
      </c>
      <c r="N13" s="343">
        <f t="shared" si="18"/>
        <v>7.6219512195121943</v>
      </c>
      <c r="O13" s="343">
        <f t="shared" si="18"/>
        <v>0</v>
      </c>
      <c r="P13" s="343">
        <f t="shared" si="18"/>
        <v>3.1565656565656566</v>
      </c>
      <c r="Q13" s="343">
        <f t="shared" si="18"/>
        <v>0</v>
      </c>
      <c r="R13" s="333" t="s">
        <v>658</v>
      </c>
      <c r="S13" s="333">
        <f>COUNTIFS(Tableau2[VILLAGE],"GNABOYA",Tableau2[[STATUT ]],"admis")</f>
        <v>18</v>
      </c>
      <c r="T13" s="333">
        <f>COUNTIFS(Tableau2[VILLAGE],"GNABOYA",Tableau2[CE1-CE2],1)</f>
        <v>18</v>
      </c>
      <c r="U13" s="333">
        <f>COUNTIFS(Tableau2[VILLAGE],"GNABOYA",Tableau2[CM1-CM2],1)</f>
        <v>0</v>
      </c>
      <c r="V13" s="343">
        <f t="shared" ref="V13" si="47">SUM(V11:V12)</f>
        <v>100</v>
      </c>
      <c r="W13" s="849"/>
      <c r="X13" s="344">
        <f t="shared" ref="X13" si="48">SUM(X11:X12)</f>
        <v>18</v>
      </c>
      <c r="Y13" s="849"/>
      <c r="Z13" s="344">
        <f t="shared" ref="Z13" si="49">SUM(Z11:Z12)</f>
        <v>18</v>
      </c>
      <c r="AA13" s="849"/>
      <c r="AB13" s="333" t="s">
        <v>658</v>
      </c>
      <c r="AC13" s="333">
        <f>COUNTIFS(Tableau2[VILLAGE],"GNABOYA",Tableau2[[STATUT ]],"Redouble")</f>
        <v>4</v>
      </c>
      <c r="AD13" s="333">
        <f t="shared" ref="AD13:AJ28" si="50">SUM(AD11:AD12)</f>
        <v>3</v>
      </c>
      <c r="AE13" s="333">
        <f t="shared" si="50"/>
        <v>2</v>
      </c>
      <c r="AF13" s="343">
        <f t="shared" si="50"/>
        <v>100</v>
      </c>
      <c r="AG13" s="849"/>
      <c r="AH13" s="344">
        <f t="shared" ref="AH13" si="51">SUM(AH11:AH12)</f>
        <v>4.918032786885246</v>
      </c>
      <c r="AI13" s="849"/>
      <c r="AJ13" s="344">
        <f t="shared" ref="AJ13" si="52">SUM(AJ11:AJ12)</f>
        <v>1.8404907975460123</v>
      </c>
      <c r="AK13" s="849"/>
      <c r="AL13" s="333" t="s">
        <v>658</v>
      </c>
      <c r="AM13" s="333">
        <f>COUNTIFS(Tableau2[VILLAGE],"GNABOYA",Tableau2[[STATUT ]],"Redouble")</f>
        <v>4</v>
      </c>
      <c r="AN13" s="333">
        <f t="shared" ref="AN13:AP13" si="53">SUM(AN11:AN12)</f>
        <v>5</v>
      </c>
      <c r="AO13" s="333">
        <f t="shared" si="53"/>
        <v>3</v>
      </c>
      <c r="AP13" s="343">
        <f t="shared" si="53"/>
        <v>100</v>
      </c>
      <c r="AQ13" s="849"/>
      <c r="AR13" s="344">
        <f t="shared" ref="AR13" si="54">SUM(AR11:AR12)</f>
        <v>10</v>
      </c>
      <c r="AS13" s="849"/>
      <c r="AT13" s="344">
        <f t="shared" ref="AT13" si="55">SUM(AT11:AT12)</f>
        <v>3.8461538461538463</v>
      </c>
      <c r="AU13" s="849"/>
      <c r="AV13" s="342" t="s">
        <v>658</v>
      </c>
      <c r="AW13" s="530">
        <f t="shared" si="7"/>
        <v>22</v>
      </c>
      <c r="AX13" s="527">
        <f>SUM(AX11:AX12)</f>
        <v>3</v>
      </c>
      <c r="AY13" s="333">
        <f>SUM(AY11:AY12)</f>
        <v>14</v>
      </c>
      <c r="AZ13" s="333">
        <f>SUM(AZ11:AZ12)</f>
        <v>5</v>
      </c>
      <c r="BA13" s="517">
        <f t="shared" ref="BA13:BI13" si="56">SUM(BA11:BA12)</f>
        <v>100</v>
      </c>
      <c r="BB13" s="517">
        <f t="shared" si="56"/>
        <v>100</v>
      </c>
      <c r="BC13" s="517">
        <f t="shared" si="56"/>
        <v>100</v>
      </c>
      <c r="BD13" s="517">
        <f t="shared" si="56"/>
        <v>5</v>
      </c>
      <c r="BE13" s="517">
        <f t="shared" si="56"/>
        <v>7</v>
      </c>
      <c r="BF13" s="517">
        <f t="shared" si="56"/>
        <v>27.777777777777779</v>
      </c>
      <c r="BG13" s="517">
        <f t="shared" si="56"/>
        <v>2.0408163265306123</v>
      </c>
      <c r="BH13" s="517">
        <f t="shared" si="56"/>
        <v>3.4482758620689657</v>
      </c>
      <c r="BI13" s="517">
        <f t="shared" si="56"/>
        <v>4.5871559633027523</v>
      </c>
    </row>
    <row r="14" spans="3:61" ht="15.5" x14ac:dyDescent="0.35">
      <c r="C14" s="880"/>
      <c r="D14" s="876" t="s">
        <v>2338</v>
      </c>
      <c r="E14" s="326" t="s">
        <v>1990</v>
      </c>
      <c r="F14" s="509">
        <f>COUNTIFS(Tableau2[VILLAGE],"KOFFIKONANKRO",Tableau2[Sexes],"F")</f>
        <v>18</v>
      </c>
      <c r="G14" s="508">
        <f>F14*100/F16</f>
        <v>72</v>
      </c>
      <c r="H14" s="508">
        <f>F14*100/$F$40</f>
        <v>4.6035805626598467</v>
      </c>
      <c r="I14" s="508">
        <f>F14*100/$F$100</f>
        <v>2.1052631578947367</v>
      </c>
      <c r="J14" s="509">
        <f>COUNTIFS(Tableau2[VILLAGE],"KOFFIKONANKRO",Tableau2[CLASSE],"CPU",Tableau2[Sexes],"F")</f>
        <v>18</v>
      </c>
      <c r="K14" s="509">
        <f>COUNTIFS(Tableau2[VILLAGE],"KOFFIKONANKRO",Tableau2[CLASSE],"CEU",Tableau2[Sexes],"F")</f>
        <v>0</v>
      </c>
      <c r="L14" s="510">
        <f>J14*100/J16</f>
        <v>72</v>
      </c>
      <c r="M14" s="510">
        <v>0</v>
      </c>
      <c r="N14" s="510">
        <f t="shared" ref="N14:N15" si="57">J14*100/$J$40</f>
        <v>5.4878048780487809</v>
      </c>
      <c r="O14" s="510">
        <f t="shared" ref="O14:O15" si="58">K14*100/$K$40</f>
        <v>0</v>
      </c>
      <c r="P14" s="510">
        <f t="shared" ref="P14:P15" si="59">J14*100/$J$100</f>
        <v>2.2727272727272729</v>
      </c>
      <c r="Q14" s="510">
        <f t="shared" ref="Q14:Q15" si="60">K14*100/$K$100</f>
        <v>0</v>
      </c>
      <c r="R14" s="326" t="s">
        <v>1990</v>
      </c>
      <c r="S14" s="509">
        <f>COUNTIFS(Tableau2[VILLAGE],"KOFFIKONANKRO",Tableau2[[STATUT ]],"admis",Tableau2[Sexes],"F")</f>
        <v>16</v>
      </c>
      <c r="T14" s="509">
        <f>COUNTIFS(Tableau2[VILLAGE],"KOFFIKONANKRO",Tableau2[CE1-CE2],1,Tableau2[Sexes],"F")</f>
        <v>16</v>
      </c>
      <c r="U14" s="509">
        <f>COUNTIFS(Tableau2[VILLAGE],"KOFFIKONANKRO",Tableau2[CM1-CM2],1,Tableau2[Sexes],"F")</f>
        <v>0</v>
      </c>
      <c r="V14" s="510">
        <f t="shared" ref="V14" si="61">T14*100/T16</f>
        <v>72.727272727272734</v>
      </c>
      <c r="W14" s="847"/>
      <c r="X14" s="510">
        <f t="shared" ref="X14:X15" si="62">T14*100/$L$40</f>
        <v>16</v>
      </c>
      <c r="Y14" s="847"/>
      <c r="Z14" s="510">
        <f t="shared" ref="Z14:Z15" si="63">T14*100/$L$100</f>
        <v>16</v>
      </c>
      <c r="AA14" s="847"/>
      <c r="AB14" s="326" t="s">
        <v>1990</v>
      </c>
      <c r="AC14" s="509">
        <f>COUNTIFS(Tableau2[VILLAGE],"KOFFIKONANKRO",Tableau2[[STATUT ]],"Redouble",Tableau2[Sexes],"F")</f>
        <v>2</v>
      </c>
      <c r="AD14" s="509">
        <f>COUNTIFS(Tableau2[VILLAGE],"KOFFIKONANKRO",Tableau2[CLASSE],"CPU",Tableau2[[STATUT ]],"Redouble",Tableau2[Sexes],"F")</f>
        <v>2</v>
      </c>
      <c r="AE14" s="509">
        <f>COUNTIFS(Tableau2[VILLAGE],"KOFFIKONANKRO",Tableau2[CLASSE],"CEU",Tableau2[[STATUT ]],"Redouble",Tableau2[Sexes],"F")</f>
        <v>0</v>
      </c>
      <c r="AF14" s="510">
        <f>AD14*100/AD16</f>
        <v>66.666666666666671</v>
      </c>
      <c r="AG14" s="847"/>
      <c r="AH14" s="510">
        <f>AD14*100/AD40</f>
        <v>3.278688524590164</v>
      </c>
      <c r="AI14" s="847"/>
      <c r="AJ14" s="510">
        <f>AD14*100/AD100</f>
        <v>1.2269938650306749</v>
      </c>
      <c r="AK14" s="847"/>
      <c r="AL14" s="326" t="s">
        <v>1990</v>
      </c>
      <c r="AM14" s="509">
        <f>COUNTIFS(Tableau2[VILLAGE],"KOFFIKONANKRO",Tableau2[[STATUT ]],"Absent",Tableau2[Sexes],"F")</f>
        <v>0</v>
      </c>
      <c r="AN14" s="509">
        <f>COUNTIFS(Tableau2[VILLAGE],"KOFFIKONANKRO",Tableau2[CLASSE],"CPU",Tableau2[[STATUT ]],"Absent",Tableau2[Sexes],"F")</f>
        <v>0</v>
      </c>
      <c r="AO14" s="509">
        <f>COUNTIFS(Tableau2[VILLAGE],"KOFFIKONANKRO",Tableau2[CLASSE],"CEU",Tableau2[[STATUT ]],"Absent",Tableau2[Sexes],"F")</f>
        <v>0</v>
      </c>
      <c r="AP14" s="847"/>
      <c r="AQ14" s="847"/>
      <c r="AR14" s="510">
        <f>AN14*100/AN40</f>
        <v>0</v>
      </c>
      <c r="AS14" s="847"/>
      <c r="AT14" s="510">
        <f>AN14*100/AN100</f>
        <v>0</v>
      </c>
      <c r="AU14" s="847"/>
      <c r="AV14" s="345" t="s">
        <v>1990</v>
      </c>
      <c r="AW14" s="529">
        <f t="shared" si="7"/>
        <v>18</v>
      </c>
      <c r="AX14" s="509">
        <f>COUNTIFS(Tableau2[VILLAGE],"KOFFIKONANKRO",Tableau2[Colonne1],"CP2",Tableau2[Sexes],"F")</f>
        <v>2</v>
      </c>
      <c r="AY14" s="509">
        <f>COUNTIFS(Tableau2[VILLAGE],"KOFFIKONANKRO",Tableau2[Colonne1],"CE1",Tableau2[Sexes],"F")</f>
        <v>16</v>
      </c>
      <c r="AZ14" s="509">
        <f>COUNTIFS(Tableau2[VILLAGE],"KOFFIKONANKRO",Tableau2[Colonne1],"CE2",Tableau2[Sexes],"F")</f>
        <v>0</v>
      </c>
      <c r="BA14" s="510">
        <f>AX14*100/AX16</f>
        <v>66.666666666666671</v>
      </c>
      <c r="BB14" s="510">
        <f t="shared" ref="BB14" si="64">AY14*100/AY16</f>
        <v>72.727272727272734</v>
      </c>
      <c r="BC14" s="510">
        <v>0</v>
      </c>
      <c r="BD14" s="510">
        <f t="shared" ref="BD14:BD15" si="65">AX14*100/$AX$40</f>
        <v>3.3333333333333335</v>
      </c>
      <c r="BE14" s="510">
        <f t="shared" ref="BE14:BE15" si="66">AY14*100/$AY$40</f>
        <v>8</v>
      </c>
      <c r="BF14" s="510">
        <f t="shared" ref="BF14:BF15" si="67">AZ14*100/$AZ$40</f>
        <v>0</v>
      </c>
      <c r="BG14" s="510">
        <f t="shared" ref="BG14:BG15" si="68">AX14*100/$AX$100</f>
        <v>1.3605442176870748</v>
      </c>
      <c r="BH14" s="510">
        <f t="shared" ref="BH14:BH15" si="69">AY14*100/$AY$100</f>
        <v>3.9408866995073892</v>
      </c>
      <c r="BI14" s="510">
        <f t="shared" ref="BI14:BI15" si="70">AZ14*100/$AZ$100</f>
        <v>0</v>
      </c>
    </row>
    <row r="15" spans="3:61" ht="16" thickBot="1" x14ac:dyDescent="0.4">
      <c r="C15" s="880"/>
      <c r="D15" s="877"/>
      <c r="E15" s="324" t="s">
        <v>665</v>
      </c>
      <c r="F15" s="509">
        <f>COUNTIFS(Tableau2[VILLAGE],"KOFFIKONANKRO",Tableau2[Sexes],"G")</f>
        <v>7</v>
      </c>
      <c r="G15" s="508">
        <f>F15*100/F16</f>
        <v>28</v>
      </c>
      <c r="H15" s="508">
        <f>F15*100/$F$40</f>
        <v>1.7902813299232736</v>
      </c>
      <c r="I15" s="508">
        <f>F15*100/$F$100</f>
        <v>0.81871345029239762</v>
      </c>
      <c r="J15" s="509">
        <f>COUNTIFS(Tableau2[VILLAGE],"KOFFIKONANKRO",Tableau2[CLASSE],"CPU",Tableau2[Sexes],"G")</f>
        <v>7</v>
      </c>
      <c r="K15" s="509">
        <f>COUNTIFS(Tableau2[VILLAGE],"KOFFIKONANKRO",Tableau2[CLASSE],"CEU",Tableau2[Sexes],"G")</f>
        <v>0</v>
      </c>
      <c r="L15" s="510">
        <f>J15*100/J16</f>
        <v>28</v>
      </c>
      <c r="M15" s="510">
        <v>0</v>
      </c>
      <c r="N15" s="510">
        <f t="shared" si="57"/>
        <v>2.1341463414634148</v>
      </c>
      <c r="O15" s="510">
        <f t="shared" si="58"/>
        <v>0</v>
      </c>
      <c r="P15" s="510">
        <f t="shared" si="59"/>
        <v>0.88383838383838387</v>
      </c>
      <c r="Q15" s="510">
        <f t="shared" si="60"/>
        <v>0</v>
      </c>
      <c r="R15" s="324" t="s">
        <v>665</v>
      </c>
      <c r="S15" s="509">
        <f>COUNTIFS(Tableau2[VILLAGE],"KOFFIKONANKRO",Tableau2[[STATUT ]],"admis",Tableau2[Sexes],"G")</f>
        <v>6</v>
      </c>
      <c r="T15" s="509">
        <f>COUNTIFS(Tableau2[VILLAGE],"KOFFIKONANKRO",Tableau2[CE1-CE2],1,Tableau2[Sexes],"G")</f>
        <v>6</v>
      </c>
      <c r="U15" s="509">
        <f>COUNTIFS(Tableau2[VILLAGE],"KOFFIKONANKRO",Tableau2[CM1-CM2],1,Tableau2[Sexes],"G")</f>
        <v>0</v>
      </c>
      <c r="V15" s="510">
        <f t="shared" ref="V15" si="71">T15*100/T16</f>
        <v>27.272727272727273</v>
      </c>
      <c r="W15" s="848"/>
      <c r="X15" s="510">
        <f t="shared" si="62"/>
        <v>6</v>
      </c>
      <c r="Y15" s="848"/>
      <c r="Z15" s="510">
        <f t="shared" si="63"/>
        <v>6</v>
      </c>
      <c r="AA15" s="848"/>
      <c r="AB15" s="324" t="s">
        <v>665</v>
      </c>
      <c r="AC15" s="509">
        <f>COUNTIFS(Tableau2[VILLAGE],"KOFFIKONANKRO",Tableau2[[STATUT ]],"Redouble",Tableau2[Sexes],"G")</f>
        <v>1</v>
      </c>
      <c r="AD15" s="509">
        <f>COUNTIFS(Tableau2[VILLAGE],"KOFFIKONANKRO",Tableau2[CLASSE],"CPU",Tableau2[[STATUT ]],"Redouble",Tableau2[Sexes],"G")</f>
        <v>1</v>
      </c>
      <c r="AE15" s="509">
        <f>COUNTIFS(Tableau2[VILLAGE],"KOFFIKONANKRO",Tableau2[CLASSE],"CEU",Tableau2[[STATUT ]],"Redouble",Tableau2[Sexes],"G")</f>
        <v>0</v>
      </c>
      <c r="AF15" s="510">
        <f t="shared" ref="AF15" si="72">AD15*100/AD16</f>
        <v>33.333333333333336</v>
      </c>
      <c r="AG15" s="848"/>
      <c r="AH15" s="510">
        <f>AD15*100/AD40</f>
        <v>1.639344262295082</v>
      </c>
      <c r="AI15" s="848"/>
      <c r="AJ15" s="510">
        <f>AD15*100/AD100</f>
        <v>0.61349693251533743</v>
      </c>
      <c r="AK15" s="848"/>
      <c r="AL15" s="324" t="s">
        <v>665</v>
      </c>
      <c r="AM15" s="509">
        <f>COUNTIFS(Tableau2[VILLAGE],"KOFFIKONANKRO",Tableau2[[STATUT ]],"Absent",Tableau2[Sexes],"G")</f>
        <v>0</v>
      </c>
      <c r="AN15" s="509">
        <f>COUNTIFS(Tableau2[VILLAGE],"KOFFIKONANKRO",Tableau2[CLASSE],"CPU",Tableau2[[STATUT ]],"Absent",Tableau2[Sexes],"G")</f>
        <v>0</v>
      </c>
      <c r="AO15" s="509">
        <f>COUNTIFS(Tableau2[VILLAGE],"KOFFIKONANKRO",Tableau2[CLASSE],"CEU",Tableau2[[STATUT ]],"Absent",Tableau2[Sexes],"G")</f>
        <v>0</v>
      </c>
      <c r="AP15" s="848"/>
      <c r="AQ15" s="848"/>
      <c r="AR15" s="510">
        <f>AN15*100/AN40</f>
        <v>0</v>
      </c>
      <c r="AS15" s="848"/>
      <c r="AT15" s="510">
        <f>AN15*100/AN100</f>
        <v>0</v>
      </c>
      <c r="AU15" s="848"/>
      <c r="AV15" s="336" t="s">
        <v>665</v>
      </c>
      <c r="AW15" s="529">
        <f t="shared" si="7"/>
        <v>7</v>
      </c>
      <c r="AX15" s="509">
        <f>COUNTIFS(Tableau2[VILLAGE],"KOFFIKONANKRO",Tableau2[Colonne1],"CP2",Tableau2[Sexes],"G")</f>
        <v>1</v>
      </c>
      <c r="AY15" s="509">
        <f>COUNTIFS(Tableau2[VILLAGE],"KOFFIKONANKRO",Tableau2[Colonne1],"CE1",Tableau2[Sexes],"G")</f>
        <v>6</v>
      </c>
      <c r="AZ15" s="509">
        <f>COUNTIFS(Tableau2[VILLAGE],"KOFFIKONANKRO",Tableau2[Colonne1],"CE2",Tableau2[Sexes],"G")</f>
        <v>0</v>
      </c>
      <c r="BA15" s="510">
        <f t="shared" ref="BA15" si="73">AX15*100/AX16</f>
        <v>33.333333333333336</v>
      </c>
      <c r="BB15" s="510">
        <f t="shared" ref="BB15" si="74">AY15*100/AY16</f>
        <v>27.272727272727273</v>
      </c>
      <c r="BC15" s="510">
        <v>0</v>
      </c>
      <c r="BD15" s="510">
        <f t="shared" si="65"/>
        <v>1.6666666666666667</v>
      </c>
      <c r="BE15" s="510">
        <f t="shared" si="66"/>
        <v>3</v>
      </c>
      <c r="BF15" s="510">
        <f t="shared" si="67"/>
        <v>0</v>
      </c>
      <c r="BG15" s="510">
        <f t="shared" si="68"/>
        <v>0.68027210884353739</v>
      </c>
      <c r="BH15" s="510">
        <f t="shared" si="69"/>
        <v>1.4778325123152709</v>
      </c>
      <c r="BI15" s="510">
        <f t="shared" si="70"/>
        <v>0</v>
      </c>
    </row>
    <row r="16" spans="3:61" ht="15.5" customHeight="1" thickBot="1" x14ac:dyDescent="0.35">
      <c r="C16" s="880"/>
      <c r="D16" s="878"/>
      <c r="E16" s="325" t="s">
        <v>658</v>
      </c>
      <c r="F16" s="333">
        <f>COUNTIFS(Tableau2[VILLAGE],"KOFFIKONANKRO")</f>
        <v>25</v>
      </c>
      <c r="G16" s="340">
        <f>SUM(G14:G15)</f>
        <v>100</v>
      </c>
      <c r="H16" s="340">
        <f t="shared" ref="H16:I16" si="75">SUM(H14:H15)</f>
        <v>6.3938618925831205</v>
      </c>
      <c r="I16" s="340">
        <f t="shared" si="75"/>
        <v>2.9239766081871341</v>
      </c>
      <c r="J16" s="333">
        <f t="shared" ref="J16" si="76">SUM(J14:J15)</f>
        <v>25</v>
      </c>
      <c r="K16" s="333">
        <f t="shared" si="45"/>
        <v>0</v>
      </c>
      <c r="L16" s="343">
        <f t="shared" si="45"/>
        <v>100</v>
      </c>
      <c r="M16" s="343">
        <f>SUM(M14:M15)</f>
        <v>0</v>
      </c>
      <c r="N16" s="343">
        <f t="shared" si="18"/>
        <v>7.6219512195121961</v>
      </c>
      <c r="O16" s="343">
        <f t="shared" si="18"/>
        <v>0</v>
      </c>
      <c r="P16" s="343">
        <f t="shared" si="18"/>
        <v>3.1565656565656566</v>
      </c>
      <c r="Q16" s="343">
        <f t="shared" si="18"/>
        <v>0</v>
      </c>
      <c r="R16" s="333" t="s">
        <v>658</v>
      </c>
      <c r="S16" s="333">
        <f>COUNTIFS(Tableau2[VILLAGE],"KOFFIKONANKRO",Tableau2[[STATUT ]],"admis")</f>
        <v>22</v>
      </c>
      <c r="T16" s="333">
        <f>COUNTIFS(Tableau2[VILLAGE],"KOFFIKONANKRO",Tableau2[CE1-CE2],1)</f>
        <v>22</v>
      </c>
      <c r="U16" s="333">
        <f>COUNTIFS(Tableau2[VILLAGE],"KOFFIKONANKRO",Tableau2[CM1-CM2],1)</f>
        <v>0</v>
      </c>
      <c r="V16" s="343">
        <f t="shared" ref="V16:Z31" si="77">SUM(V14:V15)</f>
        <v>100</v>
      </c>
      <c r="W16" s="849"/>
      <c r="X16" s="344">
        <f t="shared" ref="X16" si="78">SUM(X14:X15)</f>
        <v>22</v>
      </c>
      <c r="Y16" s="849"/>
      <c r="Z16" s="344">
        <f t="shared" ref="Z16" si="79">SUM(Z14:Z15)</f>
        <v>22</v>
      </c>
      <c r="AA16" s="849"/>
      <c r="AB16" s="333" t="s">
        <v>658</v>
      </c>
      <c r="AC16" s="333">
        <f>COUNTIFS(Tableau2[VILLAGE],"KOFFIKONANKRO",Tableau2[[STATUT ]],"Redouble")</f>
        <v>3</v>
      </c>
      <c r="AD16" s="333">
        <f t="shared" ref="AD16" si="80">SUM(AD14:AD15)</f>
        <v>3</v>
      </c>
      <c r="AE16" s="333">
        <f t="shared" si="50"/>
        <v>0</v>
      </c>
      <c r="AF16" s="343">
        <f t="shared" si="50"/>
        <v>100</v>
      </c>
      <c r="AG16" s="849"/>
      <c r="AH16" s="344">
        <f t="shared" ref="AH16" si="81">SUM(AH14:AH15)</f>
        <v>4.918032786885246</v>
      </c>
      <c r="AI16" s="849"/>
      <c r="AJ16" s="344">
        <f t="shared" ref="AJ16" si="82">SUM(AJ14:AJ15)</f>
        <v>1.8404907975460123</v>
      </c>
      <c r="AK16" s="849"/>
      <c r="AL16" s="333" t="s">
        <v>658</v>
      </c>
      <c r="AM16" s="333">
        <f>COUNTIFS(Tableau2[VILLAGE],"KOFFIKONANKRO",Tableau2[[STATUT ]],"Redouble")</f>
        <v>3</v>
      </c>
      <c r="AN16" s="333">
        <f t="shared" ref="AN16:AO16" si="83">SUM(AN14:AN15)</f>
        <v>0</v>
      </c>
      <c r="AO16" s="333">
        <f t="shared" si="83"/>
        <v>0</v>
      </c>
      <c r="AP16" s="849"/>
      <c r="AQ16" s="849"/>
      <c r="AR16" s="344">
        <f t="shared" ref="AR16" si="84">SUM(AR14:AR15)</f>
        <v>0</v>
      </c>
      <c r="AS16" s="849"/>
      <c r="AT16" s="344">
        <f t="shared" ref="AT16" si="85">SUM(AT14:AT15)</f>
        <v>0</v>
      </c>
      <c r="AU16" s="849"/>
      <c r="AV16" s="342" t="s">
        <v>658</v>
      </c>
      <c r="AW16" s="530">
        <f t="shared" si="7"/>
        <v>25</v>
      </c>
      <c r="AX16" s="527">
        <f>SUM(AX14:AX15)</f>
        <v>3</v>
      </c>
      <c r="AY16" s="333">
        <f>SUM(AY14:AY15)</f>
        <v>22</v>
      </c>
      <c r="AZ16" s="333">
        <f>SUM(AZ14:AZ15)</f>
        <v>0</v>
      </c>
      <c r="BA16" s="517">
        <f t="shared" ref="BA16:BC16" si="86">SUM(BA14:BA15)</f>
        <v>100</v>
      </c>
      <c r="BB16" s="517">
        <f t="shared" si="86"/>
        <v>100</v>
      </c>
      <c r="BC16" s="517">
        <f t="shared" si="86"/>
        <v>0</v>
      </c>
      <c r="BD16" s="517">
        <f t="shared" ref="BD16:BI16" si="87">SUM(BD14:BD15)</f>
        <v>5</v>
      </c>
      <c r="BE16" s="517">
        <f t="shared" si="87"/>
        <v>11</v>
      </c>
      <c r="BF16" s="517">
        <f t="shared" si="87"/>
        <v>0</v>
      </c>
      <c r="BG16" s="517">
        <f t="shared" si="87"/>
        <v>2.0408163265306123</v>
      </c>
      <c r="BH16" s="517">
        <f t="shared" si="87"/>
        <v>5.4187192118226601</v>
      </c>
      <c r="BI16" s="517">
        <f t="shared" si="87"/>
        <v>0</v>
      </c>
    </row>
    <row r="17" spans="3:61" ht="15.5" x14ac:dyDescent="0.35">
      <c r="C17" s="880"/>
      <c r="D17" s="876" t="s">
        <v>2466</v>
      </c>
      <c r="E17" s="326" t="s">
        <v>1990</v>
      </c>
      <c r="F17" s="509">
        <f>COUNTIFS(Tableau2[VILLAGE],"KOUAKOU N'DRIKRO",Tableau2[Sexes],"F")</f>
        <v>8</v>
      </c>
      <c r="G17" s="508">
        <f>F17*100/F19</f>
        <v>47.058823529411768</v>
      </c>
      <c r="H17" s="508">
        <f>F17*100/$F$40</f>
        <v>2.0460358056265986</v>
      </c>
      <c r="I17" s="508">
        <f>F17*100/$F$100</f>
        <v>0.93567251461988299</v>
      </c>
      <c r="J17" s="509">
        <f>COUNTIFS(Tableau2[VILLAGE],"KOUAKOU N'DRIKRO",Tableau2[CLASSE],"CPU",Tableau2[Sexes],"F")</f>
        <v>8</v>
      </c>
      <c r="K17" s="509">
        <f>COUNTIFS(Tableau2[VILLAGE],"KOUAKOU N'DRIKRO",Tableau2[CLASSE],"CEU",Tableau2[Sexes],"F")</f>
        <v>0</v>
      </c>
      <c r="L17" s="510">
        <f>J17*100/J19</f>
        <v>47.058823529411768</v>
      </c>
      <c r="M17" s="510">
        <v>0</v>
      </c>
      <c r="N17" s="510">
        <f t="shared" ref="N17:N18" si="88">J17*100/$J$40</f>
        <v>2.4390243902439024</v>
      </c>
      <c r="O17" s="510">
        <f t="shared" ref="O17:O18" si="89">K17*100/$K$40</f>
        <v>0</v>
      </c>
      <c r="P17" s="510">
        <f t="shared" ref="P17:P18" si="90">J17*100/$J$100</f>
        <v>1.0101010101010102</v>
      </c>
      <c r="Q17" s="510">
        <f t="shared" ref="Q17:Q18" si="91">K17*100/$K$100</f>
        <v>0</v>
      </c>
      <c r="R17" s="326" t="s">
        <v>1990</v>
      </c>
      <c r="S17" s="509">
        <f>COUNTIFS(Tableau2[VILLAGE],"KOUAKOU N'DRIKRO",Tableau2[[STATUT ]],"admis",Tableau2[Sexes],"F")</f>
        <v>3</v>
      </c>
      <c r="T17" s="509">
        <f>COUNTIFS(Tableau2[VILLAGE],"KOUAKOU N'DRIKRO",Tableau2[CE1-CE2],1,Tableau2[Sexes],"F")</f>
        <v>3</v>
      </c>
      <c r="U17" s="509">
        <f>COUNTIFS(Tableau2[VILLAGE],"KOUAKOU N'DRIKRO",Tableau2[CM1-CM2],1,Tableau2[Sexes],"F")</f>
        <v>0</v>
      </c>
      <c r="V17" s="510">
        <f t="shared" ref="V17" si="92">T17*100/T19</f>
        <v>33.333333333333336</v>
      </c>
      <c r="W17" s="847"/>
      <c r="X17" s="510">
        <f t="shared" ref="X17:X18" si="93">T17*100/$L$40</f>
        <v>3</v>
      </c>
      <c r="Y17" s="847"/>
      <c r="Z17" s="510">
        <f t="shared" ref="Z17:Z18" si="94">T17*100/$L$100</f>
        <v>3</v>
      </c>
      <c r="AA17" s="847"/>
      <c r="AB17" s="326" t="s">
        <v>1990</v>
      </c>
      <c r="AC17" s="509">
        <f>COUNTIFS(Tableau2[VILLAGE],"KOUAKOU N'DRIKRO",Tableau2[[STATUT ]],"Redouble",Tableau2[Sexes],"F")</f>
        <v>2</v>
      </c>
      <c r="AD17" s="509">
        <f>COUNTIFS(Tableau2[VILLAGE],"KOUAKOU N'DRIKRO",Tableau2[CLASSE],"CPU",Tableau2[[STATUT ]],"Redouble",Tableau2[Sexes],"F")</f>
        <v>2</v>
      </c>
      <c r="AE17" s="509">
        <f>COUNTIFS(Tableau2[VILLAGE],"KOUAKOU N'DRIKRO",Tableau2[CLASSE],"CEU",Tableau2[[STATUT ]],"Redouble",Tableau2[Sexes],"F")</f>
        <v>0</v>
      </c>
      <c r="AF17" s="510">
        <f t="shared" ref="AF17" si="95">AD17*100/AD19</f>
        <v>50</v>
      </c>
      <c r="AG17" s="847"/>
      <c r="AH17" s="510">
        <f>AD17*100/AD40</f>
        <v>3.278688524590164</v>
      </c>
      <c r="AI17" s="847"/>
      <c r="AJ17" s="510">
        <f>AD17*100/AD100</f>
        <v>1.2269938650306749</v>
      </c>
      <c r="AK17" s="847"/>
      <c r="AL17" s="326" t="s">
        <v>1990</v>
      </c>
      <c r="AM17" s="509">
        <f>COUNTIFS(Tableau2[VILLAGE],"KOUAKOU N'DRIKRO",Tableau2[[STATUT ]],"Absent",Tableau2[Sexes],"F")</f>
        <v>3</v>
      </c>
      <c r="AN17" s="509">
        <f>COUNTIFS(Tableau2[VILLAGE],"KOUAKOU N'DRIKRO",Tableau2[CLASSE],"CPU",Tableau2[[STATUT ]],"Absent",Tableau2[Sexes],"F")</f>
        <v>3</v>
      </c>
      <c r="AO17" s="509">
        <f>COUNTIFS(Tableau2[VILLAGE],"KOUAKOU N'DRIKRO",Tableau2[CLASSE],"CEU",Tableau2[[STATUT ]],"Absent",Tableau2[Sexes],"F")</f>
        <v>0</v>
      </c>
      <c r="AP17" s="510">
        <f t="shared" ref="AP17" si="96">AN17*100/AN19</f>
        <v>75</v>
      </c>
      <c r="AQ17" s="847"/>
      <c r="AR17" s="510">
        <f>AN17*100/AN40</f>
        <v>6</v>
      </c>
      <c r="AS17" s="847"/>
      <c r="AT17" s="510">
        <f>AN17*100/AN100</f>
        <v>2.3076923076923075</v>
      </c>
      <c r="AU17" s="847"/>
      <c r="AV17" s="345" t="s">
        <v>1990</v>
      </c>
      <c r="AW17" s="529">
        <f t="shared" si="7"/>
        <v>5</v>
      </c>
      <c r="AX17" s="509">
        <f>COUNTIFS(Tableau2[VILLAGE],"KOUAKOU N'DRIKRO",Tableau2[Colonne1],"CP2",Tableau2[Sexes],"F")</f>
        <v>2</v>
      </c>
      <c r="AY17" s="509">
        <f>COUNTIFS(Tableau2[VILLAGE],"KOUAKOU N'DRIKRO",Tableau2[Colonne1],"CE1",Tableau2[Sexes],"F")</f>
        <v>3</v>
      </c>
      <c r="AZ17" s="509">
        <f>COUNTIFS(Tableau2[VILLAGE],"KOUAKOU N'DRIKRO",Tableau2[Colonne1],"CE2",Tableau2[Sexes],"F")</f>
        <v>0</v>
      </c>
      <c r="BA17" s="510">
        <f t="shared" ref="BA17:BB17" si="97">AX17*100/AX19</f>
        <v>50</v>
      </c>
      <c r="BB17" s="510">
        <f t="shared" si="97"/>
        <v>33.333333333333336</v>
      </c>
      <c r="BC17" s="510">
        <v>0</v>
      </c>
      <c r="BD17" s="510">
        <f t="shared" ref="BD17:BD18" si="98">AX17*100/$AX$40</f>
        <v>3.3333333333333335</v>
      </c>
      <c r="BE17" s="510">
        <f t="shared" ref="BE17:BE18" si="99">AY17*100/$AY$40</f>
        <v>1.5</v>
      </c>
      <c r="BF17" s="510">
        <f t="shared" ref="BF17:BF18" si="100">AZ17*100/$AZ$40</f>
        <v>0</v>
      </c>
      <c r="BG17" s="510">
        <f t="shared" ref="BG17:BG18" si="101">AX17*100/$AX$100</f>
        <v>1.3605442176870748</v>
      </c>
      <c r="BH17" s="510">
        <f t="shared" ref="BH17:BH18" si="102">AY17*100/$AY$100</f>
        <v>0.73891625615763545</v>
      </c>
      <c r="BI17" s="510">
        <f t="shared" ref="BI17:BI18" si="103">AZ17*100/$AZ$100</f>
        <v>0</v>
      </c>
    </row>
    <row r="18" spans="3:61" ht="16" thickBot="1" x14ac:dyDescent="0.4">
      <c r="C18" s="880"/>
      <c r="D18" s="877"/>
      <c r="E18" s="324" t="s">
        <v>665</v>
      </c>
      <c r="F18" s="509">
        <f>COUNTIFS(Tableau2[VILLAGE],"KOUAKOU N'DRIKRO",Tableau2[Sexes],"G")</f>
        <v>9</v>
      </c>
      <c r="G18" s="508">
        <f>F18*100/F19</f>
        <v>52.941176470588232</v>
      </c>
      <c r="H18" s="508">
        <f>F18*100/$F$40</f>
        <v>2.3017902813299234</v>
      </c>
      <c r="I18" s="508">
        <f>F18*100/$F$100</f>
        <v>1.0526315789473684</v>
      </c>
      <c r="J18" s="509">
        <f>COUNTIFS(Tableau2[VILLAGE],"KOUAKOU N'DRIKRO",Tableau2[CLASSE],"CPU",Tableau2[Sexes],"G")</f>
        <v>9</v>
      </c>
      <c r="K18" s="509">
        <f>COUNTIFS(Tableau2[VILLAGE],"KOUAKOU N'DRIKRO",Tableau2[CLASSE],"CEU",Tableau2[Sexes],"G")</f>
        <v>0</v>
      </c>
      <c r="L18" s="510">
        <f>J18*100/J19</f>
        <v>52.941176470588232</v>
      </c>
      <c r="M18" s="510">
        <v>0</v>
      </c>
      <c r="N18" s="510">
        <f t="shared" si="88"/>
        <v>2.7439024390243905</v>
      </c>
      <c r="O18" s="510">
        <f t="shared" si="89"/>
        <v>0</v>
      </c>
      <c r="P18" s="510">
        <f t="shared" si="90"/>
        <v>1.1363636363636365</v>
      </c>
      <c r="Q18" s="510">
        <f t="shared" si="91"/>
        <v>0</v>
      </c>
      <c r="R18" s="324" t="s">
        <v>665</v>
      </c>
      <c r="S18" s="509">
        <f>COUNTIFS(Tableau2[VILLAGE],"KOUAKOU N'DRIKRO",Tableau2[[STATUT ]],"admis",Tableau2[Sexes],"G")</f>
        <v>6</v>
      </c>
      <c r="T18" s="509">
        <f>COUNTIFS(Tableau2[VILLAGE],"KOUAKOU N'DRIKRO",Tableau2[CE1-CE2],1,Tableau2[Sexes],"G")</f>
        <v>6</v>
      </c>
      <c r="U18" s="509">
        <f>COUNTIFS(Tableau2[VILLAGE],"KOUAKOU N'DRIKRO",Tableau2[CM1-CM2],1,Tableau2[Sexes],"G")</f>
        <v>0</v>
      </c>
      <c r="V18" s="510">
        <f t="shared" ref="V18" si="104">T18*100/T19</f>
        <v>66.666666666666671</v>
      </c>
      <c r="W18" s="848"/>
      <c r="X18" s="510">
        <f t="shared" si="93"/>
        <v>6</v>
      </c>
      <c r="Y18" s="848"/>
      <c r="Z18" s="510">
        <f t="shared" si="94"/>
        <v>6</v>
      </c>
      <c r="AA18" s="848"/>
      <c r="AB18" s="324" t="s">
        <v>665</v>
      </c>
      <c r="AC18" s="509">
        <f>COUNTIFS(Tableau2[VILLAGE],"KOUAKOU N'DRIKRO",Tableau2[[STATUT ]],"Redouble",Tableau2[Sexes],"G")</f>
        <v>2</v>
      </c>
      <c r="AD18" s="509">
        <f>COUNTIFS(Tableau2[VILLAGE],"KOUAKOU N'DRIKRO",Tableau2[CLASSE],"CPU",Tableau2[[STATUT ]],"Redouble",Tableau2[Sexes],"G")</f>
        <v>2</v>
      </c>
      <c r="AE18" s="509">
        <f>COUNTIFS(Tableau2[VILLAGE],"KOUAKOU N'DRIKRO",Tableau2[CLASSE],"CEU",Tableau2[[STATUT ]],"Redouble",Tableau2[Sexes],"G")</f>
        <v>0</v>
      </c>
      <c r="AF18" s="510">
        <f t="shared" ref="AF18" si="105">AD18*100/AD19</f>
        <v>50</v>
      </c>
      <c r="AG18" s="848"/>
      <c r="AH18" s="510">
        <f>AD18*100/AD40</f>
        <v>3.278688524590164</v>
      </c>
      <c r="AI18" s="848"/>
      <c r="AJ18" s="510">
        <f>AD18*100/AD100</f>
        <v>1.2269938650306749</v>
      </c>
      <c r="AK18" s="848"/>
      <c r="AL18" s="324" t="s">
        <v>665</v>
      </c>
      <c r="AM18" s="509">
        <f>COUNTIFS(Tableau2[VILLAGE],"KOUAKOU N'DRIKRO",Tableau2[[STATUT ]],"Absent",Tableau2[Sexes],"G")</f>
        <v>1</v>
      </c>
      <c r="AN18" s="509">
        <f>COUNTIFS(Tableau2[VILLAGE],"KOUAKOU N'DRIKRO",Tableau2[CLASSE],"CPU",Tableau2[[STATUT ]],"Absent",Tableau2[Sexes],"G")</f>
        <v>1</v>
      </c>
      <c r="AO18" s="509">
        <f>COUNTIFS(Tableau2[VILLAGE],"KOUAKOU N'DRIKRO",Tableau2[CLASSE],"CEU",Tableau2[[STATUT ]],"Absent",Tableau2[Sexes],"G")</f>
        <v>0</v>
      </c>
      <c r="AP18" s="510">
        <f t="shared" ref="AP18" si="106">AN18*100/AN19</f>
        <v>25</v>
      </c>
      <c r="AQ18" s="848"/>
      <c r="AR18" s="510">
        <f>AN18*100/AN40</f>
        <v>2</v>
      </c>
      <c r="AS18" s="848"/>
      <c r="AT18" s="510">
        <f>AN18*100/AN100</f>
        <v>0.76923076923076927</v>
      </c>
      <c r="AU18" s="848"/>
      <c r="AV18" s="336" t="s">
        <v>665</v>
      </c>
      <c r="AW18" s="529">
        <f t="shared" si="7"/>
        <v>8</v>
      </c>
      <c r="AX18" s="509">
        <f>COUNTIFS(Tableau2[VILLAGE],"KOUAKOU N'DRIKRO",Tableau2[Colonne1],"CP2",Tableau2[Sexes],"G")</f>
        <v>2</v>
      </c>
      <c r="AY18" s="509">
        <f>COUNTIFS(Tableau2[VILLAGE],"KOUAKOU N'DRIKRO",Tableau2[Colonne1],"CE1",Tableau2[Sexes],"G")</f>
        <v>6</v>
      </c>
      <c r="AZ18" s="509">
        <f>COUNTIFS(Tableau2[VILLAGE],"KOUAKOU N'DRIKRO",Tableau2[Colonne1],"CE2",Tableau2[Sexes],"G")</f>
        <v>0</v>
      </c>
      <c r="BA18" s="510">
        <f t="shared" ref="BA18" si="107">AX18*100/AX19</f>
        <v>50</v>
      </c>
      <c r="BB18" s="510">
        <f t="shared" ref="BB18" si="108">AY18*100/AY19</f>
        <v>66.666666666666671</v>
      </c>
      <c r="BC18" s="510">
        <v>0</v>
      </c>
      <c r="BD18" s="510">
        <f t="shared" si="98"/>
        <v>3.3333333333333335</v>
      </c>
      <c r="BE18" s="510">
        <f t="shared" si="99"/>
        <v>3</v>
      </c>
      <c r="BF18" s="510">
        <f t="shared" si="100"/>
        <v>0</v>
      </c>
      <c r="BG18" s="510">
        <f t="shared" si="101"/>
        <v>1.3605442176870748</v>
      </c>
      <c r="BH18" s="510">
        <f t="shared" si="102"/>
        <v>1.4778325123152709</v>
      </c>
      <c r="BI18" s="510">
        <f t="shared" si="103"/>
        <v>0</v>
      </c>
    </row>
    <row r="19" spans="3:61" ht="15.5" customHeight="1" thickBot="1" x14ac:dyDescent="0.35">
      <c r="C19" s="880"/>
      <c r="D19" s="878"/>
      <c r="E19" s="325" t="s">
        <v>658</v>
      </c>
      <c r="F19" s="333">
        <f>COUNTIFS(Tableau2[VILLAGE],"KOUAKOU N'DRIKRO")</f>
        <v>17</v>
      </c>
      <c r="G19" s="340">
        <f>SUM(G17:G18)</f>
        <v>100</v>
      </c>
      <c r="H19" s="340">
        <f t="shared" ref="H19:I19" si="109">SUM(H17:H18)</f>
        <v>4.3478260869565215</v>
      </c>
      <c r="I19" s="340">
        <f t="shared" si="109"/>
        <v>1.9883040935672514</v>
      </c>
      <c r="J19" s="333">
        <f t="shared" ref="J19" si="110">SUM(J17:J18)</f>
        <v>17</v>
      </c>
      <c r="K19" s="333">
        <f t="shared" si="45"/>
        <v>0</v>
      </c>
      <c r="L19" s="347">
        <f t="shared" si="45"/>
        <v>100</v>
      </c>
      <c r="M19" s="343">
        <f>SUM(M17:M18)</f>
        <v>0</v>
      </c>
      <c r="N19" s="343">
        <f t="shared" si="18"/>
        <v>5.1829268292682933</v>
      </c>
      <c r="O19" s="343">
        <f t="shared" si="18"/>
        <v>0</v>
      </c>
      <c r="P19" s="343">
        <f t="shared" si="18"/>
        <v>2.1464646464646466</v>
      </c>
      <c r="Q19" s="343">
        <f t="shared" si="18"/>
        <v>0</v>
      </c>
      <c r="R19" s="333" t="s">
        <v>658</v>
      </c>
      <c r="S19" s="346">
        <f>COUNTIFS(Tableau2[VILLAGE],"KOUAKOU N'DRIKRO",Tableau2[[STATUT ]],"admis")</f>
        <v>9</v>
      </c>
      <c r="T19" s="346">
        <f>COUNTIFS(Tableau2[VILLAGE],"KOUAKOU N'DRIKRO",Tableau2[CE1-CE2],1)</f>
        <v>9</v>
      </c>
      <c r="U19" s="346">
        <f>COUNTIFS(Tableau2[VILLAGE],"BINDOUGOU",Tableau2[CM1-CM2],1)</f>
        <v>0</v>
      </c>
      <c r="V19" s="347">
        <f t="shared" si="77"/>
        <v>100</v>
      </c>
      <c r="W19" s="848"/>
      <c r="X19" s="348">
        <f t="shared" ref="X19" si="111">SUM(X17:X18)</f>
        <v>9</v>
      </c>
      <c r="Y19" s="848"/>
      <c r="Z19" s="348">
        <f t="shared" ref="Z19" si="112">SUM(Z17:Z18)</f>
        <v>9</v>
      </c>
      <c r="AA19" s="848"/>
      <c r="AB19" s="333" t="s">
        <v>658</v>
      </c>
      <c r="AC19" s="346">
        <f>COUNTIFS(Tableau2[VILLAGE],"KOUAKOU N'DRIKRO",Tableau2[[STATUT ]],"Redouble")</f>
        <v>4</v>
      </c>
      <c r="AD19" s="333">
        <f t="shared" ref="AD19" si="113">SUM(AD17:AD18)</f>
        <v>4</v>
      </c>
      <c r="AE19" s="333">
        <f t="shared" si="50"/>
        <v>0</v>
      </c>
      <c r="AF19" s="347">
        <f t="shared" si="50"/>
        <v>100</v>
      </c>
      <c r="AG19" s="848"/>
      <c r="AH19" s="348">
        <f t="shared" ref="AH19" si="114">SUM(AH17:AH18)</f>
        <v>6.557377049180328</v>
      </c>
      <c r="AI19" s="848"/>
      <c r="AJ19" s="348">
        <f t="shared" ref="AJ19" si="115">SUM(AJ17:AJ18)</f>
        <v>2.4539877300613497</v>
      </c>
      <c r="AK19" s="848"/>
      <c r="AL19" s="333" t="s">
        <v>658</v>
      </c>
      <c r="AM19" s="346">
        <f>COUNTIFS(Tableau2[VILLAGE],"KOUAKOU N'DRIKRO",Tableau2[[STATUT ]],"Absent")</f>
        <v>4</v>
      </c>
      <c r="AN19" s="333">
        <f t="shared" ref="AN19:AP19" si="116">SUM(AN17:AN18)</f>
        <v>4</v>
      </c>
      <c r="AO19" s="333">
        <f t="shared" si="116"/>
        <v>0</v>
      </c>
      <c r="AP19" s="347">
        <f t="shared" si="116"/>
        <v>100</v>
      </c>
      <c r="AQ19" s="848"/>
      <c r="AR19" s="348">
        <f t="shared" ref="AR19" si="117">SUM(AR17:AR18)</f>
        <v>8</v>
      </c>
      <c r="AS19" s="848"/>
      <c r="AT19" s="348">
        <f t="shared" ref="AT19" si="118">SUM(AT17:AT18)</f>
        <v>3.0769230769230766</v>
      </c>
      <c r="AU19" s="848"/>
      <c r="AV19" s="342" t="s">
        <v>658</v>
      </c>
      <c r="AW19" s="530">
        <f t="shared" si="7"/>
        <v>13</v>
      </c>
      <c r="AX19" s="527">
        <f>SUM(AX17:AX18)</f>
        <v>4</v>
      </c>
      <c r="AY19" s="333">
        <f>SUM(AY17:AY18)</f>
        <v>9</v>
      </c>
      <c r="AZ19" s="333">
        <f>SUM(AZ17:AZ18)</f>
        <v>0</v>
      </c>
      <c r="BA19" s="517">
        <f t="shared" ref="BA19:BI19" si="119">SUM(BA17:BA18)</f>
        <v>100</v>
      </c>
      <c r="BB19" s="517">
        <f t="shared" si="119"/>
        <v>100</v>
      </c>
      <c r="BC19" s="517">
        <f t="shared" si="119"/>
        <v>0</v>
      </c>
      <c r="BD19" s="517">
        <f t="shared" si="119"/>
        <v>6.666666666666667</v>
      </c>
      <c r="BE19" s="517">
        <f t="shared" si="119"/>
        <v>4.5</v>
      </c>
      <c r="BF19" s="517">
        <f t="shared" si="119"/>
        <v>0</v>
      </c>
      <c r="BG19" s="517">
        <f t="shared" si="119"/>
        <v>2.7210884353741496</v>
      </c>
      <c r="BH19" s="517">
        <f t="shared" si="119"/>
        <v>2.2167487684729066</v>
      </c>
      <c r="BI19" s="517">
        <f t="shared" si="119"/>
        <v>0</v>
      </c>
    </row>
    <row r="20" spans="3:61" ht="15.5" x14ac:dyDescent="0.35">
      <c r="C20" s="880"/>
      <c r="D20" s="876" t="s">
        <v>563</v>
      </c>
      <c r="E20" s="326" t="s">
        <v>1990</v>
      </c>
      <c r="F20" s="509">
        <f>COUNTIFS(Tableau2[VILLAGE],"KOUAMEKRO",Tableau2[Sexes],"F")</f>
        <v>23</v>
      </c>
      <c r="G20" s="508">
        <f>F20*100/F22</f>
        <v>50</v>
      </c>
      <c r="H20" s="508">
        <f>F20*100/$F$40</f>
        <v>5.882352941176471</v>
      </c>
      <c r="I20" s="508">
        <f>F20*100/$F$100</f>
        <v>2.6900584795321638</v>
      </c>
      <c r="J20" s="509">
        <f>COUNTIFS(Tableau2[VILLAGE],"KOUAMEKRO",Tableau2[CLASSE],"CPU",Tableau2[Sexes],"F")</f>
        <v>15</v>
      </c>
      <c r="K20" s="509">
        <f>COUNTIFS(Tableau2[VILLAGE],"KOUAMEKRO",Tableau2[CLASSE],"CEU",Tableau2[Sexes],"F")</f>
        <v>8</v>
      </c>
      <c r="L20" s="508">
        <f>J20*100/J22</f>
        <v>53.571428571428569</v>
      </c>
      <c r="M20" s="508">
        <f>K20*100/K22</f>
        <v>44.444444444444443</v>
      </c>
      <c r="N20" s="510">
        <f t="shared" ref="N20:N21" si="120">J20*100/$J$40</f>
        <v>4.5731707317073171</v>
      </c>
      <c r="O20" s="510">
        <f t="shared" ref="O20:O21" si="121">K20*100/$K$40</f>
        <v>12.698412698412698</v>
      </c>
      <c r="P20" s="510">
        <f t="shared" ref="P20:P21" si="122">J20*100/$J$100</f>
        <v>1.893939393939394</v>
      </c>
      <c r="Q20" s="510">
        <f t="shared" ref="Q20:Q21" si="123">K20*100/$K$100</f>
        <v>12.698412698412698</v>
      </c>
      <c r="R20" s="345" t="s">
        <v>1990</v>
      </c>
      <c r="S20" s="507">
        <f>COUNTIFS(Tableau2[VILLAGE],"KOUAMEKRO",Tableau2[[STATUT ]],"admis",Tableau2[Sexes],"F")</f>
        <v>14</v>
      </c>
      <c r="T20" s="507">
        <f>COUNTIFS(Tableau2[VILLAGE],"KOUAMEKRO",Tableau2[CE1-CE2],1,Tableau2[Sexes],"F")</f>
        <v>10</v>
      </c>
      <c r="U20" s="507">
        <f>COUNTIFS(Tableau2[VILLAGE],"KOUAMEKRO",Tableau2[CM1-CM2],1,Tableau2[Sexes],"F")</f>
        <v>4</v>
      </c>
      <c r="V20" s="508">
        <f>T20*100/T22</f>
        <v>55.555555555555557</v>
      </c>
      <c r="W20" s="508">
        <f>U20*100/U22</f>
        <v>36.363636363636367</v>
      </c>
      <c r="X20" s="508">
        <f>T20*100/$L$40</f>
        <v>10</v>
      </c>
      <c r="Y20" s="508">
        <f>U20*100/U40</f>
        <v>8.3333333333333339</v>
      </c>
      <c r="Z20" s="508">
        <f t="shared" ref="Z20:Z21" si="124">T20*100/$L$100</f>
        <v>10</v>
      </c>
      <c r="AA20" s="508">
        <f>U20*100/$M$100</f>
        <v>4</v>
      </c>
      <c r="AB20" s="345" t="s">
        <v>1990</v>
      </c>
      <c r="AC20" s="507">
        <f>COUNTIFS(Tableau2[VILLAGE],"KOUAMEKRO",Tableau2[[STATUT ]],"Redouble",Tableau2[Sexes],"F")</f>
        <v>8</v>
      </c>
      <c r="AD20" s="509">
        <f>COUNTIFS(Tableau2[VILLAGE],"KOUAMEKRO",Tableau2[CLASSE],"CPU",Tableau2[[STATUT ]],"Redouble",Tableau2[Sexes],"F")</f>
        <v>5</v>
      </c>
      <c r="AE20" s="509">
        <f>COUNTIFS(Tableau2[VILLAGE],"KOUAMEKRO",Tableau2[CLASSE],"CEU",Tableau2[[STATUT ]],"Redouble",Tableau2[Sexes],"F")</f>
        <v>3</v>
      </c>
      <c r="AF20" s="508">
        <f t="shared" ref="AF20" si="125">AD20*100/AD22</f>
        <v>55.555555555555557</v>
      </c>
      <c r="AG20" s="508">
        <f>AE20*100/AE22</f>
        <v>60</v>
      </c>
      <c r="AH20" s="508">
        <f>AD20*100/AD40</f>
        <v>8.1967213114754092</v>
      </c>
      <c r="AI20" s="508">
        <f>AE20*100/AE40</f>
        <v>33.333333333333336</v>
      </c>
      <c r="AJ20" s="508">
        <f>AD20*100/AD100</f>
        <v>3.0674846625766872</v>
      </c>
      <c r="AK20" s="508">
        <f>AE20*100/AE100</f>
        <v>33.333333333333336</v>
      </c>
      <c r="AL20" s="326" t="s">
        <v>1990</v>
      </c>
      <c r="AM20" s="507">
        <f>COUNTIFS(Tableau2[VILLAGE],"KOUAMEKRO",Tableau2[[STATUT ]],"Absent",Tableau2[Sexes],"F")</f>
        <v>1</v>
      </c>
      <c r="AN20" s="509">
        <f>COUNTIFS(Tableau2[VILLAGE],"KOUAMEKRO",Tableau2[CLASSE],"CPU",Tableau2[[STATUT ]],"Absent",Tableau2[Sexes],"F")</f>
        <v>0</v>
      </c>
      <c r="AO20" s="509">
        <f>COUNTIFS(Tableau2[VILLAGE],"KOUAMEKRO",Tableau2[CLASSE],"CEU",Tableau2[[STATUT ]],"Absent",Tableau2[Sexes],"F")</f>
        <v>1</v>
      </c>
      <c r="AP20" s="847"/>
      <c r="AQ20" s="508">
        <f>AO20*100/AO22</f>
        <v>50</v>
      </c>
      <c r="AR20" s="508">
        <f>AN20*100/AN40</f>
        <v>0</v>
      </c>
      <c r="AS20" s="508">
        <f>AO20*100/AO40</f>
        <v>16.666666666666668</v>
      </c>
      <c r="AT20" s="508">
        <f>AN20*100/AN100</f>
        <v>0</v>
      </c>
      <c r="AU20" s="508">
        <f>AO20*100/AO100</f>
        <v>16.666666666666668</v>
      </c>
      <c r="AV20" s="345" t="s">
        <v>1990</v>
      </c>
      <c r="AW20" s="529">
        <f t="shared" si="7"/>
        <v>15</v>
      </c>
      <c r="AX20" s="528">
        <f>COUNTIFS(Tableau2[VILLAGE],"KOUAMEKRO",Tableau2[Colonne1],"CP2",Tableau2[Sexes],"F")</f>
        <v>5</v>
      </c>
      <c r="AY20" s="507">
        <f>COUNTIFS(Tableau2[VILLAGE],"KOUAMEKRO",Tableau2[Colonne1],"CE1",Tableau2[Sexes],"F")</f>
        <v>9</v>
      </c>
      <c r="AZ20" s="507">
        <f>COUNTIFS(Tableau2[VILLAGE],"KOUAMEKRO",Tableau2[Colonne1],"CE2",Tableau2[Sexes],"F")</f>
        <v>1</v>
      </c>
      <c r="BA20" s="510">
        <f t="shared" ref="BA20:BC20" si="126">AX20*100/AX22</f>
        <v>55.555555555555557</v>
      </c>
      <c r="BB20" s="510">
        <f t="shared" si="126"/>
        <v>60</v>
      </c>
      <c r="BC20" s="510">
        <f t="shared" si="126"/>
        <v>33.333333333333336</v>
      </c>
      <c r="BD20" s="510">
        <f t="shared" ref="BD20:BD21" si="127">AX20*100/$AX$40</f>
        <v>8.3333333333333339</v>
      </c>
      <c r="BE20" s="510">
        <f t="shared" ref="BE20:BE21" si="128">AY20*100/$AY$40</f>
        <v>4.5</v>
      </c>
      <c r="BF20" s="510">
        <f t="shared" ref="BF20:BF21" si="129">AZ20*100/$AZ$40</f>
        <v>5.5555555555555554</v>
      </c>
      <c r="BG20" s="510">
        <f t="shared" ref="BG20:BG21" si="130">AX20*100/$AX$100</f>
        <v>3.4013605442176869</v>
      </c>
      <c r="BH20" s="510">
        <f t="shared" ref="BH20:BH21" si="131">AY20*100/$AY$100</f>
        <v>2.2167487684729066</v>
      </c>
      <c r="BI20" s="510">
        <f t="shared" ref="BI20:BI21" si="132">AZ20*100/$AZ$100</f>
        <v>0.91743119266055051</v>
      </c>
    </row>
    <row r="21" spans="3:61" ht="16" thickBot="1" x14ac:dyDescent="0.4">
      <c r="C21" s="880"/>
      <c r="D21" s="877"/>
      <c r="E21" s="324" t="s">
        <v>665</v>
      </c>
      <c r="F21" s="509">
        <f>COUNTIFS(Tableau2[VILLAGE],"KOUAMEKRO",Tableau2[Sexes],"G")</f>
        <v>23</v>
      </c>
      <c r="G21" s="508">
        <f>F21*100/F22</f>
        <v>50</v>
      </c>
      <c r="H21" s="508">
        <f>F21*100/$F$40</f>
        <v>5.882352941176471</v>
      </c>
      <c r="I21" s="508">
        <f>F21*100/$F$100</f>
        <v>2.6900584795321638</v>
      </c>
      <c r="J21" s="509">
        <f>COUNTIFS(Tableau2[VILLAGE],"KOUAMEKRO",Tableau2[CLASSE],"CPU",Tableau2[Sexes],"G")</f>
        <v>13</v>
      </c>
      <c r="K21" s="509">
        <f>COUNTIFS(Tableau2[VILLAGE],"KOUAMEKRO",Tableau2[CLASSE],"CEU",Tableau2[Sexes],"G")</f>
        <v>10</v>
      </c>
      <c r="L21" s="508">
        <f>J21*100/J22</f>
        <v>46.428571428571431</v>
      </c>
      <c r="M21" s="508">
        <f>K21*100/K22</f>
        <v>55.555555555555557</v>
      </c>
      <c r="N21" s="510">
        <f t="shared" si="120"/>
        <v>3.9634146341463414</v>
      </c>
      <c r="O21" s="510">
        <f t="shared" si="121"/>
        <v>15.873015873015873</v>
      </c>
      <c r="P21" s="510">
        <f t="shared" si="122"/>
        <v>1.6414141414141414</v>
      </c>
      <c r="Q21" s="510">
        <f t="shared" si="123"/>
        <v>15.873015873015873</v>
      </c>
      <c r="R21" s="336" t="s">
        <v>665</v>
      </c>
      <c r="S21" s="507">
        <f>COUNTIFS(Tableau2[VILLAGE],"BKOUAMEKRO",Tableau2[[STATUT ]],"admis",Tableau2[Sexes],"G")</f>
        <v>0</v>
      </c>
      <c r="T21" s="507">
        <f>COUNTIFS(Tableau2[VILLAGE],"KOUAMEKRO",Tableau2[CE1-CE2],1,Tableau2[Sexes],"G")</f>
        <v>8</v>
      </c>
      <c r="U21" s="507">
        <f>COUNTIFS(Tableau2[VILLAGE],"KOUAMEKRO",Tableau2[CM1-CM2],1,Tableau2[Sexes],"G")</f>
        <v>7</v>
      </c>
      <c r="V21" s="508">
        <f t="shared" ref="V21:W27" si="133">T21*100/T22</f>
        <v>44.444444444444443</v>
      </c>
      <c r="W21" s="508">
        <f t="shared" si="133"/>
        <v>63.636363636363633</v>
      </c>
      <c r="X21" s="508">
        <f t="shared" ref="X21" si="134">T21*100/$L$40</f>
        <v>8</v>
      </c>
      <c r="Y21" s="508">
        <f>U21*100/$M$40</f>
        <v>7</v>
      </c>
      <c r="Z21" s="508">
        <f t="shared" si="124"/>
        <v>8</v>
      </c>
      <c r="AA21" s="508">
        <f>U21*100/$M$100</f>
        <v>7</v>
      </c>
      <c r="AB21" s="336" t="s">
        <v>665</v>
      </c>
      <c r="AC21" s="507">
        <f>COUNTIFS(Tableau2[VILLAGE],"KOUAMEKRO",Tableau2[[STATUT ]],"Redouble",Tableau2[Sexes],"G")</f>
        <v>6</v>
      </c>
      <c r="AD21" s="509">
        <f>COUNTIFS(Tableau2[VILLAGE],"KOUAMEKRO",Tableau2[CLASSE],"CPU",Tableau2[[STATUT ]],"Redouble",Tableau2[Sexes],"G")</f>
        <v>4</v>
      </c>
      <c r="AE21" s="509">
        <f>COUNTIFS(Tableau2[VILLAGE],"KOUAMEKRO",Tableau2[CLASSE],"CEU",Tableau2[[STATUT ]],"Redouble",Tableau2[Sexes],"G")</f>
        <v>2</v>
      </c>
      <c r="AF21" s="508">
        <f t="shared" ref="AF21:AG21" si="135">AD21*100/AD22</f>
        <v>44.444444444444443</v>
      </c>
      <c r="AG21" s="508">
        <f t="shared" si="135"/>
        <v>40</v>
      </c>
      <c r="AH21" s="508">
        <f>AD21*100/AD40</f>
        <v>6.557377049180328</v>
      </c>
      <c r="AI21" s="508">
        <f>AE21*100/AE40</f>
        <v>22.222222222222221</v>
      </c>
      <c r="AJ21" s="508">
        <f>AD21*100/AD100</f>
        <v>2.4539877300613497</v>
      </c>
      <c r="AK21" s="508">
        <f>AE21*100/AE100</f>
        <v>22.222222222222221</v>
      </c>
      <c r="AL21" s="324" t="s">
        <v>665</v>
      </c>
      <c r="AM21" s="507">
        <f>COUNTIFS(Tableau2[VILLAGE],"KOUAMEKRO",Tableau2[[STATUT ]],"Absent",Tableau2[Sexes],"G")</f>
        <v>2</v>
      </c>
      <c r="AN21" s="509">
        <f>COUNTIFS(Tableau2[VILLAGE],"KOUAMEKRO",Tableau2[CLASSE],"CPU",Tableau2[[STATUT ]],"Absent",Tableau2[Sexes],"G")</f>
        <v>1</v>
      </c>
      <c r="AO21" s="509">
        <f>COUNTIFS(Tableau2[VILLAGE],"KOUAMEKRO",Tableau2[CLASSE],"CEU",Tableau2[[STATUT ]],"Absent",Tableau2[Sexes],"G")</f>
        <v>1</v>
      </c>
      <c r="AP21" s="848"/>
      <c r="AQ21" s="508">
        <f t="shared" ref="AQ21" si="136">AO21*100/AO22</f>
        <v>50</v>
      </c>
      <c r="AR21" s="508">
        <f>AN21*100/AN40</f>
        <v>2</v>
      </c>
      <c r="AS21" s="508">
        <f>AO21*100/AO40</f>
        <v>16.666666666666668</v>
      </c>
      <c r="AT21" s="508">
        <f>AN21*100/AN100</f>
        <v>0.76923076923076927</v>
      </c>
      <c r="AU21" s="508">
        <f>AO21*100/AO100</f>
        <v>16.666666666666668</v>
      </c>
      <c r="AV21" s="336" t="s">
        <v>665</v>
      </c>
      <c r="AW21" s="529">
        <f t="shared" si="7"/>
        <v>12</v>
      </c>
      <c r="AX21" s="528">
        <f>COUNTIFS(Tableau2[VILLAGE],"KOUAMEKRO",Tableau2[Colonne1],"CP2",Tableau2[Sexes],"G")</f>
        <v>4</v>
      </c>
      <c r="AY21" s="507">
        <f>COUNTIFS(Tableau2[VILLAGE],"KOUAMEKRO",Tableau2[Colonne1],"CE1",Tableau2[Sexes],"G")</f>
        <v>6</v>
      </c>
      <c r="AZ21" s="507">
        <f>COUNTIFS(Tableau2[VILLAGE],"KOUAMEKRO",Tableau2[Colonne1],"CE2",Tableau2[Sexes],"G")</f>
        <v>2</v>
      </c>
      <c r="BA21" s="510">
        <f t="shared" ref="BA21" si="137">AX21*100/AX22</f>
        <v>44.444444444444443</v>
      </c>
      <c r="BB21" s="510">
        <f t="shared" ref="BB21" si="138">AY21*100/AY22</f>
        <v>40</v>
      </c>
      <c r="BC21" s="510">
        <f t="shared" ref="BC21" si="139">AZ21*100/AZ22</f>
        <v>66.666666666666671</v>
      </c>
      <c r="BD21" s="510">
        <f t="shared" si="127"/>
        <v>6.666666666666667</v>
      </c>
      <c r="BE21" s="510">
        <f t="shared" si="128"/>
        <v>3</v>
      </c>
      <c r="BF21" s="510">
        <f t="shared" si="129"/>
        <v>11.111111111111111</v>
      </c>
      <c r="BG21" s="510">
        <f t="shared" si="130"/>
        <v>2.7210884353741496</v>
      </c>
      <c r="BH21" s="510">
        <f t="shared" si="131"/>
        <v>1.4778325123152709</v>
      </c>
      <c r="BI21" s="510">
        <f t="shared" si="132"/>
        <v>1.834862385321101</v>
      </c>
    </row>
    <row r="22" spans="3:61" ht="16" customHeight="1" thickBot="1" x14ac:dyDescent="0.35">
      <c r="C22" s="880"/>
      <c r="D22" s="878"/>
      <c r="E22" s="325" t="s">
        <v>658</v>
      </c>
      <c r="F22" s="333">
        <f>COUNTIFS(Tableau2[VILLAGE],"KOUAMEKRO")</f>
        <v>46</v>
      </c>
      <c r="G22" s="340">
        <f>SUM(G20:G21)</f>
        <v>100</v>
      </c>
      <c r="H22" s="340">
        <f t="shared" ref="H22:I22" si="140">SUM(H20:H21)</f>
        <v>11.764705882352942</v>
      </c>
      <c r="I22" s="340">
        <f t="shared" si="140"/>
        <v>5.3801169590643276</v>
      </c>
      <c r="J22" s="333">
        <f t="shared" ref="J22" si="141">SUM(J20:J21)</f>
        <v>28</v>
      </c>
      <c r="K22" s="333">
        <f t="shared" si="45"/>
        <v>18</v>
      </c>
      <c r="L22" s="349">
        <f t="shared" si="45"/>
        <v>100</v>
      </c>
      <c r="M22" s="349">
        <f>SUM(M20:M21)</f>
        <v>100</v>
      </c>
      <c r="N22" s="343">
        <f t="shared" si="18"/>
        <v>8.536585365853659</v>
      </c>
      <c r="O22" s="343">
        <f t="shared" si="18"/>
        <v>28.571428571428569</v>
      </c>
      <c r="P22" s="343">
        <f t="shared" si="18"/>
        <v>3.5353535353535355</v>
      </c>
      <c r="Q22" s="343">
        <f t="shared" si="18"/>
        <v>28.571428571428569</v>
      </c>
      <c r="R22" s="333" t="s">
        <v>658</v>
      </c>
      <c r="S22" s="339">
        <f>COUNTIFS(Tableau2[VILLAGE],"KOUAMEKRO",Tableau2[[STATUT ]],"admis")</f>
        <v>29</v>
      </c>
      <c r="T22" s="339">
        <f>COUNTIFS(Tableau2[VILLAGE],"KOUAMEKRO",Tableau2[CE1-CE2],1)</f>
        <v>18</v>
      </c>
      <c r="U22" s="339">
        <f>COUNTIFS(Tableau2[VILLAGE],"KOUAMEKRO",Tableau2[CM1-CM2],1)</f>
        <v>11</v>
      </c>
      <c r="V22" s="349">
        <f t="shared" si="77"/>
        <v>100</v>
      </c>
      <c r="W22" s="349">
        <f t="shared" si="77"/>
        <v>100</v>
      </c>
      <c r="X22" s="350">
        <f t="shared" si="77"/>
        <v>18</v>
      </c>
      <c r="Y22" s="350">
        <f t="shared" si="77"/>
        <v>15.333333333333334</v>
      </c>
      <c r="Z22" s="350">
        <f t="shared" si="77"/>
        <v>18</v>
      </c>
      <c r="AA22" s="350">
        <f>SUM(AA20:AA21)</f>
        <v>11</v>
      </c>
      <c r="AB22" s="333" t="s">
        <v>658</v>
      </c>
      <c r="AC22" s="339">
        <f>COUNTIFS(Tableau2[VILLAGE],"KOUAMEKRO",Tableau2[[STATUT ]],"Redouble")</f>
        <v>14</v>
      </c>
      <c r="AD22" s="333">
        <f t="shared" ref="AD22" si="142">SUM(AD20:AD21)</f>
        <v>9</v>
      </c>
      <c r="AE22" s="333">
        <f t="shared" si="50"/>
        <v>5</v>
      </c>
      <c r="AF22" s="349">
        <f t="shared" si="50"/>
        <v>100</v>
      </c>
      <c r="AG22" s="349">
        <f t="shared" si="50"/>
        <v>100</v>
      </c>
      <c r="AH22" s="350">
        <f t="shared" si="50"/>
        <v>14.754098360655737</v>
      </c>
      <c r="AI22" s="350">
        <f t="shared" si="50"/>
        <v>55.555555555555557</v>
      </c>
      <c r="AJ22" s="350">
        <f t="shared" si="50"/>
        <v>5.5214723926380369</v>
      </c>
      <c r="AK22" s="350">
        <f>SUM(AK20:AK21)</f>
        <v>55.555555555555557</v>
      </c>
      <c r="AL22" s="333" t="s">
        <v>658</v>
      </c>
      <c r="AM22" s="339">
        <f>COUNTIFS(Tableau2[VILLAGE],"KOUAMEKRO",Tableau2[[STATUT ]],"Absent")</f>
        <v>3</v>
      </c>
      <c r="AN22" s="333">
        <f t="shared" ref="AN22:AO22" si="143">SUM(AN20:AN21)</f>
        <v>1</v>
      </c>
      <c r="AO22" s="333">
        <f t="shared" si="143"/>
        <v>2</v>
      </c>
      <c r="AP22" s="849"/>
      <c r="AQ22" s="349">
        <f t="shared" ref="AQ22:AT22" si="144">SUM(AQ20:AQ21)</f>
        <v>100</v>
      </c>
      <c r="AR22" s="350">
        <f t="shared" si="144"/>
        <v>2</v>
      </c>
      <c r="AS22" s="350">
        <f t="shared" si="144"/>
        <v>33.333333333333336</v>
      </c>
      <c r="AT22" s="350">
        <f t="shared" si="144"/>
        <v>0.76923076923076927</v>
      </c>
      <c r="AU22" s="350">
        <f>SUM(AU20:AU21)</f>
        <v>33.333333333333336</v>
      </c>
      <c r="AV22" s="342" t="s">
        <v>658</v>
      </c>
      <c r="AW22" s="530">
        <f t="shared" si="7"/>
        <v>27</v>
      </c>
      <c r="AX22" s="527">
        <f>SUM(AX20:AX21)</f>
        <v>9</v>
      </c>
      <c r="AY22" s="333">
        <f>SUM(AY20:AY21)</f>
        <v>15</v>
      </c>
      <c r="AZ22" s="333">
        <f>SUM(AZ20:AZ21)</f>
        <v>3</v>
      </c>
      <c r="BA22" s="517">
        <f t="shared" ref="BA22:BI22" si="145">SUM(BA20:BA21)</f>
        <v>100</v>
      </c>
      <c r="BB22" s="517">
        <f t="shared" si="145"/>
        <v>100</v>
      </c>
      <c r="BC22" s="517">
        <f t="shared" si="145"/>
        <v>100</v>
      </c>
      <c r="BD22" s="517">
        <f t="shared" si="145"/>
        <v>15</v>
      </c>
      <c r="BE22" s="517">
        <f t="shared" si="145"/>
        <v>7.5</v>
      </c>
      <c r="BF22" s="517">
        <f t="shared" si="145"/>
        <v>16.666666666666664</v>
      </c>
      <c r="BG22" s="517">
        <f t="shared" si="145"/>
        <v>6.1224489795918364</v>
      </c>
      <c r="BH22" s="517">
        <f t="shared" si="145"/>
        <v>3.6945812807881775</v>
      </c>
      <c r="BI22" s="517">
        <f t="shared" si="145"/>
        <v>2.7522935779816518</v>
      </c>
    </row>
    <row r="23" spans="3:61" ht="15.5" x14ac:dyDescent="0.35">
      <c r="C23" s="880"/>
      <c r="D23" s="876" t="s">
        <v>2355</v>
      </c>
      <c r="E23" s="326" t="s">
        <v>1990</v>
      </c>
      <c r="F23" s="509">
        <f>COUNTIFS(Tableau2[VILLAGE],"MAYAKOFFIKRO",Tableau2[Sexes],"F")</f>
        <v>12</v>
      </c>
      <c r="G23" s="508">
        <f>F23*100/F25</f>
        <v>31.578947368421051</v>
      </c>
      <c r="H23" s="508">
        <f>F23*100/$F$40</f>
        <v>3.0690537084398977</v>
      </c>
      <c r="I23" s="508">
        <f>F23*100/$F$100</f>
        <v>1.4035087719298245</v>
      </c>
      <c r="J23" s="509">
        <f>COUNTIFS(Tableau2[VILLAGE],"MAYAKOFFIKRO",Tableau2[CLASSE],"CPU",Tableau2[Sexes],"F")</f>
        <v>12</v>
      </c>
      <c r="K23" s="509">
        <f>COUNTIFS(Tableau2[VILLAGE],"MAYAKOFFIKRO",Tableau2[CLASSE],"CEU",Tableau2[Sexes],"F")</f>
        <v>0</v>
      </c>
      <c r="L23" s="510">
        <f>J23*100/J25</f>
        <v>31.578947368421051</v>
      </c>
      <c r="M23" s="510">
        <v>0</v>
      </c>
      <c r="N23" s="510">
        <f t="shared" ref="N23:N24" si="146">J23*100/$J$40</f>
        <v>3.6585365853658538</v>
      </c>
      <c r="O23" s="510">
        <f t="shared" ref="O23:O24" si="147">K23*100/$K$40</f>
        <v>0</v>
      </c>
      <c r="P23" s="510">
        <f t="shared" ref="P23:P24" si="148">J23*100/$J$100</f>
        <v>1.5151515151515151</v>
      </c>
      <c r="Q23" s="510">
        <f t="shared" ref="Q23:Q24" si="149">K23*100/$K$100</f>
        <v>0</v>
      </c>
      <c r="R23" s="326" t="s">
        <v>1990</v>
      </c>
      <c r="S23" s="509">
        <f>COUNTIFS(Tableau2[VILLAGE],"MAYAKOFFIKRO",Tableau2[[STATUT ]],"admis",Tableau2[Sexes],"F")</f>
        <v>7</v>
      </c>
      <c r="T23" s="509">
        <f>COUNTIFS(Tableau2[VILLAGE],"MAYAKOFFIKRO",Tableau2[CE1-CE2],1,Tableau2[Sexes],"F")</f>
        <v>7</v>
      </c>
      <c r="U23" s="509">
        <f>COUNTIFS(Tableau2[VILLAGE],"MAYAKOFFIKRO",Tableau2[CM1-CM2],1,Tableau2[Sexes],"F")</f>
        <v>0</v>
      </c>
      <c r="V23" s="510">
        <f t="shared" ref="V23" si="150">T23*100/T25</f>
        <v>35</v>
      </c>
      <c r="W23" s="847"/>
      <c r="X23" s="510">
        <f t="shared" ref="X23:X24" si="151">T23*100/$L$40</f>
        <v>7</v>
      </c>
      <c r="Y23" s="847"/>
      <c r="Z23" s="510">
        <f t="shared" ref="Z23:Z24" si="152">T23*100/$L$100</f>
        <v>7</v>
      </c>
      <c r="AA23" s="847"/>
      <c r="AB23" s="326" t="s">
        <v>1990</v>
      </c>
      <c r="AC23" s="509">
        <f>COUNTIFS(Tableau2[VILLAGE],"MAYAKOFFIKRO",Tableau2[[STATUT ]],"Redouble",Tableau2[Sexes],"F")</f>
        <v>5</v>
      </c>
      <c r="AD23" s="509">
        <f>COUNTIFS(Tableau2[VILLAGE],"MAYAKOFFIKRO",Tableau2[CLASSE],"CPU",Tableau2[[STATUT ]],"Redouble",Tableau2[Sexes],"F")</f>
        <v>5</v>
      </c>
      <c r="AE23" s="509">
        <f>COUNTIFS(Tableau2[VILLAGE],"MAYAKOFFIKRO",Tableau2[CLASSE],"CEU",Tableau2[[STATUT ]],"Redouble",Tableau2[Sexes],"F")</f>
        <v>0</v>
      </c>
      <c r="AF23" s="510">
        <f t="shared" ref="AF23" si="153">AD23*100/AD25</f>
        <v>29.411764705882351</v>
      </c>
      <c r="AG23" s="847"/>
      <c r="AH23" s="510">
        <f>AD23*100/AD40</f>
        <v>8.1967213114754092</v>
      </c>
      <c r="AI23" s="847"/>
      <c r="AJ23" s="510">
        <f>AD23*100/AD100</f>
        <v>3.0674846625766872</v>
      </c>
      <c r="AK23" s="847"/>
      <c r="AL23" s="326" t="s">
        <v>1990</v>
      </c>
      <c r="AM23" s="509">
        <f>COUNTIFS(Tableau2[VILLAGE],"MAYAKOFFIKRO",Tableau2[[STATUT ]],"Absent",Tableau2[Sexes],"F")</f>
        <v>0</v>
      </c>
      <c r="AN23" s="509">
        <f>COUNTIFS(Tableau2[VILLAGE],"MAYAKOFFIKRO",Tableau2[CLASSE],"CPU",Tableau2[[STATUT ]],"Absent",Tableau2[Sexes],"F")</f>
        <v>0</v>
      </c>
      <c r="AO23" s="509">
        <f>COUNTIFS(Tableau2[VILLAGE],"MAYAKOFFIKRO",Tableau2[CLASSE],"CEU",Tableau2[[STATUT ]],"Absent",Tableau2[Sexes],"F")</f>
        <v>0</v>
      </c>
      <c r="AP23" s="510">
        <f t="shared" ref="AP23" si="154">AN23*100/AN25</f>
        <v>0</v>
      </c>
      <c r="AQ23" s="847"/>
      <c r="AR23" s="510">
        <f>AN23*100/AN40</f>
        <v>0</v>
      </c>
      <c r="AS23" s="847"/>
      <c r="AT23" s="510">
        <f>AN23*100/AN100</f>
        <v>0</v>
      </c>
      <c r="AU23" s="847"/>
      <c r="AV23" s="345" t="s">
        <v>1990</v>
      </c>
      <c r="AW23" s="529">
        <f t="shared" si="7"/>
        <v>12</v>
      </c>
      <c r="AX23" s="509">
        <f>COUNTIFS(Tableau2[VILLAGE],"MAYAKOFFIKRO",Tableau2[Colonne1],"CP2",Tableau2[Sexes],"F")</f>
        <v>5</v>
      </c>
      <c r="AY23" s="509">
        <f>COUNTIFS(Tableau2[VILLAGE],"MAYAKOFFIKRO",Tableau2[Colonne1],"CE1",Tableau2[Sexes],"F")</f>
        <v>7</v>
      </c>
      <c r="AZ23" s="509">
        <f>COUNTIFS(Tableau2[VILLAGE],"MAYAKOFFIKRO",Tableau2[Colonne1],"CE2",Tableau2[Sexes],"F")</f>
        <v>0</v>
      </c>
      <c r="BA23" s="510">
        <f t="shared" ref="BA23:BB23" si="155">AX23*100/AX25</f>
        <v>29.411764705882351</v>
      </c>
      <c r="BB23" s="510">
        <f t="shared" si="155"/>
        <v>35</v>
      </c>
      <c r="BC23" s="510">
        <v>0</v>
      </c>
      <c r="BD23" s="510">
        <f t="shared" ref="BD23:BD24" si="156">AX23*100/$AX$40</f>
        <v>8.3333333333333339</v>
      </c>
      <c r="BE23" s="510">
        <f t="shared" ref="BE23:BE24" si="157">AY23*100/$AY$40</f>
        <v>3.5</v>
      </c>
      <c r="BF23" s="510">
        <f t="shared" ref="BF23:BF24" si="158">AZ23*100/$AZ$40</f>
        <v>0</v>
      </c>
      <c r="BG23" s="510">
        <f t="shared" ref="BG23:BG24" si="159">AX23*100/$AX$100</f>
        <v>3.4013605442176869</v>
      </c>
      <c r="BH23" s="510">
        <f t="shared" ref="BH23:BH24" si="160">AY23*100/$AY$100</f>
        <v>1.7241379310344827</v>
      </c>
      <c r="BI23" s="510">
        <f t="shared" ref="BI23:BI24" si="161">AZ23*100/$AZ$100</f>
        <v>0</v>
      </c>
    </row>
    <row r="24" spans="3:61" ht="16" thickBot="1" x14ac:dyDescent="0.4">
      <c r="C24" s="880"/>
      <c r="D24" s="877"/>
      <c r="E24" s="324" t="s">
        <v>665</v>
      </c>
      <c r="F24" s="509">
        <f>COUNTIFS(Tableau2[VILLAGE],"MAYAKOFFIKRO",Tableau2[Sexes],"G")</f>
        <v>26</v>
      </c>
      <c r="G24" s="508">
        <f>F24*100/F25</f>
        <v>68.421052631578945</v>
      </c>
      <c r="H24" s="508">
        <f>F24*100/$F$40</f>
        <v>6.6496163682864449</v>
      </c>
      <c r="I24" s="508">
        <f>F24*100/$F$100</f>
        <v>3.0409356725146197</v>
      </c>
      <c r="J24" s="509">
        <f>COUNTIFS(Tableau2[VILLAGE],"MAYAKOFFIKRO",Tableau2[CLASSE],"CPU",Tableau2[Sexes],"G")</f>
        <v>26</v>
      </c>
      <c r="K24" s="509">
        <f>COUNTIFS(Tableau2[VILLAGE],"MAYAKOFFIKRO",Tableau2[CLASSE],"CEU",Tableau2[Sexes],"G")</f>
        <v>0</v>
      </c>
      <c r="L24" s="510">
        <f>J24*100/J25</f>
        <v>68.421052631578945</v>
      </c>
      <c r="M24" s="510">
        <v>0</v>
      </c>
      <c r="N24" s="510">
        <f t="shared" si="146"/>
        <v>7.9268292682926829</v>
      </c>
      <c r="O24" s="510">
        <f t="shared" si="147"/>
        <v>0</v>
      </c>
      <c r="P24" s="510">
        <f t="shared" si="148"/>
        <v>3.2828282828282829</v>
      </c>
      <c r="Q24" s="510">
        <f t="shared" si="149"/>
        <v>0</v>
      </c>
      <c r="R24" s="324" t="s">
        <v>665</v>
      </c>
      <c r="S24" s="509">
        <f>COUNTIFS(Tableau2[VILLAGE],"MAYAKOFFIKRO",Tableau2[[STATUT ]],"admis",Tableau2[Sexes],"G")</f>
        <v>13</v>
      </c>
      <c r="T24" s="509">
        <f>COUNTIFS(Tableau2[VILLAGE],"MAYAKOFFIKRO",Tableau2[CE1-CE2],1,Tableau2[Sexes],"G")</f>
        <v>13</v>
      </c>
      <c r="U24" s="509">
        <f>COUNTIFS(Tableau2[VILLAGE],"MAYAKOFFIKRO",Tableau2[CM1-CM2],1,Tableau2[Sexes],"G")</f>
        <v>0</v>
      </c>
      <c r="V24" s="510">
        <f t="shared" ref="V24" si="162">T24*100/T25</f>
        <v>65</v>
      </c>
      <c r="W24" s="848"/>
      <c r="X24" s="510">
        <f t="shared" si="151"/>
        <v>13</v>
      </c>
      <c r="Y24" s="848"/>
      <c r="Z24" s="510">
        <f t="shared" si="152"/>
        <v>13</v>
      </c>
      <c r="AA24" s="848"/>
      <c r="AB24" s="324" t="s">
        <v>665</v>
      </c>
      <c r="AC24" s="509">
        <f>COUNTIFS(Tableau2[VILLAGE],"MAYAKOFFIKRO",Tableau2[[STATUT ]],"Redouble",Tableau2[Sexes],"G")</f>
        <v>12</v>
      </c>
      <c r="AD24" s="509">
        <f>COUNTIFS(Tableau2[VILLAGE],"MAYAKOFFIKRO",Tableau2[CLASSE],"CPU",Tableau2[[STATUT ]],"Redouble",Tableau2[Sexes],"G")</f>
        <v>12</v>
      </c>
      <c r="AE24" s="509">
        <f>COUNTIFS(Tableau2[VILLAGE],"MAYAKOFFIKRO",Tableau2[CLASSE],"CEU",Tableau2[[STATUT ]],"Redouble",Tableau2[Sexes],"G")</f>
        <v>0</v>
      </c>
      <c r="AF24" s="510">
        <f t="shared" ref="AF24" si="163">AD24*100/AD25</f>
        <v>70.588235294117652</v>
      </c>
      <c r="AG24" s="848"/>
      <c r="AH24" s="510">
        <f>AD24*100/AD40</f>
        <v>19.672131147540984</v>
      </c>
      <c r="AI24" s="848"/>
      <c r="AJ24" s="510">
        <f>AD24*100/AD100</f>
        <v>7.3619631901840492</v>
      </c>
      <c r="AK24" s="848"/>
      <c r="AL24" s="324" t="s">
        <v>665</v>
      </c>
      <c r="AM24" s="509">
        <f>COUNTIFS(Tableau2[VILLAGE],"MAYAKOFFIKRO",Tableau2[[STATUT ]],"Absent",Tableau2[Sexes],"G")</f>
        <v>1</v>
      </c>
      <c r="AN24" s="509">
        <f>COUNTIFS(Tableau2[VILLAGE],"MAYAKOFFIKRO",Tableau2[CLASSE],"CPU",Tableau2[[STATUT ]],"Absent",Tableau2[Sexes],"G")</f>
        <v>1</v>
      </c>
      <c r="AO24" s="509">
        <f>COUNTIFS(Tableau2[VILLAGE],"MAYAKOFFIKRO",Tableau2[CLASSE],"CEU",Tableau2[[STATUT ]],"Absent",Tableau2[Sexes],"G")</f>
        <v>0</v>
      </c>
      <c r="AP24" s="510">
        <f t="shared" ref="AP24" si="164">AN24*100/AN25</f>
        <v>100</v>
      </c>
      <c r="AQ24" s="848"/>
      <c r="AR24" s="510">
        <f>AN24*100/AN40</f>
        <v>2</v>
      </c>
      <c r="AS24" s="848"/>
      <c r="AT24" s="510">
        <f>AN24*100/AN100</f>
        <v>0.76923076923076927</v>
      </c>
      <c r="AU24" s="848"/>
      <c r="AV24" s="336" t="s">
        <v>665</v>
      </c>
      <c r="AW24" s="529">
        <f t="shared" si="7"/>
        <v>25</v>
      </c>
      <c r="AX24" s="509">
        <f>COUNTIFS(Tableau2[VILLAGE],"MAYAKOFFIKRO",Tableau2[Colonne1],"CP2",Tableau2[Sexes],"G")</f>
        <v>12</v>
      </c>
      <c r="AY24" s="509">
        <f>COUNTIFS(Tableau2[VILLAGE],"MAYAKOFFIKRO",Tableau2[Colonne1],"CE1",Tableau2[Sexes],"G")</f>
        <v>13</v>
      </c>
      <c r="AZ24" s="509">
        <f>COUNTIFS(Tableau2[VILLAGE],"MAYAKOFFIKRO",Tableau2[Colonne1],"CE2",Tableau2[Sexes],"G")</f>
        <v>0</v>
      </c>
      <c r="BA24" s="510">
        <f t="shared" ref="BA24" si="165">AX24*100/AX25</f>
        <v>70.588235294117652</v>
      </c>
      <c r="BB24" s="510">
        <f t="shared" ref="BB24" si="166">AY24*100/AY25</f>
        <v>65</v>
      </c>
      <c r="BC24" s="510">
        <v>0</v>
      </c>
      <c r="BD24" s="510">
        <f t="shared" si="156"/>
        <v>20</v>
      </c>
      <c r="BE24" s="510">
        <f t="shared" si="157"/>
        <v>6.5</v>
      </c>
      <c r="BF24" s="510">
        <f t="shared" si="158"/>
        <v>0</v>
      </c>
      <c r="BG24" s="510">
        <f t="shared" si="159"/>
        <v>8.1632653061224492</v>
      </c>
      <c r="BH24" s="510">
        <f t="shared" si="160"/>
        <v>3.2019704433497536</v>
      </c>
      <c r="BI24" s="510">
        <f t="shared" si="161"/>
        <v>0</v>
      </c>
    </row>
    <row r="25" spans="3:61" ht="15.5" customHeight="1" thickBot="1" x14ac:dyDescent="0.35">
      <c r="C25" s="880"/>
      <c r="D25" s="878"/>
      <c r="E25" s="325" t="s">
        <v>658</v>
      </c>
      <c r="F25" s="333">
        <f>COUNTIFS(Tableau2[VILLAGE],"MAYAKOFFIKRO")</f>
        <v>38</v>
      </c>
      <c r="G25" s="340">
        <f>SUM(G23:G24)</f>
        <v>100</v>
      </c>
      <c r="H25" s="340">
        <f t="shared" ref="H25:I25" si="167">SUM(H23:H24)</f>
        <v>9.7186700767263421</v>
      </c>
      <c r="I25" s="340">
        <f t="shared" si="167"/>
        <v>4.4444444444444446</v>
      </c>
      <c r="J25" s="333">
        <f t="shared" ref="J25" si="168">SUM(J23:J24)</f>
        <v>38</v>
      </c>
      <c r="K25" s="333">
        <f t="shared" si="45"/>
        <v>0</v>
      </c>
      <c r="L25" s="343">
        <f t="shared" si="45"/>
        <v>100</v>
      </c>
      <c r="M25" s="343">
        <f>SUM(M23:M24)</f>
        <v>0</v>
      </c>
      <c r="N25" s="343">
        <f t="shared" si="18"/>
        <v>11.585365853658537</v>
      </c>
      <c r="O25" s="343">
        <f t="shared" si="18"/>
        <v>0</v>
      </c>
      <c r="P25" s="343">
        <f t="shared" si="18"/>
        <v>4.7979797979797976</v>
      </c>
      <c r="Q25" s="343">
        <f t="shared" si="18"/>
        <v>0</v>
      </c>
      <c r="R25" s="333" t="s">
        <v>658</v>
      </c>
      <c r="S25" s="333">
        <f>COUNTIFS(Tableau2[VILLAGE],"MAYAKOFFIKRO",Tableau2[[STATUT ]],"admis")</f>
        <v>20</v>
      </c>
      <c r="T25" s="333">
        <f>COUNTIFS(Tableau2[VILLAGE],"MAYAKOFFIKRO",Tableau2[CE1-CE2],1)</f>
        <v>20</v>
      </c>
      <c r="U25" s="333">
        <f>COUNTIFS(Tableau2[VILLAGE],"MAYAKOFFIKRO",Tableau2[CM1-CM2],1)</f>
        <v>0</v>
      </c>
      <c r="V25" s="343">
        <f t="shared" si="77"/>
        <v>100</v>
      </c>
      <c r="W25" s="849"/>
      <c r="X25" s="344">
        <f t="shared" ref="X25" si="169">SUM(X23:X24)</f>
        <v>20</v>
      </c>
      <c r="Y25" s="849"/>
      <c r="Z25" s="344">
        <f t="shared" ref="Z25" si="170">SUM(Z23:Z24)</f>
        <v>20</v>
      </c>
      <c r="AA25" s="849"/>
      <c r="AB25" s="333" t="s">
        <v>658</v>
      </c>
      <c r="AC25" s="333">
        <f>COUNTIFS(Tableau2[VILLAGE],"MAYAKOFFIKRO",Tableau2[[STATUT ]],"Redouble")</f>
        <v>17</v>
      </c>
      <c r="AD25" s="333">
        <f t="shared" ref="AD25" si="171">SUM(AD23:AD24)</f>
        <v>17</v>
      </c>
      <c r="AE25" s="333">
        <f t="shared" si="50"/>
        <v>0</v>
      </c>
      <c r="AF25" s="343">
        <f t="shared" si="50"/>
        <v>100</v>
      </c>
      <c r="AG25" s="849"/>
      <c r="AH25" s="344">
        <f t="shared" ref="AH25" si="172">SUM(AH23:AH24)</f>
        <v>27.868852459016395</v>
      </c>
      <c r="AI25" s="849"/>
      <c r="AJ25" s="344">
        <f t="shared" ref="AJ25" si="173">SUM(AJ23:AJ24)</f>
        <v>10.429447852760736</v>
      </c>
      <c r="AK25" s="849"/>
      <c r="AL25" s="333" t="s">
        <v>658</v>
      </c>
      <c r="AM25" s="333">
        <f>COUNTIFS(Tableau2[VILLAGE],"MAYAKOFFIKRO",Tableau2[[STATUT ]],"")</f>
        <v>0</v>
      </c>
      <c r="AN25" s="333">
        <f t="shared" ref="AN25:AP25" si="174">SUM(AN23:AN24)</f>
        <v>1</v>
      </c>
      <c r="AO25" s="333">
        <f t="shared" si="174"/>
        <v>0</v>
      </c>
      <c r="AP25" s="343">
        <f t="shared" si="174"/>
        <v>100</v>
      </c>
      <c r="AQ25" s="849"/>
      <c r="AR25" s="344">
        <f t="shared" ref="AR25" si="175">SUM(AR23:AR24)</f>
        <v>2</v>
      </c>
      <c r="AS25" s="849"/>
      <c r="AT25" s="344">
        <f t="shared" ref="AT25" si="176">SUM(AT23:AT24)</f>
        <v>0.76923076923076927</v>
      </c>
      <c r="AU25" s="849"/>
      <c r="AV25" s="342" t="s">
        <v>658</v>
      </c>
      <c r="AW25" s="530">
        <f t="shared" si="7"/>
        <v>37</v>
      </c>
      <c r="AX25" s="527">
        <f>SUM(AX23:AX24)</f>
        <v>17</v>
      </c>
      <c r="AY25" s="333">
        <f>SUM(AY23:AY24)</f>
        <v>20</v>
      </c>
      <c r="AZ25" s="333">
        <f>SUM(AZ23:AZ24)</f>
        <v>0</v>
      </c>
      <c r="BA25" s="517">
        <f t="shared" ref="BA25:BC31" si="177">SUM(BA23:BA24)</f>
        <v>100</v>
      </c>
      <c r="BB25" s="517">
        <f t="shared" si="177"/>
        <v>100</v>
      </c>
      <c r="BC25" s="517">
        <f t="shared" si="177"/>
        <v>0</v>
      </c>
      <c r="BD25" s="517">
        <f t="shared" ref="BD25:BI25" si="178">SUM(BD23:BD24)</f>
        <v>28.333333333333336</v>
      </c>
      <c r="BE25" s="517">
        <f t="shared" si="178"/>
        <v>10</v>
      </c>
      <c r="BF25" s="517">
        <f t="shared" si="178"/>
        <v>0</v>
      </c>
      <c r="BG25" s="517">
        <f t="shared" si="178"/>
        <v>11.564625850340136</v>
      </c>
      <c r="BH25" s="517">
        <f t="shared" si="178"/>
        <v>4.9261083743842367</v>
      </c>
      <c r="BI25" s="517">
        <f t="shared" si="178"/>
        <v>0</v>
      </c>
    </row>
    <row r="26" spans="3:61" ht="15.5" x14ac:dyDescent="0.35">
      <c r="C26" s="880"/>
      <c r="D26" s="876" t="s">
        <v>355</v>
      </c>
      <c r="E26" s="326" t="s">
        <v>1990</v>
      </c>
      <c r="F26" s="509">
        <f>COUNTIFS(Tableau2[VILLAGE],"OKABO",Tableau2[Sexes],"F")</f>
        <v>26</v>
      </c>
      <c r="G26" s="508">
        <f>F26*100/F28</f>
        <v>56.521739130434781</v>
      </c>
      <c r="H26" s="508">
        <f>F26*100/$F$40</f>
        <v>6.6496163682864449</v>
      </c>
      <c r="I26" s="508">
        <f>F26*100/$F$100</f>
        <v>3.0409356725146197</v>
      </c>
      <c r="J26" s="509">
        <f>COUNTIFS(Tableau2[VILLAGE],"OKABO",Tableau2[CLASSE],"CPU",Tableau2[Sexes],"F")</f>
        <v>14</v>
      </c>
      <c r="K26" s="509">
        <f>COUNTIFS(Tableau2[VILLAGE],"OKABO",Tableau2[CLASSE],"CEU",Tableau2[Sexes],"F")</f>
        <v>12</v>
      </c>
      <c r="L26" s="510">
        <f>J26*100/J28</f>
        <v>53.846153846153847</v>
      </c>
      <c r="M26" s="510">
        <f>K26*100/K28</f>
        <v>60</v>
      </c>
      <c r="N26" s="510">
        <f t="shared" ref="N26:N27" si="179">J26*100/$J$40</f>
        <v>4.2682926829268295</v>
      </c>
      <c r="O26" s="510">
        <f t="shared" ref="O26:O27" si="180">K26*100/$K$40</f>
        <v>19.047619047619047</v>
      </c>
      <c r="P26" s="510">
        <f t="shared" ref="P26:P27" si="181">J26*100/$J$100</f>
        <v>1.7676767676767677</v>
      </c>
      <c r="Q26" s="510">
        <f t="shared" ref="Q26:Q27" si="182">K26*100/$K$100</f>
        <v>19.047619047619047</v>
      </c>
      <c r="R26" s="326" t="s">
        <v>1990</v>
      </c>
      <c r="S26" s="509">
        <f>COUNTIFS(Tableau2[VILLAGE],"OKABO",Tableau2[[STATUT ]],"admis",Tableau2[Sexes],"F")</f>
        <v>21</v>
      </c>
      <c r="T26" s="509">
        <f>COUNTIFS(Tableau2[VILLAGE],"OKABO",Tableau2[CE1-CE2],1,Tableau2[Sexes],"F")</f>
        <v>11</v>
      </c>
      <c r="U26" s="509">
        <f>COUNTIFS(Tableau2[VILLAGE],"OKABO",Tableau2[CM1-CM2],1,Tableau2[Sexes],"F")</f>
        <v>10</v>
      </c>
      <c r="V26" s="510">
        <f t="shared" ref="V26" si="183">T26*100/T28</f>
        <v>61.111111111111114</v>
      </c>
      <c r="W26" s="510">
        <f>U26*100/U28</f>
        <v>58.823529411764703</v>
      </c>
      <c r="X26" s="510">
        <f t="shared" ref="X26:X27" si="184">T26*100/$L$40</f>
        <v>11</v>
      </c>
      <c r="Y26" s="510">
        <f>U26*100/$M$40</f>
        <v>10</v>
      </c>
      <c r="Z26" s="510">
        <f>T26*100/$L$100</f>
        <v>11</v>
      </c>
      <c r="AA26" s="510">
        <f>U26*100/$M$100</f>
        <v>10</v>
      </c>
      <c r="AB26" s="326" t="s">
        <v>1990</v>
      </c>
      <c r="AC26" s="509">
        <f>COUNTIFS(Tableau2[VILLAGE],"OKABO",Tableau2[[STATUT ]],"Redouble",Tableau2[Sexes],"F")</f>
        <v>5</v>
      </c>
      <c r="AD26" s="509">
        <f>COUNTIFS(Tableau2[VILLAGE],"OKABO",Tableau2[CLASSE],"CPU",Tableau2[[STATUT ]],"Redouble",Tableau2[Sexes],"F")</f>
        <v>3</v>
      </c>
      <c r="AE26" s="509">
        <f>COUNTIFS(Tableau2[VILLAGE],"OKABO",Tableau2[CLASSE],"CEU",Tableau2[[STATUT ]],"Redouble",Tableau2[Sexes],"F")</f>
        <v>2</v>
      </c>
      <c r="AF26" s="510">
        <f t="shared" ref="AF26" si="185">AD26*100/AD28</f>
        <v>50</v>
      </c>
      <c r="AG26" s="510">
        <f>AE26*100/AE28</f>
        <v>100</v>
      </c>
      <c r="AH26" s="510">
        <f>AD26*100/AD40</f>
        <v>4.918032786885246</v>
      </c>
      <c r="AI26" s="510">
        <f>AE26*100/AE40</f>
        <v>22.222222222222221</v>
      </c>
      <c r="AJ26" s="510">
        <f>AD26*100/AD100</f>
        <v>1.8404907975460123</v>
      </c>
      <c r="AK26" s="510">
        <f>AE26*100/AE100</f>
        <v>22.222222222222221</v>
      </c>
      <c r="AL26" s="326" t="s">
        <v>1990</v>
      </c>
      <c r="AM26" s="509">
        <f>COUNTIFS(Tableau2[VILLAGE],"OKABO",Tableau2[[STATUT ]],"Absent",Tableau2[Sexes],"F")</f>
        <v>0</v>
      </c>
      <c r="AN26" s="509">
        <f>COUNTIFS(Tableau2[VILLAGE],"OKABO",Tableau2[CLASSE],"CPU",Tableau2[[STATUT ]],"Absent",Tableau2[Sexes],"F")</f>
        <v>0</v>
      </c>
      <c r="AO26" s="509">
        <f>COUNTIFS(Tableau2[VILLAGE],"OKABO",Tableau2[CLASSE],"CEU",Tableau2[[STATUT ]],"Absent",Tableau2[Sexes],"F")</f>
        <v>0</v>
      </c>
      <c r="AP26" s="510">
        <f t="shared" ref="AP26" si="186">AN26*100/AN28</f>
        <v>0</v>
      </c>
      <c r="AQ26" s="510">
        <f>AO26*100/AO28</f>
        <v>0</v>
      </c>
      <c r="AR26" s="510">
        <f>AN26*100/AN40</f>
        <v>0</v>
      </c>
      <c r="AS26" s="510">
        <f>AO26*100/AO40</f>
        <v>0</v>
      </c>
      <c r="AT26" s="510">
        <f>AN26*100/AN100</f>
        <v>0</v>
      </c>
      <c r="AU26" s="510">
        <f>AO26*100/AO100</f>
        <v>0</v>
      </c>
      <c r="AV26" s="345" t="s">
        <v>1990</v>
      </c>
      <c r="AW26" s="529">
        <f t="shared" si="7"/>
        <v>14</v>
      </c>
      <c r="AX26" s="509">
        <f>COUNTIFS(Tableau2[VILLAGE],"OKABO",Tableau2[Colonne1],"CP2",Tableau2[Sexes],"F")</f>
        <v>3</v>
      </c>
      <c r="AY26" s="509">
        <f>COUNTIFS(Tableau2[VILLAGE],"OKABO",Tableau2[Colonne1],"CE1",Tableau2[Sexes],"F")</f>
        <v>11</v>
      </c>
      <c r="AZ26" s="509">
        <f>COUNTIFS(Tableau2[VILLAGE],"OKABO",Tableau2[Colonne1],"CE2",Tableau2[Sexes],"F")</f>
        <v>0</v>
      </c>
      <c r="BA26" s="510">
        <f t="shared" ref="BA26:BB26" si="187">AX26*100/AX28</f>
        <v>50</v>
      </c>
      <c r="BB26" s="510">
        <f t="shared" si="187"/>
        <v>61.111111111111114</v>
      </c>
      <c r="BC26" s="510">
        <v>0</v>
      </c>
      <c r="BD26" s="510">
        <f t="shared" ref="BD26:BD27" si="188">AX26*100/$AX$40</f>
        <v>5</v>
      </c>
      <c r="BE26" s="510">
        <f t="shared" ref="BE26:BE27" si="189">AY26*100/$AY$40</f>
        <v>5.5</v>
      </c>
      <c r="BF26" s="510">
        <f t="shared" ref="BF26:BF27" si="190">AZ26*100/$AZ$40</f>
        <v>0</v>
      </c>
      <c r="BG26" s="510">
        <f t="shared" ref="BG26:BG27" si="191">AX26*100/$AX$100</f>
        <v>2.0408163265306123</v>
      </c>
      <c r="BH26" s="510">
        <f t="shared" ref="BH26:BH27" si="192">AY26*100/$AY$100</f>
        <v>2.7093596059113301</v>
      </c>
      <c r="BI26" s="510">
        <f t="shared" ref="BI26:BI27" si="193">AZ26*100/$AZ$100</f>
        <v>0</v>
      </c>
    </row>
    <row r="27" spans="3:61" ht="16" thickBot="1" x14ac:dyDescent="0.4">
      <c r="C27" s="880"/>
      <c r="D27" s="877"/>
      <c r="E27" s="324" t="s">
        <v>665</v>
      </c>
      <c r="F27" s="509">
        <f>COUNTIFS(Tableau2[VILLAGE],"OKABO",Tableau2[Sexes],"G")</f>
        <v>20</v>
      </c>
      <c r="G27" s="508">
        <f>F27*100/F28</f>
        <v>43.478260869565219</v>
      </c>
      <c r="H27" s="508">
        <f>F27*100/$F$40</f>
        <v>5.1150895140664963</v>
      </c>
      <c r="I27" s="508">
        <f>F27*100/$F$100</f>
        <v>2.3391812865497075</v>
      </c>
      <c r="J27" s="509">
        <f>COUNTIFS(Tableau2[VILLAGE],"OKABO",Tableau2[CLASSE],"CPU",Tableau2[Sexes],"G")</f>
        <v>12</v>
      </c>
      <c r="K27" s="509">
        <f>COUNTIFS(Tableau2[VILLAGE],"OKABO",Tableau2[CLASSE],"CEU",Tableau2[Sexes],"G")</f>
        <v>8</v>
      </c>
      <c r="L27" s="510">
        <f>J27*100/J28</f>
        <v>46.153846153846153</v>
      </c>
      <c r="M27" s="510">
        <f>K27*100/K28</f>
        <v>40</v>
      </c>
      <c r="N27" s="510">
        <f t="shared" si="179"/>
        <v>3.6585365853658538</v>
      </c>
      <c r="O27" s="510">
        <f t="shared" si="180"/>
        <v>12.698412698412698</v>
      </c>
      <c r="P27" s="510">
        <f t="shared" si="181"/>
        <v>1.5151515151515151</v>
      </c>
      <c r="Q27" s="510">
        <f t="shared" si="182"/>
        <v>12.698412698412698</v>
      </c>
      <c r="R27" s="324" t="s">
        <v>665</v>
      </c>
      <c r="S27" s="509">
        <f>COUNTIFS(Tableau2[VILLAGE],"OKABO",Tableau2[[STATUT ]],"admis",Tableau2[Sexes],"G")</f>
        <v>14</v>
      </c>
      <c r="T27" s="509">
        <f>COUNTIFS(Tableau2[VILLAGE],"OKABO",Tableau2[CE1-CE2],1,Tableau2[Sexes],"G")</f>
        <v>7</v>
      </c>
      <c r="U27" s="509">
        <f>COUNTIFS(Tableau2[VILLAGE],"OKABO",Tableau2[CM1-CM2],1,Tableau2[Sexes],"G")</f>
        <v>7</v>
      </c>
      <c r="V27" s="510">
        <f t="shared" ref="V27" si="194">T27*100/T28</f>
        <v>38.888888888888886</v>
      </c>
      <c r="W27" s="510">
        <f t="shared" si="133"/>
        <v>41.176470588235297</v>
      </c>
      <c r="X27" s="510">
        <f t="shared" si="184"/>
        <v>7</v>
      </c>
      <c r="Y27" s="510">
        <f>U27*100/$M$40</f>
        <v>7</v>
      </c>
      <c r="Z27" s="510">
        <f t="shared" ref="Z27" si="195">T27*100/$L$100</f>
        <v>7</v>
      </c>
      <c r="AA27" s="510">
        <f>U27*100/$M$100</f>
        <v>7</v>
      </c>
      <c r="AB27" s="324" t="s">
        <v>665</v>
      </c>
      <c r="AC27" s="509">
        <f>COUNTIFS(Tableau2[VILLAGE],"OKABO",Tableau2[[STATUT ]],"Redouble",Tableau2[Sexes],"G")</f>
        <v>3</v>
      </c>
      <c r="AD27" s="509">
        <f>COUNTIFS(Tableau2[VILLAGE],"OKABO",Tableau2[CLASSE],"CPU",Tableau2[[STATUT ]],"Redouble",Tableau2[Sexes],"G")</f>
        <v>3</v>
      </c>
      <c r="AE27" s="509">
        <f>COUNTIFS(Tableau2[VILLAGE],"OKABO",Tableau2[CLASSE],"CEU",Tableau2[[STATUT ]],"Redouble",Tableau2[Sexes],"G")</f>
        <v>0</v>
      </c>
      <c r="AF27" s="510">
        <f t="shared" ref="AF27:AG27" si="196">AD27*100/AD28</f>
        <v>50</v>
      </c>
      <c r="AG27" s="510">
        <f t="shared" si="196"/>
        <v>0</v>
      </c>
      <c r="AH27" s="510">
        <f>AD27*100/AD40</f>
        <v>4.918032786885246</v>
      </c>
      <c r="AI27" s="510">
        <f>AE27*100/AE40</f>
        <v>0</v>
      </c>
      <c r="AJ27" s="510">
        <f>AD27*100/AD100</f>
        <v>1.8404907975460123</v>
      </c>
      <c r="AK27" s="510">
        <f>AE27*100/AE100</f>
        <v>0</v>
      </c>
      <c r="AL27" s="324" t="s">
        <v>665</v>
      </c>
      <c r="AM27" s="509">
        <f>COUNTIFS(Tableau2[VILLAGE],"OKABO",Tableau2[[STATUT ]],"Absent",Tableau2[Sexes],"G")</f>
        <v>3</v>
      </c>
      <c r="AN27" s="509">
        <f>COUNTIFS(Tableau2[VILLAGE],"OKABO",Tableau2[CLASSE],"CPU",Tableau2[[STATUT ]],"Absent",Tableau2[Sexes],"G")</f>
        <v>2</v>
      </c>
      <c r="AO27" s="509">
        <f>COUNTIFS(Tableau2[VILLAGE],"OKABO",Tableau2[CLASSE],"CEU",Tableau2[[STATUT ]],"Absent",Tableau2[Sexes],"G")</f>
        <v>1</v>
      </c>
      <c r="AP27" s="510">
        <f t="shared" ref="AP27" si="197">AN27*100/AN28</f>
        <v>100</v>
      </c>
      <c r="AQ27" s="510">
        <f t="shared" ref="AQ27" si="198">AO27*100/AO28</f>
        <v>100</v>
      </c>
      <c r="AR27" s="510">
        <f>AN27*100/AN40</f>
        <v>4</v>
      </c>
      <c r="AS27" s="510">
        <f>AO27*100/AO40</f>
        <v>16.666666666666668</v>
      </c>
      <c r="AT27" s="510">
        <f>AN27*100/AN100</f>
        <v>1.5384615384615385</v>
      </c>
      <c r="AU27" s="510">
        <f>AO27*100/AO100</f>
        <v>16.666666666666668</v>
      </c>
      <c r="AV27" s="336" t="s">
        <v>665</v>
      </c>
      <c r="AW27" s="529">
        <f t="shared" si="7"/>
        <v>10</v>
      </c>
      <c r="AX27" s="509">
        <f>COUNTIFS(Tableau2[VILLAGE],"OKABO",Tableau2[Colonne1],"CP2",Tableau2[Sexes],"G")</f>
        <v>3</v>
      </c>
      <c r="AY27" s="509">
        <f>COUNTIFS(Tableau2[VILLAGE],"OKABO",Tableau2[Colonne1],"CE1",Tableau2[Sexes],"G")</f>
        <v>7</v>
      </c>
      <c r="AZ27" s="509">
        <f>COUNTIFS(Tableau2[VILLAGE],"OKABO",Tableau2[Colonne1],"CE2",Tableau2[Sexes],"G")</f>
        <v>0</v>
      </c>
      <c r="BA27" s="510">
        <f t="shared" ref="BA27" si="199">AX27*100/AX28</f>
        <v>50</v>
      </c>
      <c r="BB27" s="510">
        <f t="shared" ref="BB27" si="200">AY27*100/AY28</f>
        <v>38.888888888888886</v>
      </c>
      <c r="BC27" s="510">
        <v>0</v>
      </c>
      <c r="BD27" s="510">
        <f t="shared" si="188"/>
        <v>5</v>
      </c>
      <c r="BE27" s="510">
        <f t="shared" si="189"/>
        <v>3.5</v>
      </c>
      <c r="BF27" s="510">
        <f t="shared" si="190"/>
        <v>0</v>
      </c>
      <c r="BG27" s="510">
        <f t="shared" si="191"/>
        <v>2.0408163265306123</v>
      </c>
      <c r="BH27" s="510">
        <f t="shared" si="192"/>
        <v>1.7241379310344827</v>
      </c>
      <c r="BI27" s="510">
        <f t="shared" si="193"/>
        <v>0</v>
      </c>
    </row>
    <row r="28" spans="3:61" ht="16" customHeight="1" thickBot="1" x14ac:dyDescent="0.35">
      <c r="C28" s="880"/>
      <c r="D28" s="878"/>
      <c r="E28" s="325" t="s">
        <v>658</v>
      </c>
      <c r="F28" s="333">
        <f>COUNTIFS(Tableau2[VILLAGE],"OKABO")</f>
        <v>46</v>
      </c>
      <c r="G28" s="340">
        <f>SUM(G26:G27)</f>
        <v>100</v>
      </c>
      <c r="H28" s="340">
        <f t="shared" ref="H28:I28" si="201">SUM(H26:H27)</f>
        <v>11.764705882352942</v>
      </c>
      <c r="I28" s="340">
        <f t="shared" si="201"/>
        <v>5.3801169590643276</v>
      </c>
      <c r="J28" s="333">
        <f t="shared" ref="J28" si="202">SUM(J26:J27)</f>
        <v>26</v>
      </c>
      <c r="K28" s="333">
        <f t="shared" si="45"/>
        <v>20</v>
      </c>
      <c r="L28" s="343">
        <f t="shared" si="45"/>
        <v>100</v>
      </c>
      <c r="M28" s="343">
        <f t="shared" ref="M28:Q43" si="203">SUM(M26:M27)</f>
        <v>100</v>
      </c>
      <c r="N28" s="343">
        <f t="shared" si="203"/>
        <v>7.9268292682926838</v>
      </c>
      <c r="O28" s="343">
        <f t="shared" si="203"/>
        <v>31.746031746031747</v>
      </c>
      <c r="P28" s="343">
        <f t="shared" si="203"/>
        <v>3.2828282828282829</v>
      </c>
      <c r="Q28" s="343">
        <f t="shared" si="203"/>
        <v>31.746031746031747</v>
      </c>
      <c r="R28" s="333" t="s">
        <v>658</v>
      </c>
      <c r="S28" s="333">
        <f>COUNTIFS(Tableau2[VILLAGE],"OKABO",Tableau2[[STATUT ]],"admis")</f>
        <v>35</v>
      </c>
      <c r="T28" s="333">
        <f>COUNTIFS(Tableau2[VILLAGE],"OKABO",Tableau2[CE1-CE2],1)</f>
        <v>18</v>
      </c>
      <c r="U28" s="333">
        <f>COUNTIFS(Tableau2[VILLAGE],"OKABO",Tableau2[CM1-CM2],1)</f>
        <v>17</v>
      </c>
      <c r="V28" s="343">
        <f t="shared" si="77"/>
        <v>100</v>
      </c>
      <c r="W28" s="343">
        <f t="shared" si="77"/>
        <v>100</v>
      </c>
      <c r="X28" s="344">
        <f t="shared" si="77"/>
        <v>18</v>
      </c>
      <c r="Y28" s="344">
        <f t="shared" si="77"/>
        <v>17</v>
      </c>
      <c r="Z28" s="344">
        <f t="shared" si="77"/>
        <v>18</v>
      </c>
      <c r="AA28" s="344">
        <f>SUM(AA26:AA27)</f>
        <v>17</v>
      </c>
      <c r="AB28" s="333" t="s">
        <v>658</v>
      </c>
      <c r="AC28" s="333">
        <f>COUNTIFS(Tableau2[VILLAGE],"OKABO",Tableau2[[STATUT ]],"Redouble")</f>
        <v>8</v>
      </c>
      <c r="AD28" s="333">
        <f t="shared" ref="AD28" si="204">SUM(AD26:AD27)</f>
        <v>6</v>
      </c>
      <c r="AE28" s="333">
        <f t="shared" si="50"/>
        <v>2</v>
      </c>
      <c r="AF28" s="343">
        <f t="shared" si="50"/>
        <v>100</v>
      </c>
      <c r="AG28" s="343">
        <f t="shared" si="50"/>
        <v>100</v>
      </c>
      <c r="AH28" s="344">
        <f t="shared" si="50"/>
        <v>9.8360655737704921</v>
      </c>
      <c r="AI28" s="344">
        <f t="shared" si="50"/>
        <v>22.222222222222221</v>
      </c>
      <c r="AJ28" s="344">
        <f t="shared" si="50"/>
        <v>3.6809815950920246</v>
      </c>
      <c r="AK28" s="344">
        <f>SUM(AK26:AK27)</f>
        <v>22.222222222222221</v>
      </c>
      <c r="AL28" s="333" t="s">
        <v>658</v>
      </c>
      <c r="AM28" s="333">
        <f>COUNTIFS(Tableau2[VILLAGE],"OKABO",Tableau2[[STATUT ]],"Absent")</f>
        <v>3</v>
      </c>
      <c r="AN28" s="333">
        <f t="shared" ref="AN28:AT28" si="205">SUM(AN26:AN27)</f>
        <v>2</v>
      </c>
      <c r="AO28" s="333">
        <f t="shared" si="205"/>
        <v>1</v>
      </c>
      <c r="AP28" s="343">
        <f t="shared" si="205"/>
        <v>100</v>
      </c>
      <c r="AQ28" s="343">
        <f t="shared" si="205"/>
        <v>100</v>
      </c>
      <c r="AR28" s="344">
        <f t="shared" si="205"/>
        <v>4</v>
      </c>
      <c r="AS28" s="344">
        <f t="shared" si="205"/>
        <v>16.666666666666668</v>
      </c>
      <c r="AT28" s="344">
        <f t="shared" si="205"/>
        <v>1.5384615384615385</v>
      </c>
      <c r="AU28" s="344">
        <f>SUM(AU26:AU27)</f>
        <v>16.666666666666668</v>
      </c>
      <c r="AV28" s="342" t="s">
        <v>658</v>
      </c>
      <c r="AW28" s="530">
        <f t="shared" si="7"/>
        <v>24</v>
      </c>
      <c r="AX28" s="527">
        <f>SUM(AX26:AX27)</f>
        <v>6</v>
      </c>
      <c r="AY28" s="333">
        <f>SUM(AY26:AY27)</f>
        <v>18</v>
      </c>
      <c r="AZ28" s="333">
        <f>SUM(AZ26:AZ27)</f>
        <v>0</v>
      </c>
      <c r="BA28" s="517">
        <f t="shared" ref="BA28:BB28" si="206">SUM(BA26:BA27)</f>
        <v>100</v>
      </c>
      <c r="BB28" s="517">
        <f t="shared" si="206"/>
        <v>100</v>
      </c>
      <c r="BC28" s="517">
        <f t="shared" si="177"/>
        <v>0</v>
      </c>
      <c r="BD28" s="517">
        <f t="shared" ref="BD28:BI28" si="207">SUM(BD26:BD27)</f>
        <v>10</v>
      </c>
      <c r="BE28" s="517">
        <f t="shared" si="207"/>
        <v>9</v>
      </c>
      <c r="BF28" s="517">
        <f t="shared" si="207"/>
        <v>0</v>
      </c>
      <c r="BG28" s="517">
        <f t="shared" si="207"/>
        <v>4.0816326530612246</v>
      </c>
      <c r="BH28" s="517">
        <f t="shared" si="207"/>
        <v>4.4334975369458132</v>
      </c>
      <c r="BI28" s="517">
        <f t="shared" si="207"/>
        <v>0</v>
      </c>
    </row>
    <row r="29" spans="3:61" ht="15.5" x14ac:dyDescent="0.35">
      <c r="C29" s="880"/>
      <c r="D29" s="876" t="s">
        <v>221</v>
      </c>
      <c r="E29" s="326" t="s">
        <v>1990</v>
      </c>
      <c r="F29" s="509">
        <f>COUNTIFS(Tableau2[VILLAGE],"TOLBA",Tableau2[Sexes],"F")</f>
        <v>9</v>
      </c>
      <c r="G29" s="508">
        <f>F29*100/F31</f>
        <v>42.857142857142854</v>
      </c>
      <c r="H29" s="508">
        <f>F29*100/$F$40</f>
        <v>2.3017902813299234</v>
      </c>
      <c r="I29" s="508">
        <f>F29*100/$F$100</f>
        <v>1.0526315789473684</v>
      </c>
      <c r="J29" s="509">
        <f>COUNTIFS(Tableau2[VILLAGE],"TOLBA",Tableau2[CLASSE],"CPU",Tableau2[Sexes],"F")</f>
        <v>9</v>
      </c>
      <c r="K29" s="509">
        <f>COUNTIFS(Tableau2[VILLAGE],"TOLBA",Tableau2[CLASSE],"CEU",Tableau2[Sexes],"F")</f>
        <v>0</v>
      </c>
      <c r="L29" s="510">
        <f>J29*100/J31</f>
        <v>42.857142857142854</v>
      </c>
      <c r="M29" s="510">
        <v>0</v>
      </c>
      <c r="N29" s="510">
        <f t="shared" ref="N29:N30" si="208">J29*100/$J$40</f>
        <v>2.7439024390243905</v>
      </c>
      <c r="O29" s="510">
        <f t="shared" ref="O29:O30" si="209">K29*100/$K$40</f>
        <v>0</v>
      </c>
      <c r="P29" s="510">
        <f t="shared" ref="P29:P30" si="210">J29*100/$J$100</f>
        <v>1.1363636363636365</v>
      </c>
      <c r="Q29" s="510">
        <f t="shared" ref="Q29:Q30" si="211">K29*100/$K$100</f>
        <v>0</v>
      </c>
      <c r="R29" s="326" t="s">
        <v>1990</v>
      </c>
      <c r="S29" s="509">
        <f>COUNTIFS(Tableau2[VILLAGE],"TOLBA",Tableau2[[STATUT ]],"admis",Tableau2[Sexes],"F")</f>
        <v>6</v>
      </c>
      <c r="T29" s="509">
        <f>COUNTIFS(Tableau2[VILLAGE],"TOLBA",Tableau2[CE1-CE2],1,Tableau2[Sexes],"F")</f>
        <v>6</v>
      </c>
      <c r="U29" s="509">
        <f>COUNTIFS(Tableau2[VILLAGE],"TOLBA",Tableau2[CM1-CM2],1,Tableau2[Sexes],"F")</f>
        <v>0</v>
      </c>
      <c r="V29" s="510">
        <f t="shared" ref="V29" si="212">T29*100/T31</f>
        <v>42.857142857142854</v>
      </c>
      <c r="W29" s="847"/>
      <c r="X29" s="510">
        <f t="shared" ref="X29:X30" si="213">T29*100/$L$40</f>
        <v>6</v>
      </c>
      <c r="Y29" s="847"/>
      <c r="Z29" s="510">
        <f t="shared" ref="Z29:Z30" si="214">T29*100/$L$100</f>
        <v>6</v>
      </c>
      <c r="AA29" s="847"/>
      <c r="AB29" s="326" t="s">
        <v>1990</v>
      </c>
      <c r="AC29" s="509">
        <f>COUNTIFS(Tableau2[VILLAGE],"TOLBA",Tableau2[[STATUT ]],"Redouble",Tableau2[Sexes],"F")</f>
        <v>2</v>
      </c>
      <c r="AD29" s="509">
        <f>COUNTIFS(Tableau2[VILLAGE],"TOLBA",Tableau2[CLASSE],"CPU",Tableau2[[STATUT ]],"Redouble",Tableau2[Sexes],"F")</f>
        <v>2</v>
      </c>
      <c r="AE29" s="509">
        <f>COUNTIFS(Tableau2[VILLAGE],"TOLBA",Tableau2[CLASSE],"CEU",Tableau2[[STATUT ]],"Redouble",Tableau2[Sexes],"F")</f>
        <v>0</v>
      </c>
      <c r="AF29" s="510">
        <f t="shared" ref="AF29" si="215">AD29*100/AD31</f>
        <v>100</v>
      </c>
      <c r="AG29" s="847"/>
      <c r="AH29" s="510">
        <f>AD29*100/AD40</f>
        <v>3.278688524590164</v>
      </c>
      <c r="AI29" s="847"/>
      <c r="AJ29" s="510">
        <f>AD29*100/AD100</f>
        <v>1.2269938650306749</v>
      </c>
      <c r="AK29" s="847"/>
      <c r="AL29" s="326" t="s">
        <v>1990</v>
      </c>
      <c r="AM29" s="509">
        <f>COUNTIFS(Tableau2[VILLAGE],"TOLBA",Tableau2[[STATUT ]],"Absent",Tableau2[Sexes],"F")</f>
        <v>1</v>
      </c>
      <c r="AN29" s="509">
        <f>COUNTIFS(Tableau2[VILLAGE],"TOLBA",Tableau2[CLASSE],"CPU",Tableau2[[STATUT ]],"Absent",Tableau2[Sexes],"F")</f>
        <v>1</v>
      </c>
      <c r="AO29" s="509">
        <f>COUNTIFS(Tableau2[VILLAGE],"TOLBA",Tableau2[CLASSE],"CEU",Tableau2[[STATUT ]],"Absent",Tableau2[Sexes],"F")</f>
        <v>0</v>
      </c>
      <c r="AP29" s="510">
        <f t="shared" ref="AP29" si="216">AN29*100/AN31</f>
        <v>20</v>
      </c>
      <c r="AQ29" s="847"/>
      <c r="AR29" s="510">
        <f>AN29*100/AN40</f>
        <v>2</v>
      </c>
      <c r="AS29" s="847"/>
      <c r="AT29" s="510">
        <f>AN29*100/AN100</f>
        <v>0.76923076923076927</v>
      </c>
      <c r="AU29" s="847"/>
      <c r="AV29" s="345" t="s">
        <v>1990</v>
      </c>
      <c r="AW29" s="529">
        <f t="shared" si="7"/>
        <v>8</v>
      </c>
      <c r="AX29" s="509">
        <f>COUNTIFS(Tableau2[VILLAGE],"TOLBA",Tableau2[Colonne1],"CP2",Tableau2[Sexes],"F")</f>
        <v>2</v>
      </c>
      <c r="AY29" s="509">
        <f>COUNTIFS(Tableau2[VILLAGE],"TOLBA",Tableau2[Colonne1],"CE1",Tableau2[Sexes],"F")</f>
        <v>6</v>
      </c>
      <c r="AZ29" s="509">
        <f>COUNTIFS(Tableau2[VILLAGE],"TOLBA",Tableau2[Colonne1],"CE2",Tableau2[Sexes],"F")</f>
        <v>0</v>
      </c>
      <c r="BA29" s="510">
        <f t="shared" ref="BA29:BB29" si="217">AX29*100/AX31</f>
        <v>100</v>
      </c>
      <c r="BB29" s="510">
        <f t="shared" si="217"/>
        <v>42.857142857142854</v>
      </c>
      <c r="BC29" s="510">
        <v>0</v>
      </c>
      <c r="BD29" s="510">
        <f t="shared" ref="BD29:BD30" si="218">AX29*100/$AX$40</f>
        <v>3.3333333333333335</v>
      </c>
      <c r="BE29" s="510">
        <f t="shared" ref="BE29:BE30" si="219">AY29*100/$AY$40</f>
        <v>3</v>
      </c>
      <c r="BF29" s="510">
        <f t="shared" ref="BF29:BF30" si="220">AZ29*100/$AZ$40</f>
        <v>0</v>
      </c>
      <c r="BG29" s="510">
        <f t="shared" ref="BG29:BG30" si="221">AX29*100/$AX$100</f>
        <v>1.3605442176870748</v>
      </c>
      <c r="BH29" s="510">
        <f t="shared" ref="BH29:BH30" si="222">AY29*100/$AY$100</f>
        <v>1.4778325123152709</v>
      </c>
      <c r="BI29" s="510">
        <f t="shared" ref="BI29:BI30" si="223">AZ29*100/$AZ$100</f>
        <v>0</v>
      </c>
    </row>
    <row r="30" spans="3:61" ht="16" thickBot="1" x14ac:dyDescent="0.4">
      <c r="C30" s="880"/>
      <c r="D30" s="877"/>
      <c r="E30" s="324" t="s">
        <v>665</v>
      </c>
      <c r="F30" s="509">
        <f>COUNTIFS(Tableau2[VILLAGE],"TOLBA",Tableau2[Sexes],"G")</f>
        <v>12</v>
      </c>
      <c r="G30" s="508">
        <f>F30*100/F31</f>
        <v>57.142857142857146</v>
      </c>
      <c r="H30" s="508">
        <f>F30*100/$F$40</f>
        <v>3.0690537084398977</v>
      </c>
      <c r="I30" s="508">
        <f>F30*100/$F$100</f>
        <v>1.4035087719298245</v>
      </c>
      <c r="J30" s="509">
        <f>COUNTIFS(Tableau2[VILLAGE],"TOLBA",Tableau2[CLASSE],"CPU",Tableau2[Sexes],"G")</f>
        <v>12</v>
      </c>
      <c r="K30" s="509">
        <f>COUNTIFS(Tableau2[VILLAGE],"TOLBA",Tableau2[CLASSE],"CEU",Tableau2[Sexes],"G")</f>
        <v>0</v>
      </c>
      <c r="L30" s="510">
        <f>J30*100/J31</f>
        <v>57.142857142857146</v>
      </c>
      <c r="M30" s="510">
        <v>0</v>
      </c>
      <c r="N30" s="510">
        <f t="shared" si="208"/>
        <v>3.6585365853658538</v>
      </c>
      <c r="O30" s="510">
        <f t="shared" si="209"/>
        <v>0</v>
      </c>
      <c r="P30" s="510">
        <f t="shared" si="210"/>
        <v>1.5151515151515151</v>
      </c>
      <c r="Q30" s="510">
        <f t="shared" si="211"/>
        <v>0</v>
      </c>
      <c r="R30" s="324" t="s">
        <v>665</v>
      </c>
      <c r="S30" s="509">
        <f>COUNTIFS(Tableau2[VILLAGE],"TOLBA",Tableau2[[STATUT ]],"admis",Tableau2[Sexes],"G")</f>
        <v>8</v>
      </c>
      <c r="T30" s="509">
        <f>COUNTIFS(Tableau2[VILLAGE],"TOLBA",Tableau2[CE1-CE2],1,Tableau2[Sexes],"G")</f>
        <v>8</v>
      </c>
      <c r="U30" s="509">
        <f>COUNTIFS(Tableau2[VILLAGE],"TOLBA",Tableau2[CM1-CM2],1,Tableau2[Sexes],"G")</f>
        <v>0</v>
      </c>
      <c r="V30" s="510">
        <f t="shared" ref="V30" si="224">T30*100/T31</f>
        <v>57.142857142857146</v>
      </c>
      <c r="W30" s="848"/>
      <c r="X30" s="510">
        <f t="shared" si="213"/>
        <v>8</v>
      </c>
      <c r="Y30" s="848"/>
      <c r="Z30" s="510">
        <f t="shared" si="214"/>
        <v>8</v>
      </c>
      <c r="AA30" s="848"/>
      <c r="AB30" s="324" t="s">
        <v>665</v>
      </c>
      <c r="AC30" s="509">
        <f>COUNTIFS(Tableau2[VILLAGE],"TOLBA",Tableau2[[STATUT ]],"Redouble",Tableau2[Sexes],"G")</f>
        <v>0</v>
      </c>
      <c r="AD30" s="509">
        <f>COUNTIFS(Tableau2[VILLAGE],"TOLBA",Tableau2[CLASSE],"CPU",Tableau2[[STATUT ]],"Redouble",Tableau2[Sexes],"G")</f>
        <v>0</v>
      </c>
      <c r="AE30" s="509">
        <f>COUNTIFS(Tableau2[VILLAGE],"TOLBA",Tableau2[CLASSE],"CEU",Tableau2[[STATUT ]],"Redouble",Tableau2[Sexes],"G")</f>
        <v>0</v>
      </c>
      <c r="AF30" s="510">
        <f t="shared" ref="AF30" si="225">AD30*100/AD31</f>
        <v>0</v>
      </c>
      <c r="AG30" s="848"/>
      <c r="AH30" s="510">
        <f>AD30*100/AD40</f>
        <v>0</v>
      </c>
      <c r="AI30" s="848"/>
      <c r="AJ30" s="510">
        <f>AD30*100/AD100</f>
        <v>0</v>
      </c>
      <c r="AK30" s="848"/>
      <c r="AL30" s="324" t="s">
        <v>665</v>
      </c>
      <c r="AM30" s="509">
        <f>COUNTIFS(Tableau2[VILLAGE],"TOLBA",Tableau2[[STATUT ]],"Absent",Tableau2[Sexes],"G")</f>
        <v>4</v>
      </c>
      <c r="AN30" s="509">
        <f>COUNTIFS(Tableau2[VILLAGE],"TOLBA",Tableau2[CLASSE],"CPU",Tableau2[[STATUT ]],"Absent",Tableau2[Sexes],"G")</f>
        <v>4</v>
      </c>
      <c r="AO30" s="509">
        <f>COUNTIFS(Tableau2[VILLAGE],"TOLBA",Tableau2[CLASSE],"CEU",Tableau2[[STATUT ]],"Absent",Tableau2[Sexes],"G")</f>
        <v>0</v>
      </c>
      <c r="AP30" s="510">
        <f t="shared" ref="AP30" si="226">AN30*100/AN31</f>
        <v>80</v>
      </c>
      <c r="AQ30" s="848"/>
      <c r="AR30" s="510">
        <f>AN30*100/AN40</f>
        <v>8</v>
      </c>
      <c r="AS30" s="848"/>
      <c r="AT30" s="510">
        <f>AN30*100/AN100</f>
        <v>3.0769230769230771</v>
      </c>
      <c r="AU30" s="848"/>
      <c r="AV30" s="336" t="s">
        <v>665</v>
      </c>
      <c r="AW30" s="529">
        <f t="shared" si="7"/>
        <v>8</v>
      </c>
      <c r="AX30" s="509">
        <f>COUNTIFS(Tableau2[VILLAGE],"TOLBA",Tableau2[Colonne1],"CP2",Tableau2[Sexes],"G")</f>
        <v>0</v>
      </c>
      <c r="AY30" s="509">
        <f>COUNTIFS(Tableau2[VILLAGE],"TOLBA",Tableau2[Colonne1],"CE1",Tableau2[Sexes],"G")</f>
        <v>8</v>
      </c>
      <c r="AZ30" s="509">
        <f>COUNTIFS(Tableau2[VILLAGE],"TOLBA",Tableau2[Colonne1],"CE2",Tableau2[Sexes],"G")</f>
        <v>0</v>
      </c>
      <c r="BA30" s="510">
        <f t="shared" ref="BA30" si="227">AX30*100/AX31</f>
        <v>0</v>
      </c>
      <c r="BB30" s="510">
        <f t="shared" ref="BB30" si="228">AY30*100/AY31</f>
        <v>57.142857142857146</v>
      </c>
      <c r="BC30" s="510">
        <v>0</v>
      </c>
      <c r="BD30" s="510">
        <f t="shared" si="218"/>
        <v>0</v>
      </c>
      <c r="BE30" s="510">
        <f t="shared" si="219"/>
        <v>4</v>
      </c>
      <c r="BF30" s="510">
        <f t="shared" si="220"/>
        <v>0</v>
      </c>
      <c r="BG30" s="510">
        <f t="shared" si="221"/>
        <v>0</v>
      </c>
      <c r="BH30" s="510">
        <f t="shared" si="222"/>
        <v>1.9704433497536946</v>
      </c>
      <c r="BI30" s="510">
        <f t="shared" si="223"/>
        <v>0</v>
      </c>
    </row>
    <row r="31" spans="3:61" ht="15.5" customHeight="1" thickBot="1" x14ac:dyDescent="0.35">
      <c r="C31" s="880"/>
      <c r="D31" s="878"/>
      <c r="E31" s="325" t="s">
        <v>658</v>
      </c>
      <c r="F31" s="333">
        <f>COUNTIFS(Tableau2[VILLAGE],"TOLBA")</f>
        <v>21</v>
      </c>
      <c r="G31" s="340">
        <f>SUM(G29:G30)</f>
        <v>100</v>
      </c>
      <c r="H31" s="340">
        <f t="shared" ref="H31:I31" si="229">SUM(H29:H30)</f>
        <v>5.3708439897698206</v>
      </c>
      <c r="I31" s="340">
        <f t="shared" si="229"/>
        <v>2.4561403508771926</v>
      </c>
      <c r="J31" s="333">
        <f t="shared" ref="J31:N46" si="230">SUM(J29:J30)</f>
        <v>21</v>
      </c>
      <c r="K31" s="333">
        <f t="shared" si="230"/>
        <v>0</v>
      </c>
      <c r="L31" s="343">
        <f t="shared" si="230"/>
        <v>100</v>
      </c>
      <c r="M31" s="343">
        <f>SUM(M29:M30)</f>
        <v>0</v>
      </c>
      <c r="N31" s="343">
        <f t="shared" si="203"/>
        <v>6.4024390243902438</v>
      </c>
      <c r="O31" s="343">
        <f t="shared" si="203"/>
        <v>0</v>
      </c>
      <c r="P31" s="343">
        <f t="shared" si="203"/>
        <v>2.6515151515151514</v>
      </c>
      <c r="Q31" s="343">
        <f t="shared" si="203"/>
        <v>0</v>
      </c>
      <c r="R31" s="333" t="s">
        <v>658</v>
      </c>
      <c r="S31" s="333">
        <f>COUNTIFS(Tableau2[VILLAGE],"TOLBA",Tableau2[[STATUT ]],"admis")</f>
        <v>14</v>
      </c>
      <c r="T31" s="333">
        <f>COUNTIFS(Tableau2[VILLAGE],"TOLBA",Tableau2[CE1-CE2],1)</f>
        <v>14</v>
      </c>
      <c r="U31" s="333">
        <f>COUNTIFS(Tableau2[VILLAGE],"TOLBA",Tableau2[CM1-CM2],1)</f>
        <v>0</v>
      </c>
      <c r="V31" s="343">
        <f t="shared" si="77"/>
        <v>100</v>
      </c>
      <c r="W31" s="849"/>
      <c r="X31" s="344">
        <f t="shared" ref="X31" si="231">SUM(X29:X30)</f>
        <v>14</v>
      </c>
      <c r="Y31" s="849"/>
      <c r="Z31" s="344">
        <f t="shared" ref="Z31" si="232">SUM(Z29:Z30)</f>
        <v>14</v>
      </c>
      <c r="AA31" s="849"/>
      <c r="AB31" s="333" t="s">
        <v>658</v>
      </c>
      <c r="AC31" s="333">
        <f>COUNTIFS(Tableau2[VILLAGE],"TOLBA",Tableau2[[STATUT ]],"Redouble")</f>
        <v>2</v>
      </c>
      <c r="AD31" s="333">
        <f t="shared" ref="AD31:AF46" si="233">SUM(AD29:AD30)</f>
        <v>2</v>
      </c>
      <c r="AE31" s="333">
        <f t="shared" si="233"/>
        <v>0</v>
      </c>
      <c r="AF31" s="343">
        <f t="shared" si="233"/>
        <v>100</v>
      </c>
      <c r="AG31" s="849"/>
      <c r="AH31" s="344">
        <f t="shared" ref="AH31" si="234">SUM(AH29:AH30)</f>
        <v>3.278688524590164</v>
      </c>
      <c r="AI31" s="849"/>
      <c r="AJ31" s="344">
        <f t="shared" ref="AJ31" si="235">SUM(AJ29:AJ30)</f>
        <v>1.2269938650306749</v>
      </c>
      <c r="AK31" s="849"/>
      <c r="AL31" s="333" t="s">
        <v>658</v>
      </c>
      <c r="AM31" s="333">
        <f>COUNTIFS(Tableau2[VILLAGE],"TOLBA",Tableau2[[STATUT ]],"Absent")</f>
        <v>5</v>
      </c>
      <c r="AN31" s="333">
        <f t="shared" ref="AN31:AP31" si="236">SUM(AN29:AN30)</f>
        <v>5</v>
      </c>
      <c r="AO31" s="333">
        <f t="shared" si="236"/>
        <v>0</v>
      </c>
      <c r="AP31" s="343">
        <f t="shared" si="236"/>
        <v>100</v>
      </c>
      <c r="AQ31" s="849"/>
      <c r="AR31" s="344">
        <f t="shared" ref="AR31" si="237">SUM(AR29:AR30)</f>
        <v>10</v>
      </c>
      <c r="AS31" s="849"/>
      <c r="AT31" s="344">
        <f t="shared" ref="AT31" si="238">SUM(AT29:AT30)</f>
        <v>3.8461538461538463</v>
      </c>
      <c r="AU31" s="849"/>
      <c r="AV31" s="342" t="s">
        <v>658</v>
      </c>
      <c r="AW31" s="530">
        <f t="shared" si="7"/>
        <v>16</v>
      </c>
      <c r="AX31" s="527">
        <f>SUM(AX29:AX30)</f>
        <v>2</v>
      </c>
      <c r="AY31" s="333">
        <f>SUM(AY29:AY30)</f>
        <v>14</v>
      </c>
      <c r="AZ31" s="333">
        <f>SUM(AZ29:AZ30)</f>
        <v>0</v>
      </c>
      <c r="BA31" s="517">
        <f t="shared" ref="BA31:BB31" si="239">SUM(BA29:BA30)</f>
        <v>100</v>
      </c>
      <c r="BB31" s="517">
        <f t="shared" si="239"/>
        <v>100</v>
      </c>
      <c r="BC31" s="517">
        <f t="shared" si="177"/>
        <v>0</v>
      </c>
      <c r="BD31" s="517">
        <f t="shared" ref="BD31:BI31" si="240">SUM(BD29:BD30)</f>
        <v>3.3333333333333335</v>
      </c>
      <c r="BE31" s="517">
        <f t="shared" si="240"/>
        <v>7</v>
      </c>
      <c r="BF31" s="517">
        <f t="shared" si="240"/>
        <v>0</v>
      </c>
      <c r="BG31" s="517">
        <f t="shared" si="240"/>
        <v>1.3605442176870748</v>
      </c>
      <c r="BH31" s="517">
        <f t="shared" si="240"/>
        <v>3.4482758620689653</v>
      </c>
      <c r="BI31" s="517">
        <f t="shared" si="240"/>
        <v>0</v>
      </c>
    </row>
    <row r="32" spans="3:61" ht="15.5" x14ac:dyDescent="0.35">
      <c r="C32" s="880"/>
      <c r="D32" s="876" t="s">
        <v>190</v>
      </c>
      <c r="E32" s="326" t="s">
        <v>1990</v>
      </c>
      <c r="F32" s="509">
        <f>COUNTIFS(Tableau2[VILLAGE],"WONSEALY",Tableau2[Sexes],"F")</f>
        <v>32</v>
      </c>
      <c r="G32" s="508">
        <f>F32*100/F34</f>
        <v>52.459016393442624</v>
      </c>
      <c r="H32" s="508">
        <f>F32*100/$F$40</f>
        <v>8.1841432225063944</v>
      </c>
      <c r="I32" s="508">
        <f>F32*100/$F$100</f>
        <v>3.742690058479532</v>
      </c>
      <c r="J32" s="509">
        <f>COUNTIFS(Tableau2[VILLAGE],"WONSEALY",Tableau2[CLASSE],"CPU",Tableau2[Sexes],"F")</f>
        <v>32</v>
      </c>
      <c r="K32" s="509">
        <f>COUNTIFS(Tableau2[VILLAGE],"WONSEALY",Tableau2[CLASSE],"CEU",Tableau2[Sexes],"F")</f>
        <v>0</v>
      </c>
      <c r="L32" s="510">
        <f>J32*100/J34</f>
        <v>52.459016393442624</v>
      </c>
      <c r="M32" s="510">
        <v>0</v>
      </c>
      <c r="N32" s="510">
        <f t="shared" ref="N32:N33" si="241">J32*100/$J$40</f>
        <v>9.7560975609756095</v>
      </c>
      <c r="O32" s="510">
        <f t="shared" ref="O32:O33" si="242">K32*100/$K$40</f>
        <v>0</v>
      </c>
      <c r="P32" s="510">
        <f t="shared" ref="P32:P33" si="243">J32*100/$J$100</f>
        <v>4.0404040404040407</v>
      </c>
      <c r="Q32" s="510">
        <f t="shared" ref="Q32:Q33" si="244">K32*100/$K$100</f>
        <v>0</v>
      </c>
      <c r="R32" s="326" t="s">
        <v>1990</v>
      </c>
      <c r="S32" s="509">
        <f>COUNTIFS(Tableau2[VILLAGE],"WONSEALY",Tableau2[[STATUT ]],"admis",Tableau2[Sexes],"F")</f>
        <v>21</v>
      </c>
      <c r="T32" s="509">
        <f>COUNTIFS(Tableau2[VILLAGE],"WONSEALY",Tableau2[CE1-CE2],1,Tableau2[Sexes],"F")</f>
        <v>21</v>
      </c>
      <c r="U32" s="509">
        <f>COUNTIFS(Tableau2[VILLAGE],"WONSEALY",Tableau2[CM1-CM2],1,Tableau2[Sexes],"F")</f>
        <v>0</v>
      </c>
      <c r="V32" s="510">
        <f t="shared" ref="V32" si="245">T32*100/T34</f>
        <v>48.837209302325583</v>
      </c>
      <c r="W32" s="847"/>
      <c r="X32" s="510">
        <f t="shared" ref="X32:X33" si="246">T32*100/$L$40</f>
        <v>21</v>
      </c>
      <c r="Y32" s="847"/>
      <c r="Z32" s="510">
        <f t="shared" ref="Z32:Z33" si="247">T32*100/$L$100</f>
        <v>21</v>
      </c>
      <c r="AA32" s="847"/>
      <c r="AB32" s="326" t="s">
        <v>1990</v>
      </c>
      <c r="AC32" s="509">
        <f>COUNTIFS(Tableau2[VILLAGE],"WONSEALY",Tableau2[[STATUT ]],"Redouble",Tableau2[Sexes],"F")</f>
        <v>5</v>
      </c>
      <c r="AD32" s="509">
        <f>COUNTIFS(Tableau2[VILLAGE],"WONSEALY",Tableau2[CLASSE],"CPU",Tableau2[[STATUT ]],"Redouble",Tableau2[Sexes],"F")</f>
        <v>5</v>
      </c>
      <c r="AE32" s="509">
        <f>COUNTIFS(Tableau2[VILLAGE],"WONSEALY",Tableau2[CLASSE],"CEU",Tableau2[[STATUT ]],"Redouble",Tableau2[Sexes],"F")</f>
        <v>0</v>
      </c>
      <c r="AF32" s="510">
        <f t="shared" ref="AF32" si="248">AD32*100/AD34</f>
        <v>62.5</v>
      </c>
      <c r="AG32" s="847"/>
      <c r="AH32" s="510">
        <f>AD32*100/AD40</f>
        <v>8.1967213114754092</v>
      </c>
      <c r="AI32" s="847"/>
      <c r="AJ32" s="510">
        <f>AD32*100/AD100</f>
        <v>3.0674846625766872</v>
      </c>
      <c r="AK32" s="847"/>
      <c r="AL32" s="326" t="s">
        <v>1990</v>
      </c>
      <c r="AM32" s="509">
        <f>COUNTIFS(Tableau2[VILLAGE],"WONSEALY",Tableau2[[STATUT ]],"Absent",Tableau2[Sexes],"F")</f>
        <v>6</v>
      </c>
      <c r="AN32" s="509">
        <f>COUNTIFS(Tableau2[VILLAGE],"WONSEALY",Tableau2[CLASSE],"CPU",Tableau2[[STATUT ]],"Absent",Tableau2[Sexes],"F")</f>
        <v>6</v>
      </c>
      <c r="AO32" s="509">
        <f>COUNTIFS(Tableau2[VILLAGE],"WONSEALY",Tableau2[CLASSE],"CEU",Tableau2[[STATUT ]],"Absent",Tableau2[Sexes],"F")</f>
        <v>0</v>
      </c>
      <c r="AP32" s="510">
        <f t="shared" ref="AP32" si="249">AN32*100/AN34</f>
        <v>60</v>
      </c>
      <c r="AQ32" s="847"/>
      <c r="AR32" s="510">
        <f>AN32*100/AN40</f>
        <v>12</v>
      </c>
      <c r="AS32" s="847"/>
      <c r="AT32" s="510">
        <f>AN32*100/AN100</f>
        <v>4.615384615384615</v>
      </c>
      <c r="AU32" s="847"/>
      <c r="AV32" s="345" t="s">
        <v>1990</v>
      </c>
      <c r="AW32" s="529">
        <f t="shared" si="7"/>
        <v>26</v>
      </c>
      <c r="AX32" s="509">
        <f>COUNTIFS(Tableau2[VILLAGE],"WONSEALY",Tableau2[Colonne1],"CP2",Tableau2[Sexes],"F")</f>
        <v>5</v>
      </c>
      <c r="AY32" s="509">
        <f>COUNTIFS(Tableau2[VILLAGE],"WONSEALY",Tableau2[Colonne1],"CE1",Tableau2[Sexes],"F")</f>
        <v>18</v>
      </c>
      <c r="AZ32" s="509">
        <f>COUNTIFS(Tableau2[VILLAGE],"WONSEALY",Tableau2[Colonne1],"CE2",Tableau2[Sexes],"F")</f>
        <v>3</v>
      </c>
      <c r="BA32" s="510">
        <f t="shared" ref="BA32:BC32" si="250">AX32*100/AX34</f>
        <v>62.5</v>
      </c>
      <c r="BB32" s="510">
        <f t="shared" si="250"/>
        <v>48.648648648648646</v>
      </c>
      <c r="BC32" s="510">
        <f t="shared" si="250"/>
        <v>50</v>
      </c>
      <c r="BD32" s="510">
        <f t="shared" ref="BD32:BD33" si="251">AX32*100/$AX$40</f>
        <v>8.3333333333333339</v>
      </c>
      <c r="BE32" s="510">
        <f t="shared" ref="BE32:BE33" si="252">AY32*100/$AY$40</f>
        <v>9</v>
      </c>
      <c r="BF32" s="510">
        <f t="shared" ref="BF32:BF33" si="253">AZ32*100/$AZ$40</f>
        <v>16.666666666666668</v>
      </c>
      <c r="BG32" s="510">
        <f t="shared" ref="BG32:BG33" si="254">AX32*100/$AX$100</f>
        <v>3.4013605442176869</v>
      </c>
      <c r="BH32" s="510">
        <f t="shared" ref="BH32:BH33" si="255">AY32*100/$AY$100</f>
        <v>4.4334975369458132</v>
      </c>
      <c r="BI32" s="510">
        <f t="shared" ref="BI32:BI33" si="256">AZ32*100/$AZ$100</f>
        <v>2.7522935779816513</v>
      </c>
    </row>
    <row r="33" spans="1:61" ht="16" thickBot="1" x14ac:dyDescent="0.4">
      <c r="C33" s="880"/>
      <c r="D33" s="877"/>
      <c r="E33" s="324" t="s">
        <v>665</v>
      </c>
      <c r="F33" s="509">
        <f>COUNTIFS(Tableau2[VILLAGE],"WONSEALY",Tableau2[Sexes],"G")</f>
        <v>29</v>
      </c>
      <c r="G33" s="508">
        <f>F33*100/F34</f>
        <v>47.540983606557376</v>
      </c>
      <c r="H33" s="508">
        <f>F33*100/$F$40</f>
        <v>7.4168797953964196</v>
      </c>
      <c r="I33" s="508">
        <f>F33*100/$F$100</f>
        <v>3.3918128654970761</v>
      </c>
      <c r="J33" s="509">
        <f>COUNTIFS(Tableau2[VILLAGE],"WONSEALY",Tableau2[CLASSE],"CPU",Tableau2[Sexes],"G")</f>
        <v>29</v>
      </c>
      <c r="K33" s="509">
        <f>COUNTIFS(Tableau2[VILLAGE],"WONSEALY",Tableau2[CLASSE],"CEU",Tableau2[Sexes],"G")</f>
        <v>0</v>
      </c>
      <c r="L33" s="510">
        <f>J33*100/J34</f>
        <v>47.540983606557376</v>
      </c>
      <c r="M33" s="510">
        <v>0</v>
      </c>
      <c r="N33" s="510">
        <f t="shared" si="241"/>
        <v>8.8414634146341466</v>
      </c>
      <c r="O33" s="510">
        <f t="shared" si="242"/>
        <v>0</v>
      </c>
      <c r="P33" s="510">
        <f t="shared" si="243"/>
        <v>3.6616161616161618</v>
      </c>
      <c r="Q33" s="510">
        <f t="shared" si="244"/>
        <v>0</v>
      </c>
      <c r="R33" s="324" t="s">
        <v>665</v>
      </c>
      <c r="S33" s="509">
        <f>COUNTIFS(Tableau2[VILLAGE],"WONSEALY",Tableau2[[STATUT ]],"admis",Tableau2[Sexes],"G")</f>
        <v>22</v>
      </c>
      <c r="T33" s="509">
        <f>COUNTIFS(Tableau2[VILLAGE],"WONSEALY",Tableau2[CE1-CE2],1,Tableau2[Sexes],"G")</f>
        <v>22</v>
      </c>
      <c r="U33" s="509">
        <f>COUNTIFS(Tableau2[VILLAGE],"WONSEALY",Tableau2[CM1-CM2],1,Tableau2[Sexes],"G")</f>
        <v>0</v>
      </c>
      <c r="V33" s="510">
        <f t="shared" ref="V33" si="257">T33*100/T34</f>
        <v>51.162790697674417</v>
      </c>
      <c r="W33" s="848"/>
      <c r="X33" s="510">
        <f t="shared" si="246"/>
        <v>22</v>
      </c>
      <c r="Y33" s="848"/>
      <c r="Z33" s="510">
        <f t="shared" si="247"/>
        <v>22</v>
      </c>
      <c r="AA33" s="848"/>
      <c r="AB33" s="324" t="s">
        <v>665</v>
      </c>
      <c r="AC33" s="509">
        <f>COUNTIFS(Tableau2[VILLAGE],"WONSEALY",Tableau2[[STATUT ]],"Redouble",Tableau2[Sexes],"G")</f>
        <v>3</v>
      </c>
      <c r="AD33" s="509">
        <f>COUNTIFS(Tableau2[VILLAGE],"WONSEALY",Tableau2[CLASSE],"CPU",Tableau2[[STATUT ]],"Redouble",Tableau2[Sexes],"G")</f>
        <v>3</v>
      </c>
      <c r="AE33" s="509">
        <f>COUNTIFS(Tableau2[VILLAGE],"WONSEALY",Tableau2[CLASSE],"CEU",Tableau2[[STATUT ]],"Redouble",Tableau2[Sexes],"G")</f>
        <v>0</v>
      </c>
      <c r="AF33" s="510">
        <f t="shared" ref="AF33" si="258">AD33*100/AD34</f>
        <v>37.5</v>
      </c>
      <c r="AG33" s="848"/>
      <c r="AH33" s="510">
        <f>AD33*100/AD40</f>
        <v>4.918032786885246</v>
      </c>
      <c r="AI33" s="848"/>
      <c r="AJ33" s="510">
        <f>AD33*100/AD100</f>
        <v>1.8404907975460123</v>
      </c>
      <c r="AK33" s="848"/>
      <c r="AL33" s="324" t="s">
        <v>665</v>
      </c>
      <c r="AM33" s="509">
        <f>COUNTIFS(Tableau2[VILLAGE],"WONSEALY",Tableau2[[STATUT ]],"Absent",Tableau2[Sexes],"G")</f>
        <v>4</v>
      </c>
      <c r="AN33" s="509">
        <f>COUNTIFS(Tableau2[VILLAGE],"WONSEALY",Tableau2[CLASSE],"CPU",Tableau2[[STATUT ]],"Absent",Tableau2[Sexes],"G")</f>
        <v>4</v>
      </c>
      <c r="AO33" s="509">
        <f>COUNTIFS(Tableau2[VILLAGE],"WONSEALY",Tableau2[CLASSE],"CEU",Tableau2[[STATUT ]],"Absent",Tableau2[Sexes],"G")</f>
        <v>0</v>
      </c>
      <c r="AP33" s="510">
        <f t="shared" ref="AP33" si="259">AN33*100/AN34</f>
        <v>40</v>
      </c>
      <c r="AQ33" s="848"/>
      <c r="AR33" s="510">
        <f>AN33*100/AN40</f>
        <v>8</v>
      </c>
      <c r="AS33" s="848"/>
      <c r="AT33" s="510">
        <f>AN33*100/AN100</f>
        <v>3.0769230769230771</v>
      </c>
      <c r="AU33" s="848"/>
      <c r="AV33" s="336" t="s">
        <v>665</v>
      </c>
      <c r="AW33" s="529">
        <f t="shared" si="7"/>
        <v>25</v>
      </c>
      <c r="AX33" s="509">
        <f>COUNTIFS(Tableau2[VILLAGE],"WONSEALY",Tableau2[Colonne1],"CP2",Tableau2[Sexes],"G")</f>
        <v>3</v>
      </c>
      <c r="AY33" s="509">
        <f>COUNTIFS(Tableau2[VILLAGE],"WONSEALY",Tableau2[Colonne1],"CE1",Tableau2[Sexes],"G")</f>
        <v>19</v>
      </c>
      <c r="AZ33" s="509">
        <f>COUNTIFS(Tableau2[VILLAGE],"WONSEALY",Tableau2[Colonne1],"CE2",Tableau2[Sexes],"G")</f>
        <v>3</v>
      </c>
      <c r="BA33" s="510">
        <f t="shared" ref="BA33" si="260">AX33*100/AX34</f>
        <v>37.5</v>
      </c>
      <c r="BB33" s="510">
        <f t="shared" ref="BB33" si="261">AY33*100/AY34</f>
        <v>51.351351351351354</v>
      </c>
      <c r="BC33" s="510">
        <f t="shared" ref="BC33" si="262">AZ33*100/AZ34</f>
        <v>50</v>
      </c>
      <c r="BD33" s="510">
        <f t="shared" si="251"/>
        <v>5</v>
      </c>
      <c r="BE33" s="510">
        <f t="shared" si="252"/>
        <v>9.5</v>
      </c>
      <c r="BF33" s="510">
        <f t="shared" si="253"/>
        <v>16.666666666666668</v>
      </c>
      <c r="BG33" s="510">
        <f t="shared" si="254"/>
        <v>2.0408163265306123</v>
      </c>
      <c r="BH33" s="510">
        <f t="shared" si="255"/>
        <v>4.6798029556650249</v>
      </c>
      <c r="BI33" s="510">
        <f t="shared" si="256"/>
        <v>2.7522935779816513</v>
      </c>
    </row>
    <row r="34" spans="1:61" ht="15.5" customHeight="1" thickBot="1" x14ac:dyDescent="0.35">
      <c r="C34" s="880"/>
      <c r="D34" s="878"/>
      <c r="E34" s="325" t="s">
        <v>658</v>
      </c>
      <c r="F34" s="333">
        <f>COUNTIFS(Tableau2[VILLAGE],"WONSEALY")</f>
        <v>61</v>
      </c>
      <c r="G34" s="340">
        <f>SUM(G32:G33)</f>
        <v>100</v>
      </c>
      <c r="H34" s="340">
        <f>SUM(H32:H33)</f>
        <v>15.601023017902815</v>
      </c>
      <c r="I34" s="340">
        <f t="shared" ref="I34" si="263">SUM(I32:I33)</f>
        <v>7.1345029239766085</v>
      </c>
      <c r="J34" s="333">
        <f t="shared" ref="J34" si="264">SUM(J32:J33)</f>
        <v>61</v>
      </c>
      <c r="K34" s="333">
        <f t="shared" si="230"/>
        <v>0</v>
      </c>
      <c r="L34" s="343">
        <f t="shared" si="230"/>
        <v>100</v>
      </c>
      <c r="M34" s="343">
        <f>SUM(M32:M33)</f>
        <v>0</v>
      </c>
      <c r="N34" s="343">
        <f t="shared" si="203"/>
        <v>18.597560975609756</v>
      </c>
      <c r="O34" s="343">
        <f t="shared" si="203"/>
        <v>0</v>
      </c>
      <c r="P34" s="343">
        <f t="shared" si="203"/>
        <v>7.7020202020202024</v>
      </c>
      <c r="Q34" s="343">
        <f t="shared" si="203"/>
        <v>0</v>
      </c>
      <c r="R34" s="333" t="s">
        <v>658</v>
      </c>
      <c r="S34" s="333">
        <f>COUNTIFS(Tableau2[VILLAGE],"WONSEALY",Tableau2[[STATUT ]],"admis")</f>
        <v>43</v>
      </c>
      <c r="T34" s="333">
        <f>COUNTIFS(Tableau2[VILLAGE],"WONSEALY",Tableau2[CE1-CE2],1)</f>
        <v>43</v>
      </c>
      <c r="U34" s="333">
        <f>COUNTIFS(Tableau2[VILLAGE],"WONSEALY",Tableau2[CM1-CM2],1)</f>
        <v>0</v>
      </c>
      <c r="V34" s="343">
        <f t="shared" ref="V34" si="265">SUM(V32:V33)</f>
        <v>100</v>
      </c>
      <c r="W34" s="849"/>
      <c r="X34" s="344">
        <f t="shared" ref="X34" si="266">SUM(X32:X33)</f>
        <v>43</v>
      </c>
      <c r="Y34" s="849"/>
      <c r="Z34" s="344">
        <f t="shared" ref="Z34" si="267">SUM(Z32:Z33)</f>
        <v>43</v>
      </c>
      <c r="AA34" s="849"/>
      <c r="AB34" s="333" t="s">
        <v>658</v>
      </c>
      <c r="AC34" s="333">
        <f>COUNTIFS(Tableau2[VILLAGE],"WONSEALY",Tableau2[[STATUT ]],"Redouble")</f>
        <v>8</v>
      </c>
      <c r="AD34" s="333">
        <f t="shared" ref="AD34" si="268">SUM(AD32:AD33)</f>
        <v>8</v>
      </c>
      <c r="AE34" s="333">
        <f t="shared" si="233"/>
        <v>0</v>
      </c>
      <c r="AF34" s="343">
        <f t="shared" si="233"/>
        <v>100</v>
      </c>
      <c r="AG34" s="849"/>
      <c r="AH34" s="344">
        <f t="shared" ref="AH34" si="269">SUM(AH32:AH33)</f>
        <v>13.114754098360656</v>
      </c>
      <c r="AI34" s="849"/>
      <c r="AJ34" s="344">
        <f t="shared" ref="AJ34" si="270">SUM(AJ32:AJ33)</f>
        <v>4.9079754601226995</v>
      </c>
      <c r="AK34" s="849"/>
      <c r="AL34" s="333" t="s">
        <v>658</v>
      </c>
      <c r="AM34" s="333">
        <f>COUNTIFS(Tableau2[VILLAGE],"WONSEALY",Tableau2[[STATUT ]],"Absent")</f>
        <v>10</v>
      </c>
      <c r="AN34" s="333">
        <f t="shared" ref="AN34:AP34" si="271">SUM(AN32:AN33)</f>
        <v>10</v>
      </c>
      <c r="AO34" s="333">
        <f t="shared" si="271"/>
        <v>0</v>
      </c>
      <c r="AP34" s="343">
        <f t="shared" si="271"/>
        <v>100</v>
      </c>
      <c r="AQ34" s="849"/>
      <c r="AR34" s="344">
        <f t="shared" ref="AR34" si="272">SUM(AR32:AR33)</f>
        <v>20</v>
      </c>
      <c r="AS34" s="849"/>
      <c r="AT34" s="344">
        <f t="shared" ref="AT34" si="273">SUM(AT32:AT33)</f>
        <v>7.6923076923076916</v>
      </c>
      <c r="AU34" s="849"/>
      <c r="AV34" s="342" t="s">
        <v>658</v>
      </c>
      <c r="AW34" s="530">
        <f t="shared" si="7"/>
        <v>51</v>
      </c>
      <c r="AX34" s="527">
        <f>SUM(AX32:AX33)</f>
        <v>8</v>
      </c>
      <c r="AY34" s="333">
        <f>SUM(AY32:AY33)</f>
        <v>37</v>
      </c>
      <c r="AZ34" s="333">
        <f>SUM(AZ32:AZ33)</f>
        <v>6</v>
      </c>
      <c r="BA34" s="517">
        <f t="shared" ref="BA34:BI34" si="274">SUM(BA32:BA33)</f>
        <v>100</v>
      </c>
      <c r="BB34" s="517">
        <f t="shared" si="274"/>
        <v>100</v>
      </c>
      <c r="BC34" s="517">
        <f t="shared" si="274"/>
        <v>100</v>
      </c>
      <c r="BD34" s="517">
        <f t="shared" si="274"/>
        <v>13.333333333333334</v>
      </c>
      <c r="BE34" s="517">
        <f t="shared" si="274"/>
        <v>18.5</v>
      </c>
      <c r="BF34" s="517">
        <f t="shared" si="274"/>
        <v>33.333333333333336</v>
      </c>
      <c r="BG34" s="517">
        <f t="shared" si="274"/>
        <v>5.4421768707482991</v>
      </c>
      <c r="BH34" s="517">
        <f t="shared" si="274"/>
        <v>9.1133004926108381</v>
      </c>
      <c r="BI34" s="517">
        <f t="shared" si="274"/>
        <v>5.5045871559633026</v>
      </c>
    </row>
    <row r="35" spans="1:61" ht="15.5" x14ac:dyDescent="0.35">
      <c r="C35" s="880"/>
      <c r="D35" s="876" t="s">
        <v>254</v>
      </c>
      <c r="E35" s="326" t="s">
        <v>1990</v>
      </c>
      <c r="F35" s="509">
        <f>COUNTIFS(Tableau2[VILLAGE],"YAOBLEKRO",Tableau2[Sexes],"F")</f>
        <v>12</v>
      </c>
      <c r="G35" s="508">
        <f>F35*100/F37</f>
        <v>52.173913043478258</v>
      </c>
      <c r="H35" s="508">
        <f>F35*100/$F$40</f>
        <v>3.0690537084398977</v>
      </c>
      <c r="I35" s="508">
        <f>F35*100/$F$100</f>
        <v>1.4035087719298245</v>
      </c>
      <c r="J35" s="509">
        <f>COUNTIFS(Tableau2[VILLAGE],"YAOBLEKRO",Tableau2[CLASSE],"CPU",Tableau2[Sexes],"F")</f>
        <v>12</v>
      </c>
      <c r="K35" s="509">
        <f>COUNTIFS(Tableau2[VILLAGE],"YAOBLEKRO",Tableau2[CLASSE],"CEU",Tableau2[Sexes],"F")</f>
        <v>0</v>
      </c>
      <c r="L35" s="510">
        <f>J35*100/J37</f>
        <v>52.173913043478258</v>
      </c>
      <c r="M35" s="510">
        <v>0</v>
      </c>
      <c r="N35" s="510">
        <f t="shared" ref="N35:N39" si="275">J35*100/$J$40</f>
        <v>3.6585365853658538</v>
      </c>
      <c r="O35" s="510">
        <f t="shared" ref="O35:O36" si="276">K35*100/$K$40</f>
        <v>0</v>
      </c>
      <c r="P35" s="510">
        <f t="shared" ref="P35:P36" si="277">J35*100/$J$100</f>
        <v>1.5151515151515151</v>
      </c>
      <c r="Q35" s="510">
        <f t="shared" ref="Q35:Q36" si="278">K35*100/$K$100</f>
        <v>0</v>
      </c>
      <c r="R35" s="326" t="s">
        <v>1990</v>
      </c>
      <c r="S35" s="509">
        <f>COUNTIFS(Tableau2[VILLAGE],"YAOBLEKRO",Tableau2[[STATUT ]],"admis",Tableau2[Sexes],"F")</f>
        <v>8</v>
      </c>
      <c r="T35" s="509">
        <f>COUNTIFS(Tableau2[VILLAGE],"YAOBLEKRO",Tableau2[CE1-CE2],1,Tableau2[Sexes],"F")</f>
        <v>8</v>
      </c>
      <c r="U35" s="509">
        <f>COUNTIFS(Tableau2[VILLAGE],"YAOBLEKRO",Tableau2[CM1-CM2],1,Tableau2[Sexes],"F")</f>
        <v>0</v>
      </c>
      <c r="V35" s="510">
        <f>T35*100/T37</f>
        <v>50</v>
      </c>
      <c r="W35" s="847"/>
      <c r="X35" s="510">
        <f>T35*100/$L$40</f>
        <v>8</v>
      </c>
      <c r="Y35" s="847"/>
      <c r="Z35" s="510">
        <f>T35*100/$L$100</f>
        <v>8</v>
      </c>
      <c r="AA35" s="847"/>
      <c r="AB35" s="326" t="s">
        <v>1990</v>
      </c>
      <c r="AC35" s="509">
        <f>COUNTIFS(Tableau2[VILLAGE],"YAOBLEKRO",Tableau2[[STATUT ]],"Redouble",Tableau2[Sexes],"F")</f>
        <v>3</v>
      </c>
      <c r="AD35" s="509">
        <f>COUNTIFS(Tableau2[VILLAGE],"YAOBLEKRO",Tableau2[CLASSE],"CPU",Tableau2[[STATUT ]],"Redouble",Tableau2[Sexes],"F")</f>
        <v>3</v>
      </c>
      <c r="AE35" s="509">
        <f>COUNTIFS(Tableau2[VILLAGE],"YAOBLEKRO",Tableau2[CLASSE],"CEU",Tableau2[[STATUT ]],"Redouble",Tableau2[Sexes],"F")</f>
        <v>0</v>
      </c>
      <c r="AF35" s="510">
        <f t="shared" ref="AF35" si="279">AD35*100/AD37</f>
        <v>60</v>
      </c>
      <c r="AG35" s="847"/>
      <c r="AH35" s="510">
        <f>AD35*100/AD40</f>
        <v>4.918032786885246</v>
      </c>
      <c r="AI35" s="847"/>
      <c r="AJ35" s="510">
        <f>AD35*100/AD100</f>
        <v>1.8404907975460123</v>
      </c>
      <c r="AK35" s="847"/>
      <c r="AL35" s="326" t="s">
        <v>1990</v>
      </c>
      <c r="AM35" s="509">
        <f>COUNTIFS(Tableau2[VILLAGE],"YAOBLEKRO",Tableau2[[STATUT ]],"Absent",Tableau2[Sexes],"F")</f>
        <v>1</v>
      </c>
      <c r="AN35" s="509">
        <f>COUNTIFS(Tableau2[VILLAGE],"YAOBLEKRO",Tableau2[CLASSE],"CPU",Tableau2[[STATUT ]],"Absent",Tableau2[Sexes],"F")</f>
        <v>1</v>
      </c>
      <c r="AO35" s="509">
        <f>COUNTIFS(Tableau2[VILLAGE],"YAOBLEKRO",Tableau2[CLASSE],"CEU",Tableau2[[STATUT ]],"Absent",Tableau2[Sexes],"F")</f>
        <v>0</v>
      </c>
      <c r="AP35" s="510">
        <f t="shared" ref="AP35" si="280">AN35*100/AN37</f>
        <v>50</v>
      </c>
      <c r="AQ35" s="847"/>
      <c r="AR35" s="510">
        <f>AN35*100/AN40</f>
        <v>2</v>
      </c>
      <c r="AS35" s="847"/>
      <c r="AT35" s="510">
        <f>AN35*100/AN100</f>
        <v>0.76923076923076927</v>
      </c>
      <c r="AU35" s="847"/>
      <c r="AV35" s="345" t="s">
        <v>1990</v>
      </c>
      <c r="AW35" s="529">
        <f t="shared" si="7"/>
        <v>11</v>
      </c>
      <c r="AX35" s="509">
        <f>COUNTIFS(Tableau2[VILLAGE],"YAOBLEKRO",Tableau2[Colonne1],"CP2",Tableau2[Sexes],"F")</f>
        <v>3</v>
      </c>
      <c r="AY35" s="509">
        <f>COUNTIFS(Tableau2[VILLAGE],"YAOBLEKRO",Tableau2[Colonne1],"CE1",Tableau2[Sexes],"F")</f>
        <v>8</v>
      </c>
      <c r="AZ35" s="509">
        <f>COUNTIFS(Tableau2[VILLAGE],"YAOBLEKRO",Tableau2[Colonne1],"CE2",Tableau2[Sexes],"F")</f>
        <v>0</v>
      </c>
      <c r="BA35" s="510">
        <f t="shared" ref="BA35:BC35" si="281">AX35*100/AX37</f>
        <v>60</v>
      </c>
      <c r="BB35" s="510">
        <f t="shared" si="281"/>
        <v>57.142857142857146</v>
      </c>
      <c r="BC35" s="510">
        <f t="shared" si="281"/>
        <v>0</v>
      </c>
      <c r="BD35" s="510">
        <f t="shared" ref="BD35:BD36" si="282">AX35*100/$AX$40</f>
        <v>5</v>
      </c>
      <c r="BE35" s="510">
        <f t="shared" ref="BE35:BE36" si="283">AY35*100/$AY$40</f>
        <v>4</v>
      </c>
      <c r="BF35" s="510">
        <f t="shared" ref="BF35:BF36" si="284">AZ35*100/$AZ$40</f>
        <v>0</v>
      </c>
      <c r="BG35" s="510">
        <f t="shared" ref="BG35:BG36" si="285">AX35*100/$AX$100</f>
        <v>2.0408163265306123</v>
      </c>
      <c r="BH35" s="510">
        <f t="shared" ref="BH35:BH36" si="286">AY35*100/$AY$100</f>
        <v>1.9704433497536946</v>
      </c>
      <c r="BI35" s="510">
        <f t="shared" ref="BI35:BI36" si="287">AZ35*100/$AZ$100</f>
        <v>0</v>
      </c>
    </row>
    <row r="36" spans="1:61" ht="16" thickBot="1" x14ac:dyDescent="0.4">
      <c r="C36" s="880"/>
      <c r="D36" s="877"/>
      <c r="E36" s="324" t="s">
        <v>665</v>
      </c>
      <c r="F36" s="509">
        <f>COUNTIFS(Tableau2[VILLAGE],"YAOBLEKRO",Tableau2[Sexes],"G")</f>
        <v>11</v>
      </c>
      <c r="G36" s="508">
        <f>F36*100/F37</f>
        <v>47.826086956521742</v>
      </c>
      <c r="H36" s="508">
        <f>F36*100/$F$40</f>
        <v>2.8132992327365729</v>
      </c>
      <c r="I36" s="508">
        <f>F36*100/$F$100</f>
        <v>1.2865497076023391</v>
      </c>
      <c r="J36" s="509">
        <f>COUNTIFS(Tableau2[VILLAGE],"YAOBLEKRO",Tableau2[CLASSE],"CPU",Tableau2[Sexes],"G")</f>
        <v>11</v>
      </c>
      <c r="K36" s="509">
        <f>COUNTIFS(Tableau2[VILLAGE],"YAOBLEKRO",Tableau2[CLASSE],"CEU",Tableau2[Sexes],"G")</f>
        <v>0</v>
      </c>
      <c r="L36" s="510">
        <f>J36*100/J37</f>
        <v>47.826086956521742</v>
      </c>
      <c r="M36" s="510">
        <v>0</v>
      </c>
      <c r="N36" s="510">
        <f t="shared" si="275"/>
        <v>3.3536585365853657</v>
      </c>
      <c r="O36" s="510">
        <f t="shared" si="276"/>
        <v>0</v>
      </c>
      <c r="P36" s="510">
        <f t="shared" si="277"/>
        <v>1.3888888888888888</v>
      </c>
      <c r="Q36" s="510">
        <f t="shared" si="278"/>
        <v>0</v>
      </c>
      <c r="R36" s="324" t="s">
        <v>665</v>
      </c>
      <c r="S36" s="509">
        <f>COUNTIFS(Tableau2[VILLAGE],"YAOBLEKRO",Tableau2[[STATUT ]],"admis",Tableau2[Sexes],"G")</f>
        <v>8</v>
      </c>
      <c r="T36" s="509">
        <f>COUNTIFS(Tableau2[VILLAGE],"YAOBLEKRO",Tableau2[CE1-CE2],1,Tableau2[Sexes],"G")</f>
        <v>8</v>
      </c>
      <c r="U36" s="509">
        <f>COUNTIFS(Tableau2[VILLAGE],"YAOBLEKRO",Tableau2[CM1-CM2],1,Tableau2[Sexes],"G")</f>
        <v>0</v>
      </c>
      <c r="V36" s="510">
        <f>T36*100/T37</f>
        <v>50</v>
      </c>
      <c r="W36" s="848"/>
      <c r="X36" s="510">
        <f>T36*100/$L$40</f>
        <v>8</v>
      </c>
      <c r="Y36" s="848"/>
      <c r="Z36" s="510">
        <f t="shared" ref="Z36" si="288">T36*100/$L$100</f>
        <v>8</v>
      </c>
      <c r="AA36" s="848"/>
      <c r="AB36" s="324" t="s">
        <v>665</v>
      </c>
      <c r="AC36" s="509">
        <f>COUNTIFS(Tableau2[VILLAGE],"YAOBLEKRO",Tableau2[[STATUT ]],"Redouble",Tableau2[Sexes],"G")</f>
        <v>2</v>
      </c>
      <c r="AD36" s="509">
        <f>COUNTIFS(Tableau2[VILLAGE],"YAOBLEKRO",Tableau2[CLASSE],"CPU",Tableau2[[STATUT ]],"Redouble",Tableau2[Sexes],"G")</f>
        <v>2</v>
      </c>
      <c r="AE36" s="509">
        <f>COUNTIFS(Tableau2[VILLAGE],"YAOBLEKRO",Tableau2[CLASSE],"CEU",Tableau2[[STATUT ]],"Redouble",Tableau2[Sexes],"G")</f>
        <v>0</v>
      </c>
      <c r="AF36" s="510">
        <f t="shared" ref="AF36" si="289">AD36*100/AD37</f>
        <v>40</v>
      </c>
      <c r="AG36" s="848"/>
      <c r="AH36" s="510">
        <f>AD36*100/AD40</f>
        <v>3.278688524590164</v>
      </c>
      <c r="AI36" s="848"/>
      <c r="AJ36" s="510">
        <f>AD36*100/AD100</f>
        <v>1.2269938650306749</v>
      </c>
      <c r="AK36" s="848"/>
      <c r="AL36" s="324" t="s">
        <v>665</v>
      </c>
      <c r="AM36" s="509">
        <f>COUNTIFS(Tableau2[VILLAGE],"YAOBLEKRO",Tableau2[[STATUT ]],"Absent",Tableau2[Sexes],"G")</f>
        <v>1</v>
      </c>
      <c r="AN36" s="509">
        <f>COUNTIFS(Tableau2[VILLAGE],"YAOBLEKRO",Tableau2[CLASSE],"CPU",Tableau2[[STATUT ]],"Absent",Tableau2[Sexes],"G")</f>
        <v>1</v>
      </c>
      <c r="AO36" s="509">
        <f>COUNTIFS(Tableau2[VILLAGE],"YAOBLEKRO",Tableau2[CLASSE],"CEU",Tableau2[[STATUT ]],"Absent",Tableau2[Sexes],"G")</f>
        <v>0</v>
      </c>
      <c r="AP36" s="510">
        <f t="shared" ref="AP36" si="290">AN36*100/AN37</f>
        <v>50</v>
      </c>
      <c r="AQ36" s="848"/>
      <c r="AR36" s="510">
        <f>AN36*100/AN40</f>
        <v>2</v>
      </c>
      <c r="AS36" s="848"/>
      <c r="AT36" s="510">
        <f>AN36*100/AN100</f>
        <v>0.76923076923076927</v>
      </c>
      <c r="AU36" s="848"/>
      <c r="AV36" s="336" t="s">
        <v>665</v>
      </c>
      <c r="AW36" s="529">
        <f t="shared" si="7"/>
        <v>10</v>
      </c>
      <c r="AX36" s="509">
        <f>COUNTIFS(Tableau2[VILLAGE],"YAOBLEKRO",Tableau2[Colonne1],"CP2",Tableau2[Sexes],"G")</f>
        <v>2</v>
      </c>
      <c r="AY36" s="509">
        <f>COUNTIFS(Tableau2[VILLAGE],"YAOBLEKRO",Tableau2[Colonne1],"CE1",Tableau2[Sexes],"G")</f>
        <v>6</v>
      </c>
      <c r="AZ36" s="509">
        <f>COUNTIFS(Tableau2[VILLAGE],"YAOBLEKRO",Tableau2[Colonne1],"CE2",Tableau2[Sexes],"G")</f>
        <v>2</v>
      </c>
      <c r="BA36" s="510">
        <f t="shared" ref="BA36" si="291">AX36*100/AX37</f>
        <v>40</v>
      </c>
      <c r="BB36" s="510">
        <f t="shared" ref="BB36" si="292">AY36*100/AY37</f>
        <v>42.857142857142854</v>
      </c>
      <c r="BC36" s="510">
        <f t="shared" ref="BC36" si="293">AZ36*100/AZ37</f>
        <v>100</v>
      </c>
      <c r="BD36" s="510">
        <f t="shared" si="282"/>
        <v>3.3333333333333335</v>
      </c>
      <c r="BE36" s="510">
        <f t="shared" si="283"/>
        <v>3</v>
      </c>
      <c r="BF36" s="510">
        <f t="shared" si="284"/>
        <v>11.111111111111111</v>
      </c>
      <c r="BG36" s="510">
        <f t="shared" si="285"/>
        <v>1.3605442176870748</v>
      </c>
      <c r="BH36" s="510">
        <f t="shared" si="286"/>
        <v>1.4778325123152709</v>
      </c>
      <c r="BI36" s="510">
        <f t="shared" si="287"/>
        <v>1.834862385321101</v>
      </c>
    </row>
    <row r="37" spans="1:61" ht="15.5" customHeight="1" thickBot="1" x14ac:dyDescent="0.35">
      <c r="C37" s="881"/>
      <c r="D37" s="878"/>
      <c r="E37" s="325" t="s">
        <v>658</v>
      </c>
      <c r="F37" s="333">
        <f>COUNTIFS(Tableau2[VILLAGE],"YAOBLEKRO")</f>
        <v>23</v>
      </c>
      <c r="G37" s="340">
        <f>SUM(G35:G36)</f>
        <v>100</v>
      </c>
      <c r="H37" s="340">
        <f>SUM(H35:H36)</f>
        <v>5.882352941176471</v>
      </c>
      <c r="I37" s="340">
        <f t="shared" ref="I37" si="294">SUM(I35:I36)</f>
        <v>2.6900584795321638</v>
      </c>
      <c r="J37" s="333">
        <f t="shared" ref="J37" si="295">SUM(J35:J36)</f>
        <v>23</v>
      </c>
      <c r="K37" s="333">
        <f t="shared" si="230"/>
        <v>0</v>
      </c>
      <c r="L37" s="343">
        <f t="shared" si="230"/>
        <v>100</v>
      </c>
      <c r="M37" s="343">
        <f>SUM(M35:M36)</f>
        <v>0</v>
      </c>
      <c r="N37" s="343">
        <f t="shared" si="203"/>
        <v>7.0121951219512191</v>
      </c>
      <c r="O37" s="343">
        <f t="shared" si="203"/>
        <v>0</v>
      </c>
      <c r="P37" s="343">
        <f t="shared" si="203"/>
        <v>2.904040404040404</v>
      </c>
      <c r="Q37" s="343">
        <f t="shared" si="203"/>
        <v>0</v>
      </c>
      <c r="R37" s="333" t="s">
        <v>658</v>
      </c>
      <c r="S37" s="333">
        <f>COUNTIFS(Tableau2[VILLAGE],"YAOBLEKRO",Tableau2[[STATUT ]],"admis")</f>
        <v>16</v>
      </c>
      <c r="T37" s="333">
        <f>COUNTIFS(Tableau2[VILLAGE],"YAOBLEKRO",Tableau2[CE1-CE2],1)</f>
        <v>16</v>
      </c>
      <c r="U37" s="333">
        <f>COUNTIFS(Tableau2[VILLAGE],"YAOBLEKRO",Tableau2[CM1-CM2],1)</f>
        <v>0</v>
      </c>
      <c r="V37" s="343">
        <f>SUM(V35:V36)</f>
        <v>100</v>
      </c>
      <c r="W37" s="849"/>
      <c r="X37" s="344">
        <f t="shared" ref="X37" si="296">SUM(X35:X36)</f>
        <v>16</v>
      </c>
      <c r="Y37" s="849"/>
      <c r="Z37" s="344">
        <f t="shared" ref="Z37" si="297">SUM(Z35:Z36)</f>
        <v>16</v>
      </c>
      <c r="AA37" s="849"/>
      <c r="AB37" s="333" t="s">
        <v>658</v>
      </c>
      <c r="AC37" s="333">
        <f>COUNTIFS(Tableau2[VILLAGE],"YAOBLEKRO",Tableau2[[STATUT ]],"Redouble")</f>
        <v>5</v>
      </c>
      <c r="AD37" s="333">
        <f t="shared" ref="AD37" si="298">SUM(AD35:AD36)</f>
        <v>5</v>
      </c>
      <c r="AE37" s="333">
        <f t="shared" si="233"/>
        <v>0</v>
      </c>
      <c r="AF37" s="343">
        <f t="shared" si="233"/>
        <v>100</v>
      </c>
      <c r="AG37" s="849"/>
      <c r="AH37" s="344">
        <f t="shared" ref="AH37" si="299">SUM(AH35:AH36)</f>
        <v>8.1967213114754109</v>
      </c>
      <c r="AI37" s="849"/>
      <c r="AJ37" s="344">
        <f t="shared" ref="AJ37" si="300">SUM(AJ35:AJ36)</f>
        <v>3.0674846625766872</v>
      </c>
      <c r="AK37" s="849"/>
      <c r="AL37" s="333" t="s">
        <v>658</v>
      </c>
      <c r="AM37" s="333">
        <f>COUNTIFS(Tableau2[VILLAGE],"YAOBLEKRO",Tableau2[[STATUT ]],"Absent")</f>
        <v>2</v>
      </c>
      <c r="AN37" s="333">
        <f t="shared" ref="AN37:AP37" si="301">SUM(AN35:AN36)</f>
        <v>2</v>
      </c>
      <c r="AO37" s="333">
        <f t="shared" si="301"/>
        <v>0</v>
      </c>
      <c r="AP37" s="343">
        <f t="shared" si="301"/>
        <v>100</v>
      </c>
      <c r="AQ37" s="849"/>
      <c r="AR37" s="344">
        <f t="shared" ref="AR37" si="302">SUM(AR35:AR36)</f>
        <v>4</v>
      </c>
      <c r="AS37" s="849"/>
      <c r="AT37" s="344">
        <f t="shared" ref="AT37" si="303">SUM(AT35:AT36)</f>
        <v>1.5384615384615385</v>
      </c>
      <c r="AU37" s="849"/>
      <c r="AV37" s="342" t="s">
        <v>658</v>
      </c>
      <c r="AW37" s="530">
        <f t="shared" si="7"/>
        <v>21</v>
      </c>
      <c r="AX37" s="527">
        <f>SUM(AX35:AX36)</f>
        <v>5</v>
      </c>
      <c r="AY37" s="333">
        <f>SUM(AY35:AY36)</f>
        <v>14</v>
      </c>
      <c r="AZ37" s="333">
        <f>SUM(AZ35:AZ36)</f>
        <v>2</v>
      </c>
      <c r="BA37" s="517">
        <f t="shared" ref="BA37:BI37" si="304">SUM(BA35:BA36)</f>
        <v>100</v>
      </c>
      <c r="BB37" s="517">
        <f t="shared" si="304"/>
        <v>100</v>
      </c>
      <c r="BC37" s="517">
        <f t="shared" si="304"/>
        <v>100</v>
      </c>
      <c r="BD37" s="517">
        <f t="shared" si="304"/>
        <v>8.3333333333333339</v>
      </c>
      <c r="BE37" s="517">
        <f t="shared" si="304"/>
        <v>7</v>
      </c>
      <c r="BF37" s="517">
        <f t="shared" si="304"/>
        <v>11.111111111111111</v>
      </c>
      <c r="BG37" s="517">
        <f t="shared" si="304"/>
        <v>3.4013605442176873</v>
      </c>
      <c r="BH37" s="517">
        <f t="shared" si="304"/>
        <v>3.4482758620689653</v>
      </c>
      <c r="BI37" s="517">
        <f t="shared" si="304"/>
        <v>1.834862385321101</v>
      </c>
    </row>
    <row r="38" spans="1:61" ht="15.5" x14ac:dyDescent="0.35">
      <c r="A38" s="692"/>
      <c r="B38" s="697"/>
      <c r="C38" s="882" t="s">
        <v>1991</v>
      </c>
      <c r="D38" s="883"/>
      <c r="E38" s="327" t="s">
        <v>1990</v>
      </c>
      <c r="F38" s="509">
        <f>COUNTIFS(Tableau2[DEPARTEMENT],"BUYO",Tableau2[Sexes],"F")</f>
        <v>181</v>
      </c>
      <c r="G38" s="847"/>
      <c r="H38" s="511">
        <f>F38*100/$F$40</f>
        <v>46.291560102301787</v>
      </c>
      <c r="I38" s="508">
        <f>F38*100/$F$100</f>
        <v>21.169590643274855</v>
      </c>
      <c r="J38" s="509">
        <f>COUNTIFS(Tableau2[DEPARTEMENT],"BUYO",Tableau2[CLASSE],"CPU",Tableau2[Sexes],"F")</f>
        <v>150</v>
      </c>
      <c r="K38" s="509">
        <f>COUNTIFS(Tableau2[DEPARTEMENT],"BUYO",Tableau2[CLASSE],"CEU",Tableau2[Sexes],"F")</f>
        <v>31</v>
      </c>
      <c r="L38" s="510">
        <f>J38*100/J40</f>
        <v>45.731707317073173</v>
      </c>
      <c r="M38" s="510">
        <f>K38*100/K40</f>
        <v>49.206349206349209</v>
      </c>
      <c r="N38" s="510">
        <f t="shared" si="275"/>
        <v>45.731707317073173</v>
      </c>
      <c r="O38" s="510">
        <f t="shared" ref="O38:O39" si="305">K38*100/$K$40</f>
        <v>49.206349206349209</v>
      </c>
      <c r="P38" s="510">
        <f t="shared" ref="P38:P39" si="306">J38*100/$J$100</f>
        <v>18.939393939393938</v>
      </c>
      <c r="Q38" s="510">
        <f t="shared" ref="Q38:Q39" si="307">K38*100/$K$100</f>
        <v>49.206349206349209</v>
      </c>
      <c r="R38" s="327" t="s">
        <v>1990</v>
      </c>
      <c r="S38" s="509">
        <f>COUNTIFS(Tableau2[DEPARTEMENT],"BUYO",Tableau2[[STATUT ]],"admis",Tableau2[Sexes],"F")</f>
        <v>123</v>
      </c>
      <c r="T38" s="509">
        <f>COUNTIFS(Tableau2[DEPARTEMENT],"BUYO",Tableau2[CE1-CE2],1,Tableau2[Sexes],"F")</f>
        <v>101</v>
      </c>
      <c r="U38" s="509">
        <f>COUNTIFS(Tableau2[DEPARTEMENT],"BUYO",Tableau2[CM1-CM2],1,Tableau2[Sexes],"F")</f>
        <v>22</v>
      </c>
      <c r="V38" s="841"/>
      <c r="W38" s="842"/>
      <c r="X38" s="510">
        <f>T38*100/$L$40</f>
        <v>101</v>
      </c>
      <c r="Y38" s="510">
        <f>U38*100/$M$40</f>
        <v>22</v>
      </c>
      <c r="Z38" s="510">
        <f>T38*100/$L$100</f>
        <v>101</v>
      </c>
      <c r="AA38" s="510">
        <f>U38*100/$M$100</f>
        <v>22</v>
      </c>
      <c r="AB38" s="327" t="s">
        <v>1990</v>
      </c>
      <c r="AC38" s="509">
        <f>COUNTIFS(Tableau2[DEPARTEMENT],"BUYO",Tableau2[[STATUT ]],"Redouble",Tableau2[Sexes],"F")</f>
        <v>35</v>
      </c>
      <c r="AD38" s="509">
        <f>COUNTIFS(Tableau2[DEPARTEMENT],"BUYO",Tableau2[CLASSE],"CPU",Tableau2[[STATUT ]],"Redouble",Tableau2[Sexes],"F")</f>
        <v>28</v>
      </c>
      <c r="AE38" s="509">
        <f>COUNTIFS(Tableau2[DEPARTEMENT],"BUYO",Tableau2[CLASSE],"CEU",Tableau2[[STATUT ]],"Redouble",Tableau2[Sexes],"F")</f>
        <v>7</v>
      </c>
      <c r="AF38" s="841"/>
      <c r="AG38" s="842"/>
      <c r="AH38" s="510">
        <f>AD38*100/AD40</f>
        <v>45.901639344262293</v>
      </c>
      <c r="AI38" s="510">
        <f>AE38*100/AE40</f>
        <v>77.777777777777771</v>
      </c>
      <c r="AJ38" s="510">
        <f>AD38*100/AD100</f>
        <v>17.177914110429448</v>
      </c>
      <c r="AK38" s="510">
        <f>AE38*100/AE100</f>
        <v>77.777777777777771</v>
      </c>
      <c r="AL38" s="327" t="s">
        <v>1990</v>
      </c>
      <c r="AM38" s="509">
        <f>COUNTIFS(Tableau2[DEPARTEMENT],"BUYO",Tableau2[[STATUT ]],"Absent",Tableau2[Sexes],"F")</f>
        <v>23</v>
      </c>
      <c r="AN38" s="509">
        <f>COUNTIFS(Tableau2[DEPARTEMENT],"BUYO",Tableau2[CLASSE],"CPU",Tableau2[[STATUT ]],"Absent",Tableau2[Sexes],"F")</f>
        <v>21</v>
      </c>
      <c r="AO38" s="509">
        <f>COUNTIFS(Tableau2[DEPARTEMENT],"BUYO",Tableau2[CLASSE],"CEU",Tableau2[[STATUT ]],"Absent",Tableau2[Sexes],"F")</f>
        <v>2</v>
      </c>
      <c r="AP38" s="841"/>
      <c r="AQ38" s="842"/>
      <c r="AR38" s="510">
        <f>AN38*100/AN40</f>
        <v>42</v>
      </c>
      <c r="AS38" s="510">
        <f>AO38*100/AO40</f>
        <v>33.333333333333336</v>
      </c>
      <c r="AT38" s="510">
        <f>AN38*100/AN100</f>
        <v>16.153846153846153</v>
      </c>
      <c r="AU38" s="510">
        <f>AO38*100/AO100</f>
        <v>33.333333333333336</v>
      </c>
      <c r="AV38" s="523" t="s">
        <v>1990</v>
      </c>
      <c r="AW38" s="529">
        <f t="shared" si="7"/>
        <v>129</v>
      </c>
      <c r="AX38" s="509">
        <f>COUNTIFS(Tableau2[DEPARTEMENT],"BUYO",Tableau2[Colonne1],"CP2",Tableau2[Sexes],"F")</f>
        <v>28</v>
      </c>
      <c r="AY38" s="509">
        <f>COUNTIFS(Tableau2[DEPARTEMENT],"BUYO",Tableau2[Colonne1],"CE1",Tableau2[Sexes],"F")</f>
        <v>95</v>
      </c>
      <c r="AZ38" s="509">
        <f>COUNTIFS(Tableau2[DEPARTEMENT],"BUYO",Tableau2[Colonne1],"CE2",Tableau2[Sexes],"F")</f>
        <v>6</v>
      </c>
      <c r="BA38" s="510">
        <f t="shared" ref="BA38:BC38" si="308">AX38*100/AX40</f>
        <v>46.666666666666664</v>
      </c>
      <c r="BB38" s="510">
        <f t="shared" si="308"/>
        <v>47.5</v>
      </c>
      <c r="BC38" s="510">
        <f t="shared" si="308"/>
        <v>33.333333333333336</v>
      </c>
      <c r="BD38" s="510">
        <f>AX38*100/$AX$40</f>
        <v>46.666666666666664</v>
      </c>
      <c r="BE38" s="510">
        <f t="shared" ref="BE38:BE39" si="309">AY38*100/$AY$40</f>
        <v>47.5</v>
      </c>
      <c r="BF38" s="510">
        <f t="shared" ref="BF38:BF39" si="310">AZ38*100/$AZ$40</f>
        <v>33.333333333333336</v>
      </c>
      <c r="BG38" s="510">
        <f t="shared" ref="BG38:BG39" si="311">AX38*100/$AX$100</f>
        <v>19.047619047619047</v>
      </c>
      <c r="BH38" s="510">
        <f t="shared" ref="BH38:BH39" si="312">AY38*100/$AY$100</f>
        <v>23.399014778325125</v>
      </c>
      <c r="BI38" s="510">
        <f t="shared" ref="BI38:BI39" si="313">AZ38*100/$AZ$100</f>
        <v>5.5045871559633026</v>
      </c>
    </row>
    <row r="39" spans="1:61" ht="16" thickBot="1" x14ac:dyDescent="0.4">
      <c r="A39" s="693"/>
      <c r="B39" s="698"/>
      <c r="C39" s="884"/>
      <c r="D39" s="885"/>
      <c r="E39" s="328" t="s">
        <v>665</v>
      </c>
      <c r="F39" s="509">
        <f>COUNTIFS(Tableau2[DEPARTEMENT],"BUYO",Tableau2[Sexes],"G")</f>
        <v>210</v>
      </c>
      <c r="G39" s="848"/>
      <c r="H39" s="511">
        <f>F39*100/$F$40</f>
        <v>53.708439897698213</v>
      </c>
      <c r="I39" s="508">
        <f>F39*100/$F$100</f>
        <v>24.561403508771932</v>
      </c>
      <c r="J39" s="509">
        <f>COUNTIFS(Tableau2[DEPARTEMENT],"BUYO",Tableau2[CLASSE],"CPU",Tableau2[Sexes],"G")</f>
        <v>178</v>
      </c>
      <c r="K39" s="509">
        <f>COUNTIFS(Tableau2[DEPARTEMENT],"BUYO",Tableau2[CLASSE],"CEU",Tableau2[Sexes],"G")</f>
        <v>32</v>
      </c>
      <c r="L39" s="510">
        <f>J39*100/J40</f>
        <v>54.268292682926827</v>
      </c>
      <c r="M39" s="510">
        <f>K39*100/K40</f>
        <v>50.793650793650791</v>
      </c>
      <c r="N39" s="510">
        <f t="shared" si="275"/>
        <v>54.268292682926827</v>
      </c>
      <c r="O39" s="510">
        <f t="shared" si="305"/>
        <v>50.793650793650791</v>
      </c>
      <c r="P39" s="510">
        <f t="shared" si="306"/>
        <v>22.474747474747474</v>
      </c>
      <c r="Q39" s="510">
        <f t="shared" si="307"/>
        <v>50.793650793650791</v>
      </c>
      <c r="R39" s="328" t="s">
        <v>665</v>
      </c>
      <c r="S39" s="509">
        <f>COUNTIFS(Tableau2[DEPARTEMENT],"BUYO",Tableau2[[STATUT ]],"admis",Tableau2[Sexes],"G")</f>
        <v>142</v>
      </c>
      <c r="T39" s="509">
        <f>COUNTIFS(Tableau2[DEPARTEMENT],"BUYO",Tableau2[CE1-CE2],1,Tableau2[Sexes],"G")</f>
        <v>116</v>
      </c>
      <c r="U39" s="509">
        <f>COUNTIFS(Tableau2[DEPARTEMENT],"BUYO",Tableau2[CM1-CM2],1,Tableau2[Sexes],"G")</f>
        <v>26</v>
      </c>
      <c r="V39" s="843"/>
      <c r="W39" s="844"/>
      <c r="X39" s="510">
        <f>T39*100/$L$40</f>
        <v>116</v>
      </c>
      <c r="Y39" s="510">
        <f>U39*100/$M$40</f>
        <v>26</v>
      </c>
      <c r="Z39" s="510">
        <f t="shared" ref="Z39" si="314">T39*100/$L$100</f>
        <v>116</v>
      </c>
      <c r="AA39" s="510">
        <f>U39*100/$M$100</f>
        <v>26</v>
      </c>
      <c r="AB39" s="328" t="s">
        <v>665</v>
      </c>
      <c r="AC39" s="509">
        <f>COUNTIFS(Tableau2[DEPARTEMENT],"BUYO",Tableau2[[STATUT ]],"Redouble",Tableau2[Sexes],"G")</f>
        <v>35</v>
      </c>
      <c r="AD39" s="509">
        <f>COUNTIFS(Tableau2[DEPARTEMENT],"BUYO",Tableau2[CLASSE],"CPU",Tableau2[[STATUT ]],"Redouble",Tableau2[Sexes],"G")</f>
        <v>33</v>
      </c>
      <c r="AE39" s="509">
        <f>COUNTIFS(Tableau2[DEPARTEMENT],"BUYO",Tableau2[CLASSE],"CEU",Tableau2[[STATUT ]],"Redouble",Tableau2[Sexes],"G")</f>
        <v>2</v>
      </c>
      <c r="AF39" s="843"/>
      <c r="AG39" s="844"/>
      <c r="AH39" s="510">
        <f>AD39*100/AD40</f>
        <v>54.098360655737707</v>
      </c>
      <c r="AI39" s="510">
        <f>AE39*100/AE40</f>
        <v>22.222222222222221</v>
      </c>
      <c r="AJ39" s="510">
        <f>AD39*100/AD100</f>
        <v>20.245398773006134</v>
      </c>
      <c r="AK39" s="510">
        <f>AE39*100/AE100</f>
        <v>22.222222222222221</v>
      </c>
      <c r="AL39" s="328" t="s">
        <v>665</v>
      </c>
      <c r="AM39" s="509">
        <f>COUNTIFS(Tableau2[DEPARTEMENT],"BUYO",Tableau2[[STATUT ]],"Absent",Tableau2[Sexes],"G")</f>
        <v>33</v>
      </c>
      <c r="AN39" s="509">
        <f>COUNTIFS(Tableau2[DEPARTEMENT],"BUYO",Tableau2[CLASSE],"CPU",Tableau2[[STATUT ]],"Absent",Tableau2[Sexes],"G")</f>
        <v>29</v>
      </c>
      <c r="AO39" s="509">
        <f>COUNTIFS(Tableau2[DEPARTEMENT],"BUYO",Tableau2[CLASSE],"CEU",Tableau2[[STATUT ]],"Absent",Tableau2[Sexes],"G")</f>
        <v>4</v>
      </c>
      <c r="AP39" s="843"/>
      <c r="AQ39" s="844"/>
      <c r="AR39" s="510">
        <f>AN39*100/AN40</f>
        <v>58</v>
      </c>
      <c r="AS39" s="510">
        <f>AO39*100/AO40</f>
        <v>66.666666666666671</v>
      </c>
      <c r="AT39" s="510">
        <f>AN39*100/AN100</f>
        <v>22.307692307692307</v>
      </c>
      <c r="AU39" s="510">
        <f>AO39*100/AO100</f>
        <v>66.666666666666671</v>
      </c>
      <c r="AV39" s="524" t="s">
        <v>665</v>
      </c>
      <c r="AW39" s="529">
        <f t="shared" si="7"/>
        <v>149</v>
      </c>
      <c r="AX39" s="509">
        <f>COUNTIFS(Tableau2[DEPARTEMENT],"BUYO",Tableau2[Colonne1],"CP2",Tableau2[Sexes],"G")</f>
        <v>32</v>
      </c>
      <c r="AY39" s="509">
        <f>COUNTIFS(Tableau2[DEPARTEMENT],"BUYO",Tableau2[Colonne1],"CE1",Tableau2[Sexes],"G")</f>
        <v>105</v>
      </c>
      <c r="AZ39" s="509">
        <f>COUNTIFS(Tableau2[DEPARTEMENT],"BUYO",Tableau2[Colonne1],"CE2",Tableau2[Sexes],"G")</f>
        <v>12</v>
      </c>
      <c r="BA39" s="510">
        <f t="shared" ref="BA39" si="315">AX39*100/AX40</f>
        <v>53.333333333333336</v>
      </c>
      <c r="BB39" s="510">
        <f t="shared" ref="BB39" si="316">AY39*100/AY40</f>
        <v>52.5</v>
      </c>
      <c r="BC39" s="510">
        <f t="shared" ref="BC39" si="317">AZ39*100/AZ40</f>
        <v>66.666666666666671</v>
      </c>
      <c r="BD39" s="510">
        <f>AX39*100/$AX$40</f>
        <v>53.333333333333336</v>
      </c>
      <c r="BE39" s="510">
        <f t="shared" si="309"/>
        <v>52.5</v>
      </c>
      <c r="BF39" s="510">
        <f t="shared" si="310"/>
        <v>66.666666666666671</v>
      </c>
      <c r="BG39" s="510">
        <f t="shared" si="311"/>
        <v>21.768707482993197</v>
      </c>
      <c r="BH39" s="510">
        <f t="shared" si="312"/>
        <v>25.862068965517242</v>
      </c>
      <c r="BI39" s="510">
        <f t="shared" si="313"/>
        <v>11.009174311926605</v>
      </c>
    </row>
    <row r="40" spans="1:61" ht="16" customHeight="1" thickBot="1" x14ac:dyDescent="0.4">
      <c r="A40" s="694"/>
      <c r="B40" s="699"/>
      <c r="C40" s="886"/>
      <c r="D40" s="887"/>
      <c r="E40" s="329" t="s">
        <v>1992</v>
      </c>
      <c r="F40" s="512">
        <f>COUNTIFS(Tableau2[DEPARTEMENT],"BUYO")</f>
        <v>391</v>
      </c>
      <c r="G40" s="849"/>
      <c r="H40" s="341">
        <f>SUM(H38:H39)</f>
        <v>100</v>
      </c>
      <c r="I40" s="340">
        <f t="shared" ref="I40" si="318">SUM(I38:I39)</f>
        <v>45.73099415204679</v>
      </c>
      <c r="J40" s="333">
        <f t="shared" ref="J40" si="319">SUM(J38:J39)</f>
        <v>328</v>
      </c>
      <c r="K40" s="333">
        <f t="shared" si="230"/>
        <v>63</v>
      </c>
      <c r="L40" s="333">
        <f t="shared" ref="L40:O40" si="320">SUM(L38:L39)</f>
        <v>100</v>
      </c>
      <c r="M40" s="343">
        <f t="shared" si="320"/>
        <v>100</v>
      </c>
      <c r="N40" s="343">
        <f t="shared" si="320"/>
        <v>100</v>
      </c>
      <c r="O40" s="343">
        <f t="shared" si="320"/>
        <v>100</v>
      </c>
      <c r="P40" s="343">
        <f t="shared" si="203"/>
        <v>41.414141414141412</v>
      </c>
      <c r="Q40" s="343">
        <f t="shared" si="203"/>
        <v>100</v>
      </c>
      <c r="R40" s="329" t="s">
        <v>1992</v>
      </c>
      <c r="S40" s="333">
        <f>COUNTIFS(Tableau2[DEPARTEMENT],"BUYO",Tableau2[[STATUT ]],"admis")</f>
        <v>265</v>
      </c>
      <c r="T40" s="333">
        <f>COUNTIFS(Tableau2[DEPARTEMENT],"BUYO",Tableau2[CE1-CE2],1)</f>
        <v>217</v>
      </c>
      <c r="U40" s="342">
        <f>COUNTIFS(Tableau2[DEPARTEMENT],"BUYO",Tableau2[CM1-CM2],1)</f>
        <v>48</v>
      </c>
      <c r="V40" s="845"/>
      <c r="W40" s="846"/>
      <c r="X40" s="344">
        <f t="shared" ref="X40:Z40" si="321">SUM(X38:X39)</f>
        <v>217</v>
      </c>
      <c r="Y40" s="344">
        <f t="shared" si="321"/>
        <v>48</v>
      </c>
      <c r="Z40" s="344">
        <f t="shared" si="321"/>
        <v>217</v>
      </c>
      <c r="AA40" s="344">
        <f>SUM(AA38:AA39)</f>
        <v>48</v>
      </c>
      <c r="AB40" s="329" t="s">
        <v>1992</v>
      </c>
      <c r="AC40" s="333">
        <f>COUNTIFS(Tableau2[DEPARTEMENT],"BUYO",Tableau2[[STATUT ]],"Redouble")</f>
        <v>70</v>
      </c>
      <c r="AD40" s="333">
        <f t="shared" ref="AD40" si="322">SUM(AD38:AD39)</f>
        <v>61</v>
      </c>
      <c r="AE40" s="333">
        <f t="shared" si="233"/>
        <v>9</v>
      </c>
      <c r="AF40" s="845"/>
      <c r="AG40" s="846"/>
      <c r="AH40" s="344">
        <f t="shared" ref="AH40:AJ40" si="323">SUM(AH38:AH39)</f>
        <v>100</v>
      </c>
      <c r="AI40" s="344">
        <f t="shared" si="323"/>
        <v>100</v>
      </c>
      <c r="AJ40" s="344">
        <f t="shared" si="323"/>
        <v>37.423312883435585</v>
      </c>
      <c r="AK40" s="344">
        <f>SUM(AK38:AK39)</f>
        <v>100</v>
      </c>
      <c r="AL40" s="329" t="s">
        <v>1992</v>
      </c>
      <c r="AM40" s="333">
        <f>COUNTIFS(Tableau2[DEPARTEMENT],"BUYO",Tableau2[[STATUT ]],"Absent")</f>
        <v>56</v>
      </c>
      <c r="AN40" s="333">
        <f t="shared" ref="AN40:AO40" si="324">SUM(AN38:AN39)</f>
        <v>50</v>
      </c>
      <c r="AO40" s="333">
        <f t="shared" si="324"/>
        <v>6</v>
      </c>
      <c r="AP40" s="845"/>
      <c r="AQ40" s="846"/>
      <c r="AR40" s="344">
        <f t="shared" ref="AR40:AT40" si="325">SUM(AR38:AR39)</f>
        <v>100</v>
      </c>
      <c r="AS40" s="344">
        <f t="shared" si="325"/>
        <v>100</v>
      </c>
      <c r="AT40" s="344">
        <f t="shared" si="325"/>
        <v>38.46153846153846</v>
      </c>
      <c r="AU40" s="344">
        <f>SUM(AU38:AU39)</f>
        <v>100</v>
      </c>
      <c r="AV40" s="525" t="s">
        <v>1992</v>
      </c>
      <c r="AW40" s="530">
        <f t="shared" si="7"/>
        <v>278</v>
      </c>
      <c r="AX40" s="527">
        <f>SUM(AX38:AX39)</f>
        <v>60</v>
      </c>
      <c r="AY40" s="333">
        <f>SUM(AY38:AY39)</f>
        <v>200</v>
      </c>
      <c r="AZ40" s="333">
        <f>SUM(AZ38:AZ39)</f>
        <v>18</v>
      </c>
      <c r="BA40" s="517">
        <f t="shared" ref="BA40:BI40" si="326">SUM(BA38:BA39)</f>
        <v>100</v>
      </c>
      <c r="BB40" s="517">
        <f t="shared" si="326"/>
        <v>100</v>
      </c>
      <c r="BC40" s="517">
        <f t="shared" si="326"/>
        <v>100</v>
      </c>
      <c r="BD40" s="517">
        <f t="shared" si="326"/>
        <v>100</v>
      </c>
      <c r="BE40" s="517">
        <f t="shared" si="326"/>
        <v>100</v>
      </c>
      <c r="BF40" s="517">
        <f t="shared" si="326"/>
        <v>100</v>
      </c>
      <c r="BG40" s="517">
        <f t="shared" si="326"/>
        <v>40.816326530612244</v>
      </c>
      <c r="BH40" s="517">
        <f t="shared" si="326"/>
        <v>49.261083743842363</v>
      </c>
      <c r="BI40" s="517">
        <f t="shared" si="326"/>
        <v>16.513761467889907</v>
      </c>
    </row>
    <row r="41" spans="1:61" ht="15.5" customHeight="1" x14ac:dyDescent="0.35">
      <c r="C41" s="900" t="s">
        <v>1993</v>
      </c>
      <c r="D41" s="888" t="s">
        <v>708</v>
      </c>
      <c r="E41" s="326" t="s">
        <v>1990</v>
      </c>
      <c r="F41" s="509">
        <f>COUNTIFS(Tableau2[VILLAGE],"Alikro",Tableau2[Sexes],"F")</f>
        <v>15</v>
      </c>
      <c r="G41" s="508">
        <f>F41*100/F43</f>
        <v>30</v>
      </c>
      <c r="H41" s="508">
        <f>F41*100/$F$64</f>
        <v>7.4626865671641793</v>
      </c>
      <c r="I41" s="508">
        <f>F41*100/$F$100</f>
        <v>1.7543859649122806</v>
      </c>
      <c r="J41" s="509">
        <f>COUNTIFS(Tableau2[VILLAGE],"Alikro",Tableau2[CLASSE],"CPU",Tableau2[Sexes],"F")</f>
        <v>15</v>
      </c>
      <c r="K41" s="509">
        <f>COUNTIFS(Tableau2[VILLAGE],"Alikro",Tableau2[CLASSE],"CEU",Tableau2[Sexes],"F")</f>
        <v>0</v>
      </c>
      <c r="L41" s="510">
        <f>J41*100/J43</f>
        <v>30</v>
      </c>
      <c r="M41" s="510">
        <v>0</v>
      </c>
      <c r="N41" s="510">
        <f>J41*100/$J$64</f>
        <v>7.4626865671641793</v>
      </c>
      <c r="O41" s="510">
        <v>0</v>
      </c>
      <c r="P41" s="510">
        <f t="shared" ref="P41:P42" si="327">J41*100/$J$100</f>
        <v>1.893939393939394</v>
      </c>
      <c r="Q41" s="510">
        <f t="shared" ref="Q41:Q42" si="328">K41*100/$K$100</f>
        <v>0</v>
      </c>
      <c r="R41" s="326" t="s">
        <v>1990</v>
      </c>
      <c r="S41" s="509">
        <f>COUNTIFS(Tableau2[VILLAGE],"Alikro",Tableau2[[STATUT ]],"admis",Tableau2[Sexes],"F")</f>
        <v>9</v>
      </c>
      <c r="T41" s="509">
        <f>COUNTIFS(Tableau2[VILLAGE],"Alikro",Tableau2[CE1-CE2],1,Tableau2[Sexes],"F")</f>
        <v>9</v>
      </c>
      <c r="U41" s="509">
        <f>COUNTIFS(Tableau2[VILLAGE],"Alikro",Tableau2[CM1-CM2],1,Tableau2[Sexes],"F")</f>
        <v>0</v>
      </c>
      <c r="V41" s="510">
        <f t="shared" ref="V41" si="329">T41*100/T43</f>
        <v>29.032258064516128</v>
      </c>
      <c r="W41" s="847"/>
      <c r="X41" s="510">
        <f>T41*100/$L$64</f>
        <v>9</v>
      </c>
      <c r="Y41" s="847"/>
      <c r="Z41" s="510">
        <f t="shared" ref="Z41:Z42" si="330">T41*100/$L$100</f>
        <v>9</v>
      </c>
      <c r="AA41" s="847"/>
      <c r="AB41" s="326" t="s">
        <v>1990</v>
      </c>
      <c r="AC41" s="509">
        <f>COUNTIFS(Tableau2[VILLAGE],"Alikro",Tableau2[[STATUT ]],"Redouble",Tableau2[Sexes],"F")</f>
        <v>5</v>
      </c>
      <c r="AD41" s="509">
        <f>COUNTIFS(Tableau2[VILLAGE],"Alikro",Tableau2[CLASSE],"CPU",Tableau2[[STATUT ]],"Redouble",Tableau2[Sexes],"F")</f>
        <v>5</v>
      </c>
      <c r="AE41" s="509">
        <f>COUNTIFS(Tableau2[VILLAGE],"Alikro",Tableau2[CLASSE],"CEU",Tableau2[[STATUT ]],"Redouble",Tableau2[Sexes],"F")</f>
        <v>0</v>
      </c>
      <c r="AF41" s="510">
        <f t="shared" ref="AF41" si="331">AD41*100/AD43</f>
        <v>71.428571428571431</v>
      </c>
      <c r="AG41" s="847"/>
      <c r="AH41" s="510">
        <f>AD41*100/AD64</f>
        <v>9.8039215686274517</v>
      </c>
      <c r="AI41" s="847"/>
      <c r="AJ41" s="510">
        <f>AD41*100/AD100</f>
        <v>3.0674846625766872</v>
      </c>
      <c r="AK41" s="847"/>
      <c r="AL41" s="326" t="s">
        <v>1990</v>
      </c>
      <c r="AM41" s="509">
        <f>COUNTIFS(Tableau2[VILLAGE],"Alikro",Tableau2[[STATUT ]],"Absent",Tableau2[Sexes],"F")</f>
        <v>1</v>
      </c>
      <c r="AN41" s="509">
        <f>COUNTIFS(Tableau2[VILLAGE],"Alikro",Tableau2[CLASSE],"CPU",Tableau2[[STATUT ]],"Absent",Tableau2[Sexes],"F")</f>
        <v>1</v>
      </c>
      <c r="AO41" s="509">
        <f>COUNTIFS(Tableau2[VILLAGE],"Alikro",Tableau2[CLASSE],"CEU",Tableau2[[STATUT ]],"Absent",Tableau2[Sexes],"F")</f>
        <v>0</v>
      </c>
      <c r="AP41" s="510">
        <f t="shared" ref="AP41" si="332">AN41*100/AN43</f>
        <v>8.3333333333333339</v>
      </c>
      <c r="AQ41" s="847"/>
      <c r="AR41" s="510">
        <f>AN41*100/AN64</f>
        <v>3.0303030303030303</v>
      </c>
      <c r="AS41" s="847"/>
      <c r="AT41" s="510">
        <f>AN41*100/AN100</f>
        <v>0.76923076923076927</v>
      </c>
      <c r="AU41" s="847"/>
      <c r="AV41" s="345" t="s">
        <v>1990</v>
      </c>
      <c r="AW41" s="529">
        <f t="shared" si="7"/>
        <v>14</v>
      </c>
      <c r="AX41" s="509">
        <f>COUNTIFS(Tableau2[VILLAGE],"Alikro",Tableau2[Colonne1],"CP2",Tableau2[Sexes],"F")</f>
        <v>5</v>
      </c>
      <c r="AY41" s="509">
        <f>COUNTIFS(Tableau2[VILLAGE],"Alikro",Tableau2[Colonne1],"CE1",Tableau2[Sexes],"F")</f>
        <v>9</v>
      </c>
      <c r="AZ41" s="509">
        <f>COUNTIFS(Tableau2[VILLAGE],"Alikro",Tableau2[Colonne1],"CE2",Tableau2[Sexes],"F")</f>
        <v>0</v>
      </c>
      <c r="BA41" s="510">
        <f t="shared" ref="BA41:BB41" si="333">AX41*100/AX43</f>
        <v>71.428571428571431</v>
      </c>
      <c r="BB41" s="510">
        <f t="shared" si="333"/>
        <v>37.5</v>
      </c>
      <c r="BC41" s="510">
        <f>AZ41*100/AZ43</f>
        <v>0</v>
      </c>
      <c r="BD41" s="510">
        <f>AX41*100/$AX$64</f>
        <v>10.204081632653061</v>
      </c>
      <c r="BE41" s="510">
        <f>AY41*100/$AY$64</f>
        <v>10.227272727272727</v>
      </c>
      <c r="BF41" s="510">
        <f>AZ41*100/$AZ$64</f>
        <v>0</v>
      </c>
      <c r="BG41" s="510">
        <f t="shared" ref="BG41:BG42" si="334">AX41*100/$AX$100</f>
        <v>3.4013605442176869</v>
      </c>
      <c r="BH41" s="510">
        <f t="shared" ref="BH41:BH42" si="335">AY41*100/$AY$100</f>
        <v>2.2167487684729066</v>
      </c>
      <c r="BI41" s="510">
        <f t="shared" ref="BI41:BI42" si="336">AZ41*100/$AZ$100</f>
        <v>0</v>
      </c>
    </row>
    <row r="42" spans="1:61" ht="15.5" customHeight="1" thickBot="1" x14ac:dyDescent="0.4">
      <c r="C42" s="901"/>
      <c r="D42" s="889"/>
      <c r="E42" s="324" t="s">
        <v>665</v>
      </c>
      <c r="F42" s="509">
        <f>COUNTIFS(Tableau2[VILLAGE],"Alikro",Tableau2[Sexes],"G")</f>
        <v>35</v>
      </c>
      <c r="G42" s="508">
        <f>F42*100/F43</f>
        <v>70</v>
      </c>
      <c r="H42" s="508">
        <f>F42*100/$F$64</f>
        <v>17.412935323383085</v>
      </c>
      <c r="I42" s="508">
        <f>F42*100/$F$100</f>
        <v>4.0935672514619883</v>
      </c>
      <c r="J42" s="509">
        <f>COUNTIFS(Tableau2[VILLAGE],"Alikro",Tableau2[CLASSE],"CPU",Tableau2[Sexes],"G")</f>
        <v>35</v>
      </c>
      <c r="K42" s="509">
        <f>COUNTIFS(Tableau2[VILLAGE],"Alikro",Tableau2[CLASSE],"CEU",Tableau2[Sexes],"G")</f>
        <v>0</v>
      </c>
      <c r="L42" s="510">
        <f>J42*100/J43</f>
        <v>70</v>
      </c>
      <c r="M42" s="510">
        <v>0</v>
      </c>
      <c r="N42" s="510">
        <f>J42*100/$J$64</f>
        <v>17.412935323383085</v>
      </c>
      <c r="O42" s="510">
        <f>0</f>
        <v>0</v>
      </c>
      <c r="P42" s="510">
        <f t="shared" si="327"/>
        <v>4.4191919191919196</v>
      </c>
      <c r="Q42" s="510">
        <f t="shared" si="328"/>
        <v>0</v>
      </c>
      <c r="R42" s="324" t="s">
        <v>665</v>
      </c>
      <c r="S42" s="509">
        <f>COUNTIFS(Tableau2[VILLAGE],"Alikro",Tableau2[[STATUT ]],"admis",Tableau2[Sexes],"G")</f>
        <v>22</v>
      </c>
      <c r="T42" s="509">
        <f>COUNTIFS(Tableau2[VILLAGE],"Alikro",Tableau2[CE1-CE2],1,Tableau2[Sexes],"G")</f>
        <v>22</v>
      </c>
      <c r="U42" s="509">
        <f>COUNTIFS(Tableau2[VILLAGE],"Alikro",Tableau2[CM1-CM2],1,Tableau2[Sexes],"G")</f>
        <v>0</v>
      </c>
      <c r="V42" s="510">
        <f t="shared" ref="V42" si="337">T42*100/T43</f>
        <v>70.967741935483872</v>
      </c>
      <c r="W42" s="848"/>
      <c r="X42" s="510">
        <f>T42*100/$L$64</f>
        <v>22</v>
      </c>
      <c r="Y42" s="848"/>
      <c r="Z42" s="510">
        <f t="shared" si="330"/>
        <v>22</v>
      </c>
      <c r="AA42" s="848"/>
      <c r="AB42" s="324" t="s">
        <v>665</v>
      </c>
      <c r="AC42" s="509">
        <f>COUNTIFS(Tableau2[VILLAGE],"Alikro",Tableau2[[STATUT ]],"Redouble",Tableau2[Sexes],"G")</f>
        <v>2</v>
      </c>
      <c r="AD42" s="509">
        <f>COUNTIFS(Tableau2[VILLAGE],"Alikro",Tableau2[CLASSE],"CPU",Tableau2[[STATUT ]],"Redouble",Tableau2[Sexes],"G")</f>
        <v>2</v>
      </c>
      <c r="AE42" s="509">
        <f>COUNTIFS(Tableau2[VILLAGE],"Alikro",Tableau2[CLASSE],"CEU",Tableau2[[STATUT ]],"Redouble",Tableau2[Sexes],"G")</f>
        <v>0</v>
      </c>
      <c r="AF42" s="510">
        <f t="shared" ref="AF42" si="338">AD42*100/AD43</f>
        <v>28.571428571428573</v>
      </c>
      <c r="AG42" s="848"/>
      <c r="AH42" s="510">
        <f>AD42*100/AD64</f>
        <v>3.9215686274509802</v>
      </c>
      <c r="AI42" s="848"/>
      <c r="AJ42" s="510">
        <f>AD42*100/AD100</f>
        <v>1.2269938650306749</v>
      </c>
      <c r="AK42" s="848"/>
      <c r="AL42" s="324" t="s">
        <v>665</v>
      </c>
      <c r="AM42" s="509">
        <f>COUNTIFS(Tableau2[VILLAGE],"Alikro",Tableau2[[STATUT ]],"Absent",Tableau2[Sexes],"G")</f>
        <v>11</v>
      </c>
      <c r="AN42" s="509">
        <f>COUNTIFS(Tableau2[VILLAGE],"Alikro",Tableau2[CLASSE],"CPU",Tableau2[[STATUT ]],"Absent",Tableau2[Sexes],"G")</f>
        <v>11</v>
      </c>
      <c r="AO42" s="509">
        <f>COUNTIFS(Tableau2[VILLAGE],"Alikro",Tableau2[CLASSE],"CEU",Tableau2[[STATUT ]],"Absent",Tableau2[Sexes],"G")</f>
        <v>0</v>
      </c>
      <c r="AP42" s="510">
        <f t="shared" ref="AP42" si="339">AN42*100/AN43</f>
        <v>91.666666666666671</v>
      </c>
      <c r="AQ42" s="848"/>
      <c r="AR42" s="510">
        <f>AN42*100/AN64</f>
        <v>33.333333333333336</v>
      </c>
      <c r="AS42" s="848"/>
      <c r="AT42" s="510">
        <f>AN42*100/AN100</f>
        <v>8.4615384615384617</v>
      </c>
      <c r="AU42" s="848"/>
      <c r="AV42" s="336" t="s">
        <v>665</v>
      </c>
      <c r="AW42" s="529">
        <f t="shared" si="7"/>
        <v>24</v>
      </c>
      <c r="AX42" s="509">
        <f>COUNTIFS(Tableau2[VILLAGE],"Alikro",Tableau2[Colonne1],"CP2",Tableau2[Sexes],"G")</f>
        <v>2</v>
      </c>
      <c r="AY42" s="509">
        <f>COUNTIFS(Tableau2[VILLAGE],"Alikro",Tableau2[Colonne1],"CE1",Tableau2[Sexes],"G")</f>
        <v>15</v>
      </c>
      <c r="AZ42" s="509">
        <f>COUNTIFS(Tableau2[VILLAGE],"Alikro",Tableau2[Colonne1],"CE2",Tableau2[Sexes],"G")</f>
        <v>7</v>
      </c>
      <c r="BA42" s="510">
        <f t="shared" ref="BA42" si="340">AX42*100/AX43</f>
        <v>28.571428571428573</v>
      </c>
      <c r="BB42" s="510">
        <f t="shared" ref="BB42" si="341">AY42*100/AY43</f>
        <v>62.5</v>
      </c>
      <c r="BC42" s="510">
        <f t="shared" ref="BC42" si="342">AZ42*100/AZ43</f>
        <v>100</v>
      </c>
      <c r="BD42" s="510">
        <f>AX42*100/$AX$64</f>
        <v>4.0816326530612246</v>
      </c>
      <c r="BE42" s="510">
        <f>AY42*100/$AY$64</f>
        <v>17.045454545454547</v>
      </c>
      <c r="BF42" s="510">
        <f>AZ42*100/$AZ$64</f>
        <v>22.580645161290324</v>
      </c>
      <c r="BG42" s="510">
        <f t="shared" si="334"/>
        <v>1.3605442176870748</v>
      </c>
      <c r="BH42" s="510">
        <f t="shared" si="335"/>
        <v>3.6945812807881775</v>
      </c>
      <c r="BI42" s="510">
        <f t="shared" si="336"/>
        <v>6.4220183486238529</v>
      </c>
    </row>
    <row r="43" spans="1:61" ht="16" customHeight="1" thickBot="1" x14ac:dyDescent="0.35">
      <c r="C43" s="901"/>
      <c r="D43" s="890"/>
      <c r="E43" s="330" t="s">
        <v>658</v>
      </c>
      <c r="F43" s="333">
        <f>COUNTIFS(Tableau2[VILLAGE],"Alikro")</f>
        <v>50</v>
      </c>
      <c r="G43" s="340">
        <f>SUM(G41:G42)</f>
        <v>100</v>
      </c>
      <c r="H43" s="340">
        <f>SUM(H41:H42)</f>
        <v>24.875621890547265</v>
      </c>
      <c r="I43" s="340">
        <f t="shared" ref="I43" si="343">SUM(I41:I42)</f>
        <v>5.8479532163742691</v>
      </c>
      <c r="J43" s="333">
        <f t="shared" ref="J43" si="344">SUM(J41:J42)</f>
        <v>50</v>
      </c>
      <c r="K43" s="333">
        <f t="shared" si="230"/>
        <v>0</v>
      </c>
      <c r="L43" s="343">
        <f t="shared" si="230"/>
        <v>100</v>
      </c>
      <c r="M43" s="343">
        <f t="shared" si="230"/>
        <v>0</v>
      </c>
      <c r="N43" s="343">
        <f t="shared" si="230"/>
        <v>24.875621890547265</v>
      </c>
      <c r="O43" s="343">
        <f t="shared" ref="O43" si="345">SUM(O41:O42)</f>
        <v>0</v>
      </c>
      <c r="P43" s="343">
        <f t="shared" si="203"/>
        <v>6.3131313131313131</v>
      </c>
      <c r="Q43" s="343">
        <f t="shared" si="203"/>
        <v>0</v>
      </c>
      <c r="R43" s="333" t="s">
        <v>658</v>
      </c>
      <c r="S43" s="333">
        <f>COUNTIFS(Tableau2[VILLAGE],"Alikro",Tableau2[[STATUT ]],"admis")</f>
        <v>31</v>
      </c>
      <c r="T43" s="333">
        <f>COUNTIFS(Tableau2[VILLAGE],"Alikro",Tableau2[CE1-CE2],1)</f>
        <v>31</v>
      </c>
      <c r="U43" s="333">
        <f>COUNTIFS(Tableau2[VILLAGE],"BINDOUGOU",Tableau2[CM1-CM2],1)</f>
        <v>0</v>
      </c>
      <c r="V43" s="343">
        <f t="shared" ref="V43" si="346">SUM(V41:V42)</f>
        <v>100</v>
      </c>
      <c r="W43" s="849"/>
      <c r="X43" s="344">
        <f>SUM(X41:X42)</f>
        <v>31</v>
      </c>
      <c r="Y43" s="849"/>
      <c r="Z43" s="344">
        <f t="shared" ref="Z43" si="347">SUM(Z41:Z42)</f>
        <v>31</v>
      </c>
      <c r="AA43" s="849"/>
      <c r="AB43" s="333" t="s">
        <v>658</v>
      </c>
      <c r="AC43" s="333">
        <f>COUNTIFS(Tableau2[VILLAGE],"Alikro",Tableau2[[STATUT ]],"Redouble")</f>
        <v>7</v>
      </c>
      <c r="AD43" s="333">
        <f t="shared" ref="AD43" si="348">SUM(AD41:AD42)</f>
        <v>7</v>
      </c>
      <c r="AE43" s="333">
        <f t="shared" si="233"/>
        <v>0</v>
      </c>
      <c r="AF43" s="343">
        <f t="shared" si="233"/>
        <v>100</v>
      </c>
      <c r="AG43" s="849"/>
      <c r="AH43" s="344">
        <f>SUM(AH41:AH42)</f>
        <v>13.725490196078432</v>
      </c>
      <c r="AI43" s="849"/>
      <c r="AJ43" s="344">
        <f t="shared" ref="AJ43" si="349">SUM(AJ41:AJ42)</f>
        <v>4.294478527607362</v>
      </c>
      <c r="AK43" s="849"/>
      <c r="AL43" s="333" t="s">
        <v>658</v>
      </c>
      <c r="AM43" s="333">
        <f>COUNTIFS(Tableau2[VILLAGE],"Alikro",Tableau2[[STATUT ]],"Absent")</f>
        <v>12</v>
      </c>
      <c r="AN43" s="333">
        <f t="shared" ref="AN43:AP43" si="350">SUM(AN41:AN42)</f>
        <v>12</v>
      </c>
      <c r="AO43" s="333">
        <f t="shared" si="350"/>
        <v>0</v>
      </c>
      <c r="AP43" s="343">
        <f t="shared" si="350"/>
        <v>100</v>
      </c>
      <c r="AQ43" s="849"/>
      <c r="AR43" s="344">
        <f>SUM(AR41:AR42)</f>
        <v>36.363636363636367</v>
      </c>
      <c r="AS43" s="849"/>
      <c r="AT43" s="344">
        <f t="shared" ref="AT43" si="351">SUM(AT41:AT42)</f>
        <v>9.2307692307692317</v>
      </c>
      <c r="AU43" s="849"/>
      <c r="AV43" s="342" t="s">
        <v>658</v>
      </c>
      <c r="AW43" s="530">
        <f t="shared" si="7"/>
        <v>38</v>
      </c>
      <c r="AX43" s="527">
        <f>SUM(AX41:AX42)</f>
        <v>7</v>
      </c>
      <c r="AY43" s="333">
        <f>SUM(AY41:AY42)</f>
        <v>24</v>
      </c>
      <c r="AZ43" s="333">
        <f>SUM(AZ41:AZ42)</f>
        <v>7</v>
      </c>
      <c r="BA43" s="517">
        <f t="shared" ref="BA43:BC43" si="352">SUM(BA41:BA42)</f>
        <v>100</v>
      </c>
      <c r="BB43" s="517">
        <f t="shared" si="352"/>
        <v>100</v>
      </c>
      <c r="BC43" s="517">
        <f t="shared" si="352"/>
        <v>100</v>
      </c>
      <c r="BD43" s="517">
        <f t="shared" ref="BD43" si="353">SUM(BD41:BD42)</f>
        <v>14.285714285714285</v>
      </c>
      <c r="BE43" s="517">
        <f t="shared" ref="BE43" si="354">SUM(BE41:BE42)</f>
        <v>27.272727272727273</v>
      </c>
      <c r="BF43" s="517">
        <f t="shared" ref="BF43" si="355">SUM(BF41:BF42)</f>
        <v>22.580645161290324</v>
      </c>
      <c r="BG43" s="517">
        <f t="shared" ref="BG43:BI43" si="356">SUM(BG41:BG42)</f>
        <v>4.7619047619047619</v>
      </c>
      <c r="BH43" s="517">
        <f t="shared" si="356"/>
        <v>5.9113300492610836</v>
      </c>
      <c r="BI43" s="517">
        <f t="shared" si="356"/>
        <v>6.4220183486238529</v>
      </c>
    </row>
    <row r="44" spans="1:61" ht="15.5" customHeight="1" x14ac:dyDescent="0.35">
      <c r="C44" s="901"/>
      <c r="D44" s="888" t="s">
        <v>714</v>
      </c>
      <c r="E44" s="323" t="s">
        <v>1990</v>
      </c>
      <c r="F44" s="509">
        <f>COUNTIFS(Tableau2[VILLAGE],"Dabouyo 3",Tableau2[Sexes],"F")</f>
        <v>28</v>
      </c>
      <c r="G44" s="508">
        <f>F44*100/F46</f>
        <v>56</v>
      </c>
      <c r="H44" s="508">
        <f>F44*100/$F$64</f>
        <v>13.930348258706468</v>
      </c>
      <c r="I44" s="508">
        <f>F44*100/$F$100</f>
        <v>3.2748538011695905</v>
      </c>
      <c r="J44" s="509">
        <f>COUNTIFS(Tableau2[VILLAGE],"Dabouyo 3",Tableau2[CLASSE],"CPU",Tableau2[Sexes],"F")</f>
        <v>28</v>
      </c>
      <c r="K44" s="509">
        <f>COUNTIFS(Tableau2[VILLAGE],"Alikro",Tableau2[CLASSE],"CEU",Tableau2[Sexes],"F")</f>
        <v>0</v>
      </c>
      <c r="L44" s="510">
        <f>J44*100/J46</f>
        <v>56</v>
      </c>
      <c r="M44" s="510">
        <v>0</v>
      </c>
      <c r="N44" s="510">
        <f t="shared" ref="N44:N45" si="357">J44*100/$J$64</f>
        <v>13.930348258706468</v>
      </c>
      <c r="O44" s="510">
        <v>0</v>
      </c>
      <c r="P44" s="510">
        <f t="shared" ref="P44:P45" si="358">J44*100/$J$100</f>
        <v>3.5353535353535355</v>
      </c>
      <c r="Q44" s="510">
        <f t="shared" ref="Q44:Q45" si="359">K44*100/$K$100</f>
        <v>0</v>
      </c>
      <c r="R44" s="323" t="s">
        <v>1990</v>
      </c>
      <c r="S44" s="509">
        <f>COUNTIFS(Tableau2[VILLAGE],"Dabouyo 3",Tableau2[[STATUT ]],"admis",Tableau2[Sexes],"F")</f>
        <v>18</v>
      </c>
      <c r="T44" s="509">
        <f>COUNTIFS(Tableau2[VILLAGE],"Dabouyo 3",Tableau2[CE1-CE2],1,Tableau2[Sexes],"F")</f>
        <v>18</v>
      </c>
      <c r="U44" s="509">
        <f>COUNTIFS(Tableau2[VILLAGE],"Dabouyo 3",Tableau2[CM1-CM2],1,Tableau2[Sexes],"F")</f>
        <v>0</v>
      </c>
      <c r="V44" s="510">
        <f t="shared" ref="V44:V59" si="360">T44*100/T46</f>
        <v>60</v>
      </c>
      <c r="W44" s="847"/>
      <c r="X44" s="510">
        <f>T44*100/$L$64</f>
        <v>18</v>
      </c>
      <c r="Y44" s="847"/>
      <c r="Z44" s="510">
        <f t="shared" ref="Z44:Z45" si="361">T44*100/$L$100</f>
        <v>18</v>
      </c>
      <c r="AA44" s="847"/>
      <c r="AB44" s="323" t="s">
        <v>1990</v>
      </c>
      <c r="AC44" s="509">
        <f>COUNTIFS(Tableau2[VILLAGE],"Dabouyo 3",Tableau2[[STATUT ]],"Redouble",Tableau2[Sexes],"F")</f>
        <v>10</v>
      </c>
      <c r="AD44" s="509">
        <f>COUNTIFS(Tableau2[VILLAGE],"Dabouyo 3",Tableau2[CLASSE],"CPU",Tableau2[[STATUT ]],"Redouble",Tableau2[Sexes],"F")</f>
        <v>10</v>
      </c>
      <c r="AE44" s="509">
        <f>COUNTIFS(Tableau2[VILLAGE],"Alikro",Tableau2[CLASSE],"CEU",Tableau2[[STATUT ]],"Redouble",Tableau2[Sexes],"F")</f>
        <v>0</v>
      </c>
      <c r="AF44" s="510">
        <f t="shared" ref="AF44" si="362">AD44*100/AD46</f>
        <v>52.631578947368418</v>
      </c>
      <c r="AG44" s="847"/>
      <c r="AH44" s="510">
        <f>AD44*100/AD64</f>
        <v>19.607843137254903</v>
      </c>
      <c r="AI44" s="847"/>
      <c r="AJ44" s="510">
        <f>AD44*100/AD100</f>
        <v>6.1349693251533743</v>
      </c>
      <c r="AK44" s="847"/>
      <c r="AL44" s="323" t="s">
        <v>1990</v>
      </c>
      <c r="AM44" s="509">
        <f>COUNTIFS(Tableau2[VILLAGE],"Dabouyo 3",Tableau2[[STATUT ]],"Absent",Tableau2[Sexes],"F")</f>
        <v>0</v>
      </c>
      <c r="AN44" s="509">
        <f>COUNTIFS(Tableau2[VILLAGE],"Dabouyo 3",Tableau2[CLASSE],"CPU",Tableau2[[STATUT ]],"Absent",Tableau2[Sexes],"F")</f>
        <v>0</v>
      </c>
      <c r="AO44" s="509">
        <f>COUNTIFS(Tableau2[VILLAGE],"Alikro",Tableau2[CLASSE],"CEU",Tableau2[[STATUT ]],"Absent",Tableau2[Sexes],"F")</f>
        <v>0</v>
      </c>
      <c r="AP44" s="847"/>
      <c r="AQ44" s="847"/>
      <c r="AR44" s="510">
        <f>AN44*100/AN64</f>
        <v>0</v>
      </c>
      <c r="AS44" s="847"/>
      <c r="AT44" s="510">
        <f>AN44*100/AN100</f>
        <v>0</v>
      </c>
      <c r="AU44" s="847"/>
      <c r="AV44" s="335" t="s">
        <v>1990</v>
      </c>
      <c r="AW44" s="529">
        <f t="shared" si="7"/>
        <v>28</v>
      </c>
      <c r="AX44" s="509">
        <f>COUNTIFS(Tableau2[VILLAGE],"Dabouyo 3",Tableau2[Colonne1],"CP2",Tableau2[Sexes],"F")</f>
        <v>10</v>
      </c>
      <c r="AY44" s="509">
        <f>COUNTIFS(Tableau2[VILLAGE],"Dabouyo 3",Tableau2[Colonne1],"CE1",Tableau2[Sexes],"F")</f>
        <v>13</v>
      </c>
      <c r="AZ44" s="509">
        <f>COUNTIFS(Tableau2[VILLAGE],"Dabouyo 3",Tableau2[Colonne1],"CE2",Tableau2[Sexes],"F")</f>
        <v>5</v>
      </c>
      <c r="BA44" s="510">
        <f t="shared" ref="BA44:BC44" si="363">AX44*100/AX46</f>
        <v>52.631578947368418</v>
      </c>
      <c r="BB44" s="510">
        <f t="shared" si="363"/>
        <v>59.090909090909093</v>
      </c>
      <c r="BC44" s="510">
        <f t="shared" si="363"/>
        <v>62.5</v>
      </c>
      <c r="BD44" s="510">
        <f t="shared" ref="BD44:BD45" si="364">AX44*100/$AX$64</f>
        <v>20.408163265306122</v>
      </c>
      <c r="BE44" s="510">
        <f t="shared" ref="BE44:BE45" si="365">AY44*100/$AY$64</f>
        <v>14.772727272727273</v>
      </c>
      <c r="BF44" s="510">
        <f t="shared" ref="BF44:BF45" si="366">AZ44*100/$AZ$64</f>
        <v>16.129032258064516</v>
      </c>
      <c r="BG44" s="510">
        <f t="shared" ref="BG44:BG45" si="367">AX44*100/$AX$100</f>
        <v>6.8027210884353737</v>
      </c>
      <c r="BH44" s="510">
        <f t="shared" ref="BH44:BH45" si="368">AY44*100/$AY$100</f>
        <v>3.2019704433497536</v>
      </c>
      <c r="BI44" s="510">
        <f t="shared" ref="BI44:BI45" si="369">AZ44*100/$AZ$100</f>
        <v>4.5871559633027523</v>
      </c>
    </row>
    <row r="45" spans="1:61" ht="15.5" customHeight="1" thickBot="1" x14ac:dyDescent="0.4">
      <c r="C45" s="901"/>
      <c r="D45" s="889"/>
      <c r="E45" s="324" t="s">
        <v>665</v>
      </c>
      <c r="F45" s="509">
        <f>COUNTIFS(Tableau2[VILLAGE],"Dabouyo 3",Tableau2[Sexes],"G")</f>
        <v>22</v>
      </c>
      <c r="G45" s="508">
        <f>F45*100/F46</f>
        <v>44</v>
      </c>
      <c r="H45" s="508">
        <f>F45*100/$F$64</f>
        <v>10.945273631840797</v>
      </c>
      <c r="I45" s="508">
        <f>F45*100/$F$100</f>
        <v>2.5730994152046782</v>
      </c>
      <c r="J45" s="509">
        <f>COUNTIFS(Tableau2[VILLAGE],"Dabouyo 3",Tableau2[CLASSE],"CPU",Tableau2[Sexes],"G")</f>
        <v>22</v>
      </c>
      <c r="K45" s="509">
        <f>COUNTIFS(Tableau2[VILLAGE],"Dabouyo 3",Tableau2[CLASSE],"CEU",Tableau2[Sexes],"G")</f>
        <v>0</v>
      </c>
      <c r="L45" s="510">
        <f>J45*100/J46</f>
        <v>44</v>
      </c>
      <c r="M45" s="510">
        <v>0</v>
      </c>
      <c r="N45" s="510">
        <f t="shared" si="357"/>
        <v>10.945273631840797</v>
      </c>
      <c r="O45" s="510">
        <f>0</f>
        <v>0</v>
      </c>
      <c r="P45" s="510">
        <f t="shared" si="358"/>
        <v>2.7777777777777777</v>
      </c>
      <c r="Q45" s="510">
        <f t="shared" si="359"/>
        <v>0</v>
      </c>
      <c r="R45" s="324" t="s">
        <v>665</v>
      </c>
      <c r="S45" s="509">
        <f>COUNTIFS(Tableau2[VILLAGE],"Dabouyo 3",Tableau2[[STATUT ]],"admis",Tableau2[Sexes],"G")</f>
        <v>12</v>
      </c>
      <c r="T45" s="509">
        <f>COUNTIFS(Tableau2[VILLAGE],"Dabouyo 3",Tableau2[CE1-CE2],1,Tableau2[Sexes],"G")</f>
        <v>12</v>
      </c>
      <c r="U45" s="509">
        <f>COUNTIFS(Tableau2[VILLAGE],"Dabouyo 3",Tableau2[CM1-CM2],1,Tableau2[Sexes],"G")</f>
        <v>0</v>
      </c>
      <c r="V45" s="510">
        <f t="shared" ref="V45:V60" si="370">T45*100/T46</f>
        <v>40</v>
      </c>
      <c r="W45" s="848"/>
      <c r="X45" s="510">
        <f>T45*100/$L$64</f>
        <v>12</v>
      </c>
      <c r="Y45" s="848"/>
      <c r="Z45" s="510">
        <f t="shared" si="361"/>
        <v>12</v>
      </c>
      <c r="AA45" s="848"/>
      <c r="AB45" s="324" t="s">
        <v>665</v>
      </c>
      <c r="AC45" s="509">
        <f>COUNTIFS(Tableau2[VILLAGE],"Dabouyo 3",Tableau2[[STATUT ]],"Redouble",Tableau2[Sexes],"G")</f>
        <v>9</v>
      </c>
      <c r="AD45" s="509">
        <f>COUNTIFS(Tableau2[VILLAGE],"Dabouyo 3",Tableau2[CLASSE],"CPU",Tableau2[[STATUT ]],"Redouble",Tableau2[Sexes],"G")</f>
        <v>9</v>
      </c>
      <c r="AE45" s="509">
        <f>COUNTIFS(Tableau2[VILLAGE],"Dabouyo 3",Tableau2[CLASSE],"CEU",Tableau2[[STATUT ]],"Redouble",Tableau2[Sexes],"G")</f>
        <v>0</v>
      </c>
      <c r="AF45" s="510">
        <f t="shared" ref="AF45" si="371">AD45*100/AD46</f>
        <v>47.368421052631582</v>
      </c>
      <c r="AG45" s="848"/>
      <c r="AH45" s="510">
        <f>AD45*100/AD64</f>
        <v>17.647058823529413</v>
      </c>
      <c r="AI45" s="848"/>
      <c r="AJ45" s="510">
        <f>AD45*100/AD100</f>
        <v>5.5214723926380369</v>
      </c>
      <c r="AK45" s="848"/>
      <c r="AL45" s="324" t="s">
        <v>665</v>
      </c>
      <c r="AM45" s="509">
        <f>COUNTIFS(Tableau2[VILLAGE],"Dabouyo 3",Tableau2[[STATUT ]],"Absent",Tableau2[Sexes],"G")</f>
        <v>1</v>
      </c>
      <c r="AN45" s="509">
        <f>COUNTIFS(Tableau2[VILLAGE],"Dabouyo 3",Tableau2[CLASSE],"CPU",Tableau2[[STATUT ]],"Absent",Tableau2[Sexes],"G")</f>
        <v>1</v>
      </c>
      <c r="AO45" s="509">
        <f>COUNTIFS(Tableau2[VILLAGE],"Dabouyo 3",Tableau2[CLASSE],"CEU",Tableau2[[STATUT ]],"Absent",Tableau2[Sexes],"G")</f>
        <v>0</v>
      </c>
      <c r="AP45" s="848"/>
      <c r="AQ45" s="848"/>
      <c r="AR45" s="510">
        <f>AN45*100/AN64</f>
        <v>3.0303030303030303</v>
      </c>
      <c r="AS45" s="848"/>
      <c r="AT45" s="510">
        <f>AN45*100/AN100</f>
        <v>0.76923076923076927</v>
      </c>
      <c r="AU45" s="848"/>
      <c r="AV45" s="336" t="s">
        <v>665</v>
      </c>
      <c r="AW45" s="529">
        <f t="shared" si="7"/>
        <v>21</v>
      </c>
      <c r="AX45" s="509">
        <f>COUNTIFS(Tableau2[VILLAGE],"Dabouyo 3",Tableau2[Colonne1],"CP2",Tableau2[Sexes],"G")</f>
        <v>9</v>
      </c>
      <c r="AY45" s="509">
        <f>COUNTIFS(Tableau2[VILLAGE],"Dabouyo 3",Tableau2[Colonne1],"CE1",Tableau2[Sexes],"G")</f>
        <v>9</v>
      </c>
      <c r="AZ45" s="509">
        <f>COUNTIFS(Tableau2[VILLAGE],"Dabouyo 3",Tableau2[Colonne1],"CE2",Tableau2[Sexes],"G")</f>
        <v>3</v>
      </c>
      <c r="BA45" s="510">
        <f t="shared" ref="BA45" si="372">AX45*100/AX46</f>
        <v>47.368421052631582</v>
      </c>
      <c r="BB45" s="510">
        <f t="shared" ref="BB45" si="373">AY45*100/AY46</f>
        <v>40.909090909090907</v>
      </c>
      <c r="BC45" s="510">
        <f t="shared" ref="BC45" si="374">AZ45*100/AZ46</f>
        <v>37.5</v>
      </c>
      <c r="BD45" s="510">
        <f t="shared" si="364"/>
        <v>18.367346938775512</v>
      </c>
      <c r="BE45" s="510">
        <f t="shared" si="365"/>
        <v>10.227272727272727</v>
      </c>
      <c r="BF45" s="510">
        <f t="shared" si="366"/>
        <v>9.67741935483871</v>
      </c>
      <c r="BG45" s="510">
        <f t="shared" si="367"/>
        <v>6.1224489795918364</v>
      </c>
      <c r="BH45" s="510">
        <f t="shared" si="368"/>
        <v>2.2167487684729066</v>
      </c>
      <c r="BI45" s="510">
        <f t="shared" si="369"/>
        <v>2.7522935779816513</v>
      </c>
    </row>
    <row r="46" spans="1:61" ht="16" customHeight="1" thickBot="1" x14ac:dyDescent="0.35">
      <c r="C46" s="901"/>
      <c r="D46" s="890"/>
      <c r="E46" s="325" t="s">
        <v>658</v>
      </c>
      <c r="F46" s="333">
        <f>COUNTIFS(Tableau2[VILLAGE],"Dabouyo 3")</f>
        <v>50</v>
      </c>
      <c r="G46" s="340">
        <f>SUM(G44:G45)</f>
        <v>100</v>
      </c>
      <c r="H46" s="340">
        <f>SUM(H44:H45)</f>
        <v>24.875621890547265</v>
      </c>
      <c r="I46" s="340">
        <f t="shared" ref="I46" si="375">SUM(I44:I45)</f>
        <v>5.8479532163742682</v>
      </c>
      <c r="J46" s="333">
        <f t="shared" ref="J46" si="376">SUM(J44:J45)</f>
        <v>50</v>
      </c>
      <c r="K46" s="333">
        <f t="shared" si="230"/>
        <v>0</v>
      </c>
      <c r="L46" s="343">
        <f t="shared" si="230"/>
        <v>100</v>
      </c>
      <c r="M46" s="343">
        <f t="shared" si="230"/>
        <v>0</v>
      </c>
      <c r="N46" s="343">
        <f t="shared" ref="N46:Q61" si="377">SUM(N44:N45)</f>
        <v>24.875621890547265</v>
      </c>
      <c r="O46" s="343">
        <f t="shared" si="377"/>
        <v>0</v>
      </c>
      <c r="P46" s="343">
        <f t="shared" si="377"/>
        <v>6.3131313131313131</v>
      </c>
      <c r="Q46" s="343">
        <f t="shared" si="377"/>
        <v>0</v>
      </c>
      <c r="R46" s="333" t="s">
        <v>658</v>
      </c>
      <c r="S46" s="333">
        <f>COUNTIFS(Tableau2[VILLAGE],"Dabouyo 3",Tableau2[[STATUT ]],"admis")</f>
        <v>30</v>
      </c>
      <c r="T46" s="333">
        <f>COUNTIFS(Tableau2[VILLAGE],"Dabouyo 3",Tableau2[CE1-CE2],1)</f>
        <v>30</v>
      </c>
      <c r="U46" s="333">
        <f>COUNTIFS(Tableau2[VILLAGE],"Dabouyo 3",Tableau2[CM1-CM2],1)</f>
        <v>0</v>
      </c>
      <c r="V46" s="343">
        <f t="shared" ref="V46:V61" si="378">SUM(V44:V45)</f>
        <v>100</v>
      </c>
      <c r="W46" s="849"/>
      <c r="X46" s="344">
        <f>SUM(X44:X45)</f>
        <v>30</v>
      </c>
      <c r="Y46" s="849"/>
      <c r="Z46" s="344">
        <f t="shared" ref="Z46" si="379">SUM(Z44:Z45)</f>
        <v>30</v>
      </c>
      <c r="AA46" s="849"/>
      <c r="AB46" s="333" t="s">
        <v>658</v>
      </c>
      <c r="AC46" s="333">
        <f>COUNTIFS(Tableau2[VILLAGE],"Dabouyo 3",Tableau2[[STATUT ]],"Redouble")</f>
        <v>19</v>
      </c>
      <c r="AD46" s="333">
        <f t="shared" ref="AD46" si="380">SUM(AD44:AD45)</f>
        <v>19</v>
      </c>
      <c r="AE46" s="333">
        <f t="shared" si="233"/>
        <v>0</v>
      </c>
      <c r="AF46" s="343">
        <f t="shared" si="233"/>
        <v>100</v>
      </c>
      <c r="AG46" s="849"/>
      <c r="AH46" s="344">
        <f>SUM(AH44:AH45)</f>
        <v>37.254901960784316</v>
      </c>
      <c r="AI46" s="849"/>
      <c r="AJ46" s="344">
        <f t="shared" ref="AJ46" si="381">SUM(AJ44:AJ45)</f>
        <v>11.656441717791411</v>
      </c>
      <c r="AK46" s="849"/>
      <c r="AL46" s="333" t="s">
        <v>658</v>
      </c>
      <c r="AM46" s="333">
        <f>COUNTIFS(Tableau2[VILLAGE],"Dabouyo 3",Tableau2[[STATUT ]],"Absent")</f>
        <v>1</v>
      </c>
      <c r="AN46" s="333">
        <f t="shared" ref="AN46:AO46" si="382">SUM(AN44:AN45)</f>
        <v>1</v>
      </c>
      <c r="AO46" s="333">
        <f t="shared" si="382"/>
        <v>0</v>
      </c>
      <c r="AP46" s="849"/>
      <c r="AQ46" s="849"/>
      <c r="AR46" s="344">
        <f>SUM(AR44:AR45)</f>
        <v>3.0303030303030303</v>
      </c>
      <c r="AS46" s="849"/>
      <c r="AT46" s="344">
        <f t="shared" ref="AT46" si="383">SUM(AT44:AT45)</f>
        <v>0.76923076923076927</v>
      </c>
      <c r="AU46" s="849"/>
      <c r="AV46" s="342" t="s">
        <v>658</v>
      </c>
      <c r="AW46" s="530">
        <f t="shared" si="7"/>
        <v>49</v>
      </c>
      <c r="AX46" s="527">
        <f>SUM(AX44:AX45)</f>
        <v>19</v>
      </c>
      <c r="AY46" s="333">
        <f>SUM(AY44:AY45)</f>
        <v>22</v>
      </c>
      <c r="AZ46" s="333">
        <f>SUM(AZ44:AZ45)</f>
        <v>8</v>
      </c>
      <c r="BA46" s="517">
        <f t="shared" ref="BA46:BC46" si="384">SUM(BA44:BA45)</f>
        <v>100</v>
      </c>
      <c r="BB46" s="517">
        <f t="shared" si="384"/>
        <v>100</v>
      </c>
      <c r="BC46" s="517">
        <f t="shared" si="384"/>
        <v>100</v>
      </c>
      <c r="BD46" s="517">
        <f t="shared" ref="BD46" si="385">SUM(BD44:BD45)</f>
        <v>38.775510204081634</v>
      </c>
      <c r="BE46" s="517">
        <f t="shared" ref="BE46" si="386">SUM(BE44:BE45)</f>
        <v>25</v>
      </c>
      <c r="BF46" s="517">
        <f t="shared" ref="BF46" si="387">SUM(BF44:BF45)</f>
        <v>25.806451612903224</v>
      </c>
      <c r="BG46" s="517">
        <f t="shared" ref="BG46:BI46" si="388">SUM(BG44:BG45)</f>
        <v>12.92517006802721</v>
      </c>
      <c r="BH46" s="517">
        <f t="shared" si="388"/>
        <v>5.4187192118226601</v>
      </c>
      <c r="BI46" s="517">
        <f t="shared" si="388"/>
        <v>7.3394495412844041</v>
      </c>
    </row>
    <row r="47" spans="1:61" ht="15.5" customHeight="1" x14ac:dyDescent="0.35">
      <c r="C47" s="901"/>
      <c r="D47" s="888" t="s">
        <v>2163</v>
      </c>
      <c r="E47" s="326" t="s">
        <v>1990</v>
      </c>
      <c r="F47" s="509">
        <f>COUNTIFS(Tableau2[VILLAGE],"BOUDOYO-BLOC",Tableau2[Sexes],"F")</f>
        <v>12</v>
      </c>
      <c r="G47" s="508">
        <f>F47*100/F49</f>
        <v>54.545454545454547</v>
      </c>
      <c r="H47" s="508">
        <f>F47*100/$F$64</f>
        <v>5.9701492537313436</v>
      </c>
      <c r="I47" s="508">
        <f>F47*100/$F$100</f>
        <v>1.4035087719298245</v>
      </c>
      <c r="J47" s="509">
        <f>COUNTIFS(Tableau2[VILLAGE],"BOUDOYO-BLOC",Tableau2[CLASSE],"CPU",Tableau2[Sexes],"F")</f>
        <v>12</v>
      </c>
      <c r="K47" s="509">
        <f>COUNTIFS(Tableau2[VILLAGE],"BOUDOYO-BLOC",Tableau2[CLASSE],"CEU",Tableau2[Sexes],"F")</f>
        <v>0</v>
      </c>
      <c r="L47" s="510">
        <f>J47*100/J49</f>
        <v>54.545454545454547</v>
      </c>
      <c r="M47" s="510">
        <v>0</v>
      </c>
      <c r="N47" s="510">
        <f t="shared" ref="N47:N48" si="389">J47*100/$J$64</f>
        <v>5.9701492537313436</v>
      </c>
      <c r="O47" s="510">
        <v>0</v>
      </c>
      <c r="P47" s="510">
        <f t="shared" ref="P47:P48" si="390">J47*100/$J$100</f>
        <v>1.5151515151515151</v>
      </c>
      <c r="Q47" s="510">
        <f t="shared" ref="Q47:Q48" si="391">K47*100/$K$100</f>
        <v>0</v>
      </c>
      <c r="R47" s="326" t="s">
        <v>1990</v>
      </c>
      <c r="S47" s="509">
        <f>COUNTIFS(Tableau2[VILLAGE],"BOUDOYO-BLOC",Tableau2[[STATUT ]],"admis",Tableau2[Sexes],"F")</f>
        <v>4</v>
      </c>
      <c r="T47" s="509">
        <f>COUNTIFS(Tableau2[VILLAGE],"BOUDOYO-BLOC",Tableau2[CE1-CE2],1,Tableau2[Sexes],"F")</f>
        <v>4</v>
      </c>
      <c r="U47" s="509">
        <f>COUNTIFS(Tableau2[VILLAGE],"BOUDOYO-BLOC",Tableau2[CM1-CM2],1,Tableau2[Sexes],"F")</f>
        <v>0</v>
      </c>
      <c r="V47" s="510">
        <f t="shared" si="360"/>
        <v>44.444444444444443</v>
      </c>
      <c r="W47" s="847"/>
      <c r="X47" s="510">
        <f>T47*100/$L$64</f>
        <v>4</v>
      </c>
      <c r="Y47" s="847"/>
      <c r="Z47" s="510">
        <f t="shared" ref="Z47:Z48" si="392">T47*100/$L$100</f>
        <v>4</v>
      </c>
      <c r="AA47" s="847"/>
      <c r="AB47" s="326" t="s">
        <v>1990</v>
      </c>
      <c r="AC47" s="509">
        <f>COUNTIFS(Tableau2[VILLAGE],"BOUDOYO-BLOC",Tableau2[[STATUT ]],"Redouble",Tableau2[Sexes],"F")</f>
        <v>5</v>
      </c>
      <c r="AD47" s="509">
        <f>COUNTIFS(Tableau2[VILLAGE],"BOUDOYO-BLOC",Tableau2[CLASSE],"CPU",Tableau2[[STATUT ]],"Redouble",Tableau2[Sexes],"F")</f>
        <v>5</v>
      </c>
      <c r="AE47" s="509">
        <f>COUNTIFS(Tableau2[VILLAGE],"BOUDOYO-BLOC",Tableau2[CLASSE],"CEU",Tableau2[[STATUT ]],"Redouble",Tableau2[Sexes],"F")</f>
        <v>0</v>
      </c>
      <c r="AF47" s="510">
        <f t="shared" ref="AF47" si="393">AD47*100/AD49</f>
        <v>62.5</v>
      </c>
      <c r="AG47" s="847"/>
      <c r="AH47" s="510">
        <f>AD47*100/AD64</f>
        <v>9.8039215686274517</v>
      </c>
      <c r="AI47" s="847"/>
      <c r="AJ47" s="510">
        <f>AD47*100/AD100</f>
        <v>3.0674846625766872</v>
      </c>
      <c r="AK47" s="847"/>
      <c r="AL47" s="326" t="s">
        <v>1990</v>
      </c>
      <c r="AM47" s="509">
        <f>COUNTIFS(Tableau2[VILLAGE],"BOUDOYO-BLOC",Tableau2[[STATUT ]],"Absent",Tableau2[Sexes],"F")</f>
        <v>3</v>
      </c>
      <c r="AN47" s="509">
        <f>COUNTIFS(Tableau2[VILLAGE],"BOUDOYO-BLOC",Tableau2[CLASSE],"CPU",Tableau2[[STATUT ]],"Absent",Tableau2[Sexes],"F")</f>
        <v>3</v>
      </c>
      <c r="AO47" s="509">
        <f>COUNTIFS(Tableau2[VILLAGE],"BOUDOYO-BLOC",Tableau2[CLASSE],"CEU",Tableau2[[STATUT ]],"Absent",Tableau2[Sexes],"F")</f>
        <v>0</v>
      </c>
      <c r="AP47" s="510">
        <f t="shared" ref="AP47" si="394">AN47*100/AN49</f>
        <v>60</v>
      </c>
      <c r="AQ47" s="847"/>
      <c r="AR47" s="510">
        <f>AN47*100/AN64</f>
        <v>9.0909090909090917</v>
      </c>
      <c r="AS47" s="847"/>
      <c r="AT47" s="510">
        <f>AN47*100/AN100</f>
        <v>2.3076923076923075</v>
      </c>
      <c r="AU47" s="847"/>
      <c r="AV47" s="345" t="s">
        <v>1990</v>
      </c>
      <c r="AW47" s="529">
        <f t="shared" si="7"/>
        <v>9</v>
      </c>
      <c r="AX47" s="509">
        <f>COUNTIFS(Tableau2[VILLAGE],"BOUDOYO-BLOC",Tableau2[Colonne1],"CP2",Tableau2[Sexes],"F")</f>
        <v>3</v>
      </c>
      <c r="AY47" s="509">
        <f>COUNTIFS(Tableau2[VILLAGE],"BOUDOYO-BLOC",Tableau2[Colonne1],"CE1",Tableau2[Sexes],"F")</f>
        <v>3</v>
      </c>
      <c r="AZ47" s="509">
        <f>COUNTIFS(Tableau2[VILLAGE],"BOUDOYO-BLOC",Tableau2[Colonne1],"CE2",Tableau2[Sexes],"F")</f>
        <v>3</v>
      </c>
      <c r="BA47" s="510">
        <f t="shared" ref="BA47:BC47" si="395">AX47*100/AX49</f>
        <v>50</v>
      </c>
      <c r="BB47" s="510">
        <f t="shared" si="395"/>
        <v>60</v>
      </c>
      <c r="BC47" s="510">
        <f t="shared" si="395"/>
        <v>50</v>
      </c>
      <c r="BD47" s="510">
        <f t="shared" ref="BD47:BD48" si="396">AX47*100/$AX$64</f>
        <v>6.1224489795918364</v>
      </c>
      <c r="BE47" s="510">
        <f t="shared" ref="BE47:BE48" si="397">AY47*100/$AY$64</f>
        <v>3.4090909090909092</v>
      </c>
      <c r="BF47" s="510">
        <f t="shared" ref="BF47:BF48" si="398">AZ47*100/$AZ$64</f>
        <v>9.67741935483871</v>
      </c>
      <c r="BG47" s="510">
        <f t="shared" ref="BG47:BG48" si="399">AX47*100/$AX$100</f>
        <v>2.0408163265306123</v>
      </c>
      <c r="BH47" s="510">
        <f t="shared" ref="BH47:BH48" si="400">AY47*100/$AY$100</f>
        <v>0.73891625615763545</v>
      </c>
      <c r="BI47" s="510">
        <f t="shared" ref="BI47:BI48" si="401">AZ47*100/$AZ$100</f>
        <v>2.7522935779816513</v>
      </c>
    </row>
    <row r="48" spans="1:61" ht="15.5" customHeight="1" thickBot="1" x14ac:dyDescent="0.4">
      <c r="C48" s="901"/>
      <c r="D48" s="889"/>
      <c r="E48" s="324" t="s">
        <v>665</v>
      </c>
      <c r="F48" s="509">
        <f>COUNTIFS(Tableau2[VILLAGE],"BOUDOYO-BLOC",Tableau2[Sexes],"G")</f>
        <v>10</v>
      </c>
      <c r="G48" s="508">
        <f>F48*100/F49</f>
        <v>45.454545454545453</v>
      </c>
      <c r="H48" s="508">
        <f>F48*100/$F$64</f>
        <v>4.9751243781094523</v>
      </c>
      <c r="I48" s="508">
        <f>F48*100/$F$100</f>
        <v>1.1695906432748537</v>
      </c>
      <c r="J48" s="509">
        <f>COUNTIFS(Tableau2[VILLAGE],"BOUDOYO-BLOC",Tableau2[CLASSE],"CPU",Tableau2[Sexes],"G")</f>
        <v>10</v>
      </c>
      <c r="K48" s="509">
        <f>COUNTIFS(Tableau2[VILLAGE],"BOUDOYO-BLOC",Tableau2[CLASSE],"CEU",Tableau2[Sexes],"G")</f>
        <v>0</v>
      </c>
      <c r="L48" s="510">
        <f>J48*100/J49</f>
        <v>45.454545454545453</v>
      </c>
      <c r="M48" s="510">
        <v>0</v>
      </c>
      <c r="N48" s="510">
        <f t="shared" si="389"/>
        <v>4.9751243781094523</v>
      </c>
      <c r="O48" s="510">
        <f>0</f>
        <v>0</v>
      </c>
      <c r="P48" s="510">
        <f t="shared" si="390"/>
        <v>1.2626262626262625</v>
      </c>
      <c r="Q48" s="510">
        <f t="shared" si="391"/>
        <v>0</v>
      </c>
      <c r="R48" s="324" t="s">
        <v>665</v>
      </c>
      <c r="S48" s="509">
        <f>COUNTIFS(Tableau2[VILLAGE],"BOUDOYO-BLOC",Tableau2[[STATUT ]],"admis",Tableau2[Sexes],"G")</f>
        <v>5</v>
      </c>
      <c r="T48" s="509">
        <f>COUNTIFS(Tableau2[VILLAGE],"BOUDOYO-BLOC",Tableau2[CE1-CE2],1,Tableau2[Sexes],"G")</f>
        <v>5</v>
      </c>
      <c r="U48" s="509">
        <f>COUNTIFS(Tableau2[VILLAGE],"BOUDOYO-BLOC",Tableau2[CM1-CM2],1,Tableau2[Sexes],"G")</f>
        <v>0</v>
      </c>
      <c r="V48" s="510">
        <f t="shared" si="370"/>
        <v>55.555555555555557</v>
      </c>
      <c r="W48" s="848"/>
      <c r="X48" s="510">
        <f>T48*100/$L$64</f>
        <v>5</v>
      </c>
      <c r="Y48" s="848"/>
      <c r="Z48" s="510">
        <f t="shared" si="392"/>
        <v>5</v>
      </c>
      <c r="AA48" s="848"/>
      <c r="AB48" s="324" t="s">
        <v>665</v>
      </c>
      <c r="AC48" s="509">
        <f>COUNTIFS(Tableau2[VILLAGE],"BOUDOYO-BLOC",Tableau2[[STATUT ]],"Redouble",Tableau2[Sexes],"G")</f>
        <v>3</v>
      </c>
      <c r="AD48" s="509">
        <f>COUNTIFS(Tableau2[VILLAGE],"BOUDOYO-BLOC",Tableau2[CLASSE],"CPU",Tableau2[[STATUT ]],"Redouble",Tableau2[Sexes],"G")</f>
        <v>3</v>
      </c>
      <c r="AE48" s="509">
        <f>COUNTIFS(Tableau2[VILLAGE],"BOUDOYO-BLOC",Tableau2[CLASSE],"CEU",Tableau2[[STATUT ]],"Redouble",Tableau2[Sexes],"G")</f>
        <v>0</v>
      </c>
      <c r="AF48" s="510">
        <f t="shared" ref="AF48" si="402">AD48*100/AD49</f>
        <v>37.5</v>
      </c>
      <c r="AG48" s="848"/>
      <c r="AH48" s="510">
        <f>AD48*100/AD64</f>
        <v>5.882352941176471</v>
      </c>
      <c r="AI48" s="848"/>
      <c r="AJ48" s="510">
        <f>AD48*100/AD100</f>
        <v>1.8404907975460123</v>
      </c>
      <c r="AK48" s="848"/>
      <c r="AL48" s="324" t="s">
        <v>665</v>
      </c>
      <c r="AM48" s="509">
        <f>COUNTIFS(Tableau2[VILLAGE],"BOUDOYO-BLOC",Tableau2[[STATUT ]],"Absent",Tableau2[Sexes],"G")</f>
        <v>2</v>
      </c>
      <c r="AN48" s="509">
        <f>COUNTIFS(Tableau2[VILLAGE],"BOUDOYO-BLOC",Tableau2[CLASSE],"CPU",Tableau2[[STATUT ]],"Absent",Tableau2[Sexes],"G")</f>
        <v>2</v>
      </c>
      <c r="AO48" s="509">
        <f>COUNTIFS(Tableau2[VILLAGE],"BOUDOYO-BLOC",Tableau2[CLASSE],"CEU",Tableau2[[STATUT ]],"Absent",Tableau2[Sexes],"G")</f>
        <v>0</v>
      </c>
      <c r="AP48" s="510">
        <f t="shared" ref="AP48" si="403">AN48*100/AN49</f>
        <v>40</v>
      </c>
      <c r="AQ48" s="848"/>
      <c r="AR48" s="510">
        <f>AN48*100/AN64</f>
        <v>6.0606060606060606</v>
      </c>
      <c r="AS48" s="848"/>
      <c r="AT48" s="510">
        <f>AN48*100/AN100</f>
        <v>1.5384615384615385</v>
      </c>
      <c r="AU48" s="848"/>
      <c r="AV48" s="336" t="s">
        <v>665</v>
      </c>
      <c r="AW48" s="529">
        <f t="shared" si="7"/>
        <v>8</v>
      </c>
      <c r="AX48" s="509">
        <f>COUNTIFS(Tableau2[VILLAGE],"BOUDOYO-BLOC",Tableau2[Colonne1],"CP2",Tableau2[Sexes],"G")</f>
        <v>3</v>
      </c>
      <c r="AY48" s="509">
        <f>COUNTIFS(Tableau2[VILLAGE],"BOUDOYO-BLOC",Tableau2[Colonne1],"CE1",Tableau2[Sexes],"G")</f>
        <v>2</v>
      </c>
      <c r="AZ48" s="509">
        <f>COUNTIFS(Tableau2[VILLAGE],"BOUDOYO-BLOC",Tableau2[Colonne1],"CE2",Tableau2[Sexes],"G")</f>
        <v>3</v>
      </c>
      <c r="BA48" s="510">
        <f t="shared" ref="BA48" si="404">AX48*100/AX49</f>
        <v>50</v>
      </c>
      <c r="BB48" s="510">
        <f t="shared" ref="BB48" si="405">AY48*100/AY49</f>
        <v>40</v>
      </c>
      <c r="BC48" s="510">
        <f t="shared" ref="BC48" si="406">AZ48*100/AZ49</f>
        <v>50</v>
      </c>
      <c r="BD48" s="510">
        <f t="shared" si="396"/>
        <v>6.1224489795918364</v>
      </c>
      <c r="BE48" s="510">
        <f t="shared" si="397"/>
        <v>2.2727272727272729</v>
      </c>
      <c r="BF48" s="510">
        <f t="shared" si="398"/>
        <v>9.67741935483871</v>
      </c>
      <c r="BG48" s="510">
        <f t="shared" si="399"/>
        <v>2.0408163265306123</v>
      </c>
      <c r="BH48" s="510">
        <f t="shared" si="400"/>
        <v>0.49261083743842365</v>
      </c>
      <c r="BI48" s="510">
        <f t="shared" si="401"/>
        <v>2.7522935779816513</v>
      </c>
    </row>
    <row r="49" spans="1:61" ht="16" customHeight="1" thickBot="1" x14ac:dyDescent="0.35">
      <c r="C49" s="901"/>
      <c r="D49" s="890"/>
      <c r="E49" s="330" t="s">
        <v>658</v>
      </c>
      <c r="F49" s="333">
        <f>COUNTIFS(Tableau2[VILLAGE],"BOUDOYO-BLOC")</f>
        <v>22</v>
      </c>
      <c r="G49" s="340">
        <f>SUM(G47:G48)</f>
        <v>100</v>
      </c>
      <c r="H49" s="340">
        <f>SUM(H47:H48)</f>
        <v>10.945273631840795</v>
      </c>
      <c r="I49" s="340">
        <f t="shared" ref="I49" si="407">SUM(I47:I48)</f>
        <v>2.5730994152046782</v>
      </c>
      <c r="J49" s="333">
        <f t="shared" ref="J49:N64" si="408">SUM(J47:J48)</f>
        <v>22</v>
      </c>
      <c r="K49" s="333">
        <f t="shared" si="408"/>
        <v>0</v>
      </c>
      <c r="L49" s="343">
        <f t="shared" si="408"/>
        <v>100</v>
      </c>
      <c r="M49" s="343">
        <f t="shared" si="408"/>
        <v>0</v>
      </c>
      <c r="N49" s="343">
        <f t="shared" si="408"/>
        <v>10.945273631840795</v>
      </c>
      <c r="O49" s="343">
        <f t="shared" si="377"/>
        <v>0</v>
      </c>
      <c r="P49" s="343">
        <f t="shared" si="377"/>
        <v>2.7777777777777777</v>
      </c>
      <c r="Q49" s="343">
        <f t="shared" si="377"/>
        <v>0</v>
      </c>
      <c r="R49" s="333" t="s">
        <v>658</v>
      </c>
      <c r="S49" s="333">
        <f>COUNTIFS(Tableau2[VILLAGE],"BOUDOYO-BLOC",Tableau2[[STATUT ]],"admis")</f>
        <v>9</v>
      </c>
      <c r="T49" s="333">
        <f>COUNTIFS(Tableau2[VILLAGE],"BOUDOYO-BLOC",Tableau2[CE1-CE2],1)</f>
        <v>9</v>
      </c>
      <c r="U49" s="333">
        <f>COUNTIFS(Tableau2[VILLAGE],"BOUDOYO-BLOC",Tableau2[CM1-CM2],1)</f>
        <v>0</v>
      </c>
      <c r="V49" s="343">
        <f t="shared" si="378"/>
        <v>100</v>
      </c>
      <c r="W49" s="849"/>
      <c r="X49" s="344">
        <f>SUM(X47:X48)</f>
        <v>9</v>
      </c>
      <c r="Y49" s="849"/>
      <c r="Z49" s="344">
        <f t="shared" ref="Z49" si="409">SUM(Z47:Z48)</f>
        <v>9</v>
      </c>
      <c r="AA49" s="849"/>
      <c r="AB49" s="333" t="s">
        <v>658</v>
      </c>
      <c r="AC49" s="333">
        <f>COUNTIFS(Tableau2[VILLAGE],"BOUDOYO-BLOC",Tableau2[[STATUT ]],"Redouble")</f>
        <v>8</v>
      </c>
      <c r="AD49" s="333">
        <f t="shared" ref="AD49:AF64" si="410">SUM(AD47:AD48)</f>
        <v>8</v>
      </c>
      <c r="AE49" s="333">
        <f t="shared" si="410"/>
        <v>0</v>
      </c>
      <c r="AF49" s="343">
        <f t="shared" si="410"/>
        <v>100</v>
      </c>
      <c r="AG49" s="849"/>
      <c r="AH49" s="344">
        <f>SUM(AH47:AH48)</f>
        <v>15.686274509803923</v>
      </c>
      <c r="AI49" s="849"/>
      <c r="AJ49" s="344">
        <f t="shared" ref="AJ49" si="411">SUM(AJ47:AJ48)</f>
        <v>4.9079754601226995</v>
      </c>
      <c r="AK49" s="849"/>
      <c r="AL49" s="333" t="s">
        <v>658</v>
      </c>
      <c r="AM49" s="333">
        <f>COUNTIFS(Tableau2[VILLAGE],"BOUDOYO-BLOC",Tableau2[[STATUT ]],"Absent")</f>
        <v>5</v>
      </c>
      <c r="AN49" s="333">
        <f t="shared" ref="AN49:AP49" si="412">SUM(AN47:AN48)</f>
        <v>5</v>
      </c>
      <c r="AO49" s="333">
        <f t="shared" si="412"/>
        <v>0</v>
      </c>
      <c r="AP49" s="343">
        <f t="shared" si="412"/>
        <v>100</v>
      </c>
      <c r="AQ49" s="849"/>
      <c r="AR49" s="344">
        <f>SUM(AR47:AR48)</f>
        <v>15.151515151515152</v>
      </c>
      <c r="AS49" s="849"/>
      <c r="AT49" s="344">
        <f t="shared" ref="AT49" si="413">SUM(AT47:AT48)</f>
        <v>3.8461538461538458</v>
      </c>
      <c r="AU49" s="849"/>
      <c r="AV49" s="342" t="s">
        <v>658</v>
      </c>
      <c r="AW49" s="530">
        <f t="shared" si="7"/>
        <v>17</v>
      </c>
      <c r="AX49" s="527">
        <f>SUM(AX47:AX48)</f>
        <v>6</v>
      </c>
      <c r="AY49" s="333">
        <f>SUM(AY47:AY48)</f>
        <v>5</v>
      </c>
      <c r="AZ49" s="333">
        <f>SUM(AZ47:AZ48)</f>
        <v>6</v>
      </c>
      <c r="BA49" s="517">
        <f t="shared" ref="BA49:BC49" si="414">SUM(BA47:BA48)</f>
        <v>100</v>
      </c>
      <c r="BB49" s="517">
        <f t="shared" si="414"/>
        <v>100</v>
      </c>
      <c r="BC49" s="517">
        <f t="shared" si="414"/>
        <v>100</v>
      </c>
      <c r="BD49" s="517">
        <f t="shared" ref="BD49" si="415">SUM(BD47:BD48)</f>
        <v>12.244897959183673</v>
      </c>
      <c r="BE49" s="517">
        <f t="shared" ref="BE49" si="416">SUM(BE47:BE48)</f>
        <v>5.6818181818181817</v>
      </c>
      <c r="BF49" s="517">
        <f t="shared" ref="BF49" si="417">SUM(BF47:BF48)</f>
        <v>19.35483870967742</v>
      </c>
      <c r="BG49" s="517">
        <f t="shared" ref="BG49:BI49" si="418">SUM(BG47:BG48)</f>
        <v>4.0816326530612246</v>
      </c>
      <c r="BH49" s="517">
        <f t="shared" si="418"/>
        <v>1.2315270935960592</v>
      </c>
      <c r="BI49" s="517">
        <f t="shared" si="418"/>
        <v>5.5045871559633026</v>
      </c>
    </row>
    <row r="50" spans="1:61" ht="15.5" customHeight="1" x14ac:dyDescent="0.35">
      <c r="C50" s="901"/>
      <c r="D50" s="891" t="s">
        <v>2185</v>
      </c>
      <c r="E50" s="323" t="s">
        <v>1990</v>
      </c>
      <c r="F50" s="509">
        <f>COUNTIFS(Tableau2[VILLAGE],"GUEYO-RESIDENTIEL",Tableau2[Sexes],"F")</f>
        <v>16</v>
      </c>
      <c r="G50" s="508">
        <f>F50*100/F52</f>
        <v>72.727272727272734</v>
      </c>
      <c r="H50" s="508">
        <f>F50*100/$F$64</f>
        <v>7.9601990049751246</v>
      </c>
      <c r="I50" s="508">
        <f>F50*100/$F$100</f>
        <v>1.871345029239766</v>
      </c>
      <c r="J50" s="509">
        <f>COUNTIFS(Tableau2[VILLAGE],"GUEYO-RESIDENTIEL",Tableau2[CLASSE],"CPU",Tableau2[Sexes],"F")</f>
        <v>16</v>
      </c>
      <c r="K50" s="509">
        <f>COUNTIFS(Tableau2[VILLAGE],"GUEYO-RESIDENTIEL",Tableau2[CLASSE],"CEU",Tableau2[Sexes],"F")</f>
        <v>0</v>
      </c>
      <c r="L50" s="510">
        <f>J50*100/J52</f>
        <v>72.727272727272734</v>
      </c>
      <c r="M50" s="510">
        <v>0</v>
      </c>
      <c r="N50" s="510">
        <f t="shared" ref="N50:N51" si="419">J50*100/$J$64</f>
        <v>7.9601990049751246</v>
      </c>
      <c r="O50" s="510">
        <v>0</v>
      </c>
      <c r="P50" s="510">
        <f t="shared" ref="P50:P51" si="420">J50*100/$J$100</f>
        <v>2.0202020202020203</v>
      </c>
      <c r="Q50" s="510">
        <f t="shared" ref="Q50:Q51" si="421">K50*100/$K$100</f>
        <v>0</v>
      </c>
      <c r="R50" s="323" t="s">
        <v>1990</v>
      </c>
      <c r="S50" s="509">
        <f>COUNTIFS(Tableau2[VILLAGE],"GUEYO-RESIDENTIEL",Tableau2[[STATUT ]],"admis",Tableau2[Sexes],"F")</f>
        <v>6</v>
      </c>
      <c r="T50" s="509">
        <f>COUNTIFS(Tableau2[VILLAGE],"GUEYO-RESIDENTIEL",Tableau2[CE1-CE2],1,Tableau2[Sexes],"F")</f>
        <v>6</v>
      </c>
      <c r="U50" s="509">
        <f>COUNTIFS(Tableau2[VILLAGE],"GUEYO-RESIDENTIEL;Tableau2[CM1-CM2];1;Tableau2[Sexes];""F")</f>
        <v>0</v>
      </c>
      <c r="V50" s="510">
        <f t="shared" si="360"/>
        <v>66.666666666666671</v>
      </c>
      <c r="W50" s="847"/>
      <c r="X50" s="510">
        <f>T50*100/$L$64</f>
        <v>6</v>
      </c>
      <c r="Y50" s="847"/>
      <c r="Z50" s="510">
        <f t="shared" ref="Z50:Z51" si="422">T50*100/$L$100</f>
        <v>6</v>
      </c>
      <c r="AA50" s="847"/>
      <c r="AB50" s="323" t="s">
        <v>1990</v>
      </c>
      <c r="AC50" s="509">
        <f>COUNTIFS(Tableau2[VILLAGE],"GUEYO-RESIDENTIEL",Tableau2[[STATUT ]],"Redouble",Tableau2[Sexes],"F")</f>
        <v>6</v>
      </c>
      <c r="AD50" s="509">
        <f>COUNTIFS(Tableau2[VILLAGE],"GUEYO-RESIDENTIEL",Tableau2[CLASSE],"CPU",Tableau2[[STATUT ]],"Redouble",Tableau2[Sexes],"F")</f>
        <v>6</v>
      </c>
      <c r="AE50" s="509">
        <f>COUNTIFS(Tableau2[VILLAGE],"GUEYO-RESIDENTIEL",Tableau2[CLASSE],"CEU",Tableau2[[STATUT ]],"Redouble",Tableau2[Sexes],"F")</f>
        <v>0</v>
      </c>
      <c r="AF50" s="510">
        <f t="shared" ref="AF50" si="423">AD50*100/AD52</f>
        <v>85.714285714285708</v>
      </c>
      <c r="AG50" s="847"/>
      <c r="AH50" s="510">
        <f>AD50*100/AD64</f>
        <v>11.764705882352942</v>
      </c>
      <c r="AI50" s="847"/>
      <c r="AJ50" s="510">
        <f>AD50*100/AD100</f>
        <v>3.6809815950920246</v>
      </c>
      <c r="AK50" s="847"/>
      <c r="AL50" s="323" t="s">
        <v>1990</v>
      </c>
      <c r="AM50" s="509">
        <f>COUNTIFS(Tableau2[VILLAGE],"GUEYO-RESIDENTIEL",Tableau2[[STATUT ]],"Absent",Tableau2[Sexes],"F")</f>
        <v>4</v>
      </c>
      <c r="AN50" s="509">
        <f>COUNTIFS(Tableau2[VILLAGE],"GUEYO-RESIDENTIEL",Tableau2[CLASSE],"CPU",Tableau2[[STATUT ]],"Absent",Tableau2[Sexes],"F")</f>
        <v>4</v>
      </c>
      <c r="AO50" s="509">
        <f>COUNTIFS(Tableau2[VILLAGE],"GUEYO-RESIDENTIEL",Tableau2[CLASSE],"CEU",Tableau2[[STATUT ]],"Absent",Tableau2[Sexes],"F")</f>
        <v>0</v>
      </c>
      <c r="AP50" s="510">
        <f t="shared" ref="AP50" si="424">AN50*100/AN52</f>
        <v>66.666666666666671</v>
      </c>
      <c r="AQ50" s="847"/>
      <c r="AR50" s="510">
        <f>AN50*100/AN64</f>
        <v>12.121212121212121</v>
      </c>
      <c r="AS50" s="847"/>
      <c r="AT50" s="510">
        <f>AN50*100/AN100</f>
        <v>3.0769230769230771</v>
      </c>
      <c r="AU50" s="847"/>
      <c r="AV50" s="335" t="s">
        <v>1990</v>
      </c>
      <c r="AW50" s="529">
        <f t="shared" si="7"/>
        <v>12</v>
      </c>
      <c r="AX50" s="509">
        <f>COUNTIFS(Tableau2[VILLAGE],"GUEYO-RESIDENTIEL",Tableau2[Colonne1],"CP2",Tableau2[Sexes],"F")</f>
        <v>6</v>
      </c>
      <c r="AY50" s="509">
        <f>COUNTIFS(Tableau2[VILLAGE],"GUEYO-RESIDENTIEL",Tableau2[Colonne1],"CE1",Tableau2[Sexes],"F")</f>
        <v>4</v>
      </c>
      <c r="AZ50" s="509">
        <f>COUNTIFS(Tableau2[VILLAGE],"GUEYO-RESIDENTIEL",Tableau2[Colonne1],"CE2",Tableau2[Sexes],"F")</f>
        <v>2</v>
      </c>
      <c r="BA50" s="510">
        <f t="shared" ref="BA50:BC50" si="425">AX50*100/AX52</f>
        <v>85.714285714285708</v>
      </c>
      <c r="BB50" s="510">
        <f t="shared" si="425"/>
        <v>57.142857142857146</v>
      </c>
      <c r="BC50" s="510">
        <f t="shared" si="425"/>
        <v>100</v>
      </c>
      <c r="BD50" s="510">
        <f t="shared" ref="BD50:BD51" si="426">AX50*100/$AX$64</f>
        <v>12.244897959183673</v>
      </c>
      <c r="BE50" s="510">
        <f t="shared" ref="BE50:BE51" si="427">AY50*100/$AY$64</f>
        <v>4.5454545454545459</v>
      </c>
      <c r="BF50" s="510">
        <f t="shared" ref="BF50:BF51" si="428">AZ50*100/$AZ$64</f>
        <v>6.4516129032258061</v>
      </c>
      <c r="BG50" s="510">
        <f t="shared" ref="BG50:BG51" si="429">AX50*100/$AX$100</f>
        <v>4.0816326530612246</v>
      </c>
      <c r="BH50" s="510">
        <f t="shared" ref="BH50:BH51" si="430">AY50*100/$AY$100</f>
        <v>0.98522167487684731</v>
      </c>
      <c r="BI50" s="510">
        <f t="shared" ref="BI50:BI51" si="431">AZ50*100/$AZ$100</f>
        <v>1.834862385321101</v>
      </c>
    </row>
    <row r="51" spans="1:61" ht="15.5" customHeight="1" thickBot="1" x14ac:dyDescent="0.4">
      <c r="C51" s="901"/>
      <c r="D51" s="892"/>
      <c r="E51" s="324" t="s">
        <v>665</v>
      </c>
      <c r="F51" s="509">
        <f>COUNTIFS(Tableau2[VILLAGE],"GUEYO-RESIDENTIEL",Tableau2[Sexes],"G")</f>
        <v>6</v>
      </c>
      <c r="G51" s="508">
        <f>F51*100/F52</f>
        <v>27.272727272727273</v>
      </c>
      <c r="H51" s="508">
        <f>F51*100/$F$64</f>
        <v>2.9850746268656718</v>
      </c>
      <c r="I51" s="508">
        <f>F51*100/$F$100</f>
        <v>0.70175438596491224</v>
      </c>
      <c r="J51" s="509">
        <f>COUNTIFS(Tableau2[VILLAGE],"GUEYO-RESIDENTIEL",Tableau2[CLASSE],"CPU",Tableau2[Sexes],"G")</f>
        <v>6</v>
      </c>
      <c r="K51" s="509">
        <f>COUNTIFS(Tableau2[VILLAGE],"GUEYO-RESIDENTIEL",Tableau2[CLASSE],"CEU",Tableau2[Sexes],"G")</f>
        <v>0</v>
      </c>
      <c r="L51" s="510">
        <f>J51*100/J52</f>
        <v>27.272727272727273</v>
      </c>
      <c r="M51" s="510">
        <v>0</v>
      </c>
      <c r="N51" s="510">
        <f t="shared" si="419"/>
        <v>2.9850746268656718</v>
      </c>
      <c r="O51" s="510">
        <f>0</f>
        <v>0</v>
      </c>
      <c r="P51" s="510">
        <f t="shared" si="420"/>
        <v>0.75757575757575757</v>
      </c>
      <c r="Q51" s="510">
        <f t="shared" si="421"/>
        <v>0</v>
      </c>
      <c r="R51" s="324" t="s">
        <v>665</v>
      </c>
      <c r="S51" s="509">
        <f>COUNTIFS(Tableau2[VILLAGE],"GUEYO-RESIDENTIEL",Tableau2[[STATUT ]],"admis",Tableau2[Sexes],"G")</f>
        <v>3</v>
      </c>
      <c r="T51" s="509">
        <f>COUNTIFS(Tableau2[VILLAGE],"GUEYO-RESIDENTIEL",Tableau2[CE1-CE2],1,Tableau2[Sexes],"G")</f>
        <v>3</v>
      </c>
      <c r="U51" s="509">
        <f>COUNTIFS(Tableau2[VILLAGE],"GUEYO-RESIDENTIEL",Tableau2[CM1-CM2],1,Tableau2[Sexes],"G")</f>
        <v>0</v>
      </c>
      <c r="V51" s="510">
        <f t="shared" si="370"/>
        <v>33.333333333333336</v>
      </c>
      <c r="W51" s="848"/>
      <c r="X51" s="510">
        <f>T51*100/$L$64</f>
        <v>3</v>
      </c>
      <c r="Y51" s="848"/>
      <c r="Z51" s="510">
        <f t="shared" si="422"/>
        <v>3</v>
      </c>
      <c r="AA51" s="848"/>
      <c r="AB51" s="324" t="s">
        <v>665</v>
      </c>
      <c r="AC51" s="509">
        <f>COUNTIFS(Tableau2[VILLAGE],"GUEYO-RESIDENTIEL",Tableau2[[STATUT ]],"Redouble",Tableau2[Sexes],"G")</f>
        <v>1</v>
      </c>
      <c r="AD51" s="509">
        <f>COUNTIFS(Tableau2[VILLAGE],"GUEYO-RESIDENTIEL",Tableau2[CLASSE],"CPU",Tableau2[[STATUT ]],"Redouble",Tableau2[Sexes],"G")</f>
        <v>1</v>
      </c>
      <c r="AE51" s="509">
        <f>COUNTIFS(Tableau2[VILLAGE],"GUEYO-RESIDENTIEL",Tableau2[CLASSE],"CEU",Tableau2[[STATUT ]],"Redouble",Tableau2[Sexes],"G")</f>
        <v>0</v>
      </c>
      <c r="AF51" s="510">
        <f t="shared" ref="AF51" si="432">AD51*100/AD52</f>
        <v>14.285714285714286</v>
      </c>
      <c r="AG51" s="848"/>
      <c r="AH51" s="510">
        <f>AD51*100/AD64</f>
        <v>1.9607843137254901</v>
      </c>
      <c r="AI51" s="848"/>
      <c r="AJ51" s="510">
        <f>AD51*100/AD100</f>
        <v>0.61349693251533743</v>
      </c>
      <c r="AK51" s="848"/>
      <c r="AL51" s="324" t="s">
        <v>665</v>
      </c>
      <c r="AM51" s="509">
        <f>COUNTIFS(Tableau2[VILLAGE],"GUEYO-RESIDENTIEL",Tableau2[[STATUT ]],"Absent",Tableau2[Sexes],"G")</f>
        <v>2</v>
      </c>
      <c r="AN51" s="509">
        <f>COUNTIFS(Tableau2[VILLAGE],"GUEYO-RESIDENTIEL",Tableau2[CLASSE],"CPU",Tableau2[[STATUT ]],"Absent",Tableau2[Sexes],"G")</f>
        <v>2</v>
      </c>
      <c r="AO51" s="509">
        <f>COUNTIFS(Tableau2[VILLAGE],"GUEYO-RESIDENTIEL",Tableau2[CLASSE],"CEU",Tableau2[[STATUT ]],"Absent",Tableau2[Sexes],"G")</f>
        <v>0</v>
      </c>
      <c r="AP51" s="510">
        <f t="shared" ref="AP51" si="433">AN51*100/AN52</f>
        <v>33.333333333333336</v>
      </c>
      <c r="AQ51" s="848"/>
      <c r="AR51" s="510">
        <f>AN51*100/AN64</f>
        <v>6.0606060606060606</v>
      </c>
      <c r="AS51" s="848"/>
      <c r="AT51" s="510">
        <f>AN51*100/AN100</f>
        <v>1.5384615384615385</v>
      </c>
      <c r="AU51" s="848"/>
      <c r="AV51" s="336" t="s">
        <v>665</v>
      </c>
      <c r="AW51" s="529">
        <f t="shared" si="7"/>
        <v>4</v>
      </c>
      <c r="AX51" s="509">
        <f>COUNTIFS(Tableau2[VILLAGE],"GUEYO-RESIDENTIEL",Tableau2[Colonne1],"CP2",Tableau2[Sexes],"G")</f>
        <v>1</v>
      </c>
      <c r="AY51" s="509">
        <f>COUNTIFS(Tableau2[VILLAGE],"GUEYO-RESIDENTIEL",Tableau2[Colonne1],"CE1",Tableau2[Sexes],"G")</f>
        <v>3</v>
      </c>
      <c r="AZ51" s="509">
        <f>COUNTIFS(Tableau2[VILLAGE],"GUEYO-RESIDENTIEL",Tableau2[Colonne1],"CE2",Tableau2[Sexes],"G")</f>
        <v>0</v>
      </c>
      <c r="BA51" s="510">
        <f t="shared" ref="BA51" si="434">AX51*100/AX52</f>
        <v>14.285714285714286</v>
      </c>
      <c r="BB51" s="510">
        <f t="shared" ref="BB51" si="435">AY51*100/AY52</f>
        <v>42.857142857142854</v>
      </c>
      <c r="BC51" s="510">
        <f t="shared" ref="BC51" si="436">AZ51*100/AZ52</f>
        <v>0</v>
      </c>
      <c r="BD51" s="510">
        <f t="shared" si="426"/>
        <v>2.0408163265306123</v>
      </c>
      <c r="BE51" s="510">
        <f t="shared" si="427"/>
        <v>3.4090909090909092</v>
      </c>
      <c r="BF51" s="510">
        <f t="shared" si="428"/>
        <v>0</v>
      </c>
      <c r="BG51" s="510">
        <f t="shared" si="429"/>
        <v>0.68027210884353739</v>
      </c>
      <c r="BH51" s="510">
        <f t="shared" si="430"/>
        <v>0.73891625615763545</v>
      </c>
      <c r="BI51" s="510">
        <f t="shared" si="431"/>
        <v>0</v>
      </c>
    </row>
    <row r="52" spans="1:61" ht="16" customHeight="1" thickBot="1" x14ac:dyDescent="0.35">
      <c r="C52" s="901"/>
      <c r="D52" s="893"/>
      <c r="E52" s="325" t="s">
        <v>658</v>
      </c>
      <c r="F52" s="333">
        <f>COUNTIFS(Tableau2[VILLAGE],"GUEYO-RESIDENTIEL")</f>
        <v>22</v>
      </c>
      <c r="G52" s="340">
        <f>SUM(G50:G51)</f>
        <v>100</v>
      </c>
      <c r="H52" s="340">
        <f>SUM(H50:H51)</f>
        <v>10.945273631840797</v>
      </c>
      <c r="I52" s="340">
        <f t="shared" ref="I52" si="437">SUM(I50:I51)</f>
        <v>2.5730994152046782</v>
      </c>
      <c r="J52" s="333">
        <f t="shared" ref="J52" si="438">SUM(J50:J51)</f>
        <v>22</v>
      </c>
      <c r="K52" s="333">
        <f t="shared" si="408"/>
        <v>0</v>
      </c>
      <c r="L52" s="343">
        <f t="shared" si="408"/>
        <v>100</v>
      </c>
      <c r="M52" s="343">
        <f t="shared" si="408"/>
        <v>0</v>
      </c>
      <c r="N52" s="343">
        <f t="shared" si="408"/>
        <v>10.945273631840797</v>
      </c>
      <c r="O52" s="343">
        <f t="shared" si="377"/>
        <v>0</v>
      </c>
      <c r="P52" s="343">
        <f t="shared" si="377"/>
        <v>2.7777777777777777</v>
      </c>
      <c r="Q52" s="343">
        <f t="shared" si="377"/>
        <v>0</v>
      </c>
      <c r="R52" s="333" t="s">
        <v>658</v>
      </c>
      <c r="S52" s="333">
        <f>COUNTIFS(Tableau2[VILLAGE],"GUEYO-RESIDENTIEL",Tableau2[[STATUT ]],"admis")</f>
        <v>9</v>
      </c>
      <c r="T52" s="333">
        <f>COUNTIFS(Tableau2[VILLAGE],"GUEYO-RESIDENTIEL",Tableau2[CE1-CE2],1)</f>
        <v>9</v>
      </c>
      <c r="U52" s="333">
        <f>COUNTIFS(Tableau2[VILLAGE],"GUEYO-RESIDENTIEL",Tableau2[CM1-CM2],1)</f>
        <v>0</v>
      </c>
      <c r="V52" s="343">
        <f t="shared" si="378"/>
        <v>100</v>
      </c>
      <c r="W52" s="849"/>
      <c r="X52" s="344">
        <f>SUM(X50:X51)</f>
        <v>9</v>
      </c>
      <c r="Y52" s="849"/>
      <c r="Z52" s="344">
        <f t="shared" ref="Z52" si="439">SUM(Z50:Z51)</f>
        <v>9</v>
      </c>
      <c r="AA52" s="849"/>
      <c r="AB52" s="333" t="s">
        <v>658</v>
      </c>
      <c r="AC52" s="333">
        <f>COUNTIFS(Tableau2[VILLAGE],"GUEYO-RESIDENTIEL",Tableau2[[STATUT ]],"Redouble")</f>
        <v>7</v>
      </c>
      <c r="AD52" s="333">
        <f t="shared" ref="AD52" si="440">SUM(AD50:AD51)</f>
        <v>7</v>
      </c>
      <c r="AE52" s="333">
        <f t="shared" si="410"/>
        <v>0</v>
      </c>
      <c r="AF52" s="343">
        <f t="shared" si="410"/>
        <v>100</v>
      </c>
      <c r="AG52" s="849"/>
      <c r="AH52" s="344">
        <f>SUM(AH50:AH51)</f>
        <v>13.725490196078432</v>
      </c>
      <c r="AI52" s="849"/>
      <c r="AJ52" s="344">
        <f t="shared" ref="AJ52" si="441">SUM(AJ50:AJ51)</f>
        <v>4.294478527607362</v>
      </c>
      <c r="AK52" s="849"/>
      <c r="AL52" s="333" t="s">
        <v>658</v>
      </c>
      <c r="AM52" s="333">
        <f>COUNTIFS(Tableau2[VILLAGE],"GUEYO-RESIDENTIEL",Tableau2[[STATUT ]],"Absent")</f>
        <v>6</v>
      </c>
      <c r="AN52" s="333">
        <f t="shared" ref="AN52:AP52" si="442">SUM(AN50:AN51)</f>
        <v>6</v>
      </c>
      <c r="AO52" s="333">
        <f t="shared" si="442"/>
        <v>0</v>
      </c>
      <c r="AP52" s="343">
        <f t="shared" si="442"/>
        <v>100</v>
      </c>
      <c r="AQ52" s="849"/>
      <c r="AR52" s="344">
        <f>SUM(AR50:AR51)</f>
        <v>18.18181818181818</v>
      </c>
      <c r="AS52" s="849"/>
      <c r="AT52" s="344">
        <f t="shared" ref="AT52" si="443">SUM(AT50:AT51)</f>
        <v>4.6153846153846159</v>
      </c>
      <c r="AU52" s="849"/>
      <c r="AV52" s="342" t="s">
        <v>658</v>
      </c>
      <c r="AW52" s="530">
        <f t="shared" si="7"/>
        <v>16</v>
      </c>
      <c r="AX52" s="527">
        <f>SUM(AX50:AX51)</f>
        <v>7</v>
      </c>
      <c r="AY52" s="333">
        <f>SUM(AY50:AY51)</f>
        <v>7</v>
      </c>
      <c r="AZ52" s="333">
        <f>SUM(AZ50:AZ51)</f>
        <v>2</v>
      </c>
      <c r="BA52" s="517">
        <f t="shared" ref="BA52:BC52" si="444">SUM(BA50:BA51)</f>
        <v>100</v>
      </c>
      <c r="BB52" s="517">
        <f t="shared" si="444"/>
        <v>100</v>
      </c>
      <c r="BC52" s="517">
        <f t="shared" si="444"/>
        <v>100</v>
      </c>
      <c r="BD52" s="517">
        <f t="shared" ref="BD52" si="445">SUM(BD50:BD51)</f>
        <v>14.285714285714285</v>
      </c>
      <c r="BE52" s="517">
        <f t="shared" ref="BE52" si="446">SUM(BE50:BE51)</f>
        <v>7.954545454545455</v>
      </c>
      <c r="BF52" s="517">
        <f t="shared" ref="BF52" si="447">SUM(BF50:BF51)</f>
        <v>6.4516129032258061</v>
      </c>
      <c r="BG52" s="517">
        <f t="shared" ref="BG52:BI52" si="448">SUM(BG50:BG51)</f>
        <v>4.7619047619047619</v>
      </c>
      <c r="BH52" s="517">
        <f t="shared" si="448"/>
        <v>1.7241379310344827</v>
      </c>
      <c r="BI52" s="517">
        <f t="shared" si="448"/>
        <v>1.834862385321101</v>
      </c>
    </row>
    <row r="53" spans="1:61" ht="15.5" x14ac:dyDescent="0.35">
      <c r="C53" s="901"/>
      <c r="D53" s="891" t="s">
        <v>2198</v>
      </c>
      <c r="E53" s="323" t="s">
        <v>1990</v>
      </c>
      <c r="F53" s="509">
        <f>COUNTIFS(Tableau2[VILLAGE],"N'GUESSANKRO",Tableau2[Sexes],"F")</f>
        <v>4</v>
      </c>
      <c r="G53" s="508">
        <f>F53*100/F55</f>
        <v>28.571428571428573</v>
      </c>
      <c r="H53" s="508">
        <f>F53*100/$F$64</f>
        <v>1.9900497512437811</v>
      </c>
      <c r="I53" s="508">
        <f>F53*100/$F$100</f>
        <v>0.46783625730994149</v>
      </c>
      <c r="J53" s="509">
        <f>COUNTIFS(Tableau2[VILLAGE],"N'GUESSANKRO",Tableau2[CLASSE],"CPU",Tableau2[Sexes],"F")</f>
        <v>4</v>
      </c>
      <c r="K53" s="509">
        <f>COUNTIFS(Tableau2[VILLAGE],"N'GUESSANKRO",Tableau2[CLASSE],"CEU",Tableau2[Sexes],"F")</f>
        <v>0</v>
      </c>
      <c r="L53" s="510">
        <f>J53*100/J55</f>
        <v>28.571428571428573</v>
      </c>
      <c r="M53" s="510">
        <v>0</v>
      </c>
      <c r="N53" s="510">
        <f t="shared" ref="N53:N54" si="449">J53*100/$J$64</f>
        <v>1.9900497512437811</v>
      </c>
      <c r="O53" s="510">
        <v>0</v>
      </c>
      <c r="P53" s="510">
        <f t="shared" ref="P53:P54" si="450">J53*100/$J$100</f>
        <v>0.50505050505050508</v>
      </c>
      <c r="Q53" s="510">
        <f t="shared" ref="Q53:Q54" si="451">K53*100/$K$100</f>
        <v>0</v>
      </c>
      <c r="R53" s="323" t="s">
        <v>1990</v>
      </c>
      <c r="S53" s="509">
        <f>COUNTIFS(Tableau2[VILLAGE],"N'GUESSANKRO",Tableau2[[STATUT ]],"admis",Tableau2[Sexes],"F")</f>
        <v>2</v>
      </c>
      <c r="T53" s="509">
        <f>COUNTIFS(Tableau2[VILLAGE],"N'GUESSANKRO",Tableau2[CE1-CE2],1,Tableau2[Sexes],"F")</f>
        <v>2</v>
      </c>
      <c r="U53" s="509">
        <f>COUNTIFS(Tableau2[VILLAGE],"N'GUESSANKRO",Tableau2[CM1-CM2],1,Tableau2[Sexes],"F")</f>
        <v>0</v>
      </c>
      <c r="V53" s="510">
        <f t="shared" si="360"/>
        <v>28.571428571428573</v>
      </c>
      <c r="W53" s="847"/>
      <c r="X53" s="510">
        <f>T53*100/$L$64</f>
        <v>2</v>
      </c>
      <c r="Y53" s="847"/>
      <c r="Z53" s="510">
        <f t="shared" ref="Z53:Z54" si="452">T53*100/$L$100</f>
        <v>2</v>
      </c>
      <c r="AA53" s="847"/>
      <c r="AB53" s="323" t="s">
        <v>1990</v>
      </c>
      <c r="AC53" s="509">
        <f>COUNTIFS(Tableau2[VILLAGE],"N'GUESSANKRO",Tableau2[[STATUT ]],"Redouble",Tableau2[Sexes],"F")</f>
        <v>0</v>
      </c>
      <c r="AD53" s="509">
        <f>COUNTIFS(Tableau2[VILLAGE],"N'GUESSANKRO",Tableau2[CLASSE],"CPU",Tableau2[[STATUT ]],"Redouble",Tableau2[Sexes],"F")</f>
        <v>0</v>
      </c>
      <c r="AE53" s="509">
        <f>COUNTIFS(Tableau2[VILLAGE],"N'GUESSANKRO",Tableau2[CLASSE],"CEU",Tableau2[[STATUT ]],"Redouble",Tableau2[Sexes],"F")</f>
        <v>0</v>
      </c>
      <c r="AF53" s="510">
        <f t="shared" ref="AF53" si="453">AD53*100/AD55</f>
        <v>0</v>
      </c>
      <c r="AG53" s="847"/>
      <c r="AH53" s="510">
        <f>AD53*100/AD64</f>
        <v>0</v>
      </c>
      <c r="AI53" s="847"/>
      <c r="AJ53" s="510">
        <f>AD53*100/AD100</f>
        <v>0</v>
      </c>
      <c r="AK53" s="847"/>
      <c r="AL53" s="323" t="s">
        <v>1990</v>
      </c>
      <c r="AM53" s="509">
        <f>COUNTIFS(Tableau2[VILLAGE],"N'GUESSANKRO",Tableau2[[STATUT ]],"Absent",Tableau2[Sexes],"F")</f>
        <v>2</v>
      </c>
      <c r="AN53" s="509">
        <f>COUNTIFS(Tableau2[VILLAGE],"N'GUESSANKRO",Tableau2[CLASSE],"CPU",Tableau2[[STATUT ]],"Absent",Tableau2[Sexes],"F")</f>
        <v>2</v>
      </c>
      <c r="AO53" s="509">
        <f>COUNTIFS(Tableau2[VILLAGE],"N'GUESSANKRO",Tableau2[CLASSE],"CEU",Tableau2[[STATUT ]],"Absent",Tableau2[Sexes],"F")</f>
        <v>0</v>
      </c>
      <c r="AP53" s="510">
        <f t="shared" ref="AP53" si="454">AN53*100/AN55</f>
        <v>50</v>
      </c>
      <c r="AQ53" s="847"/>
      <c r="AR53" s="510">
        <f>AN53*100/AN64</f>
        <v>6.0606060606060606</v>
      </c>
      <c r="AS53" s="847"/>
      <c r="AT53" s="510">
        <f>AN53*100/AN100</f>
        <v>1.5384615384615385</v>
      </c>
      <c r="AU53" s="847"/>
      <c r="AV53" s="335" t="s">
        <v>1990</v>
      </c>
      <c r="AW53" s="529">
        <f t="shared" si="7"/>
        <v>2</v>
      </c>
      <c r="AX53" s="509">
        <f>COUNTIFS(Tableau2[VILLAGE],"N'GUESSANKRO",Tableau2[Colonne1],"CP2",Tableau2[Sexes],"F")</f>
        <v>0</v>
      </c>
      <c r="AY53" s="509">
        <f>COUNTIFS(Tableau2[VILLAGE],"N'GUESSANKRO",Tableau2[Colonne1],"CE1",Tableau2[Sexes],"F")</f>
        <v>2</v>
      </c>
      <c r="AZ53" s="509">
        <f>COUNTIFS(Tableau2[VILLAGE],"N'GUESSANKRO",Tableau2[Colonne1],"CE2",Tableau2[Sexes],"F")</f>
        <v>0</v>
      </c>
      <c r="BA53" s="510">
        <f t="shared" ref="BA53:BC53" si="455">AX53*100/AX55</f>
        <v>0</v>
      </c>
      <c r="BB53" s="510">
        <f t="shared" si="455"/>
        <v>50</v>
      </c>
      <c r="BC53" s="510">
        <f t="shared" si="455"/>
        <v>0</v>
      </c>
      <c r="BD53" s="510">
        <f t="shared" ref="BD53:BD54" si="456">AX53*100/$AX$64</f>
        <v>0</v>
      </c>
      <c r="BE53" s="510">
        <f t="shared" ref="BE53:BE54" si="457">AY53*100/$AY$64</f>
        <v>2.2727272727272729</v>
      </c>
      <c r="BF53" s="510">
        <f t="shared" ref="BF53:BF54" si="458">AZ53*100/$AZ$64</f>
        <v>0</v>
      </c>
      <c r="BG53" s="510">
        <f t="shared" ref="BG53:BG54" si="459">AX53*100/$AX$100</f>
        <v>0</v>
      </c>
      <c r="BH53" s="510">
        <f t="shared" ref="BH53:BH54" si="460">AY53*100/$AY$100</f>
        <v>0.49261083743842365</v>
      </c>
      <c r="BI53" s="510">
        <f t="shared" ref="BI53:BI54" si="461">AZ53*100/$AZ$100</f>
        <v>0</v>
      </c>
    </row>
    <row r="54" spans="1:61" ht="16" thickBot="1" x14ac:dyDescent="0.4">
      <c r="C54" s="901"/>
      <c r="D54" s="892"/>
      <c r="E54" s="324" t="s">
        <v>665</v>
      </c>
      <c r="F54" s="509">
        <f>COUNTIFS(Tableau2[VILLAGE],"N'GUESSANKRO",Tableau2[Sexes],"G")</f>
        <v>10</v>
      </c>
      <c r="G54" s="508">
        <f>F54*100/F55</f>
        <v>71.428571428571431</v>
      </c>
      <c r="H54" s="508">
        <f>F54*100/$F$64</f>
        <v>4.9751243781094523</v>
      </c>
      <c r="I54" s="508">
        <f>F54*100/$F$100</f>
        <v>1.1695906432748537</v>
      </c>
      <c r="J54" s="509">
        <f>COUNTIFS(Tableau2[VILLAGE],"N'GUESSANKRO",Tableau2[CLASSE],"CPU",Tableau2[Sexes],"G")</f>
        <v>10</v>
      </c>
      <c r="K54" s="509">
        <f>COUNTIFS(Tableau2[VILLAGE],"N'GUESSANKRO",Tableau2[CLASSE],"CEU",Tableau2[Sexes],"G")</f>
        <v>0</v>
      </c>
      <c r="L54" s="510">
        <f>J54*100/J55</f>
        <v>71.428571428571431</v>
      </c>
      <c r="M54" s="510">
        <v>0</v>
      </c>
      <c r="N54" s="510">
        <f t="shared" si="449"/>
        <v>4.9751243781094523</v>
      </c>
      <c r="O54" s="510">
        <f>0</f>
        <v>0</v>
      </c>
      <c r="P54" s="510">
        <f t="shared" si="450"/>
        <v>1.2626262626262625</v>
      </c>
      <c r="Q54" s="510">
        <f t="shared" si="451"/>
        <v>0</v>
      </c>
      <c r="R54" s="324" t="s">
        <v>665</v>
      </c>
      <c r="S54" s="509">
        <f>COUNTIFS(Tableau2[VILLAGE],"N'GUESSANKRO",Tableau2[[STATUT ]],"admis",Tableau2[Sexes],"G")</f>
        <v>5</v>
      </c>
      <c r="T54" s="509">
        <f>COUNTIFS(Tableau2[VILLAGE],"N'GUESSANKRO",Tableau2[CE1-CE2],1,Tableau2[Sexes],"G")</f>
        <v>5</v>
      </c>
      <c r="U54" s="509">
        <f>COUNTIFS(Tableau2[VILLAGE],"N'GUESSANKRO",Tableau2[CM1-CM2],1,Tableau2[Sexes],"G")</f>
        <v>0</v>
      </c>
      <c r="V54" s="510">
        <f t="shared" si="370"/>
        <v>71.428571428571431</v>
      </c>
      <c r="W54" s="848"/>
      <c r="X54" s="510">
        <f>T54*100/$L$64</f>
        <v>5</v>
      </c>
      <c r="Y54" s="848"/>
      <c r="Z54" s="510">
        <f t="shared" si="452"/>
        <v>5</v>
      </c>
      <c r="AA54" s="848"/>
      <c r="AB54" s="324" t="s">
        <v>665</v>
      </c>
      <c r="AC54" s="509">
        <f>COUNTIFS(Tableau2[VILLAGE],"N'GUESSANKRO",Tableau2[[STATUT ]],"Redouble",Tableau2[Sexes],"G")</f>
        <v>3</v>
      </c>
      <c r="AD54" s="509">
        <f>COUNTIFS(Tableau2[VILLAGE],"N'GUESSANKRO",Tableau2[CLASSE],"CPU",Tableau2[[STATUT ]],"Redouble",Tableau2[Sexes],"G")</f>
        <v>3</v>
      </c>
      <c r="AE54" s="509">
        <f>COUNTIFS(Tableau2[VILLAGE],"N'GUESSANKRO",Tableau2[CLASSE],"CEU",Tableau2[[STATUT ]],"Redouble",Tableau2[Sexes],"G")</f>
        <v>0</v>
      </c>
      <c r="AF54" s="510">
        <f t="shared" ref="AF54" si="462">AD54*100/AD55</f>
        <v>100</v>
      </c>
      <c r="AG54" s="848"/>
      <c r="AH54" s="510">
        <f>AD54*100/AD64</f>
        <v>5.882352941176471</v>
      </c>
      <c r="AI54" s="848"/>
      <c r="AJ54" s="510">
        <f>AD54*100/AD100</f>
        <v>1.8404907975460123</v>
      </c>
      <c r="AK54" s="848"/>
      <c r="AL54" s="324" t="s">
        <v>665</v>
      </c>
      <c r="AM54" s="509">
        <f>COUNTIFS(Tableau2[VILLAGE],"N'GUESSANKRO",Tableau2[[STATUT ]],"Absent",Tableau2[Sexes],"G")</f>
        <v>2</v>
      </c>
      <c r="AN54" s="509">
        <f>COUNTIFS(Tableau2[VILLAGE],"N'GUESSANKRO",Tableau2[CLASSE],"CPU",Tableau2[[STATUT ]],"Absent",Tableau2[Sexes],"G")</f>
        <v>2</v>
      </c>
      <c r="AO54" s="509">
        <f>COUNTIFS(Tableau2[VILLAGE],"N'GUESSANKRO",Tableau2[CLASSE],"CEU",Tableau2[[STATUT ]],"Absent",Tableau2[Sexes],"G")</f>
        <v>0</v>
      </c>
      <c r="AP54" s="510">
        <f t="shared" ref="AP54" si="463">AN54*100/AN55</f>
        <v>50</v>
      </c>
      <c r="AQ54" s="848"/>
      <c r="AR54" s="510">
        <f>AN54*100/AN64</f>
        <v>6.0606060606060606</v>
      </c>
      <c r="AS54" s="848"/>
      <c r="AT54" s="510">
        <f>AN54*100/AN100</f>
        <v>1.5384615384615385</v>
      </c>
      <c r="AU54" s="848"/>
      <c r="AV54" s="336" t="s">
        <v>665</v>
      </c>
      <c r="AW54" s="529">
        <f t="shared" si="7"/>
        <v>8</v>
      </c>
      <c r="AX54" s="509">
        <f>COUNTIFS(Tableau2[VILLAGE],"N'GUESSANKRO",Tableau2[Colonne1],"CP2",Tableau2[Sexes],"G")</f>
        <v>3</v>
      </c>
      <c r="AY54" s="509">
        <f>COUNTIFS(Tableau2[VILLAGE],"N'GUESSANKRO",Tableau2[Colonne1],"CE1",Tableau2[Sexes],"G")</f>
        <v>2</v>
      </c>
      <c r="AZ54" s="509">
        <f>COUNTIFS(Tableau2[VILLAGE],"N'GUESSANKRO",Tableau2[Colonne1],"CE2",Tableau2[Sexes],"G")</f>
        <v>3</v>
      </c>
      <c r="BA54" s="510">
        <f t="shared" ref="BA54" si="464">AX54*100/AX55</f>
        <v>100</v>
      </c>
      <c r="BB54" s="510">
        <f t="shared" ref="BB54" si="465">AY54*100/AY55</f>
        <v>50</v>
      </c>
      <c r="BC54" s="510">
        <f t="shared" ref="BC54" si="466">AZ54*100/AZ55</f>
        <v>100</v>
      </c>
      <c r="BD54" s="510">
        <f t="shared" si="456"/>
        <v>6.1224489795918364</v>
      </c>
      <c r="BE54" s="510">
        <f t="shared" si="457"/>
        <v>2.2727272727272729</v>
      </c>
      <c r="BF54" s="510">
        <f t="shared" si="458"/>
        <v>9.67741935483871</v>
      </c>
      <c r="BG54" s="510">
        <f t="shared" si="459"/>
        <v>2.0408163265306123</v>
      </c>
      <c r="BH54" s="510">
        <f t="shared" si="460"/>
        <v>0.49261083743842365</v>
      </c>
      <c r="BI54" s="510">
        <f t="shared" si="461"/>
        <v>2.7522935779816513</v>
      </c>
    </row>
    <row r="55" spans="1:61" ht="15.5" customHeight="1" thickBot="1" x14ac:dyDescent="0.35">
      <c r="C55" s="901"/>
      <c r="D55" s="893"/>
      <c r="E55" s="325" t="s">
        <v>658</v>
      </c>
      <c r="F55" s="333">
        <f>COUNTIFS(Tableau2[VILLAGE],"N'GUESSANKRO")</f>
        <v>14</v>
      </c>
      <c r="G55" s="340">
        <f>SUM(G53:G54)</f>
        <v>100</v>
      </c>
      <c r="H55" s="340">
        <f>SUM(H53:H54)</f>
        <v>6.9651741293532332</v>
      </c>
      <c r="I55" s="340">
        <f t="shared" ref="I55" si="467">SUM(I53:I54)</f>
        <v>1.6374269005847952</v>
      </c>
      <c r="J55" s="333">
        <f t="shared" ref="J55" si="468">SUM(J53:J54)</f>
        <v>14</v>
      </c>
      <c r="K55" s="333">
        <f t="shared" si="408"/>
        <v>0</v>
      </c>
      <c r="L55" s="343">
        <f t="shared" si="408"/>
        <v>100</v>
      </c>
      <c r="M55" s="343">
        <f t="shared" si="408"/>
        <v>0</v>
      </c>
      <c r="N55" s="343">
        <f t="shared" si="408"/>
        <v>6.9651741293532332</v>
      </c>
      <c r="O55" s="343">
        <f t="shared" si="377"/>
        <v>0</v>
      </c>
      <c r="P55" s="343">
        <f t="shared" si="377"/>
        <v>1.7676767676767677</v>
      </c>
      <c r="Q55" s="343">
        <f t="shared" si="377"/>
        <v>0</v>
      </c>
      <c r="R55" s="333" t="s">
        <v>658</v>
      </c>
      <c r="S55" s="333">
        <f>COUNTIFS(Tableau2[VILLAGE],"N'GUESSANKRO",Tableau2[[STATUT ]],"admis")</f>
        <v>7</v>
      </c>
      <c r="T55" s="333">
        <f>COUNTIFS(Tableau2[VILLAGE],"N'GUESSANKRO",Tableau2[CE1-CE2],1)</f>
        <v>7</v>
      </c>
      <c r="U55" s="333">
        <f>COUNTIFS(Tableau2[VILLAGE],"N'GUESSANKRO",Tableau2[CM1-CM2],1)</f>
        <v>0</v>
      </c>
      <c r="V55" s="343">
        <f t="shared" si="378"/>
        <v>100</v>
      </c>
      <c r="W55" s="849"/>
      <c r="X55" s="344">
        <f>SUM(X53:X54)</f>
        <v>7</v>
      </c>
      <c r="Y55" s="849"/>
      <c r="Z55" s="344">
        <f t="shared" ref="Z55" si="469">SUM(Z53:Z54)</f>
        <v>7</v>
      </c>
      <c r="AA55" s="849"/>
      <c r="AB55" s="333" t="s">
        <v>658</v>
      </c>
      <c r="AC55" s="333">
        <f>COUNTIFS(Tableau2[VILLAGE],"N'GUESSANKRO",Tableau2[[STATUT ]],"Redouble")</f>
        <v>3</v>
      </c>
      <c r="AD55" s="333">
        <f t="shared" ref="AD55" si="470">SUM(AD53:AD54)</f>
        <v>3</v>
      </c>
      <c r="AE55" s="333">
        <f t="shared" si="410"/>
        <v>0</v>
      </c>
      <c r="AF55" s="343">
        <f t="shared" si="410"/>
        <v>100</v>
      </c>
      <c r="AG55" s="849"/>
      <c r="AH55" s="344">
        <f>SUM(AH53:AH54)</f>
        <v>5.882352941176471</v>
      </c>
      <c r="AI55" s="849"/>
      <c r="AJ55" s="344">
        <f t="shared" ref="AJ55" si="471">SUM(AJ53:AJ54)</f>
        <v>1.8404907975460123</v>
      </c>
      <c r="AK55" s="849"/>
      <c r="AL55" s="333" t="s">
        <v>658</v>
      </c>
      <c r="AM55" s="333">
        <f>COUNTIFS(Tableau2[VILLAGE],"N'GUESSANKRO",Tableau2[[STATUT ]],"Absent")</f>
        <v>4</v>
      </c>
      <c r="AN55" s="333">
        <f t="shared" ref="AN55:AP55" si="472">SUM(AN53:AN54)</f>
        <v>4</v>
      </c>
      <c r="AO55" s="333">
        <f t="shared" si="472"/>
        <v>0</v>
      </c>
      <c r="AP55" s="343">
        <f t="shared" si="472"/>
        <v>100</v>
      </c>
      <c r="AQ55" s="849"/>
      <c r="AR55" s="344">
        <f>SUM(AR53:AR54)</f>
        <v>12.121212121212121</v>
      </c>
      <c r="AS55" s="849"/>
      <c r="AT55" s="344">
        <f t="shared" ref="AT55" si="473">SUM(AT53:AT54)</f>
        <v>3.0769230769230771</v>
      </c>
      <c r="AU55" s="849"/>
      <c r="AV55" s="342" t="s">
        <v>658</v>
      </c>
      <c r="AW55" s="530">
        <f t="shared" si="7"/>
        <v>10</v>
      </c>
      <c r="AX55" s="527">
        <f>SUM(AX53:AX54)</f>
        <v>3</v>
      </c>
      <c r="AY55" s="333">
        <f>SUM(AY53:AY54)</f>
        <v>4</v>
      </c>
      <c r="AZ55" s="333">
        <f>SUM(AZ53:AZ54)</f>
        <v>3</v>
      </c>
      <c r="BA55" s="517">
        <f t="shared" ref="BA55:BC55" si="474">SUM(BA53:BA54)</f>
        <v>100</v>
      </c>
      <c r="BB55" s="517">
        <f t="shared" si="474"/>
        <v>100</v>
      </c>
      <c r="BC55" s="517">
        <f t="shared" si="474"/>
        <v>100</v>
      </c>
      <c r="BD55" s="517">
        <f t="shared" ref="BD55" si="475">SUM(BD53:BD54)</f>
        <v>6.1224489795918364</v>
      </c>
      <c r="BE55" s="517">
        <f t="shared" ref="BE55" si="476">SUM(BE53:BE54)</f>
        <v>4.5454545454545459</v>
      </c>
      <c r="BF55" s="517">
        <f t="shared" ref="BF55" si="477">SUM(BF53:BF54)</f>
        <v>9.67741935483871</v>
      </c>
      <c r="BG55" s="517">
        <f t="shared" ref="BG55:BI55" si="478">SUM(BG53:BG54)</f>
        <v>2.0408163265306123</v>
      </c>
      <c r="BH55" s="517">
        <f t="shared" si="478"/>
        <v>0.98522167487684731</v>
      </c>
      <c r="BI55" s="517">
        <f t="shared" si="478"/>
        <v>2.7522935779816513</v>
      </c>
    </row>
    <row r="56" spans="1:61" ht="15.5" x14ac:dyDescent="0.35">
      <c r="C56" s="901"/>
      <c r="D56" s="891" t="s">
        <v>2135</v>
      </c>
      <c r="E56" s="323" t="s">
        <v>1990</v>
      </c>
      <c r="F56" s="509">
        <f>COUNTIFS(Tableau2[VILLAGE],"TOUREKRO",Tableau2[Sexes],"F")</f>
        <v>13</v>
      </c>
      <c r="G56" s="508">
        <f>F56*100/F58</f>
        <v>56.521739130434781</v>
      </c>
      <c r="H56" s="508">
        <f>F56*100/$F$64</f>
        <v>6.4676616915422889</v>
      </c>
      <c r="I56" s="508">
        <f>F56*100/$F$100</f>
        <v>1.5204678362573099</v>
      </c>
      <c r="J56" s="509">
        <f>COUNTIFS(Tableau2[VILLAGE],"TOUREKRO",Tableau2[CLASSE],"CPU",Tableau2[Sexes],"F")</f>
        <v>13</v>
      </c>
      <c r="K56" s="509">
        <f>COUNTIFS(Tableau2[VILLAGE],"TOUREKRO",Tableau2[CLASSE],"CEU",Tableau2[Sexes],"F")</f>
        <v>0</v>
      </c>
      <c r="L56" s="510">
        <f>J56*100/J58</f>
        <v>56.521739130434781</v>
      </c>
      <c r="M56" s="510">
        <v>0</v>
      </c>
      <c r="N56" s="510">
        <f t="shared" ref="N56:N57" si="479">J56*100/$J$64</f>
        <v>6.4676616915422889</v>
      </c>
      <c r="O56" s="510">
        <v>0</v>
      </c>
      <c r="P56" s="510">
        <f t="shared" ref="P56:P57" si="480">J56*100/$J$100</f>
        <v>1.6414141414141414</v>
      </c>
      <c r="Q56" s="510">
        <f t="shared" ref="Q56:Q57" si="481">K56*100/$K$100</f>
        <v>0</v>
      </c>
      <c r="R56" s="323" t="s">
        <v>1990</v>
      </c>
      <c r="S56" s="509">
        <f>COUNTIFS(Tableau2[VILLAGE],"TOUREKRO",Tableau2[[STATUT ]],"admis",Tableau2[Sexes],"F")</f>
        <v>7</v>
      </c>
      <c r="T56" s="509">
        <f>COUNTIFS(Tableau2[VILLAGE],"TOUREKRO",Tableau2[CE1-CE2],1,Tableau2[Sexes],"F")</f>
        <v>7</v>
      </c>
      <c r="U56" s="509">
        <f>COUNTIFS(Tableau2[VILLAGE],"TOUREKRO",Tableau2[CM1-CM2],1,Tableau2[Sexes],"F")</f>
        <v>0</v>
      </c>
      <c r="V56" s="510">
        <f t="shared" si="360"/>
        <v>41.176470588235297</v>
      </c>
      <c r="W56" s="847"/>
      <c r="X56" s="510">
        <f>T56*100/$L$64</f>
        <v>7</v>
      </c>
      <c r="Y56" s="847"/>
      <c r="Z56" s="510">
        <f t="shared" ref="Z56:Z57" si="482">T56*100/$L$100</f>
        <v>7</v>
      </c>
      <c r="AA56" s="847"/>
      <c r="AB56" s="323" t="s">
        <v>1990</v>
      </c>
      <c r="AC56" s="509">
        <f>COUNTIFS(Tableau2[VILLAGE],"TOUREKRO",Tableau2[[STATUT ]],"Redouble",Tableau2[Sexes],"F")</f>
        <v>6</v>
      </c>
      <c r="AD56" s="509">
        <f>COUNTIFS(Tableau2[VILLAGE],"TOUREKRO",Tableau2[CLASSE],"CPU",Tableau2[[STATUT ]],"Redouble",Tableau2[Sexes],"F")</f>
        <v>6</v>
      </c>
      <c r="AE56" s="509">
        <f>COUNTIFS(Tableau2[VILLAGE],"TOUREKRO",Tableau2[CLASSE],"CEU",Tableau2[[STATUT ]],"Redouble",Tableau2[Sexes],"F")</f>
        <v>0</v>
      </c>
      <c r="AF56" s="510">
        <f t="shared" ref="AF56" si="483">AD56*100/AD58</f>
        <v>100</v>
      </c>
      <c r="AG56" s="847"/>
      <c r="AH56" s="510">
        <f>AD56*100/AD64</f>
        <v>11.764705882352942</v>
      </c>
      <c r="AI56" s="847"/>
      <c r="AJ56" s="510">
        <f>AD56*100/AD100</f>
        <v>3.6809815950920246</v>
      </c>
      <c r="AK56" s="847"/>
      <c r="AL56" s="323" t="s">
        <v>1990</v>
      </c>
      <c r="AM56" s="509">
        <f>COUNTIFS(Tableau2[VILLAGE],"TOUREKRO",Tableau2[[STATUT ]],"Absent",Tableau2[Sexes],"F")</f>
        <v>0</v>
      </c>
      <c r="AN56" s="509">
        <f>COUNTIFS(Tableau2[VILLAGE],"TOUREKRO",Tableau2[CLASSE],"CPU",Tableau2[[STATUT ]],"Absent",Tableau2[Sexes],"F")</f>
        <v>0</v>
      </c>
      <c r="AO56" s="509">
        <f>COUNTIFS(Tableau2[VILLAGE],"TOUREKRO",Tableau2[CLASSE],"CEU",Tableau2[[STATUT ]],"Absent",Tableau2[Sexes],"F")</f>
        <v>0</v>
      </c>
      <c r="AP56" s="847"/>
      <c r="AQ56" s="847"/>
      <c r="AR56" s="510">
        <f>AN56*100/AN64</f>
        <v>0</v>
      </c>
      <c r="AS56" s="847"/>
      <c r="AT56" s="510">
        <f>AN56*100/AN100</f>
        <v>0</v>
      </c>
      <c r="AU56" s="847"/>
      <c r="AV56" s="335" t="s">
        <v>1990</v>
      </c>
      <c r="AW56" s="529">
        <f t="shared" si="7"/>
        <v>13</v>
      </c>
      <c r="AX56" s="509">
        <f>COUNTIFS(Tableau2[VILLAGE],"TOUREKRO",Tableau2[Colonne1],"CP2",Tableau2[Sexes],"F")</f>
        <v>6</v>
      </c>
      <c r="AY56" s="509">
        <f>COUNTIFS(Tableau2[VILLAGE],"TOUREKRO",Tableau2[Colonne1],"CE1",Tableau2[Sexes],"F")</f>
        <v>7</v>
      </c>
      <c r="AZ56" s="509">
        <f>COUNTIFS(Tableau2[VILLAGE],"TOUREKRO",Tableau2[Colonne1],"CE2",Tableau2[Sexes],"F")</f>
        <v>0</v>
      </c>
      <c r="BA56" s="510">
        <f t="shared" ref="BA56:BB56" si="484">AX56*100/AX58</f>
        <v>100</v>
      </c>
      <c r="BB56" s="510">
        <f t="shared" si="484"/>
        <v>41.176470588235297</v>
      </c>
      <c r="BC56" s="510">
        <v>0</v>
      </c>
      <c r="BD56" s="510">
        <f t="shared" ref="BD56:BD57" si="485">AX56*100/$AX$64</f>
        <v>12.244897959183673</v>
      </c>
      <c r="BE56" s="510">
        <f t="shared" ref="BE56:BE57" si="486">AY56*100/$AY$64</f>
        <v>7.9545454545454541</v>
      </c>
      <c r="BF56" s="510">
        <f t="shared" ref="BF56:BF57" si="487">AZ56*100/$AZ$64</f>
        <v>0</v>
      </c>
      <c r="BG56" s="510">
        <f t="shared" ref="BG56:BG57" si="488">AX56*100/$AX$100</f>
        <v>4.0816326530612246</v>
      </c>
      <c r="BH56" s="510">
        <f t="shared" ref="BH56:BH57" si="489">AY56*100/$AY$100</f>
        <v>1.7241379310344827</v>
      </c>
      <c r="BI56" s="510">
        <f t="shared" ref="BI56:BI57" si="490">AZ56*100/$AZ$100</f>
        <v>0</v>
      </c>
    </row>
    <row r="57" spans="1:61" ht="16" thickBot="1" x14ac:dyDescent="0.4">
      <c r="C57" s="901"/>
      <c r="D57" s="892"/>
      <c r="E57" s="324" t="s">
        <v>665</v>
      </c>
      <c r="F57" s="509">
        <f>COUNTIFS(Tableau2[VILLAGE],"TOUREKRO",Tableau2[Sexes],"G")</f>
        <v>10</v>
      </c>
      <c r="G57" s="508">
        <f>F57*100/F58</f>
        <v>43.478260869565219</v>
      </c>
      <c r="H57" s="508">
        <f>F57*100/$F$64</f>
        <v>4.9751243781094523</v>
      </c>
      <c r="I57" s="508">
        <f>F57*100/$F$100</f>
        <v>1.1695906432748537</v>
      </c>
      <c r="J57" s="509">
        <f>COUNTIFS(Tableau2[VILLAGE],"TOUREKRO",Tableau2[CLASSE],"CPU",Tableau2[Sexes],"G")</f>
        <v>10</v>
      </c>
      <c r="K57" s="509">
        <f>COUNTIFS(Tableau2[VILLAGE],"TOUREKRO",Tableau2[CLASSE],"CEU",Tableau2[Sexes],"G")</f>
        <v>0</v>
      </c>
      <c r="L57" s="510">
        <f>J57*100/J58</f>
        <v>43.478260869565219</v>
      </c>
      <c r="M57" s="510">
        <v>0</v>
      </c>
      <c r="N57" s="510">
        <f t="shared" si="479"/>
        <v>4.9751243781094523</v>
      </c>
      <c r="O57" s="510">
        <f>0</f>
        <v>0</v>
      </c>
      <c r="P57" s="510">
        <f t="shared" si="480"/>
        <v>1.2626262626262625</v>
      </c>
      <c r="Q57" s="510">
        <f t="shared" si="481"/>
        <v>0</v>
      </c>
      <c r="R57" s="324" t="s">
        <v>665</v>
      </c>
      <c r="S57" s="509">
        <f>COUNTIFS(Tableau2[VILLAGE],"TOUREKRO",Tableau2[[STATUT ]],"admis",Tableau2[Sexes],"G")</f>
        <v>10</v>
      </c>
      <c r="T57" s="509">
        <f>COUNTIFS(Tableau2[VILLAGE],"TOUREKRO",Tableau2[CE1-CE2],1,Tableau2[Sexes],"G")</f>
        <v>10</v>
      </c>
      <c r="U57" s="509">
        <f>COUNTIFS(Tableau2[VILLAGE],"TOUREKRO",Tableau2[CM1-CM2],1,Tableau2[Sexes],"G")</f>
        <v>0</v>
      </c>
      <c r="V57" s="510">
        <f t="shared" si="370"/>
        <v>58.823529411764703</v>
      </c>
      <c r="W57" s="848"/>
      <c r="X57" s="510">
        <f>T57*100/$L$64</f>
        <v>10</v>
      </c>
      <c r="Y57" s="848"/>
      <c r="Z57" s="510">
        <f t="shared" si="482"/>
        <v>10</v>
      </c>
      <c r="AA57" s="848"/>
      <c r="AB57" s="324" t="s">
        <v>665</v>
      </c>
      <c r="AC57" s="509">
        <f>COUNTIFS(Tableau2[VILLAGE],"TOUREKRO",Tableau2[[STATUT ]],"Redouble",Tableau2[Sexes],"G")</f>
        <v>0</v>
      </c>
      <c r="AD57" s="509">
        <f>COUNTIFS(Tableau2[VILLAGE],"TOUREKRO",Tableau2[CLASSE],"CPU",Tableau2[[STATUT ]],"Redouble",Tableau2[Sexes],"G")</f>
        <v>0</v>
      </c>
      <c r="AE57" s="509">
        <f>COUNTIFS(Tableau2[VILLAGE],"TOUREKRO",Tableau2[CLASSE],"CEU",Tableau2[[STATUT ]],"Redouble",Tableau2[Sexes],"G")</f>
        <v>0</v>
      </c>
      <c r="AF57" s="510">
        <f t="shared" ref="AF57" si="491">AD57*100/AD58</f>
        <v>0</v>
      </c>
      <c r="AG57" s="848"/>
      <c r="AH57" s="510">
        <f>AD57*100/AD64</f>
        <v>0</v>
      </c>
      <c r="AI57" s="848"/>
      <c r="AJ57" s="510">
        <f>AD57*100/AD100</f>
        <v>0</v>
      </c>
      <c r="AK57" s="848"/>
      <c r="AL57" s="324" t="s">
        <v>665</v>
      </c>
      <c r="AM57" s="509">
        <f>COUNTIFS(Tableau2[VILLAGE],"TOUREKRO",Tableau2[[STATUT ]],"Absent",Tableau2[Sexes],"G")</f>
        <v>0</v>
      </c>
      <c r="AN57" s="509">
        <f>COUNTIFS(Tableau2[VILLAGE],"TOUREKRO",Tableau2[CLASSE],"CPU",Tableau2[[STATUT ]],"Absent",Tableau2[Sexes],"G")</f>
        <v>0</v>
      </c>
      <c r="AO57" s="509">
        <f>COUNTIFS(Tableau2[VILLAGE],"TOUREKRO",Tableau2[CLASSE],"CEU",Tableau2[[STATUT ]],"Absent",Tableau2[Sexes],"G")</f>
        <v>0</v>
      </c>
      <c r="AP57" s="848"/>
      <c r="AQ57" s="848"/>
      <c r="AR57" s="510">
        <f>AN57*100/AN64</f>
        <v>0</v>
      </c>
      <c r="AS57" s="848"/>
      <c r="AT57" s="510">
        <f>AN57*100/AN100</f>
        <v>0</v>
      </c>
      <c r="AU57" s="848"/>
      <c r="AV57" s="336" t="s">
        <v>665</v>
      </c>
      <c r="AW57" s="529">
        <f t="shared" si="7"/>
        <v>10</v>
      </c>
      <c r="AX57" s="509">
        <f>COUNTIFS(Tableau2[VILLAGE],"TOUREKRO",Tableau2[Colonne1],"CP2",Tableau2[Sexes],"G")</f>
        <v>0</v>
      </c>
      <c r="AY57" s="509">
        <f>COUNTIFS(Tableau2[VILLAGE],"TOUREKRO",Tableau2[Colonne1],"CE1",Tableau2[Sexes],"G")</f>
        <v>10</v>
      </c>
      <c r="AZ57" s="509">
        <f>COUNTIFS(Tableau2[VILLAGE],"TOUREKRO",Tableau2[Colonne1],"CE2",Tableau2[Sexes],"G")</f>
        <v>0</v>
      </c>
      <c r="BA57" s="510">
        <f t="shared" ref="BA57" si="492">AX57*100/AX58</f>
        <v>0</v>
      </c>
      <c r="BB57" s="510">
        <f t="shared" ref="BB57" si="493">AY57*100/AY58</f>
        <v>58.823529411764703</v>
      </c>
      <c r="BC57" s="510">
        <v>0</v>
      </c>
      <c r="BD57" s="510">
        <f t="shared" si="485"/>
        <v>0</v>
      </c>
      <c r="BE57" s="510">
        <f t="shared" si="486"/>
        <v>11.363636363636363</v>
      </c>
      <c r="BF57" s="510">
        <f t="shared" si="487"/>
        <v>0</v>
      </c>
      <c r="BG57" s="510">
        <f t="shared" si="488"/>
        <v>0</v>
      </c>
      <c r="BH57" s="510">
        <f t="shared" si="489"/>
        <v>2.4630541871921183</v>
      </c>
      <c r="BI57" s="510">
        <f t="shared" si="490"/>
        <v>0</v>
      </c>
    </row>
    <row r="58" spans="1:61" ht="15.5" customHeight="1" thickBot="1" x14ac:dyDescent="0.35">
      <c r="C58" s="901"/>
      <c r="D58" s="893"/>
      <c r="E58" s="325" t="s">
        <v>658</v>
      </c>
      <c r="F58" s="333">
        <f>COUNTIFS(Tableau2[VILLAGE],"TOUREKRO")</f>
        <v>23</v>
      </c>
      <c r="G58" s="340">
        <f>SUM(G56:G57)</f>
        <v>100</v>
      </c>
      <c r="H58" s="340">
        <f>SUM(H56:H57)</f>
        <v>11.442786069651742</v>
      </c>
      <c r="I58" s="340">
        <f t="shared" ref="I58" si="494">SUM(I56:I57)</f>
        <v>2.6900584795321638</v>
      </c>
      <c r="J58" s="333">
        <f t="shared" ref="J58" si="495">SUM(J56:J57)</f>
        <v>23</v>
      </c>
      <c r="K58" s="333">
        <f t="shared" si="408"/>
        <v>0</v>
      </c>
      <c r="L58" s="343">
        <f t="shared" si="408"/>
        <v>100</v>
      </c>
      <c r="M58" s="343">
        <f t="shared" si="408"/>
        <v>0</v>
      </c>
      <c r="N58" s="343">
        <f t="shared" si="408"/>
        <v>11.442786069651742</v>
      </c>
      <c r="O58" s="343">
        <f t="shared" si="377"/>
        <v>0</v>
      </c>
      <c r="P58" s="343">
        <f t="shared" si="377"/>
        <v>2.904040404040404</v>
      </c>
      <c r="Q58" s="343">
        <f t="shared" si="377"/>
        <v>0</v>
      </c>
      <c r="R58" s="333" t="s">
        <v>658</v>
      </c>
      <c r="S58" s="333">
        <f>COUNTIFS(Tableau2[VILLAGE],"TOUREKRO",Tableau2[[STATUT ]],"admis")</f>
        <v>17</v>
      </c>
      <c r="T58" s="333">
        <f>COUNTIFS(Tableau2[VILLAGE],"TOUREKRO",Tableau2[CE1-CE2],1)</f>
        <v>17</v>
      </c>
      <c r="U58" s="333">
        <f>COUNTIFS(Tableau2[VILLAGE],"BTOUREKRO",Tableau2[CM1-CM2],1)</f>
        <v>0</v>
      </c>
      <c r="V58" s="343">
        <f t="shared" si="378"/>
        <v>100</v>
      </c>
      <c r="W58" s="849"/>
      <c r="X58" s="344">
        <f>SUM(X56:X57)</f>
        <v>17</v>
      </c>
      <c r="Y58" s="849"/>
      <c r="Z58" s="344">
        <f t="shared" ref="Z58" si="496">SUM(Z56:Z57)</f>
        <v>17</v>
      </c>
      <c r="AA58" s="849"/>
      <c r="AB58" s="333" t="s">
        <v>658</v>
      </c>
      <c r="AC58" s="333">
        <f>COUNTIFS(Tableau2[VILLAGE],"TOUREKRO",Tableau2[[STATUT ]],"Redouble")</f>
        <v>6</v>
      </c>
      <c r="AD58" s="333">
        <f t="shared" ref="AD58" si="497">SUM(AD56:AD57)</f>
        <v>6</v>
      </c>
      <c r="AE58" s="333">
        <f t="shared" si="410"/>
        <v>0</v>
      </c>
      <c r="AF58" s="343">
        <f t="shared" si="410"/>
        <v>100</v>
      </c>
      <c r="AG58" s="849"/>
      <c r="AH58" s="344">
        <f>SUM(AH56:AH57)</f>
        <v>11.764705882352942</v>
      </c>
      <c r="AI58" s="849"/>
      <c r="AJ58" s="344">
        <f t="shared" ref="AJ58" si="498">SUM(AJ56:AJ57)</f>
        <v>3.6809815950920246</v>
      </c>
      <c r="AK58" s="849"/>
      <c r="AL58" s="333" t="s">
        <v>658</v>
      </c>
      <c r="AM58" s="333">
        <f>COUNTIFS(Tableau2[VILLAGE],"TOUREKRO",Tableau2[[STATUT ]],"Absent")</f>
        <v>0</v>
      </c>
      <c r="AN58" s="333">
        <f t="shared" ref="AN58:AO58" si="499">SUM(AN56:AN57)</f>
        <v>0</v>
      </c>
      <c r="AO58" s="333">
        <f t="shared" si="499"/>
        <v>0</v>
      </c>
      <c r="AP58" s="849"/>
      <c r="AQ58" s="849"/>
      <c r="AR58" s="344">
        <f>SUM(AR56:AR57)</f>
        <v>0</v>
      </c>
      <c r="AS58" s="849"/>
      <c r="AT58" s="344">
        <f t="shared" ref="AT58" si="500">SUM(AT56:AT57)</f>
        <v>0</v>
      </c>
      <c r="AU58" s="849"/>
      <c r="AV58" s="342" t="s">
        <v>658</v>
      </c>
      <c r="AW58" s="530">
        <f t="shared" si="7"/>
        <v>23</v>
      </c>
      <c r="AX58" s="527">
        <f>SUM(AX56:AX57)</f>
        <v>6</v>
      </c>
      <c r="AY58" s="333">
        <f>SUM(AY56:AY57)</f>
        <v>17</v>
      </c>
      <c r="AZ58" s="333">
        <f>SUM(AZ56:AZ57)</f>
        <v>0</v>
      </c>
      <c r="BA58" s="517">
        <f t="shared" ref="BA58:BC58" si="501">SUM(BA56:BA57)</f>
        <v>100</v>
      </c>
      <c r="BB58" s="517">
        <f t="shared" si="501"/>
        <v>100</v>
      </c>
      <c r="BC58" s="517">
        <f t="shared" si="501"/>
        <v>0</v>
      </c>
      <c r="BD58" s="517">
        <f t="shared" ref="BD58" si="502">SUM(BD56:BD57)</f>
        <v>12.244897959183673</v>
      </c>
      <c r="BE58" s="517">
        <f t="shared" ref="BE58" si="503">SUM(BE56:BE57)</f>
        <v>19.318181818181817</v>
      </c>
      <c r="BF58" s="517">
        <f t="shared" ref="BF58" si="504">SUM(BF56:BF57)</f>
        <v>0</v>
      </c>
      <c r="BG58" s="517">
        <f t="shared" ref="BG58:BI58" si="505">SUM(BG56:BG57)</f>
        <v>4.0816326530612246</v>
      </c>
      <c r="BH58" s="517">
        <f t="shared" si="505"/>
        <v>4.1871921182266014</v>
      </c>
      <c r="BI58" s="517">
        <f t="shared" si="505"/>
        <v>0</v>
      </c>
    </row>
    <row r="59" spans="1:61" ht="15.5" x14ac:dyDescent="0.35">
      <c r="C59" s="901"/>
      <c r="D59" s="891" t="s">
        <v>2096</v>
      </c>
      <c r="E59" s="323" t="s">
        <v>1990</v>
      </c>
      <c r="F59" s="509">
        <f>COUNTIFS(Tableau2[VILLAGE],"YOBOUET-KOUASSIKRO",Tableau2[Sexes],"F")</f>
        <v>5</v>
      </c>
      <c r="G59" s="508">
        <f>F59*100/F61</f>
        <v>27.777777777777779</v>
      </c>
      <c r="H59" s="508">
        <f>F59*100/$F$64</f>
        <v>2.4875621890547261</v>
      </c>
      <c r="I59" s="508">
        <f>F59*100/$F$100</f>
        <v>0.58479532163742687</v>
      </c>
      <c r="J59" s="509">
        <f>COUNTIFS(Tableau2[VILLAGE],"YOBOUET-KOUASSIKRO",Tableau2[CLASSE],"CPU",Tableau2[Sexes],"F")</f>
        <v>5</v>
      </c>
      <c r="K59" s="509">
        <f>COUNTIFS(Tableau2[VILLAGE],"YOBOUET-KOUASSIKRO",Tableau2[CLASSE],"CEU",Tableau2[Sexes],"F")</f>
        <v>0</v>
      </c>
      <c r="L59" s="510">
        <f>J59*100/J61</f>
        <v>27.777777777777779</v>
      </c>
      <c r="M59" s="510">
        <v>0</v>
      </c>
      <c r="N59" s="510">
        <f>J59*100/$J$64</f>
        <v>2.4875621890547261</v>
      </c>
      <c r="O59" s="510">
        <v>0</v>
      </c>
      <c r="P59" s="510">
        <f t="shared" ref="P59:P60" si="506">J59*100/$J$100</f>
        <v>0.63131313131313127</v>
      </c>
      <c r="Q59" s="510">
        <f t="shared" ref="Q59:Q60" si="507">K59*100/$K$100</f>
        <v>0</v>
      </c>
      <c r="R59" s="323" t="s">
        <v>1990</v>
      </c>
      <c r="S59" s="509">
        <f>COUNTIFS(Tableau2[VILLAGE],"YOBOUET-KOUASSIKRO",Tableau2[[STATUT ]],"admis",Tableau2[Sexes],"F")</f>
        <v>4</v>
      </c>
      <c r="T59" s="509">
        <f>COUNTIFS(Tableau2[VILLAGE],"YOBOUET-KOUASSIKRO",Tableau2[CE1-CE2],1,Tableau2[Sexes],"F")</f>
        <v>4</v>
      </c>
      <c r="U59" s="509">
        <f>COUNTIFS(Tableau2[VILLAGE],"YOBOUET-KOUASSIKRO",Tableau2[CM1-CM2],1,Tableau2[Sexes],"F")</f>
        <v>0</v>
      </c>
      <c r="V59" s="510">
        <f t="shared" si="360"/>
        <v>28.571428571428573</v>
      </c>
      <c r="W59" s="847"/>
      <c r="X59" s="510">
        <f>T59*100/$L$64</f>
        <v>4</v>
      </c>
      <c r="Y59" s="847"/>
      <c r="Z59" s="510">
        <f t="shared" ref="Z59:Z60" si="508">T59*100/$L$100</f>
        <v>4</v>
      </c>
      <c r="AA59" s="847"/>
      <c r="AB59" s="323" t="s">
        <v>1990</v>
      </c>
      <c r="AC59" s="509">
        <f>COUNTIFS(Tableau2[VILLAGE],"YOBOUET-KOUASSIKRO",Tableau2[[STATUT ]],"Redouble",Tableau2[Sexes],"F")</f>
        <v>1</v>
      </c>
      <c r="AD59" s="509">
        <f>COUNTIFS(Tableau2[VILLAGE],"YOBOUET-KOUASSIKRO",Tableau2[CLASSE],"CPU",Tableau2[[STATUT ]],"Redouble",Tableau2[Sexes],"F")</f>
        <v>1</v>
      </c>
      <c r="AE59" s="509">
        <f>COUNTIFS(Tableau2[VILLAGE],"YOBOUET-KOUASSIKRO",Tableau2[CLASSE],"CEU",Tableau2[[STATUT ]],"Redouble",Tableau2[Sexes],"F")</f>
        <v>0</v>
      </c>
      <c r="AF59" s="510">
        <f t="shared" ref="AF59" si="509">AD59*100/AD61</f>
        <v>100</v>
      </c>
      <c r="AG59" s="847"/>
      <c r="AH59" s="510">
        <f>AD59*100/AD64</f>
        <v>1.9607843137254901</v>
      </c>
      <c r="AI59" s="847"/>
      <c r="AJ59" s="510">
        <f>AD59*100/AD100</f>
        <v>0.61349693251533743</v>
      </c>
      <c r="AK59" s="847"/>
      <c r="AL59" s="323" t="s">
        <v>1990</v>
      </c>
      <c r="AM59" s="509">
        <f>COUNTIFS(Tableau2[VILLAGE],"YOBOUET-KOUASSIKRO",Tableau2[[STATUT ]],"Absent",Tableau2[Sexes],"F")</f>
        <v>0</v>
      </c>
      <c r="AN59" s="509">
        <f>COUNTIFS(Tableau2[VILLAGE],"YOBOUET-KOUASSIKRO",Tableau2[CLASSE],"CPU",Tableau2[[STATUT ]],"Absent",Tableau2[Sexes],"F")</f>
        <v>0</v>
      </c>
      <c r="AO59" s="509">
        <f>COUNTIFS(Tableau2[VILLAGE],"YOBOUET-KOUASSIKRO",Tableau2[CLASSE],"CEU",Tableau2[[STATUT ]],"Absent",Tableau2[Sexes],"F")</f>
        <v>0</v>
      </c>
      <c r="AP59" s="510">
        <f t="shared" ref="AP59" si="510">AN59*100/AN61</f>
        <v>0</v>
      </c>
      <c r="AQ59" s="847"/>
      <c r="AR59" s="510">
        <f>AN59*100/AN64</f>
        <v>0</v>
      </c>
      <c r="AS59" s="847"/>
      <c r="AT59" s="510">
        <f>AN59*100/AN100</f>
        <v>0</v>
      </c>
      <c r="AU59" s="847"/>
      <c r="AV59" s="335" t="s">
        <v>1990</v>
      </c>
      <c r="AW59" s="529">
        <f t="shared" si="7"/>
        <v>5</v>
      </c>
      <c r="AX59" s="509">
        <f>COUNTIFS(Tableau2[VILLAGE],"YOBOUET-KOUASSIKRO",Tableau2[Colonne1],"CP2",Tableau2[Sexes],"F")</f>
        <v>1</v>
      </c>
      <c r="AY59" s="509">
        <f>COUNTIFS(Tableau2[VILLAGE],"YOBOUET-KOUASSIKRO",Tableau2[Colonne1],"CE1",Tableau2[Sexes],"F")</f>
        <v>3</v>
      </c>
      <c r="AZ59" s="509">
        <f>COUNTIFS(Tableau2[VILLAGE],"YOBOUET-KOUASSIKRO",Tableau2[Colonne1],"CE2",Tableau2[Sexes],"F")</f>
        <v>1</v>
      </c>
      <c r="BA59" s="510">
        <f t="shared" ref="BA59:BC59" si="511">AX59*100/AX61</f>
        <v>100</v>
      </c>
      <c r="BB59" s="510">
        <f t="shared" si="511"/>
        <v>33.333333333333336</v>
      </c>
      <c r="BC59" s="510">
        <f t="shared" si="511"/>
        <v>20</v>
      </c>
      <c r="BD59" s="510">
        <f t="shared" ref="BD59:BD60" si="512">AX59*100/$AX$64</f>
        <v>2.0408163265306123</v>
      </c>
      <c r="BE59" s="510">
        <f t="shared" ref="BE59:BE60" si="513">AY59*100/$AY$64</f>
        <v>3.4090909090909092</v>
      </c>
      <c r="BF59" s="510">
        <f t="shared" ref="BF59:BF60" si="514">AZ59*100/$AZ$64</f>
        <v>3.225806451612903</v>
      </c>
      <c r="BG59" s="510">
        <f t="shared" ref="BG59:BG60" si="515">AX59*100/$AX$100</f>
        <v>0.68027210884353739</v>
      </c>
      <c r="BH59" s="510">
        <f t="shared" ref="BH59:BH60" si="516">AY59*100/$AY$100</f>
        <v>0.73891625615763545</v>
      </c>
      <c r="BI59" s="510">
        <f t="shared" ref="BI59:BI60" si="517">AZ59*100/$AZ$100</f>
        <v>0.91743119266055051</v>
      </c>
    </row>
    <row r="60" spans="1:61" ht="16" thickBot="1" x14ac:dyDescent="0.4">
      <c r="C60" s="901"/>
      <c r="D60" s="892"/>
      <c r="E60" s="324" t="s">
        <v>665</v>
      </c>
      <c r="F60" s="509">
        <f>COUNTIFS(Tableau2[VILLAGE],"YOBOUET-KOUASSIKRO",Tableau2[Sexes],"G")</f>
        <v>13</v>
      </c>
      <c r="G60" s="508">
        <f>F60*100/F61</f>
        <v>72.222222222222229</v>
      </c>
      <c r="H60" s="508">
        <f>F60*100/$F$64</f>
        <v>6.4676616915422889</v>
      </c>
      <c r="I60" s="508">
        <f>F60*100/$F$100</f>
        <v>1.5204678362573099</v>
      </c>
      <c r="J60" s="509">
        <f>COUNTIFS(Tableau2[VILLAGE],"YOBOUET-KOUASSIKRO",Tableau2[CLASSE],"CPU",Tableau2[Sexes],"G")</f>
        <v>13</v>
      </c>
      <c r="K60" s="509">
        <f>COUNTIFS(Tableau2[VILLAGE],"YOBOUET-KOUASSIKRO",Tableau2[CLASSE],"CEU",Tableau2[Sexes],"G")</f>
        <v>0</v>
      </c>
      <c r="L60" s="510">
        <f>J60*100/J61</f>
        <v>72.222222222222229</v>
      </c>
      <c r="M60" s="510">
        <v>0</v>
      </c>
      <c r="N60" s="510">
        <f>J60*100/$J$64</f>
        <v>6.4676616915422889</v>
      </c>
      <c r="O60" s="510">
        <f>0</f>
        <v>0</v>
      </c>
      <c r="P60" s="510">
        <f t="shared" si="506"/>
        <v>1.6414141414141414</v>
      </c>
      <c r="Q60" s="510">
        <f t="shared" si="507"/>
        <v>0</v>
      </c>
      <c r="R60" s="324" t="s">
        <v>665</v>
      </c>
      <c r="S60" s="509">
        <f>COUNTIFS(Tableau2[VILLAGE],"YOBOUET-KOUASSIKRO",Tableau2[[STATUT ]],"admis",Tableau2[Sexes],"G")</f>
        <v>10</v>
      </c>
      <c r="T60" s="509">
        <f>COUNTIFS(Tableau2[VILLAGE],"YOBOUET-KOUASSIKRO",Tableau2[CE1-CE2],1,Tableau2[Sexes],"G")</f>
        <v>10</v>
      </c>
      <c r="U60" s="509">
        <f>COUNTIFS(Tableau2[VILLAGE],"YOBOUET-KOUASSIKRO",Tableau2[CM1-CM2],1,Tableau2[Sexes],"G")</f>
        <v>0</v>
      </c>
      <c r="V60" s="510">
        <f t="shared" si="370"/>
        <v>71.428571428571431</v>
      </c>
      <c r="W60" s="848"/>
      <c r="X60" s="510">
        <f>T60*100/$L$64</f>
        <v>10</v>
      </c>
      <c r="Y60" s="848"/>
      <c r="Z60" s="510">
        <f t="shared" si="508"/>
        <v>10</v>
      </c>
      <c r="AA60" s="848"/>
      <c r="AB60" s="324" t="s">
        <v>665</v>
      </c>
      <c r="AC60" s="509">
        <f>COUNTIFS(Tableau2[VILLAGE],"YOBOUET-KOUASSIKRO",Tableau2[[STATUT ]],"Redouble",Tableau2[Sexes],"G")</f>
        <v>0</v>
      </c>
      <c r="AD60" s="509">
        <f>COUNTIFS(Tableau2[VILLAGE],"YOBOUET-KOUASSIKRO",Tableau2[CLASSE],"CPU",Tableau2[[STATUT ]],"Redouble",Tableau2[Sexes],"G")</f>
        <v>0</v>
      </c>
      <c r="AE60" s="509">
        <f>COUNTIFS(Tableau2[VILLAGE],"YOBOUET-KOUASSIKRO",Tableau2[CLASSE],"CEU",Tableau2[[STATUT ]],"Redouble",Tableau2[Sexes],"G")</f>
        <v>0</v>
      </c>
      <c r="AF60" s="510">
        <f t="shared" ref="AF60" si="518">AD60*100/AD61</f>
        <v>0</v>
      </c>
      <c r="AG60" s="848"/>
      <c r="AH60" s="510">
        <f>AD60*100/AD64</f>
        <v>0</v>
      </c>
      <c r="AI60" s="848"/>
      <c r="AJ60" s="510">
        <f>AD60*100/AD100</f>
        <v>0</v>
      </c>
      <c r="AK60" s="848"/>
      <c r="AL60" s="324" t="s">
        <v>665</v>
      </c>
      <c r="AM60" s="509">
        <f>COUNTIFS(Tableau2[VILLAGE],"YOBOUET-KOUASSIKRO",Tableau2[[STATUT ]],"Absent*",Tableau2[Sexes],"G")</f>
        <v>3</v>
      </c>
      <c r="AN60" s="509">
        <f>COUNTIFS(Tableau2[VILLAGE],"YOBOUET-KOUASSIKRO",Tableau2[CLASSE],"CPU",Tableau2[[STATUT ]],"Absent",Tableau2[Sexes],"G")</f>
        <v>3</v>
      </c>
      <c r="AO60" s="509">
        <f>COUNTIFS(Tableau2[VILLAGE],"YOBOUET-KOUASSIKRO",Tableau2[CLASSE],"CEU",Tableau2[[STATUT ]],"Absent",Tableau2[Sexes],"G")</f>
        <v>0</v>
      </c>
      <c r="AP60" s="510">
        <f t="shared" ref="AP60" si="519">AN60*100/AN61</f>
        <v>100</v>
      </c>
      <c r="AQ60" s="848"/>
      <c r="AR60" s="510">
        <f>AN60*100/AN64</f>
        <v>9.0909090909090917</v>
      </c>
      <c r="AS60" s="848"/>
      <c r="AT60" s="510">
        <f>AN60*100/AN100</f>
        <v>2.3076923076923075</v>
      </c>
      <c r="AU60" s="848"/>
      <c r="AV60" s="336" t="s">
        <v>665</v>
      </c>
      <c r="AW60" s="529">
        <f t="shared" si="7"/>
        <v>10</v>
      </c>
      <c r="AX60" s="509">
        <f>COUNTIFS(Tableau2[VILLAGE],"YOBOUET-KOUASSIKRO",Tableau2[Colonne1],"CP2",Tableau2[Sexes],"G")</f>
        <v>0</v>
      </c>
      <c r="AY60" s="509">
        <f>COUNTIFS(Tableau2[VILLAGE],"YOBOUET-KOUASSIKRO",Tableau2[Colonne1],"CE1",Tableau2[Sexes],"G")</f>
        <v>6</v>
      </c>
      <c r="AZ60" s="509">
        <f>COUNTIFS(Tableau2[VILLAGE],"YOBOUET-KOUASSIKRO",Tableau2[Colonne1],"CE2",Tableau2[Sexes],"G")</f>
        <v>4</v>
      </c>
      <c r="BA60" s="510">
        <f t="shared" ref="BA60" si="520">AX60*100/AX61</f>
        <v>0</v>
      </c>
      <c r="BB60" s="510">
        <f t="shared" ref="BB60" si="521">AY60*100/AY61</f>
        <v>66.666666666666671</v>
      </c>
      <c r="BC60" s="510">
        <f t="shared" ref="BC60" si="522">AZ60*100/AZ61</f>
        <v>80</v>
      </c>
      <c r="BD60" s="510">
        <f t="shared" si="512"/>
        <v>0</v>
      </c>
      <c r="BE60" s="510">
        <f t="shared" si="513"/>
        <v>6.8181818181818183</v>
      </c>
      <c r="BF60" s="510">
        <f t="shared" si="514"/>
        <v>12.903225806451612</v>
      </c>
      <c r="BG60" s="510">
        <f t="shared" si="515"/>
        <v>0</v>
      </c>
      <c r="BH60" s="510">
        <f t="shared" si="516"/>
        <v>1.4778325123152709</v>
      </c>
      <c r="BI60" s="510">
        <f t="shared" si="517"/>
        <v>3.669724770642202</v>
      </c>
    </row>
    <row r="61" spans="1:61" ht="15.5" customHeight="1" thickBot="1" x14ac:dyDescent="0.35">
      <c r="C61" s="902"/>
      <c r="D61" s="893"/>
      <c r="E61" s="325" t="s">
        <v>658</v>
      </c>
      <c r="F61" s="333">
        <f>COUNTIFS(Tableau2[VILLAGE],"YOBOUET-KOUASSIKRO")</f>
        <v>18</v>
      </c>
      <c r="G61" s="340">
        <f>SUM(G59:G60)</f>
        <v>100</v>
      </c>
      <c r="H61" s="340">
        <f>SUM(H59:H60)</f>
        <v>8.9552238805970141</v>
      </c>
      <c r="I61" s="340">
        <f t="shared" ref="I61" si="523">SUM(I59:I60)</f>
        <v>2.1052631578947367</v>
      </c>
      <c r="J61" s="333">
        <f t="shared" ref="J61" si="524">SUM(J59:J60)</f>
        <v>18</v>
      </c>
      <c r="K61" s="333">
        <f t="shared" si="408"/>
        <v>0</v>
      </c>
      <c r="L61" s="343">
        <f t="shared" si="408"/>
        <v>100</v>
      </c>
      <c r="M61" s="343">
        <f t="shared" si="408"/>
        <v>0</v>
      </c>
      <c r="N61" s="343">
        <f t="shared" si="408"/>
        <v>8.9552238805970141</v>
      </c>
      <c r="O61" s="343">
        <f t="shared" si="377"/>
        <v>0</v>
      </c>
      <c r="P61" s="343">
        <f t="shared" si="377"/>
        <v>2.2727272727272725</v>
      </c>
      <c r="Q61" s="343">
        <f t="shared" si="377"/>
        <v>0</v>
      </c>
      <c r="R61" s="333" t="s">
        <v>658</v>
      </c>
      <c r="S61" s="333">
        <f>COUNTIFS(Tableau2[VILLAGE],"YOBOUET-KOUASSIKRO",Tableau2[[STATUT ]],"admis")</f>
        <v>14</v>
      </c>
      <c r="T61" s="333">
        <f>COUNTIFS(Tableau2[VILLAGE],"YOBOUET-KOUASSIKRO",Tableau2[CE1-CE2],1)</f>
        <v>14</v>
      </c>
      <c r="U61" s="333">
        <f>COUNTIFS(Tableau2[VILLAGE],"YOBOUET-KOUASSIKRO",Tableau2[CM1-CM2],1)</f>
        <v>0</v>
      </c>
      <c r="V61" s="343">
        <f t="shared" si="378"/>
        <v>100</v>
      </c>
      <c r="W61" s="849"/>
      <c r="X61" s="344">
        <f>SUM(X59:X60)</f>
        <v>14</v>
      </c>
      <c r="Y61" s="849"/>
      <c r="Z61" s="344">
        <f t="shared" ref="Z61" si="525">SUM(Z59:Z60)</f>
        <v>14</v>
      </c>
      <c r="AA61" s="849"/>
      <c r="AB61" s="333" t="s">
        <v>658</v>
      </c>
      <c r="AC61" s="333">
        <f>COUNTIFS(Tableau2[VILLAGE],"YOBOUET-KOUASSIKRO",Tableau2[[STATUT ]],"Redouble")</f>
        <v>1</v>
      </c>
      <c r="AD61" s="333">
        <f t="shared" ref="AD61" si="526">SUM(AD59:AD60)</f>
        <v>1</v>
      </c>
      <c r="AE61" s="333">
        <f t="shared" si="410"/>
        <v>0</v>
      </c>
      <c r="AF61" s="343">
        <f t="shared" si="410"/>
        <v>100</v>
      </c>
      <c r="AG61" s="849"/>
      <c r="AH61" s="344">
        <f>SUM(AH59:AH60)</f>
        <v>1.9607843137254901</v>
      </c>
      <c r="AI61" s="849"/>
      <c r="AJ61" s="344">
        <f t="shared" ref="AJ61" si="527">SUM(AJ59:AJ60)</f>
        <v>0.61349693251533743</v>
      </c>
      <c r="AK61" s="849"/>
      <c r="AL61" s="333" t="s">
        <v>658</v>
      </c>
      <c r="AM61" s="333">
        <f>COUNTIFS(Tableau2[VILLAGE],"YOBOUET-KOUASSIKRO",Tableau2[[STATUT ]],"Absent")</f>
        <v>3</v>
      </c>
      <c r="AN61" s="333">
        <f t="shared" ref="AN61:AP61" si="528">SUM(AN59:AN60)</f>
        <v>3</v>
      </c>
      <c r="AO61" s="333">
        <f t="shared" si="528"/>
        <v>0</v>
      </c>
      <c r="AP61" s="343">
        <f t="shared" si="528"/>
        <v>100</v>
      </c>
      <c r="AQ61" s="849"/>
      <c r="AR61" s="344">
        <f>SUM(AR59:AR60)</f>
        <v>9.0909090909090917</v>
      </c>
      <c r="AS61" s="849"/>
      <c r="AT61" s="344">
        <f t="shared" ref="AT61" si="529">SUM(AT59:AT60)</f>
        <v>2.3076923076923075</v>
      </c>
      <c r="AU61" s="849"/>
      <c r="AV61" s="342" t="s">
        <v>658</v>
      </c>
      <c r="AW61" s="530">
        <f t="shared" si="7"/>
        <v>15</v>
      </c>
      <c r="AX61" s="527">
        <f>SUM(AX59:AX60)</f>
        <v>1</v>
      </c>
      <c r="AY61" s="333">
        <f>SUM(AY59:AY60)</f>
        <v>9</v>
      </c>
      <c r="AZ61" s="333">
        <f>SUM(AZ59:AZ60)</f>
        <v>5</v>
      </c>
      <c r="BA61" s="517">
        <f t="shared" ref="BA61:BC61" si="530">SUM(BA59:BA60)</f>
        <v>100</v>
      </c>
      <c r="BB61" s="517">
        <f t="shared" si="530"/>
        <v>100</v>
      </c>
      <c r="BC61" s="517">
        <f t="shared" si="530"/>
        <v>100</v>
      </c>
      <c r="BD61" s="517">
        <f t="shared" ref="BD61" si="531">SUM(BD59:BD60)</f>
        <v>2.0408163265306123</v>
      </c>
      <c r="BE61" s="517">
        <f t="shared" ref="BE61" si="532">SUM(BE59:BE60)</f>
        <v>10.227272727272727</v>
      </c>
      <c r="BF61" s="517">
        <f t="shared" ref="BF61" si="533">SUM(BF59:BF60)</f>
        <v>16.129032258064516</v>
      </c>
      <c r="BG61" s="517">
        <f t="shared" ref="BG61:BI61" si="534">SUM(BG59:BG60)</f>
        <v>0.68027210884353739</v>
      </c>
      <c r="BH61" s="517">
        <f t="shared" si="534"/>
        <v>2.2167487684729066</v>
      </c>
      <c r="BI61" s="517">
        <f t="shared" si="534"/>
        <v>4.5871559633027523</v>
      </c>
    </row>
    <row r="62" spans="1:61" ht="15.5" x14ac:dyDescent="0.35">
      <c r="A62" s="692"/>
      <c r="B62" s="697"/>
      <c r="C62" s="894" t="s">
        <v>1994</v>
      </c>
      <c r="D62" s="895"/>
      <c r="E62" s="327" t="s">
        <v>1990</v>
      </c>
      <c r="F62" s="509">
        <f>COUNTIFS(Tableau2[DEPARTEMENT],"GUEYO",Tableau2[Sexes],"F")</f>
        <v>93</v>
      </c>
      <c r="G62" s="847"/>
      <c r="H62" s="511">
        <f>F62*100/$F$64</f>
        <v>46.268656716417908</v>
      </c>
      <c r="I62" s="508">
        <f>F62*100/$F$100</f>
        <v>10.87719298245614</v>
      </c>
      <c r="J62" s="509">
        <f>COUNTIFS(Tableau2[DEPARTEMENT],"GUEYO",Tableau2[CLASSE],"CPU",Tableau2[Sexes],"F")</f>
        <v>93</v>
      </c>
      <c r="K62" s="509">
        <f>COUNTIFS(Tableau2[DEPARTEMENT],"GUEYO",Tableau2[CLASSE],"CEU",Tableau2[Sexes],"F")</f>
        <v>0</v>
      </c>
      <c r="L62" s="510">
        <f>J62*100/J64</f>
        <v>46.268656716417908</v>
      </c>
      <c r="M62" s="510">
        <v>0</v>
      </c>
      <c r="N62" s="510">
        <f t="shared" ref="N62:N63" si="535">J62*100/$J$64</f>
        <v>46.268656716417908</v>
      </c>
      <c r="O62" s="510">
        <v>0</v>
      </c>
      <c r="P62" s="510">
        <f t="shared" ref="P62:P63" si="536">J62*100/$J$100</f>
        <v>11.742424242424242</v>
      </c>
      <c r="Q62" s="510">
        <f t="shared" ref="Q62:Q63" si="537">K62*100/$K$100</f>
        <v>0</v>
      </c>
      <c r="R62" s="327" t="s">
        <v>1990</v>
      </c>
      <c r="S62" s="509">
        <f>COUNTIFS(Tableau2[DEPARTEMENT],"GUEYO",Tableau2[[STATUT ]],"admis",Tableau2[Sexes],"F")</f>
        <v>50</v>
      </c>
      <c r="T62" s="509">
        <f>COUNTIFS(Tableau2[DEPARTEMENT],"gueyo",Tableau2[CE1-CE2],1,Tableau2[Sexes],"F")</f>
        <v>50</v>
      </c>
      <c r="U62" s="509">
        <f>COUNTIFS(Tableau2[DEPARTEMENT],"gueyo",Tableau2[CM1-CM2],1,Tableau2[Sexes],"F")</f>
        <v>0</v>
      </c>
      <c r="V62" s="841"/>
      <c r="W62" s="842"/>
      <c r="X62" s="510">
        <f>T62*100/$L$64</f>
        <v>50</v>
      </c>
      <c r="Y62" s="847"/>
      <c r="Z62" s="510">
        <f t="shared" ref="Z62:Z63" si="538">T62*100/$L$100</f>
        <v>50</v>
      </c>
      <c r="AA62" s="847"/>
      <c r="AB62" s="327" t="s">
        <v>1990</v>
      </c>
      <c r="AC62" s="509">
        <f>COUNTIFS(Tableau2[DEPARTEMENT],"GUEYO",Tableau2[[STATUT ]],"Redouble",Tableau2[Sexes],"F")</f>
        <v>33</v>
      </c>
      <c r="AD62" s="509">
        <f>COUNTIFS(Tableau2[DEPARTEMENT],"GUEYO",Tableau2[CLASSE],"CPU",Tableau2[[STATUT ]],"Redouble",Tableau2[Sexes],"F")</f>
        <v>33</v>
      </c>
      <c r="AE62" s="509">
        <f>COUNTIFS(Tableau2[DEPARTEMENT],"GUEYO",Tableau2[CLASSE],"CEU",Tableau2[[STATUT ]],"Redouble",Tableau2[Sexes],"F")</f>
        <v>0</v>
      </c>
      <c r="AF62" s="841"/>
      <c r="AG62" s="842"/>
      <c r="AH62" s="510">
        <f>AD62*100/AD64</f>
        <v>64.705882352941174</v>
      </c>
      <c r="AI62" s="847"/>
      <c r="AJ62" s="510">
        <f>AD62*100/AD100</f>
        <v>20.245398773006134</v>
      </c>
      <c r="AK62" s="847"/>
      <c r="AL62" s="327" t="s">
        <v>1990</v>
      </c>
      <c r="AM62" s="509">
        <f>COUNTIFS(Tableau2[DEPARTEMENT],"GUEYO",Tableau2[[STATUT ]],"Absent",Tableau2[Sexes],"F")</f>
        <v>10</v>
      </c>
      <c r="AN62" s="509">
        <f>COUNTIFS(Tableau2[DEPARTEMENT],"GUEYO",Tableau2[CLASSE],"CPU",Tableau2[[STATUT ]],"Absent",Tableau2[Sexes],"F")</f>
        <v>10</v>
      </c>
      <c r="AO62" s="509">
        <f>COUNTIFS(Tableau2[DEPARTEMENT],"GUEYO",Tableau2[CLASSE],"CEU",Tableau2[[STATUT ]],"Absent",Tableau2[Sexes],"F")</f>
        <v>0</v>
      </c>
      <c r="AP62" s="841"/>
      <c r="AQ62" s="842"/>
      <c r="AR62" s="510">
        <f>AN62*100/AN64</f>
        <v>30.303030303030305</v>
      </c>
      <c r="AS62" s="847"/>
      <c r="AT62" s="510">
        <f>AN62*100/AN100</f>
        <v>7.6923076923076925</v>
      </c>
      <c r="AU62" s="847"/>
      <c r="AV62" s="523" t="s">
        <v>1990</v>
      </c>
      <c r="AW62" s="529">
        <f t="shared" si="7"/>
        <v>83</v>
      </c>
      <c r="AX62" s="509">
        <f>COUNTIFS(Tableau2[DEPARTEMENT],"gueyo",Tableau2[Colonne1],"CP2",Tableau2[Sexes],"F")</f>
        <v>31</v>
      </c>
      <c r="AY62" s="509">
        <f>COUNTIFS(Tableau2[DEPARTEMENT],"gueyo",Tableau2[Colonne1],"CE1",Tableau2[Sexes],"F")</f>
        <v>41</v>
      </c>
      <c r="AZ62" s="509">
        <f>COUNTIFS(Tableau2[DEPARTEMENT],"gueyo",Tableau2[Colonne1],"CE2",Tableau2[Sexes],"F")</f>
        <v>11</v>
      </c>
      <c r="BA62" s="510">
        <f t="shared" ref="BA62:BC62" si="539">AX62*100/AX64</f>
        <v>63.265306122448976</v>
      </c>
      <c r="BB62" s="510">
        <f t="shared" si="539"/>
        <v>46.590909090909093</v>
      </c>
      <c r="BC62" s="510">
        <f t="shared" si="539"/>
        <v>35.483870967741936</v>
      </c>
      <c r="BD62" s="510">
        <f t="shared" ref="BD62:BD63" si="540">AX62*100/$AX$64</f>
        <v>63.265306122448976</v>
      </c>
      <c r="BE62" s="510">
        <f t="shared" ref="BE62:BE63" si="541">AY62*100/$AY$64</f>
        <v>46.590909090909093</v>
      </c>
      <c r="BF62" s="510">
        <f t="shared" ref="BF62:BF63" si="542">AZ62*100/$AZ$64</f>
        <v>35.483870967741936</v>
      </c>
      <c r="BG62" s="510">
        <f t="shared" ref="BG62:BG63" si="543">AX62*100/$AX$100</f>
        <v>21.088435374149661</v>
      </c>
      <c r="BH62" s="510">
        <f t="shared" ref="BH62:BH63" si="544">AY62*100/$AY$100</f>
        <v>10.098522167487685</v>
      </c>
      <c r="BI62" s="510">
        <f t="shared" ref="BI62:BI63" si="545">AZ62*100/$AZ$100</f>
        <v>10.091743119266056</v>
      </c>
    </row>
    <row r="63" spans="1:61" ht="16" thickBot="1" x14ac:dyDescent="0.4">
      <c r="A63" s="693"/>
      <c r="B63" s="698"/>
      <c r="C63" s="896"/>
      <c r="D63" s="897"/>
      <c r="E63" s="328" t="s">
        <v>665</v>
      </c>
      <c r="F63" s="509">
        <f>COUNTIFS(Tableau2[DEPARTEMENT],"GUEYO",Tableau2[Sexes],"G")</f>
        <v>108</v>
      </c>
      <c r="G63" s="848"/>
      <c r="H63" s="511">
        <f>F63*100/$F$64</f>
        <v>53.731343283582092</v>
      </c>
      <c r="I63" s="508">
        <f>F63*100/$F$100</f>
        <v>12.631578947368421</v>
      </c>
      <c r="J63" s="509">
        <f>COUNTIFS(Tableau2[DEPARTEMENT],"GUEYO",Tableau2[CLASSE],"CPU",Tableau2[Sexes],"G")</f>
        <v>108</v>
      </c>
      <c r="K63" s="509">
        <f>COUNTIFS(Tableau2[DEPARTEMENT],"GUEYO",Tableau2[CLASSE],"CEU",Tableau2[Sexes],"G")</f>
        <v>0</v>
      </c>
      <c r="L63" s="510">
        <f>J63*100/J64</f>
        <v>53.731343283582092</v>
      </c>
      <c r="M63" s="510">
        <v>0</v>
      </c>
      <c r="N63" s="510">
        <f t="shared" si="535"/>
        <v>53.731343283582092</v>
      </c>
      <c r="O63" s="510">
        <f>0</f>
        <v>0</v>
      </c>
      <c r="P63" s="510">
        <f t="shared" si="536"/>
        <v>13.636363636363637</v>
      </c>
      <c r="Q63" s="510">
        <f t="shared" si="537"/>
        <v>0</v>
      </c>
      <c r="R63" s="328" t="s">
        <v>665</v>
      </c>
      <c r="S63" s="509">
        <f>COUNTIFS(Tableau2[DEPARTEMENT],"GUEYO",Tableau2[[STATUT ]],"admis",Tableau2[Sexes],"G")</f>
        <v>67</v>
      </c>
      <c r="T63" s="509">
        <f>COUNTIFS(Tableau2[DEPARTEMENT],"gueyo",Tableau2[CE1-CE2],1,Tableau2[Sexes],"G")</f>
        <v>67</v>
      </c>
      <c r="U63" s="509">
        <f>COUNTIFS(Tableau2[DEPARTEMENT],"gueyo",Tableau2[CM1-CM2],1,Tableau2[Sexes],"G")</f>
        <v>0</v>
      </c>
      <c r="V63" s="843"/>
      <c r="W63" s="844"/>
      <c r="X63" s="510">
        <f>T63*100/T64</f>
        <v>57.264957264957268</v>
      </c>
      <c r="Y63" s="848"/>
      <c r="Z63" s="510">
        <f t="shared" si="538"/>
        <v>67</v>
      </c>
      <c r="AA63" s="848"/>
      <c r="AB63" s="328" t="s">
        <v>665</v>
      </c>
      <c r="AC63" s="509">
        <f>COUNTIFS(Tableau2[DEPARTEMENT],"GUEYO",Tableau2[[STATUT ]],"Redouble",Tableau2[Sexes],"G")</f>
        <v>18</v>
      </c>
      <c r="AD63" s="509">
        <f>COUNTIFS(Tableau2[DEPARTEMENT],"GUEYO",Tableau2[CLASSE],"CPU",Tableau2[[STATUT ]],"Redouble",Tableau2[Sexes],"G")</f>
        <v>18</v>
      </c>
      <c r="AE63" s="509">
        <f>COUNTIFS(Tableau2[DEPARTEMENT],"GUEYO",Tableau2[CLASSE],"CEU",Tableau2[[STATUT ]],"Redouble",Tableau2[Sexes],"G")</f>
        <v>0</v>
      </c>
      <c r="AF63" s="843"/>
      <c r="AG63" s="844"/>
      <c r="AH63" s="510">
        <f>AD63*100/AD64</f>
        <v>35.294117647058826</v>
      </c>
      <c r="AI63" s="848"/>
      <c r="AJ63" s="510">
        <f>AD63*100/AD100</f>
        <v>11.042944785276074</v>
      </c>
      <c r="AK63" s="848"/>
      <c r="AL63" s="328" t="s">
        <v>665</v>
      </c>
      <c r="AM63" s="509">
        <f>COUNTIFS(Tableau2[DEPARTEMENT],"GUEYO",Tableau2[[STATUT ]],"Absent",Tableau2[Sexes],"G")</f>
        <v>23</v>
      </c>
      <c r="AN63" s="509">
        <f>COUNTIFS(Tableau2[DEPARTEMENT],"GUEYO",Tableau2[CLASSE],"CPU",Tableau2[[STATUT ]],"Absent",Tableau2[Sexes],"G")</f>
        <v>23</v>
      </c>
      <c r="AO63" s="509">
        <f>COUNTIFS(Tableau2[DEPARTEMENT],"GUEYO",Tableau2[CLASSE],"CEU",Tableau2[[STATUT ]],"Absent",Tableau2[Sexes],"G")</f>
        <v>0</v>
      </c>
      <c r="AP63" s="843"/>
      <c r="AQ63" s="844"/>
      <c r="AR63" s="510">
        <f>AN63*100/AN64</f>
        <v>69.696969696969703</v>
      </c>
      <c r="AS63" s="848"/>
      <c r="AT63" s="510">
        <f>AN63*100/AN100</f>
        <v>17.692307692307693</v>
      </c>
      <c r="AU63" s="848"/>
      <c r="AV63" s="524" t="s">
        <v>665</v>
      </c>
      <c r="AW63" s="529">
        <f t="shared" si="7"/>
        <v>85</v>
      </c>
      <c r="AX63" s="509">
        <f>COUNTIFS(Tableau2[DEPARTEMENT],"gueyo",Tableau2[Colonne1],"CP2",Tableau2[Sexes],"G")</f>
        <v>18</v>
      </c>
      <c r="AY63" s="509">
        <f>COUNTIFS(Tableau2[DEPARTEMENT],"gueyo",Tableau2[Colonne1],"CE1",Tableau2[Sexes],"G")</f>
        <v>47</v>
      </c>
      <c r="AZ63" s="509">
        <f>COUNTIFS(Tableau2[DEPARTEMENT],"gueyo",Tableau2[Colonne1],"CE2",Tableau2[Sexes],"G")</f>
        <v>20</v>
      </c>
      <c r="BA63" s="510">
        <f t="shared" ref="BA63" si="546">AX63*100/AX64</f>
        <v>36.734693877551024</v>
      </c>
      <c r="BB63" s="510">
        <f t="shared" ref="BB63" si="547">AY63*100/AY64</f>
        <v>53.409090909090907</v>
      </c>
      <c r="BC63" s="510">
        <f t="shared" ref="BC63" si="548">AZ63*100/AZ64</f>
        <v>64.516129032258064</v>
      </c>
      <c r="BD63" s="510">
        <f t="shared" si="540"/>
        <v>36.734693877551024</v>
      </c>
      <c r="BE63" s="510">
        <f t="shared" si="541"/>
        <v>53.409090909090907</v>
      </c>
      <c r="BF63" s="510">
        <f t="shared" si="542"/>
        <v>64.516129032258064</v>
      </c>
      <c r="BG63" s="510">
        <f t="shared" si="543"/>
        <v>12.244897959183673</v>
      </c>
      <c r="BH63" s="510">
        <f t="shared" si="544"/>
        <v>11.576354679802956</v>
      </c>
      <c r="BI63" s="510">
        <f t="shared" si="545"/>
        <v>18.348623853211009</v>
      </c>
    </row>
    <row r="64" spans="1:61" ht="16" customHeight="1" thickBot="1" x14ac:dyDescent="0.4">
      <c r="A64" s="694"/>
      <c r="B64" s="699"/>
      <c r="C64" s="898"/>
      <c r="D64" s="899"/>
      <c r="E64" s="329" t="s">
        <v>1992</v>
      </c>
      <c r="F64" s="512">
        <f>COUNTIFS(Tableau2[DEPARTEMENT],"GUEYO")</f>
        <v>201</v>
      </c>
      <c r="G64" s="849"/>
      <c r="H64" s="341">
        <f>SUM(H62:H63)</f>
        <v>100</v>
      </c>
      <c r="I64" s="340">
        <f t="shared" ref="I64" si="549">SUM(I62:I63)</f>
        <v>23.508771929824562</v>
      </c>
      <c r="J64" s="333">
        <f t="shared" ref="J64" si="550">SUM(J62:J63)</f>
        <v>201</v>
      </c>
      <c r="K64" s="333">
        <f t="shared" si="408"/>
        <v>0</v>
      </c>
      <c r="L64" s="343">
        <f t="shared" ref="L64:Q79" si="551">SUM(L62:L63)</f>
        <v>100</v>
      </c>
      <c r="M64" s="343">
        <f t="shared" si="551"/>
        <v>0</v>
      </c>
      <c r="N64" s="343">
        <f t="shared" si="551"/>
        <v>100</v>
      </c>
      <c r="O64" s="343">
        <f t="shared" si="551"/>
        <v>0</v>
      </c>
      <c r="P64" s="343">
        <f t="shared" si="551"/>
        <v>25.378787878787879</v>
      </c>
      <c r="Q64" s="343">
        <f t="shared" si="551"/>
        <v>0</v>
      </c>
      <c r="R64" s="329" t="s">
        <v>1992</v>
      </c>
      <c r="S64" s="333">
        <f>COUNTIFS(Tableau2[DEPARTEMENT],"GUEYO",Tableau2[[STATUT ]],"admis")</f>
        <v>117</v>
      </c>
      <c r="T64" s="333">
        <f>COUNTIFS(Tableau2[DEPARTEMENT],"gueyo",Tableau2[CE1-CE2],1)</f>
        <v>117</v>
      </c>
      <c r="U64" s="333">
        <f>COUNTIFS(Tableau2[DEPARTEMENT],"gueyo",Tableau2[CM1-CM2],1)</f>
        <v>0</v>
      </c>
      <c r="V64" s="845"/>
      <c r="W64" s="846"/>
      <c r="X64" s="344">
        <f t="shared" ref="X64" si="552">SUM(X62:X63)</f>
        <v>107.26495726495727</v>
      </c>
      <c r="Y64" s="849"/>
      <c r="Z64" s="344">
        <f t="shared" ref="Z64" si="553">SUM(Z62:Z63)</f>
        <v>117</v>
      </c>
      <c r="AA64" s="849"/>
      <c r="AB64" s="329" t="s">
        <v>1992</v>
      </c>
      <c r="AC64" s="333">
        <f>COUNTIFS(Tableau2[DEPARTEMENT],"GUEYO",Tableau2[[STATUT ]],"Redouble")</f>
        <v>51</v>
      </c>
      <c r="AD64" s="333">
        <f t="shared" ref="AD64" si="554">SUM(AD62:AD63)</f>
        <v>51</v>
      </c>
      <c r="AE64" s="333">
        <f t="shared" si="410"/>
        <v>0</v>
      </c>
      <c r="AF64" s="845"/>
      <c r="AG64" s="846"/>
      <c r="AH64" s="344">
        <f t="shared" ref="AH64" si="555">SUM(AH62:AH63)</f>
        <v>100</v>
      </c>
      <c r="AI64" s="849"/>
      <c r="AJ64" s="344">
        <f t="shared" ref="AJ64" si="556">SUM(AJ62:AJ63)</f>
        <v>31.288343558282207</v>
      </c>
      <c r="AK64" s="849"/>
      <c r="AL64" s="329" t="s">
        <v>1992</v>
      </c>
      <c r="AM64" s="333">
        <f>COUNTIFS(Tableau2[DEPARTEMENT],"GUEYO",Tableau2[[STATUT ]],"Absent")</f>
        <v>33</v>
      </c>
      <c r="AN64" s="333">
        <f t="shared" ref="AN64:AO64" si="557">SUM(AN62:AN63)</f>
        <v>33</v>
      </c>
      <c r="AO64" s="333">
        <f t="shared" si="557"/>
        <v>0</v>
      </c>
      <c r="AP64" s="845"/>
      <c r="AQ64" s="846"/>
      <c r="AR64" s="344">
        <f t="shared" ref="AR64" si="558">SUM(AR62:AR63)</f>
        <v>100</v>
      </c>
      <c r="AS64" s="849"/>
      <c r="AT64" s="344">
        <f t="shared" ref="AT64" si="559">SUM(AT62:AT63)</f>
        <v>25.384615384615387</v>
      </c>
      <c r="AU64" s="849"/>
      <c r="AV64" s="525" t="s">
        <v>1992</v>
      </c>
      <c r="AW64" s="530">
        <f t="shared" si="7"/>
        <v>168</v>
      </c>
      <c r="AX64" s="527">
        <f>SUM(AX62:AX63)</f>
        <v>49</v>
      </c>
      <c r="AY64" s="333">
        <f>SUM(AY62:AY63)</f>
        <v>88</v>
      </c>
      <c r="AZ64" s="333">
        <f>SUM(AZ62:AZ63)</f>
        <v>31</v>
      </c>
      <c r="BA64" s="517">
        <f t="shared" ref="BA64:BC64" si="560">SUM(BA62:BA63)</f>
        <v>100</v>
      </c>
      <c r="BB64" s="517">
        <f t="shared" si="560"/>
        <v>100</v>
      </c>
      <c r="BC64" s="517">
        <f t="shared" si="560"/>
        <v>100</v>
      </c>
      <c r="BD64" s="517">
        <f t="shared" ref="BD64" si="561">SUM(BD62:BD63)</f>
        <v>100</v>
      </c>
      <c r="BE64" s="517">
        <f t="shared" ref="BE64" si="562">SUM(BE62:BE63)</f>
        <v>100</v>
      </c>
      <c r="BF64" s="517">
        <f t="shared" ref="BF64" si="563">SUM(BF62:BF63)</f>
        <v>100</v>
      </c>
      <c r="BG64" s="517">
        <f t="shared" ref="BG64:BI64" si="564">SUM(BG62:BG63)</f>
        <v>33.333333333333336</v>
      </c>
      <c r="BH64" s="517">
        <f t="shared" si="564"/>
        <v>21.674876847290641</v>
      </c>
      <c r="BI64" s="517">
        <f t="shared" si="564"/>
        <v>28.440366972477065</v>
      </c>
    </row>
    <row r="65" spans="1:61" ht="15.5" customHeight="1" x14ac:dyDescent="0.35">
      <c r="C65" s="912" t="s">
        <v>1995</v>
      </c>
      <c r="D65" s="903" t="s">
        <v>804</v>
      </c>
      <c r="E65" s="326" t="s">
        <v>1990</v>
      </c>
      <c r="F65" s="509">
        <f>COUNTIFS(Tableau2[VILLAGE],"Bohoussoukro",Tableau2[Sexes],"F")</f>
        <v>12</v>
      </c>
      <c r="G65" s="508">
        <f>F65*100/F67</f>
        <v>54.545454545454547</v>
      </c>
      <c r="H65" s="508">
        <f>F65*100/$F$73</f>
        <v>24.489795918367346</v>
      </c>
      <c r="I65" s="508">
        <f>F65*100/$F$100</f>
        <v>1.4035087719298245</v>
      </c>
      <c r="J65" s="509">
        <f>COUNTIFS(Tableau2[VILLAGE],"Bohoussoukro",Tableau2[CLASSE],"CPU",Tableau2[Sexes],"F")</f>
        <v>12</v>
      </c>
      <c r="K65" s="509">
        <f>COUNTIFS(Tableau2[VILLAGE],"Bohoussoukro",Tableau2[CLASSE],"CEU",Tableau2[Sexes],"F")</f>
        <v>0</v>
      </c>
      <c r="L65" s="510">
        <f>J65*100/J67</f>
        <v>54.545454545454547</v>
      </c>
      <c r="M65" s="510">
        <v>0</v>
      </c>
      <c r="N65" s="510">
        <f>J65*100/$J$73</f>
        <v>24.489795918367346</v>
      </c>
      <c r="O65" s="510">
        <v>0</v>
      </c>
      <c r="P65" s="510">
        <f t="shared" ref="P65:P66" si="565">J65*100/$J$100</f>
        <v>1.5151515151515151</v>
      </c>
      <c r="Q65" s="510">
        <f t="shared" ref="Q65:Q66" si="566">K65*100/$K$100</f>
        <v>0</v>
      </c>
      <c r="R65" s="326" t="s">
        <v>1990</v>
      </c>
      <c r="S65" s="509">
        <f>COUNTIFS(Tableau2[VILLAGE],"Bohoussoukro",Tableau2[[STATUT ]],"admis",Tableau2[Sexes],"F")</f>
        <v>7</v>
      </c>
      <c r="T65" s="509">
        <f>COUNTIFS(Tableau2[VILLAGE],"Bohoussoukro",Tableau2[CE1-CE2],1,Tableau2[Sexes],"F")</f>
        <v>7</v>
      </c>
      <c r="U65" s="509">
        <f>COUNTIFS(Tableau2[VILLAGE],"Bohoussoukro",Tableau2[CM1-CM2],1,Tableau2[Sexes],"F")</f>
        <v>0</v>
      </c>
      <c r="V65" s="510">
        <f>T65*100/T67</f>
        <v>58.333333333333336</v>
      </c>
      <c r="W65" s="847"/>
      <c r="X65" s="510">
        <f>T65*100/T73</f>
        <v>21.875</v>
      </c>
      <c r="Y65" s="847"/>
      <c r="Z65" s="510">
        <f t="shared" ref="Z65:Z66" si="567">T65*100/$L$100</f>
        <v>7</v>
      </c>
      <c r="AA65" s="847"/>
      <c r="AB65" s="326" t="s">
        <v>1990</v>
      </c>
      <c r="AC65" s="509">
        <f>COUNTIFS(Tableau2[VILLAGE],"Bohoussoukro",Tableau2[[STATUT ]],"Redouble",Tableau2[Sexes],"F")</f>
        <v>2</v>
      </c>
      <c r="AD65" s="509">
        <f>COUNTIFS(Tableau2[VILLAGE],"Bohoussoukro",Tableau2[CLASSE],"CPU",Tableau2[[STATUT ]],"Redouble",Tableau2[Sexes],"F")</f>
        <v>2</v>
      </c>
      <c r="AE65" s="509">
        <f>COUNTIFS(Tableau2[VILLAGE],"Bohoussoukro",Tableau2[CLASSE],"CEU",Tableau2[[STATUT ]],"Redouble",Tableau2[Sexes],"F")</f>
        <v>0</v>
      </c>
      <c r="AF65" s="510">
        <f t="shared" ref="AF65" si="568">AD65*100/AD67</f>
        <v>66.666666666666671</v>
      </c>
      <c r="AG65" s="847"/>
      <c r="AH65" s="510">
        <f>AD65*100/AD73</f>
        <v>25</v>
      </c>
      <c r="AI65" s="847"/>
      <c r="AJ65" s="510">
        <f>AD65*100/AD100</f>
        <v>1.2269938650306749</v>
      </c>
      <c r="AK65" s="847"/>
      <c r="AL65" s="326" t="s">
        <v>1990</v>
      </c>
      <c r="AM65" s="509">
        <f>COUNTIFS(Tableau2[VILLAGE],"Bohoussoukro",Tableau2[[STATUT ]],"Absent",Tableau2[Sexes],"F")</f>
        <v>3</v>
      </c>
      <c r="AN65" s="509">
        <f>COUNTIFS(Tableau2[VILLAGE],"Bohoussoukro",Tableau2[CLASSE],"CPU",Tableau2[[STATUT ]],"Absent",Tableau2[Sexes],"F")</f>
        <v>3</v>
      </c>
      <c r="AO65" s="509">
        <f>COUNTIFS(Tableau2[VILLAGE],"Bohoussoukro",Tableau2[CLASSE],"CEU",Tableau2[[STATUT ]],"Absent",Tableau2[Sexes],"F")</f>
        <v>0</v>
      </c>
      <c r="AP65" s="510">
        <f t="shared" ref="AP65" si="569">AN65*100/AN67</f>
        <v>42.857142857142854</v>
      </c>
      <c r="AQ65" s="847"/>
      <c r="AR65" s="510">
        <f>AN65*100/AN73</f>
        <v>33.333333333333336</v>
      </c>
      <c r="AS65" s="847"/>
      <c r="AT65" s="510">
        <f>AN65*100/AN100</f>
        <v>2.3076923076923075</v>
      </c>
      <c r="AU65" s="847"/>
      <c r="AV65" s="345" t="s">
        <v>1990</v>
      </c>
      <c r="AW65" s="529">
        <f t="shared" si="7"/>
        <v>9</v>
      </c>
      <c r="AX65" s="509">
        <f>COUNTIFS(Tableau2[VILLAGE],"Bohoussoukro",Tableau2[Colonne1],"CP2",Tableau2[Sexes],"F")</f>
        <v>1</v>
      </c>
      <c r="AY65" s="509">
        <f>COUNTIFS(Tableau2[VILLAGE],"Bohoussoukro",Tableau2[Colonne1],"CE1",Tableau2[Sexes],"F")</f>
        <v>4</v>
      </c>
      <c r="AZ65" s="509">
        <f>COUNTIFS(Tableau2[VILLAGE],"Bohoussoukro",Tableau2[Colonne1],"CE2",Tableau2[Sexes],"F")</f>
        <v>4</v>
      </c>
      <c r="BA65" s="510">
        <f t="shared" ref="BA65:BC65" si="570">AX65*100/AX67</f>
        <v>50</v>
      </c>
      <c r="BB65" s="510">
        <f t="shared" si="570"/>
        <v>50</v>
      </c>
      <c r="BC65" s="510">
        <f t="shared" si="570"/>
        <v>80</v>
      </c>
      <c r="BD65" s="510">
        <f>AX65*100/$AX$73</f>
        <v>14.285714285714286</v>
      </c>
      <c r="BE65" s="510">
        <f>AY65*100/$AY$73</f>
        <v>16</v>
      </c>
      <c r="BF65" s="510">
        <f>AZ65*100/$AZ$73</f>
        <v>50</v>
      </c>
      <c r="BG65" s="510">
        <f>AX65*100/$AX$100</f>
        <v>0.68027210884353739</v>
      </c>
      <c r="BH65" s="510">
        <f t="shared" ref="BH65:BH66" si="571">AY65*100/$AY$100</f>
        <v>0.98522167487684731</v>
      </c>
      <c r="BI65" s="510">
        <f t="shared" ref="BI65:BI66" si="572">AZ65*100/$AZ$100</f>
        <v>3.669724770642202</v>
      </c>
    </row>
    <row r="66" spans="1:61" ht="15.5" customHeight="1" thickBot="1" x14ac:dyDescent="0.4">
      <c r="C66" s="913"/>
      <c r="D66" s="904"/>
      <c r="E66" s="324" t="s">
        <v>665</v>
      </c>
      <c r="F66" s="509">
        <f>COUNTIFS(Tableau2[VILLAGE],"Bohoussoukro",Tableau2[Sexes],"G")</f>
        <v>10</v>
      </c>
      <c r="G66" s="508">
        <f>F66*100/F67</f>
        <v>45.454545454545453</v>
      </c>
      <c r="H66" s="508">
        <f>F66*100/$F$73</f>
        <v>20.408163265306122</v>
      </c>
      <c r="I66" s="508">
        <f>F66*100/$F$100</f>
        <v>1.1695906432748537</v>
      </c>
      <c r="J66" s="509">
        <f>COUNTIFS(Tableau2[VILLAGE],"Bohoussoukro",Tableau2[CLASSE],"CPU",Tableau2[Sexes],"G")</f>
        <v>10</v>
      </c>
      <c r="K66" s="509">
        <f>COUNTIFS(Tableau2[VILLAGE],"Bohoussoukro",Tableau2[CLASSE],"CEU",Tableau2[Sexes],"G")</f>
        <v>0</v>
      </c>
      <c r="L66" s="510">
        <f>J66*100/J67</f>
        <v>45.454545454545453</v>
      </c>
      <c r="M66" s="510">
        <v>0</v>
      </c>
      <c r="N66" s="510">
        <f>J66*100/$J$73</f>
        <v>20.408163265306122</v>
      </c>
      <c r="O66" s="510">
        <f>0</f>
        <v>0</v>
      </c>
      <c r="P66" s="510">
        <f t="shared" si="565"/>
        <v>1.2626262626262625</v>
      </c>
      <c r="Q66" s="510">
        <f t="shared" si="566"/>
        <v>0</v>
      </c>
      <c r="R66" s="324" t="s">
        <v>665</v>
      </c>
      <c r="S66" s="509">
        <f>COUNTIFS(Tableau2[VILLAGE],"Bohoussoukro",Tableau2[[STATUT ]],"admis",Tableau2[Sexes],"G")</f>
        <v>5</v>
      </c>
      <c r="T66" s="509">
        <f>COUNTIFS(Tableau2[VILLAGE],"Bohoussoukro",Tableau2[CE1-CE2],1,Tableau2[Sexes],"G")</f>
        <v>5</v>
      </c>
      <c r="U66" s="509">
        <f>COUNTIFS(Tableau2[VILLAGE],"Bohoussoukro",Tableau2[CM1-CM2],1,Tableau2[Sexes],"G")</f>
        <v>0</v>
      </c>
      <c r="V66" s="510">
        <f t="shared" ref="V66:V69" si="573">T66*100/T67</f>
        <v>41.666666666666664</v>
      </c>
      <c r="W66" s="848"/>
      <c r="X66" s="510">
        <f>T66*100/T73</f>
        <v>15.625</v>
      </c>
      <c r="Y66" s="848"/>
      <c r="Z66" s="510">
        <f t="shared" si="567"/>
        <v>5</v>
      </c>
      <c r="AA66" s="848"/>
      <c r="AB66" s="324" t="s">
        <v>665</v>
      </c>
      <c r="AC66" s="509">
        <f>COUNTIFS(Tableau2[VILLAGE],"Bohoussoukro",Tableau2[[STATUT ]],"Redouble",Tableau2[Sexes],"G")</f>
        <v>1</v>
      </c>
      <c r="AD66" s="509">
        <f>COUNTIFS(Tableau2[VILLAGE],"Bohoussoukro",Tableau2[CLASSE],"CPU",Tableau2[[STATUT ]],"Redouble",Tableau2[Sexes],"G")</f>
        <v>1</v>
      </c>
      <c r="AE66" s="509">
        <f>COUNTIFS(Tableau2[VILLAGE],"Bohoussoukro",Tableau2[CLASSE],"CEU",Tableau2[[STATUT ]],"Redouble",Tableau2[Sexes],"G")</f>
        <v>0</v>
      </c>
      <c r="AF66" s="510">
        <f t="shared" ref="AF66" si="574">AD66*100/AD67</f>
        <v>33.333333333333336</v>
      </c>
      <c r="AG66" s="848"/>
      <c r="AH66" s="510">
        <f>AD66*100/AD73</f>
        <v>12.5</v>
      </c>
      <c r="AI66" s="848"/>
      <c r="AJ66" s="510">
        <f>AD66*100/AD100</f>
        <v>0.61349693251533743</v>
      </c>
      <c r="AK66" s="848"/>
      <c r="AL66" s="324" t="s">
        <v>665</v>
      </c>
      <c r="AM66" s="509">
        <f>COUNTIFS(Tableau2[VILLAGE],"Bohoussoukro",Tableau2[[STATUT ]],"Absent",Tableau2[Sexes],"G")</f>
        <v>4</v>
      </c>
      <c r="AN66" s="509">
        <f>COUNTIFS(Tableau2[VILLAGE],"Bohoussoukro",Tableau2[CLASSE],"CPU",Tableau2[[STATUT ]],"Absent",Tableau2[Sexes],"G")</f>
        <v>4</v>
      </c>
      <c r="AO66" s="509">
        <f>COUNTIFS(Tableau2[VILLAGE],"Bohoussoukro",Tableau2[CLASSE],"CEU",Tableau2[[STATUT ]],"Absent",Tableau2[Sexes],"G")</f>
        <v>0</v>
      </c>
      <c r="AP66" s="510">
        <f t="shared" ref="AP66" si="575">AN66*100/AN67</f>
        <v>57.142857142857146</v>
      </c>
      <c r="AQ66" s="848"/>
      <c r="AR66" s="510">
        <f>AN66*100/AN73</f>
        <v>44.444444444444443</v>
      </c>
      <c r="AS66" s="848"/>
      <c r="AT66" s="510">
        <f>AN66*100/AN100</f>
        <v>3.0769230769230771</v>
      </c>
      <c r="AU66" s="848"/>
      <c r="AV66" s="336" t="s">
        <v>665</v>
      </c>
      <c r="AW66" s="529">
        <f t="shared" si="7"/>
        <v>6</v>
      </c>
      <c r="AX66" s="509">
        <f>COUNTIFS(Tableau2[VILLAGE],"Bohoussoukro",Tableau2[Colonne1],"CP2",Tableau2[Sexes],"G")</f>
        <v>1</v>
      </c>
      <c r="AY66" s="509">
        <f>COUNTIFS(Tableau2[VILLAGE],"Bohoussoukro",Tableau2[Colonne1],"CE1",Tableau2[Sexes],"G")</f>
        <v>4</v>
      </c>
      <c r="AZ66" s="509">
        <f>COUNTIFS(Tableau2[VILLAGE],"Bohoussoukro",Tableau2[Colonne1],"CE2",Tableau2[Sexes],"G")</f>
        <v>1</v>
      </c>
      <c r="BA66" s="510">
        <f t="shared" ref="BA66" si="576">AX66*100/AX67</f>
        <v>50</v>
      </c>
      <c r="BB66" s="510">
        <f t="shared" ref="BB66" si="577">AY66*100/AY67</f>
        <v>50</v>
      </c>
      <c r="BC66" s="510">
        <f t="shared" ref="BC66" si="578">AZ66*100/AZ67</f>
        <v>20</v>
      </c>
      <c r="BD66" s="510">
        <f>AX66*100/$AX$73</f>
        <v>14.285714285714286</v>
      </c>
      <c r="BE66" s="510">
        <f>AY66*100/$AY$73</f>
        <v>16</v>
      </c>
      <c r="BF66" s="510">
        <f>AZ66*100/$AZ$73</f>
        <v>12.5</v>
      </c>
      <c r="BG66" s="510">
        <f>AX66*100/$AX$100</f>
        <v>0.68027210884353739</v>
      </c>
      <c r="BH66" s="510">
        <f t="shared" si="571"/>
        <v>0.98522167487684731</v>
      </c>
      <c r="BI66" s="510">
        <f t="shared" si="572"/>
        <v>0.91743119266055051</v>
      </c>
    </row>
    <row r="67" spans="1:61" ht="16" customHeight="1" thickBot="1" x14ac:dyDescent="0.35">
      <c r="C67" s="913"/>
      <c r="D67" s="905"/>
      <c r="E67" s="325" t="s">
        <v>658</v>
      </c>
      <c r="F67" s="333">
        <f>COUNTIFS(Tableau2[VILLAGE],"Bohoussoukro")</f>
        <v>22</v>
      </c>
      <c r="G67" s="340">
        <f>SUM(G65:G66)</f>
        <v>100</v>
      </c>
      <c r="H67" s="340">
        <f>SUM(H65:H66)</f>
        <v>44.897959183673464</v>
      </c>
      <c r="I67" s="340">
        <f t="shared" ref="I67" si="579">SUM(I65:I66)</f>
        <v>2.5730994152046782</v>
      </c>
      <c r="J67" s="333">
        <f t="shared" ref="J67:O82" si="580">SUM(J65:J66)</f>
        <v>22</v>
      </c>
      <c r="K67" s="333">
        <f t="shared" si="580"/>
        <v>0</v>
      </c>
      <c r="L67" s="343">
        <f t="shared" si="580"/>
        <v>100</v>
      </c>
      <c r="M67" s="343">
        <f t="shared" si="580"/>
        <v>0</v>
      </c>
      <c r="N67" s="343">
        <f t="shared" si="580"/>
        <v>44.897959183673464</v>
      </c>
      <c r="O67" s="343">
        <f t="shared" si="580"/>
        <v>0</v>
      </c>
      <c r="P67" s="343">
        <f t="shared" si="551"/>
        <v>2.7777777777777777</v>
      </c>
      <c r="Q67" s="343">
        <f t="shared" si="551"/>
        <v>0</v>
      </c>
      <c r="R67" s="333" t="s">
        <v>658</v>
      </c>
      <c r="S67" s="333">
        <f>COUNTIFS(Tableau2[VILLAGE],"Bohoussoukro",Tableau2[[STATUT ]],"admis")</f>
        <v>12</v>
      </c>
      <c r="T67" s="333">
        <f>COUNTIFS(Tableau2[VILLAGE],"Bohoussoukro",Tableau2[CE1-CE2],1)</f>
        <v>12</v>
      </c>
      <c r="U67" s="333">
        <f>COUNTIFS(Tableau2[VILLAGE],"Bohoussoukro",Tableau2[CM1-CM2],1)</f>
        <v>0</v>
      </c>
      <c r="V67" s="343">
        <f t="shared" ref="V67:V70" si="581">SUM(V65:V66)</f>
        <v>100</v>
      </c>
      <c r="W67" s="849"/>
      <c r="X67" s="344">
        <f t="shared" ref="X67" si="582">SUM(X65:X66)</f>
        <v>37.5</v>
      </c>
      <c r="Y67" s="849"/>
      <c r="Z67" s="344">
        <f t="shared" ref="Z67" si="583">SUM(Z65:Z66)</f>
        <v>12</v>
      </c>
      <c r="AA67" s="849"/>
      <c r="AB67" s="333" t="s">
        <v>658</v>
      </c>
      <c r="AC67" s="333">
        <f>COUNTIFS(Tableau2[VILLAGE],"Bohoussoukro",Tableau2[[STATUT ]],"Redouble")</f>
        <v>3</v>
      </c>
      <c r="AD67" s="333">
        <f t="shared" ref="AD67:AF82" si="584">SUM(AD65:AD66)</f>
        <v>3</v>
      </c>
      <c r="AE67" s="333">
        <f t="shared" si="584"/>
        <v>0</v>
      </c>
      <c r="AF67" s="343">
        <f t="shared" si="584"/>
        <v>100</v>
      </c>
      <c r="AG67" s="849"/>
      <c r="AH67" s="344">
        <f t="shared" ref="AH67" si="585">SUM(AH65:AH66)</f>
        <v>37.5</v>
      </c>
      <c r="AI67" s="849"/>
      <c r="AJ67" s="344">
        <f t="shared" ref="AJ67" si="586">SUM(AJ65:AJ66)</f>
        <v>1.8404907975460123</v>
      </c>
      <c r="AK67" s="849"/>
      <c r="AL67" s="333" t="s">
        <v>658</v>
      </c>
      <c r="AM67" s="333">
        <f>COUNTIFS(Tableau2[VILLAGE],"Bohoussoukro",Tableau2[[STATUT ]],"Absent")</f>
        <v>7</v>
      </c>
      <c r="AN67" s="333">
        <f t="shared" ref="AN67:AP67" si="587">SUM(AN65:AN66)</f>
        <v>7</v>
      </c>
      <c r="AO67" s="333">
        <f t="shared" si="587"/>
        <v>0</v>
      </c>
      <c r="AP67" s="343">
        <f t="shared" si="587"/>
        <v>100</v>
      </c>
      <c r="AQ67" s="849"/>
      <c r="AR67" s="344">
        <f t="shared" ref="AR67" si="588">SUM(AR65:AR66)</f>
        <v>77.777777777777771</v>
      </c>
      <c r="AS67" s="849"/>
      <c r="AT67" s="344">
        <f t="shared" ref="AT67" si="589">SUM(AT65:AT66)</f>
        <v>5.384615384615385</v>
      </c>
      <c r="AU67" s="849"/>
      <c r="AV67" s="342" t="s">
        <v>658</v>
      </c>
      <c r="AW67" s="530">
        <f t="shared" si="7"/>
        <v>15</v>
      </c>
      <c r="AX67" s="527">
        <f>SUM(AX65:AX66)</f>
        <v>2</v>
      </c>
      <c r="AY67" s="333">
        <f>SUM(AY65:AY66)</f>
        <v>8</v>
      </c>
      <c r="AZ67" s="333">
        <f>SUM(AZ65:AZ66)</f>
        <v>5</v>
      </c>
      <c r="BA67" s="517">
        <f t="shared" ref="BA67:BC67" si="590">SUM(BA65:BA66)</f>
        <v>100</v>
      </c>
      <c r="BB67" s="517">
        <f t="shared" si="590"/>
        <v>100</v>
      </c>
      <c r="BC67" s="517">
        <f t="shared" si="590"/>
        <v>100</v>
      </c>
      <c r="BD67" s="517">
        <f t="shared" ref="BD67" si="591">SUM(BD65:BD66)</f>
        <v>28.571428571428573</v>
      </c>
      <c r="BE67" s="517">
        <f t="shared" ref="BE67" si="592">SUM(BE65:BE66)</f>
        <v>32</v>
      </c>
      <c r="BF67" s="517">
        <f t="shared" ref="BF67" si="593">SUM(BF65:BF66)</f>
        <v>62.5</v>
      </c>
      <c r="BG67" s="517">
        <f t="shared" ref="BG67:BI67" si="594">SUM(BG65:BG66)</f>
        <v>1.3605442176870748</v>
      </c>
      <c r="BH67" s="517">
        <f t="shared" si="594"/>
        <v>1.9704433497536946</v>
      </c>
      <c r="BI67" s="517">
        <f t="shared" si="594"/>
        <v>4.5871559633027523</v>
      </c>
    </row>
    <row r="68" spans="1:61" ht="15.5" x14ac:dyDescent="0.35">
      <c r="C68" s="913"/>
      <c r="D68" s="903" t="s">
        <v>2724</v>
      </c>
      <c r="E68" s="326" t="s">
        <v>1990</v>
      </c>
      <c r="F68" s="509">
        <f>COUNTIFS(Tableau2[VILLAGE],"LAPOKRO",Tableau2[Sexes],"F")</f>
        <v>10</v>
      </c>
      <c r="G68" s="508">
        <f>F68*100/F70</f>
        <v>37.037037037037038</v>
      </c>
      <c r="H68" s="508">
        <f>F68*100/$F$73</f>
        <v>20.408163265306122</v>
      </c>
      <c r="I68" s="508">
        <f>F68*100/$F$100</f>
        <v>1.1695906432748537</v>
      </c>
      <c r="J68" s="509">
        <f>COUNTIFS(Tableau2[VILLAGE],"LAPOKRO",Tableau2[CLASSE],"CPU",Tableau2[Sexes],"F")</f>
        <v>10</v>
      </c>
      <c r="K68" s="509">
        <f>COUNTIFS(Tableau2[VILLAGE],"LAPOKRO",Tableau2[CLASSE],"CEU",Tableau2[Sexes],"F")</f>
        <v>0</v>
      </c>
      <c r="L68" s="510">
        <f>J68*100/J70</f>
        <v>37.037037037037038</v>
      </c>
      <c r="M68" s="510">
        <v>0</v>
      </c>
      <c r="N68" s="510">
        <f>J68*100/$J$73</f>
        <v>20.408163265306122</v>
      </c>
      <c r="O68" s="510">
        <v>0</v>
      </c>
      <c r="P68" s="510">
        <f t="shared" ref="P68:P69" si="595">J68*100/$J$100</f>
        <v>1.2626262626262625</v>
      </c>
      <c r="Q68" s="510">
        <f t="shared" ref="Q68:Q69" si="596">K68*100/$K$100</f>
        <v>0</v>
      </c>
      <c r="R68" s="326" t="s">
        <v>1990</v>
      </c>
      <c r="S68" s="509">
        <f>COUNTIFS(Tableau2[VILLAGE],"LAPOKRO",Tableau2[[STATUT ]],"admis",Tableau2[Sexes],"F")</f>
        <v>5</v>
      </c>
      <c r="T68" s="509">
        <f>COUNTIFS(Tableau2[VILLAGE],"LAPOKRO",Tableau2[CE1-CE2],1,Tableau2[Sexes],"F")</f>
        <v>5</v>
      </c>
      <c r="U68" s="509">
        <f>COUNTIFS(Tableau2[VILLAGE],"LAPOKRO",Tableau2[CM1-CM2],1,Tableau2[Sexes],"F")</f>
        <v>0</v>
      </c>
      <c r="V68" s="510">
        <f t="shared" ref="V68" si="597">T68*100/T70</f>
        <v>25</v>
      </c>
      <c r="W68" s="847"/>
      <c r="X68" s="510">
        <f>T68*100/T73</f>
        <v>15.625</v>
      </c>
      <c r="Y68" s="847"/>
      <c r="Z68" s="510">
        <f>T68*100/$L$100</f>
        <v>5</v>
      </c>
      <c r="AA68" s="847"/>
      <c r="AB68" s="326" t="s">
        <v>1990</v>
      </c>
      <c r="AC68" s="509">
        <f>COUNTIFS(Tableau2[VILLAGE],"LAPOKRO",Tableau2[[STATUT ]],"Redouble",Tableau2[Sexes],"F")</f>
        <v>4</v>
      </c>
      <c r="AD68" s="509">
        <f>COUNTIFS(Tableau2[VILLAGE],"LAPOKRO",Tableau2[CLASSE],"CPU",Tableau2[[STATUT ]],"Redouble",Tableau2[Sexes],"F")</f>
        <v>4</v>
      </c>
      <c r="AE68" s="509">
        <f>COUNTIFS(Tableau2[VILLAGE],"LAPOKRO",Tableau2[CLASSE],"CEU",Tableau2[[STATUT ]],"Redouble",Tableau2[Sexes],"F")</f>
        <v>0</v>
      </c>
      <c r="AF68" s="510">
        <f t="shared" ref="AF68" si="598">AD68*100/AD70</f>
        <v>80</v>
      </c>
      <c r="AG68" s="847"/>
      <c r="AH68" s="510">
        <f>AD68*100/AD73</f>
        <v>50</v>
      </c>
      <c r="AI68" s="847"/>
      <c r="AJ68" s="510">
        <f>AD68*100/AD100</f>
        <v>2.4539877300613497</v>
      </c>
      <c r="AK68" s="847"/>
      <c r="AL68" s="326" t="s">
        <v>1990</v>
      </c>
      <c r="AM68" s="509">
        <f>COUNTIFS(Tableau2[VILLAGE],"LAPOKRO",Tableau2[[STATUT ]],"Absent",Tableau2[Sexes],"F")</f>
        <v>1</v>
      </c>
      <c r="AN68" s="509">
        <f>COUNTIFS(Tableau2[VILLAGE],"LAPOKRO",Tableau2[CLASSE],"CPU",Tableau2[[STATUT ]],"Absent",Tableau2[Sexes],"F")</f>
        <v>1</v>
      </c>
      <c r="AO68" s="509">
        <f>COUNTIFS(Tableau2[VILLAGE],"LAPOKRO",Tableau2[CLASSE],"CEU",Tableau2[[STATUT ]],"Absent",Tableau2[Sexes],"F")</f>
        <v>0</v>
      </c>
      <c r="AP68" s="510">
        <f t="shared" ref="AP68" si="599">AN68*100/AN70</f>
        <v>50</v>
      </c>
      <c r="AQ68" s="847"/>
      <c r="AR68" s="510">
        <f>AN68*100/AN73</f>
        <v>11.111111111111111</v>
      </c>
      <c r="AS68" s="847"/>
      <c r="AT68" s="510">
        <f>AN68*100/AN100</f>
        <v>0.76923076923076927</v>
      </c>
      <c r="AU68" s="847"/>
      <c r="AV68" s="345" t="s">
        <v>1990</v>
      </c>
      <c r="AW68" s="529">
        <f t="shared" si="7"/>
        <v>9</v>
      </c>
      <c r="AX68" s="509">
        <f>COUNTIFS(Tableau2[VILLAGE],"LAPOKRO",Tableau2[Colonne1],"CP2",Tableau2[Sexes],"F")</f>
        <v>4</v>
      </c>
      <c r="AY68" s="509">
        <f>COUNTIFS(Tableau2[VILLAGE],"LAPOKRO",Tableau2[Colonne1],"CE1",Tableau2[Sexes],"F")</f>
        <v>4</v>
      </c>
      <c r="AZ68" s="509">
        <f>COUNTIFS(Tableau2[VILLAGE],"LAPOKRO",Tableau2[Colonne1],"CE2",Tableau2[Sexes],"F")</f>
        <v>1</v>
      </c>
      <c r="BA68" s="510">
        <f t="shared" ref="BA68:BC68" si="600">AX68*100/AX70</f>
        <v>80</v>
      </c>
      <c r="BB68" s="510">
        <f t="shared" si="600"/>
        <v>23.529411764705884</v>
      </c>
      <c r="BC68" s="510">
        <f t="shared" si="600"/>
        <v>33.333333333333336</v>
      </c>
      <c r="BD68" s="510">
        <f t="shared" ref="BD68:BD69" si="601">AX68*100/$AX$73</f>
        <v>57.142857142857146</v>
      </c>
      <c r="BE68" s="510">
        <f t="shared" ref="BE68:BE69" si="602">AY68*100/$AY$73</f>
        <v>16</v>
      </c>
      <c r="BF68" s="510">
        <f t="shared" ref="BF68:BF69" si="603">AZ68*100/$AZ$73</f>
        <v>12.5</v>
      </c>
      <c r="BG68" s="510">
        <f t="shared" ref="BG68:BG69" si="604">AX68*100/$AX$100</f>
        <v>2.7210884353741496</v>
      </c>
      <c r="BH68" s="510">
        <f t="shared" ref="BH68:BH69" si="605">AY68*100/$AY$100</f>
        <v>0.98522167487684731</v>
      </c>
      <c r="BI68" s="510">
        <f t="shared" ref="BI68:BI69" si="606">AZ68*100/$AZ$100</f>
        <v>0.91743119266055051</v>
      </c>
    </row>
    <row r="69" spans="1:61" ht="16" thickBot="1" x14ac:dyDescent="0.4">
      <c r="C69" s="913"/>
      <c r="D69" s="904"/>
      <c r="E69" s="324" t="s">
        <v>665</v>
      </c>
      <c r="F69" s="509">
        <f>COUNTIFS(Tableau2[VILLAGE],"LAPOKRO",Tableau2[Sexes],"G")</f>
        <v>17</v>
      </c>
      <c r="G69" s="508">
        <f>F69*100/F70</f>
        <v>62.962962962962962</v>
      </c>
      <c r="H69" s="508">
        <f>F69*100/$F$73</f>
        <v>34.693877551020407</v>
      </c>
      <c r="I69" s="508">
        <f>F69*100/$F$100</f>
        <v>1.9883040935672514</v>
      </c>
      <c r="J69" s="509">
        <f>COUNTIFS(Tableau2[VILLAGE],"LAPOKRO",Tableau2[CLASSE],"CPU",Tableau2[Sexes],"G")</f>
        <v>17</v>
      </c>
      <c r="K69" s="509">
        <f>COUNTIFS(Tableau2[VILLAGE],"LAPOKRO",Tableau2[CLASSE],"CEU",Tableau2[Sexes],"G")</f>
        <v>0</v>
      </c>
      <c r="L69" s="510">
        <f>J69*100/J70</f>
        <v>62.962962962962962</v>
      </c>
      <c r="M69" s="510">
        <v>0</v>
      </c>
      <c r="N69" s="510">
        <f>J69*100/$J$73</f>
        <v>34.693877551020407</v>
      </c>
      <c r="O69" s="510">
        <f>0</f>
        <v>0</v>
      </c>
      <c r="P69" s="510">
        <f t="shared" si="595"/>
        <v>2.1464646464646466</v>
      </c>
      <c r="Q69" s="510">
        <f t="shared" si="596"/>
        <v>0</v>
      </c>
      <c r="R69" s="324" t="s">
        <v>665</v>
      </c>
      <c r="S69" s="509">
        <f>COUNTIFS(Tableau2[VILLAGE],"LAPOKRO",Tableau2[[STATUT ]],"admis",Tableau2[Sexes],"G")</f>
        <v>15</v>
      </c>
      <c r="T69" s="509">
        <f>COUNTIFS(Tableau2[VILLAGE],"LAPOKRO",Tableau2[CE1-CE2],1,Tableau2[Sexes],"G")</f>
        <v>15</v>
      </c>
      <c r="U69" s="509">
        <f>COUNTIFS(Tableau2[VILLAGE],"LAPOKRO",Tableau2[CM1-CM2],1,Tableau2[Sexes],"G")</f>
        <v>0</v>
      </c>
      <c r="V69" s="510">
        <f t="shared" si="573"/>
        <v>75</v>
      </c>
      <c r="W69" s="848"/>
      <c r="X69" s="510">
        <f>T69*100/T73</f>
        <v>46.875</v>
      </c>
      <c r="Y69" s="848"/>
      <c r="Z69" s="510">
        <f t="shared" ref="Z69" si="607">T69*100/$L$100</f>
        <v>15</v>
      </c>
      <c r="AA69" s="848"/>
      <c r="AB69" s="324" t="s">
        <v>665</v>
      </c>
      <c r="AC69" s="509">
        <f>COUNTIFS(Tableau2[VILLAGE],"LAPOKRO",Tableau2[[STATUT ]],"Redouble",Tableau2[Sexes],"G")</f>
        <v>1</v>
      </c>
      <c r="AD69" s="509">
        <f>COUNTIFS(Tableau2[VILLAGE],"LAPOKRO",Tableau2[CLASSE],"CPU",Tableau2[[STATUT ]],"Redouble",Tableau2[Sexes],"G")</f>
        <v>1</v>
      </c>
      <c r="AE69" s="509">
        <f>COUNTIFS(Tableau2[VILLAGE],"LAPOKRO",Tableau2[CLASSE],"CEU",Tableau2[[STATUT ]],"Redouble",Tableau2[Sexes],"G")</f>
        <v>0</v>
      </c>
      <c r="AF69" s="510">
        <f t="shared" ref="AF69" si="608">AD69*100/AD70</f>
        <v>20</v>
      </c>
      <c r="AG69" s="848"/>
      <c r="AH69" s="510">
        <f>AD69*100/AD73</f>
        <v>12.5</v>
      </c>
      <c r="AI69" s="848"/>
      <c r="AJ69" s="510">
        <f>AD69*100/AD100</f>
        <v>0.61349693251533743</v>
      </c>
      <c r="AK69" s="848"/>
      <c r="AL69" s="324" t="s">
        <v>665</v>
      </c>
      <c r="AM69" s="509">
        <f>COUNTIFS(Tableau2[VILLAGE],"LAPOKRO",Tableau2[[STATUT ]],"Absent",Tableau2[Sexes],"G")</f>
        <v>1</v>
      </c>
      <c r="AN69" s="509">
        <f>COUNTIFS(Tableau2[VILLAGE],"LAPOKRO",Tableau2[CLASSE],"CPU",Tableau2[[STATUT ]],"Absent",Tableau2[Sexes],"G")</f>
        <v>1</v>
      </c>
      <c r="AO69" s="509">
        <f>COUNTIFS(Tableau2[VILLAGE],"LAPOKRO",Tableau2[CLASSE],"CEU",Tableau2[[STATUT ]],"Absent",Tableau2[Sexes],"G")</f>
        <v>0</v>
      </c>
      <c r="AP69" s="510">
        <f t="shared" ref="AP69" si="609">AN69*100/AN70</f>
        <v>50</v>
      </c>
      <c r="AQ69" s="848"/>
      <c r="AR69" s="510">
        <f>AN69*100/AN73</f>
        <v>11.111111111111111</v>
      </c>
      <c r="AS69" s="848"/>
      <c r="AT69" s="510">
        <f>AN69*100/AN100</f>
        <v>0.76923076923076927</v>
      </c>
      <c r="AU69" s="848"/>
      <c r="AV69" s="336" t="s">
        <v>665</v>
      </c>
      <c r="AW69" s="529">
        <f t="shared" si="7"/>
        <v>16</v>
      </c>
      <c r="AX69" s="509">
        <f>COUNTIFS(Tableau2[VILLAGE],"LAPOKRO",Tableau2[Colonne1],"CP2",Tableau2[Sexes],"G")</f>
        <v>1</v>
      </c>
      <c r="AY69" s="509">
        <f>COUNTIFS(Tableau2[VILLAGE],"LAPOKRO",Tableau2[Colonne1],"CE1",Tableau2[Sexes],"G")</f>
        <v>13</v>
      </c>
      <c r="AZ69" s="509">
        <f>COUNTIFS(Tableau2[VILLAGE],"LAPOKRO",Tableau2[Colonne1],"CE2",Tableau2[Sexes],"G")</f>
        <v>2</v>
      </c>
      <c r="BA69" s="510">
        <f t="shared" ref="BA69" si="610">AX69*100/AX70</f>
        <v>20</v>
      </c>
      <c r="BB69" s="510">
        <f t="shared" ref="BB69" si="611">AY69*100/AY70</f>
        <v>76.470588235294116</v>
      </c>
      <c r="BC69" s="510">
        <f t="shared" ref="BC69" si="612">AZ69*100/AZ70</f>
        <v>66.666666666666671</v>
      </c>
      <c r="BD69" s="510">
        <f t="shared" si="601"/>
        <v>14.285714285714286</v>
      </c>
      <c r="BE69" s="510">
        <f t="shared" si="602"/>
        <v>52</v>
      </c>
      <c r="BF69" s="510">
        <f t="shared" si="603"/>
        <v>25</v>
      </c>
      <c r="BG69" s="510">
        <f t="shared" si="604"/>
        <v>0.68027210884353739</v>
      </c>
      <c r="BH69" s="510">
        <f t="shared" si="605"/>
        <v>3.2019704433497536</v>
      </c>
      <c r="BI69" s="510">
        <f t="shared" si="606"/>
        <v>1.834862385321101</v>
      </c>
    </row>
    <row r="70" spans="1:61" ht="15.5" customHeight="1" thickBot="1" x14ac:dyDescent="0.35">
      <c r="C70" s="914"/>
      <c r="D70" s="905"/>
      <c r="E70" s="325" t="s">
        <v>658</v>
      </c>
      <c r="F70" s="333">
        <f>COUNTIFS(Tableau2[VILLAGE],"LAPOKRO")</f>
        <v>27</v>
      </c>
      <c r="G70" s="340">
        <f>SUM(G68:G69)</f>
        <v>100</v>
      </c>
      <c r="H70" s="340">
        <f>SUM(H68:H69)</f>
        <v>55.102040816326529</v>
      </c>
      <c r="I70" s="340">
        <f t="shared" ref="I70" si="613">SUM(I68:I69)</f>
        <v>3.1578947368421053</v>
      </c>
      <c r="J70" s="333">
        <f t="shared" ref="J70" si="614">SUM(J68:J69)</f>
        <v>27</v>
      </c>
      <c r="K70" s="333">
        <f t="shared" si="580"/>
        <v>0</v>
      </c>
      <c r="L70" s="343">
        <f t="shared" si="580"/>
        <v>100</v>
      </c>
      <c r="M70" s="343">
        <f t="shared" si="580"/>
        <v>0</v>
      </c>
      <c r="N70" s="343">
        <f t="shared" ref="N70:O70" si="615">SUM(N68:N69)</f>
        <v>55.102040816326529</v>
      </c>
      <c r="O70" s="343">
        <f t="shared" si="615"/>
        <v>0</v>
      </c>
      <c r="P70" s="343">
        <f t="shared" si="551"/>
        <v>3.4090909090909092</v>
      </c>
      <c r="Q70" s="343">
        <f t="shared" si="551"/>
        <v>0</v>
      </c>
      <c r="R70" s="333" t="s">
        <v>658</v>
      </c>
      <c r="S70" s="333">
        <f>COUNTIFS(Tableau2[VILLAGE],"LAPOKRO",Tableau2[[STATUT ]],"admis")</f>
        <v>20</v>
      </c>
      <c r="T70" s="333">
        <f>COUNTIFS(Tableau2[VILLAGE],"LAPOKRO",Tableau2[CE1-CE2],1)</f>
        <v>20</v>
      </c>
      <c r="U70" s="333">
        <f>COUNTIFS(Tableau2[VILLAGE],"LAPOKRO",Tableau2[CM1-CM2],1)</f>
        <v>0</v>
      </c>
      <c r="V70" s="343">
        <f t="shared" si="581"/>
        <v>100</v>
      </c>
      <c r="W70" s="849"/>
      <c r="X70" s="344">
        <f t="shared" ref="X70" si="616">SUM(X68:X69)</f>
        <v>62.5</v>
      </c>
      <c r="Y70" s="849"/>
      <c r="Z70" s="344">
        <f t="shared" ref="Z70" si="617">SUM(Z68:Z69)</f>
        <v>20</v>
      </c>
      <c r="AA70" s="849"/>
      <c r="AB70" s="333" t="s">
        <v>658</v>
      </c>
      <c r="AC70" s="333">
        <f>COUNTIFS(Tableau2[VILLAGE],"LAPOKRO",Tableau2[[STATUT ]],"Redouble")</f>
        <v>5</v>
      </c>
      <c r="AD70" s="333">
        <f t="shared" ref="AD70" si="618">SUM(AD68:AD69)</f>
        <v>5</v>
      </c>
      <c r="AE70" s="333">
        <f t="shared" si="584"/>
        <v>0</v>
      </c>
      <c r="AF70" s="343">
        <f t="shared" si="584"/>
        <v>100</v>
      </c>
      <c r="AG70" s="849"/>
      <c r="AH70" s="344">
        <f t="shared" ref="AH70" si="619">SUM(AH68:AH69)</f>
        <v>62.5</v>
      </c>
      <c r="AI70" s="849"/>
      <c r="AJ70" s="344">
        <f t="shared" ref="AJ70" si="620">SUM(AJ68:AJ69)</f>
        <v>3.0674846625766872</v>
      </c>
      <c r="AK70" s="849"/>
      <c r="AL70" s="333" t="s">
        <v>658</v>
      </c>
      <c r="AM70" s="333">
        <f>COUNTIFS(Tableau2[VILLAGE],"LAPOKRO",Tableau2[[STATUT ]],"Absent")</f>
        <v>2</v>
      </c>
      <c r="AN70" s="333">
        <f t="shared" ref="AN70:AP70" si="621">SUM(AN68:AN69)</f>
        <v>2</v>
      </c>
      <c r="AO70" s="333">
        <f t="shared" si="621"/>
        <v>0</v>
      </c>
      <c r="AP70" s="343">
        <f t="shared" si="621"/>
        <v>100</v>
      </c>
      <c r="AQ70" s="849"/>
      <c r="AR70" s="344">
        <f t="shared" ref="AR70" si="622">SUM(AR68:AR69)</f>
        <v>22.222222222222221</v>
      </c>
      <c r="AS70" s="849"/>
      <c r="AT70" s="344">
        <f t="shared" ref="AT70" si="623">SUM(AT68:AT69)</f>
        <v>1.5384615384615385</v>
      </c>
      <c r="AU70" s="849"/>
      <c r="AV70" s="342" t="s">
        <v>658</v>
      </c>
      <c r="AW70" s="530">
        <f t="shared" si="7"/>
        <v>25</v>
      </c>
      <c r="AX70" s="527">
        <f>SUM(AX68:AX69)</f>
        <v>5</v>
      </c>
      <c r="AY70" s="333">
        <f>SUM(AY68:AY69)</f>
        <v>17</v>
      </c>
      <c r="AZ70" s="333">
        <f>SUM(AZ68:AZ69)</f>
        <v>3</v>
      </c>
      <c r="BA70" s="517">
        <f t="shared" ref="BA70:BC70" si="624">SUM(BA68:BA69)</f>
        <v>100</v>
      </c>
      <c r="BB70" s="517">
        <f t="shared" si="624"/>
        <v>100</v>
      </c>
      <c r="BC70" s="517">
        <f t="shared" si="624"/>
        <v>100</v>
      </c>
      <c r="BD70" s="517">
        <f t="shared" ref="BD70" si="625">SUM(BD68:BD69)</f>
        <v>71.428571428571431</v>
      </c>
      <c r="BE70" s="517">
        <f t="shared" ref="BE70" si="626">SUM(BE68:BE69)</f>
        <v>68</v>
      </c>
      <c r="BF70" s="517">
        <f t="shared" ref="BF70" si="627">SUM(BF68:BF69)</f>
        <v>37.5</v>
      </c>
      <c r="BG70" s="517">
        <f t="shared" ref="BG70:BI70" si="628">SUM(BG68:BG69)</f>
        <v>3.4013605442176869</v>
      </c>
      <c r="BH70" s="517">
        <f t="shared" si="628"/>
        <v>4.1871921182266005</v>
      </c>
      <c r="BI70" s="517">
        <f t="shared" si="628"/>
        <v>2.7522935779816518</v>
      </c>
    </row>
    <row r="71" spans="1:61" ht="15.5" x14ac:dyDescent="0.35">
      <c r="A71" s="692"/>
      <c r="B71" s="697"/>
      <c r="C71" s="906" t="s">
        <v>2725</v>
      </c>
      <c r="D71" s="907"/>
      <c r="E71" s="327" t="s">
        <v>1990</v>
      </c>
      <c r="F71" s="509">
        <f>COUNTIFS(Tableau2[DEPARTEMENT],"SOUBRE",Tableau2[Sexes],"F")</f>
        <v>22</v>
      </c>
      <c r="G71" s="847"/>
      <c r="H71" s="511">
        <f>F71*100/$F$73</f>
        <v>44.897959183673471</v>
      </c>
      <c r="I71" s="508">
        <f>F71*100/$F$100</f>
        <v>2.5730994152046782</v>
      </c>
      <c r="J71" s="509">
        <f>COUNTIFS(Tableau2[DEPARTEMENT],"SOUBRE",Tableau2[CLASSE],"CPU",Tableau2[Sexes],"F")</f>
        <v>22</v>
      </c>
      <c r="K71" s="509">
        <f>COUNTIFS(Tableau2[DEPARTEMENT],"SOUBRE",Tableau2[CLASSE],"CEU",Tableau2[Sexes],"F")</f>
        <v>0</v>
      </c>
      <c r="L71" s="510">
        <f>J71*100/J73</f>
        <v>44.897959183673471</v>
      </c>
      <c r="M71" s="510">
        <v>0</v>
      </c>
      <c r="N71" s="510">
        <f>J71*100/$J$73</f>
        <v>44.897959183673471</v>
      </c>
      <c r="O71" s="510">
        <v>0</v>
      </c>
      <c r="P71" s="510">
        <f t="shared" ref="P71:P72" si="629">J71*100/$J$100</f>
        <v>2.7777777777777777</v>
      </c>
      <c r="Q71" s="510">
        <f t="shared" ref="Q71:Q72" si="630">K71*100/$K$100</f>
        <v>0</v>
      </c>
      <c r="R71" s="327" t="s">
        <v>1990</v>
      </c>
      <c r="S71" s="509">
        <f>COUNTIFS(Tableau2[DEPARTEMENT],"SOUBRE",Tableau2[[STATUT ]],"admis",Tableau2[Sexes],"F")</f>
        <v>12</v>
      </c>
      <c r="T71" s="509">
        <f>COUNTIFS(Tableau2[DEPARTEMENT],"SOUBRE",Tableau2[CE1-CE2],1,Tableau2[Sexes],"F")</f>
        <v>12</v>
      </c>
      <c r="U71" s="509">
        <f>COUNTIFS(Tableau2[DEPARTEMENT],"SOUBRE",Tableau2[CM1-CM2],1,Tableau2[Sexes],"F")</f>
        <v>0</v>
      </c>
      <c r="V71" s="841"/>
      <c r="W71" s="842"/>
      <c r="X71" s="510">
        <f>T71*100/T73</f>
        <v>37.5</v>
      </c>
      <c r="Y71" s="847"/>
      <c r="Z71" s="510">
        <f>T71*100/$L$100</f>
        <v>12</v>
      </c>
      <c r="AA71" s="847"/>
      <c r="AB71" s="327" t="s">
        <v>1990</v>
      </c>
      <c r="AC71" s="509">
        <f>COUNTIFS(Tableau2[DEPARTEMENT],"SOUBRE",Tableau2[[STATUT ]],"Redouble",Tableau2[Sexes],"F")</f>
        <v>6</v>
      </c>
      <c r="AD71" s="509">
        <f>COUNTIFS(Tableau2[DEPARTEMENT],"SOUBRE",Tableau2[CLASSE],"CPU",Tableau2[[STATUT ]],"Redouble",Tableau2[Sexes],"F")</f>
        <v>6</v>
      </c>
      <c r="AE71" s="509">
        <f>COUNTIFS(Tableau2[DEPARTEMENT],"SOUBRE",Tableau2[CLASSE],"CEU",Tableau2[[STATUT ]],"Redouble",Tableau2[Sexes],"F")</f>
        <v>0</v>
      </c>
      <c r="AF71" s="841"/>
      <c r="AG71" s="842"/>
      <c r="AH71" s="510">
        <f>AD71*100/AD73</f>
        <v>75</v>
      </c>
      <c r="AI71" s="847"/>
      <c r="AJ71" s="510">
        <f>AD71*100/AD100</f>
        <v>3.6809815950920246</v>
      </c>
      <c r="AK71" s="847"/>
      <c r="AL71" s="327" t="s">
        <v>1990</v>
      </c>
      <c r="AM71" s="509">
        <f>COUNTIFS(Tableau2[DEPARTEMENT],"SOUBRE",Tableau2[[STATUT ]],"Absent",Tableau2[Sexes],"F")</f>
        <v>4</v>
      </c>
      <c r="AN71" s="509">
        <f>COUNTIFS(Tableau2[DEPARTEMENT],"SOUBRE",Tableau2[CLASSE],"CPU",Tableau2[[STATUT ]],"Absent",Tableau2[Sexes],"F")</f>
        <v>4</v>
      </c>
      <c r="AO71" s="509">
        <f>COUNTIFS(Tableau2[DEPARTEMENT],"SOUBRE",Tableau2[CLASSE],"CEU",Tableau2[[STATUT ]],"Absent",Tableau2[Sexes],"F")</f>
        <v>0</v>
      </c>
      <c r="AP71" s="841"/>
      <c r="AQ71" s="842"/>
      <c r="AR71" s="510">
        <f>AN71*100/AN73</f>
        <v>44.444444444444443</v>
      </c>
      <c r="AS71" s="847"/>
      <c r="AT71" s="510">
        <f>AN71*100/AN100</f>
        <v>3.0769230769230771</v>
      </c>
      <c r="AU71" s="847"/>
      <c r="AV71" s="523" t="s">
        <v>1990</v>
      </c>
      <c r="AW71" s="529">
        <f t="shared" si="7"/>
        <v>18</v>
      </c>
      <c r="AX71" s="509">
        <f>COUNTIFS(Tableau2[DEPARTEMENT],"SOUBRE",Tableau2[Colonne1],"CP2",Tableau2[Sexes],"F")</f>
        <v>5</v>
      </c>
      <c r="AY71" s="509">
        <f>COUNTIFS(Tableau2[DEPARTEMENT],"SOUBRE",Tableau2[Colonne1],"CE1",Tableau2[Sexes],"F")</f>
        <v>8</v>
      </c>
      <c r="AZ71" s="509">
        <f>COUNTIFS(Tableau2[DEPARTEMENT],"SOUBRE",Tableau2[Colonne1],"CE2",Tableau2[Sexes],"F")</f>
        <v>5</v>
      </c>
      <c r="BA71" s="510">
        <f t="shared" ref="BA71:BC71" si="631">AX71*100/AX73</f>
        <v>71.428571428571431</v>
      </c>
      <c r="BB71" s="510">
        <f t="shared" si="631"/>
        <v>32</v>
      </c>
      <c r="BC71" s="510">
        <f t="shared" si="631"/>
        <v>62.5</v>
      </c>
      <c r="BD71" s="510">
        <f t="shared" ref="BD71:BD72" si="632">AX71*100/$AX$73</f>
        <v>71.428571428571431</v>
      </c>
      <c r="BE71" s="510">
        <f t="shared" ref="BE71:BE72" si="633">AY71*100/$AY$73</f>
        <v>32</v>
      </c>
      <c r="BF71" s="510">
        <f t="shared" ref="BF71:BF72" si="634">AZ71*100/$AZ$73</f>
        <v>62.5</v>
      </c>
      <c r="BG71" s="510">
        <f t="shared" ref="BG71:BG72" si="635">AX71*100/$AX$100</f>
        <v>3.4013605442176869</v>
      </c>
      <c r="BH71" s="510">
        <f t="shared" ref="BH71:BH72" si="636">AY71*100/$AY$100</f>
        <v>1.9704433497536946</v>
      </c>
      <c r="BI71" s="510">
        <f t="shared" ref="BI71:BI72" si="637">AZ71*100/$AZ$100</f>
        <v>4.5871559633027523</v>
      </c>
    </row>
    <row r="72" spans="1:61" ht="16" thickBot="1" x14ac:dyDescent="0.4">
      <c r="A72" s="693"/>
      <c r="B72" s="698"/>
      <c r="C72" s="908"/>
      <c r="D72" s="909"/>
      <c r="E72" s="328" t="s">
        <v>665</v>
      </c>
      <c r="F72" s="509">
        <f>COUNTIFS(Tableau2[DEPARTEMENT],"SOUBRE",Tableau2[Sexes],"G")</f>
        <v>27</v>
      </c>
      <c r="G72" s="848"/>
      <c r="H72" s="511">
        <f>F72*100/$F$73</f>
        <v>55.102040816326529</v>
      </c>
      <c r="I72" s="508">
        <f>F72*100/$F$100</f>
        <v>3.1578947368421053</v>
      </c>
      <c r="J72" s="509">
        <f>COUNTIFS(Tableau2[DEPARTEMENT],"SOUBRE",Tableau2[CLASSE],"CPU",Tableau2[Sexes],"G")</f>
        <v>27</v>
      </c>
      <c r="K72" s="509">
        <f>COUNTIFS(Tableau2[DEPARTEMENT],"SOUBRE",Tableau2[CLASSE],"CEU",Tableau2[Sexes],"G")</f>
        <v>0</v>
      </c>
      <c r="L72" s="510">
        <f>J72*100/J73</f>
        <v>55.102040816326529</v>
      </c>
      <c r="M72" s="510">
        <v>0</v>
      </c>
      <c r="N72" s="510">
        <f>J72*100/$J$73</f>
        <v>55.102040816326529</v>
      </c>
      <c r="O72" s="510">
        <f>0</f>
        <v>0</v>
      </c>
      <c r="P72" s="510">
        <f t="shared" si="629"/>
        <v>3.4090909090909092</v>
      </c>
      <c r="Q72" s="510">
        <f t="shared" si="630"/>
        <v>0</v>
      </c>
      <c r="R72" s="328" t="s">
        <v>665</v>
      </c>
      <c r="S72" s="509">
        <f>COUNTIFS(Tableau2[DEPARTEMENT],"SOUBRE",Tableau2[[STATUT ]],"admis",Tableau2[Sexes],"G")</f>
        <v>20</v>
      </c>
      <c r="T72" s="509">
        <f>COUNTIFS(Tableau2[DEPARTEMENT],"SOUBRE",Tableau2[CE1-CE2],1,Tableau2[Sexes],"G")</f>
        <v>20</v>
      </c>
      <c r="U72" s="509">
        <f>COUNTIFS(Tableau2[DEPARTEMENT],"SOUBRE",Tableau2[CM1-CM2],1,Tableau2[Sexes],"G")</f>
        <v>0</v>
      </c>
      <c r="V72" s="843"/>
      <c r="W72" s="844"/>
      <c r="X72" s="510">
        <f>T72*100/T73</f>
        <v>62.5</v>
      </c>
      <c r="Y72" s="848"/>
      <c r="Z72" s="510">
        <f t="shared" ref="Z72" si="638">T72*100/$L$100</f>
        <v>20</v>
      </c>
      <c r="AA72" s="848"/>
      <c r="AB72" s="328" t="s">
        <v>665</v>
      </c>
      <c r="AC72" s="509">
        <f>COUNTIFS(Tableau2[DEPARTEMENT],"SOUBRE",Tableau2[[STATUT ]],"Redouble",Tableau2[Sexes],"G")</f>
        <v>2</v>
      </c>
      <c r="AD72" s="509">
        <f>COUNTIFS(Tableau2[DEPARTEMENT],"SOUBRE",Tableau2[CLASSE],"CPU",Tableau2[[STATUT ]],"Redouble",Tableau2[Sexes],"G")</f>
        <v>2</v>
      </c>
      <c r="AE72" s="509">
        <f>COUNTIFS(Tableau2[DEPARTEMENT],"SOUBRE",Tableau2[CLASSE],"CEU",Tableau2[[STATUT ]],"Redouble",Tableau2[Sexes],"G")</f>
        <v>0</v>
      </c>
      <c r="AF72" s="843"/>
      <c r="AG72" s="844"/>
      <c r="AH72" s="510">
        <f>AD72*100/AD73</f>
        <v>25</v>
      </c>
      <c r="AI72" s="848"/>
      <c r="AJ72" s="510">
        <f>AD72*100/AD100</f>
        <v>1.2269938650306749</v>
      </c>
      <c r="AK72" s="848"/>
      <c r="AL72" s="328" t="s">
        <v>665</v>
      </c>
      <c r="AM72" s="509">
        <f>COUNTIFS(Tableau2[DEPARTEMENT],"SOUBRE",Tableau2[[STATUT ]],"Absent",Tableau2[Sexes],"G")</f>
        <v>5</v>
      </c>
      <c r="AN72" s="509">
        <f>COUNTIFS(Tableau2[DEPARTEMENT],"SOUBRE",Tableau2[CLASSE],"CPU",Tableau2[[STATUT ]],"Absent",Tableau2[Sexes],"G")</f>
        <v>5</v>
      </c>
      <c r="AO72" s="509">
        <f>COUNTIFS(Tableau2[DEPARTEMENT],"SOUBRE",Tableau2[CLASSE],"CEU",Tableau2[[STATUT ]],"Absent",Tableau2[Sexes],"G")</f>
        <v>0</v>
      </c>
      <c r="AP72" s="843"/>
      <c r="AQ72" s="844"/>
      <c r="AR72" s="510">
        <f>AN72*100/AN73</f>
        <v>55.555555555555557</v>
      </c>
      <c r="AS72" s="848"/>
      <c r="AT72" s="510">
        <f>AN72*100/AN100</f>
        <v>3.8461538461538463</v>
      </c>
      <c r="AU72" s="848"/>
      <c r="AV72" s="524" t="s">
        <v>665</v>
      </c>
      <c r="AW72" s="529">
        <f t="shared" ref="AW72:AW99" si="639">SUM(AX72:AZ72)</f>
        <v>22</v>
      </c>
      <c r="AX72" s="509">
        <f>COUNTIFS(Tableau2[DEPARTEMENT],"SOUBRE",Tableau2[Colonne1],"CP2",Tableau2[Sexes],"G")</f>
        <v>2</v>
      </c>
      <c r="AY72" s="509">
        <f>COUNTIFS(Tableau2[DEPARTEMENT],"SOUBRE",Tableau2[Colonne1],"CE1",Tableau2[Sexes],"G")</f>
        <v>17</v>
      </c>
      <c r="AZ72" s="509">
        <f>COUNTIFS(Tableau2[DEPARTEMENT],"SOUBRE",Tableau2[Colonne1],"CE2",Tableau2[Sexes],"G")</f>
        <v>3</v>
      </c>
      <c r="BA72" s="510">
        <f t="shared" ref="BA72" si="640">AX72*100/AX73</f>
        <v>28.571428571428573</v>
      </c>
      <c r="BB72" s="510">
        <f t="shared" ref="BB72" si="641">AY72*100/AY73</f>
        <v>68</v>
      </c>
      <c r="BC72" s="510">
        <f t="shared" ref="BC72" si="642">AZ72*100/AZ73</f>
        <v>37.5</v>
      </c>
      <c r="BD72" s="510">
        <f t="shared" si="632"/>
        <v>28.571428571428573</v>
      </c>
      <c r="BE72" s="510">
        <f t="shared" si="633"/>
        <v>68</v>
      </c>
      <c r="BF72" s="510">
        <f t="shared" si="634"/>
        <v>37.5</v>
      </c>
      <c r="BG72" s="510">
        <f t="shared" si="635"/>
        <v>1.3605442176870748</v>
      </c>
      <c r="BH72" s="510">
        <f t="shared" si="636"/>
        <v>4.1871921182266014</v>
      </c>
      <c r="BI72" s="510">
        <f t="shared" si="637"/>
        <v>2.7522935779816513</v>
      </c>
    </row>
    <row r="73" spans="1:61" ht="16" customHeight="1" thickBot="1" x14ac:dyDescent="0.4">
      <c r="A73" s="694"/>
      <c r="B73" s="699"/>
      <c r="C73" s="910"/>
      <c r="D73" s="911"/>
      <c r="E73" s="329" t="s">
        <v>1992</v>
      </c>
      <c r="F73" s="512">
        <f>COUNTIFS(Tableau2[DEPARTEMENT],"SOUBRE")</f>
        <v>49</v>
      </c>
      <c r="G73" s="849"/>
      <c r="H73" s="341">
        <f>SUM(H71:H72)</f>
        <v>100</v>
      </c>
      <c r="I73" s="340">
        <f t="shared" ref="I73" si="643">SUM(I71:I72)</f>
        <v>5.7309941520467831</v>
      </c>
      <c r="J73" s="333">
        <f t="shared" ref="J73" si="644">SUM(J71:J72)</f>
        <v>49</v>
      </c>
      <c r="K73" s="333">
        <f t="shared" si="580"/>
        <v>0</v>
      </c>
      <c r="L73" s="343">
        <f t="shared" ref="L73:O73" si="645">SUM(L71:L72)</f>
        <v>100</v>
      </c>
      <c r="M73" s="343">
        <f t="shared" si="645"/>
        <v>0</v>
      </c>
      <c r="N73" s="343">
        <f t="shared" si="645"/>
        <v>100</v>
      </c>
      <c r="O73" s="343">
        <f t="shared" si="645"/>
        <v>0</v>
      </c>
      <c r="P73" s="343">
        <f t="shared" si="551"/>
        <v>6.1868686868686869</v>
      </c>
      <c r="Q73" s="343">
        <f t="shared" si="551"/>
        <v>0</v>
      </c>
      <c r="R73" s="329" t="s">
        <v>1992</v>
      </c>
      <c r="S73" s="333">
        <f>COUNTIFS(Tableau2[DEPARTEMENT],"SOUBRE",Tableau2[[STATUT ]],"admis")</f>
        <v>32</v>
      </c>
      <c r="T73" s="333">
        <f>COUNTIFS(Tableau2[DEPARTEMENT],"SOUBRE",Tableau2[CE1-CE2],1)</f>
        <v>32</v>
      </c>
      <c r="U73" s="333">
        <f>COUNTIFS(Tableau2[DEPARTEMENT],"SOUBRE",Tableau2[CM1-CM2],1)</f>
        <v>0</v>
      </c>
      <c r="V73" s="845"/>
      <c r="W73" s="846"/>
      <c r="X73" s="344">
        <f t="shared" ref="X73" si="646">SUM(X71:X72)</f>
        <v>100</v>
      </c>
      <c r="Y73" s="849"/>
      <c r="Z73" s="344">
        <f t="shared" ref="Z73" si="647">SUM(Z71:Z72)</f>
        <v>32</v>
      </c>
      <c r="AA73" s="849"/>
      <c r="AB73" s="329" t="s">
        <v>1992</v>
      </c>
      <c r="AC73" s="333">
        <f>COUNTIFS(Tableau2[DEPARTEMENT],"SOUBRE",Tableau2[[STATUT ]],"Redouble")</f>
        <v>8</v>
      </c>
      <c r="AD73" s="333">
        <f t="shared" ref="AD73" si="648">SUM(AD71:AD72)</f>
        <v>8</v>
      </c>
      <c r="AE73" s="333">
        <f t="shared" si="584"/>
        <v>0</v>
      </c>
      <c r="AF73" s="845"/>
      <c r="AG73" s="846"/>
      <c r="AH73" s="344">
        <f t="shared" ref="AH73" si="649">SUM(AH71:AH72)</f>
        <v>100</v>
      </c>
      <c r="AI73" s="849"/>
      <c r="AJ73" s="344">
        <f t="shared" ref="AJ73" si="650">SUM(AJ71:AJ72)</f>
        <v>4.9079754601226995</v>
      </c>
      <c r="AK73" s="849"/>
      <c r="AL73" s="329" t="s">
        <v>1992</v>
      </c>
      <c r="AM73" s="333">
        <f>COUNTIFS(Tableau2[DEPARTEMENT],"SOUBRE",Tableau2[[STATUT ]],"Absent")</f>
        <v>9</v>
      </c>
      <c r="AN73" s="333">
        <f t="shared" ref="AN73:AO73" si="651">SUM(AN71:AN72)</f>
        <v>9</v>
      </c>
      <c r="AO73" s="333">
        <f t="shared" si="651"/>
        <v>0</v>
      </c>
      <c r="AP73" s="845"/>
      <c r="AQ73" s="846"/>
      <c r="AR73" s="344">
        <f t="shared" ref="AR73" si="652">SUM(AR71:AR72)</f>
        <v>100</v>
      </c>
      <c r="AS73" s="849"/>
      <c r="AT73" s="344">
        <f t="shared" ref="AT73" si="653">SUM(AT71:AT72)</f>
        <v>6.9230769230769234</v>
      </c>
      <c r="AU73" s="849"/>
      <c r="AV73" s="525" t="s">
        <v>1992</v>
      </c>
      <c r="AW73" s="530">
        <f t="shared" si="639"/>
        <v>40</v>
      </c>
      <c r="AX73" s="527">
        <f>SUM(AX71:AX72)</f>
        <v>7</v>
      </c>
      <c r="AY73" s="333">
        <f>SUM(AY71:AY72)</f>
        <v>25</v>
      </c>
      <c r="AZ73" s="333">
        <f>SUM(AZ71:AZ72)</f>
        <v>8</v>
      </c>
      <c r="BA73" s="517">
        <f t="shared" ref="BA73:BC73" si="654">SUM(BA71:BA72)</f>
        <v>100</v>
      </c>
      <c r="BB73" s="517">
        <f t="shared" si="654"/>
        <v>100</v>
      </c>
      <c r="BC73" s="517">
        <f t="shared" si="654"/>
        <v>100</v>
      </c>
      <c r="BD73" s="517">
        <f t="shared" ref="BD73" si="655">SUM(BD71:BD72)</f>
        <v>100</v>
      </c>
      <c r="BE73" s="517">
        <f t="shared" ref="BE73" si="656">SUM(BE71:BE72)</f>
        <v>100</v>
      </c>
      <c r="BF73" s="517">
        <f t="shared" ref="BF73" si="657">SUM(BF71:BF72)</f>
        <v>100</v>
      </c>
      <c r="BG73" s="517">
        <f t="shared" ref="BG73:BI73" si="658">SUM(BG71:BG72)</f>
        <v>4.7619047619047619</v>
      </c>
      <c r="BH73" s="517">
        <f t="shared" si="658"/>
        <v>6.1576354679802963</v>
      </c>
      <c r="BI73" s="517">
        <f t="shared" si="658"/>
        <v>7.3394495412844041</v>
      </c>
    </row>
    <row r="74" spans="1:61" ht="21" customHeight="1" x14ac:dyDescent="0.35">
      <c r="C74" s="936" t="s">
        <v>663</v>
      </c>
      <c r="D74" s="915" t="s">
        <v>3574</v>
      </c>
      <c r="E74" s="326" t="s">
        <v>1990</v>
      </c>
      <c r="F74" s="509">
        <f>COUNTIFS(Tableau2[VILLAGE],"BLESSEOUA",Tableau2[Sexes],"F")</f>
        <v>18</v>
      </c>
      <c r="G74" s="508">
        <f>F74*100/F76</f>
        <v>60</v>
      </c>
      <c r="H74" s="508">
        <f>F74*100/$F$97</f>
        <v>8.4112149532710276</v>
      </c>
      <c r="I74" s="508">
        <f>F74*100/$F$100</f>
        <v>2.1052631578947367</v>
      </c>
      <c r="J74" s="509">
        <f>COUNTIFS(Tableau2[VILLAGE],"BLESSEOUA",Tableau2[CLASSE],"CPU",Tableau2[Sexes],"F")</f>
        <v>18</v>
      </c>
      <c r="K74" s="509">
        <f>COUNTIFS(Tableau2[VILLAGE],"BLESSEOUA",Tableau2[CLASSE],"CEU",Tableau2[Sexes],"F")</f>
        <v>0</v>
      </c>
      <c r="L74" s="510">
        <f>J74*100/J76</f>
        <v>60</v>
      </c>
      <c r="M74" s="510">
        <v>0</v>
      </c>
      <c r="N74" s="510">
        <f>J74*100/$J$97</f>
        <v>8.4112149532710276</v>
      </c>
      <c r="O74" s="510">
        <f t="shared" ref="O74:O96" si="659">K74*100/$K$40</f>
        <v>0</v>
      </c>
      <c r="P74" s="510">
        <f t="shared" ref="P74:P75" si="660">J74*100/$J$100</f>
        <v>2.2727272727272729</v>
      </c>
      <c r="Q74" s="510">
        <f t="shared" ref="Q74:Q75" si="661">K74*100/$K$100</f>
        <v>0</v>
      </c>
      <c r="R74" s="326" t="s">
        <v>1990</v>
      </c>
      <c r="S74" s="509">
        <f>COUNTIFS(Tableau2[VILLAGE],"BLESSEOUA",Tableau2[[STATUT ]],"admis",Tableau2[Sexes],"F")</f>
        <v>13</v>
      </c>
      <c r="T74" s="509">
        <f>COUNTIFS(Tableau2[VILLAGE],"BLESSEOUA",Tableau2[CE1-CE2],1,Tableau2[Sexes],"F")</f>
        <v>13</v>
      </c>
      <c r="U74" s="509">
        <f>COUNTIFS(Tableau2[VILLAGE],"BLESSEOUA",Tableau2[CM1-CM2],1,Tableau2[Sexes],"F")</f>
        <v>0</v>
      </c>
      <c r="V74" s="510">
        <f>T74*100/T76</f>
        <v>65</v>
      </c>
      <c r="W74" s="847"/>
      <c r="X74" s="510">
        <f>T74*100/T97</f>
        <v>9.7744360902255636</v>
      </c>
      <c r="Y74" s="847"/>
      <c r="Z74" s="510">
        <f t="shared" ref="Z74:Z75" si="662">T74*100/$L$100</f>
        <v>13</v>
      </c>
      <c r="AA74" s="847"/>
      <c r="AB74" s="326" t="s">
        <v>1990</v>
      </c>
      <c r="AC74" s="509">
        <f>COUNTIFS(Tableau2[VILLAGE],"BLESSEOUA",Tableau2[[STATUT ]],"Redouble",Tableau2[Sexes],"F")</f>
        <v>2</v>
      </c>
      <c r="AD74" s="509">
        <f>COUNTIFS(Tableau2[VILLAGE],"BLESSEOUA",Tableau2[CLASSE],"CPU",Tableau2[[STATUT ]],"Redouble",Tableau2[Sexes],"F")</f>
        <v>2</v>
      </c>
      <c r="AE74" s="509">
        <f>COUNTIFS(Tableau2[VILLAGE],"BLESSEOUA",Tableau2[CLASSE],"CEU",Tableau2[[STATUT ]],"Redouble",Tableau2[Sexes],"F")</f>
        <v>0</v>
      </c>
      <c r="AF74" s="510">
        <f t="shared" ref="AF74" si="663">AD74*100/AD76</f>
        <v>33.333333333333336</v>
      </c>
      <c r="AG74" s="847"/>
      <c r="AH74" s="510">
        <f>AD74*100/AD97</f>
        <v>4.6511627906976747</v>
      </c>
      <c r="AI74" s="847"/>
      <c r="AJ74" s="510">
        <f>AD74*100/AD100</f>
        <v>1.2269938650306749</v>
      </c>
      <c r="AK74" s="847"/>
      <c r="AL74" s="326" t="s">
        <v>1990</v>
      </c>
      <c r="AM74" s="509">
        <f>COUNTIFS(Tableau2[VILLAGE],"BLESSEOUA",Tableau2[[STATUT ]],"Absent",Tableau2[Sexes],"F")</f>
        <v>3</v>
      </c>
      <c r="AN74" s="509">
        <f>COUNTIFS(Tableau2[VILLAGE],"BLESSEOUA",Tableau2[CLASSE],"CPU",Tableau2[[STATUT ]],"Absent",Tableau2[Sexes],"F")</f>
        <v>3</v>
      </c>
      <c r="AO74" s="509">
        <f>COUNTIFS(Tableau2[VILLAGE],"BLESSEOUA",Tableau2[CLASSE],"CEU",Tableau2[[STATUT ]],"Absent",Tableau2[Sexes],"F")</f>
        <v>0</v>
      </c>
      <c r="AP74" s="510">
        <f t="shared" ref="AP74" si="664">AN74*100/AN76</f>
        <v>75</v>
      </c>
      <c r="AQ74" s="847"/>
      <c r="AR74" s="510">
        <f>AN74*100/AN97</f>
        <v>7.8947368421052628</v>
      </c>
      <c r="AS74" s="847"/>
      <c r="AT74" s="510">
        <f>AN74*100/AN100</f>
        <v>2.3076923076923075</v>
      </c>
      <c r="AU74" s="847"/>
      <c r="AV74" s="345" t="s">
        <v>1990</v>
      </c>
      <c r="AW74" s="529">
        <f t="shared" si="639"/>
        <v>15</v>
      </c>
      <c r="AX74" s="509">
        <f>COUNTIFS(Tableau2[VILLAGE],"BLESSEOUA",Tableau2[Colonne1],"CP2",Tableau2[Sexes],"F")</f>
        <v>2</v>
      </c>
      <c r="AY74" s="509">
        <f>COUNTIFS(Tableau2[VILLAGE],"BLESSEOUA",Tableau2[Colonne1],"CE1",Tableau2[Sexes],"F")</f>
        <v>8</v>
      </c>
      <c r="AZ74" s="509">
        <f>COUNTIFS(Tableau2[VILLAGE],"BLESSEOUA",Tableau2[Colonne1],"CE2",Tableau2[Sexes],"F")</f>
        <v>5</v>
      </c>
      <c r="BA74" s="510">
        <f t="shared" ref="BA74:BC74" si="665">AX74*100/AX76</f>
        <v>40</v>
      </c>
      <c r="BB74" s="510">
        <f t="shared" si="665"/>
        <v>57.142857142857146</v>
      </c>
      <c r="BC74" s="510">
        <f t="shared" si="665"/>
        <v>71.428571428571431</v>
      </c>
      <c r="BD74" s="510">
        <f>AX74*100/$AX$97</f>
        <v>6.4516129032258061</v>
      </c>
      <c r="BE74" s="510">
        <f>AY74*100/$AY$97</f>
        <v>8.6021505376344081</v>
      </c>
      <c r="BF74" s="510">
        <f>AZ74*100/$AZ$97</f>
        <v>9.615384615384615</v>
      </c>
      <c r="BG74" s="510">
        <f t="shared" ref="BG74:BG75" si="666">AX74*100/$AX$100</f>
        <v>1.3605442176870748</v>
      </c>
      <c r="BH74" s="510">
        <f t="shared" ref="BH74:BH75" si="667">AY74*100/$AY$100</f>
        <v>1.9704433497536946</v>
      </c>
      <c r="BI74" s="510">
        <f t="shared" ref="BI74:BI75" si="668">AZ74*100/$AZ$100</f>
        <v>4.5871559633027523</v>
      </c>
    </row>
    <row r="75" spans="1:61" ht="21" customHeight="1" thickBot="1" x14ac:dyDescent="0.4">
      <c r="C75" s="937"/>
      <c r="D75" s="916"/>
      <c r="E75" s="324" t="s">
        <v>665</v>
      </c>
      <c r="F75" s="509">
        <f>COUNTIFS(Tableau2[VILLAGE],"BLESSEOUA",Tableau2[Sexes],"G")</f>
        <v>12</v>
      </c>
      <c r="G75" s="508">
        <f>F75*100/F76</f>
        <v>40</v>
      </c>
      <c r="H75" s="508">
        <f>F75*100/$F$97</f>
        <v>5.6074766355140184</v>
      </c>
      <c r="I75" s="508">
        <f>F75*100/$F$100</f>
        <v>1.4035087719298245</v>
      </c>
      <c r="J75" s="509">
        <f>COUNTIFS(Tableau2[VILLAGE],"BLESSEOUA",Tableau2[CLASSE],"CPU",Tableau2[Sexes],"G")</f>
        <v>12</v>
      </c>
      <c r="K75" s="509">
        <f>COUNTIFS(Tableau2[VILLAGE],"BLESSEOUA",Tableau2[CLASSE],"CEU",Tableau2[Sexes],"G")</f>
        <v>0</v>
      </c>
      <c r="L75" s="510">
        <f>J75*100/J76</f>
        <v>40</v>
      </c>
      <c r="M75" s="510">
        <v>0</v>
      </c>
      <c r="N75" s="510">
        <f>J75*100/$J$97</f>
        <v>5.6074766355140184</v>
      </c>
      <c r="O75" s="510">
        <f t="shared" si="659"/>
        <v>0</v>
      </c>
      <c r="P75" s="510">
        <f t="shared" si="660"/>
        <v>1.5151515151515151</v>
      </c>
      <c r="Q75" s="510">
        <f t="shared" si="661"/>
        <v>0</v>
      </c>
      <c r="R75" s="324" t="s">
        <v>665</v>
      </c>
      <c r="S75" s="509">
        <f>COUNTIFS(Tableau2[VILLAGE],"BLESSEOUA",Tableau2[[STATUT ]],"admis",Tableau2[Sexes],"G")</f>
        <v>7</v>
      </c>
      <c r="T75" s="509">
        <f>COUNTIFS(Tableau2[VILLAGE],"BLESSEOUA",Tableau2[CE1-CE2],1,Tableau2[Sexes],"G")</f>
        <v>7</v>
      </c>
      <c r="U75" s="509">
        <f>COUNTIFS(Tableau2[VILLAGE],"BLESSEOUA",Tableau2[CM1-CM2],1,Tableau2[Sexes],"G")</f>
        <v>0</v>
      </c>
      <c r="V75" s="510">
        <f t="shared" ref="V75:V93" si="669">T75*100/T76</f>
        <v>35</v>
      </c>
      <c r="W75" s="848"/>
      <c r="X75" s="510">
        <f>T75*100/T97</f>
        <v>5.2631578947368425</v>
      </c>
      <c r="Y75" s="848"/>
      <c r="Z75" s="510">
        <f t="shared" si="662"/>
        <v>7</v>
      </c>
      <c r="AA75" s="848"/>
      <c r="AB75" s="324" t="s">
        <v>665</v>
      </c>
      <c r="AC75" s="509">
        <f>COUNTIFS(Tableau2[VILLAGE],"BLESSEOUA",Tableau2[[STATUT ]],"Redouble",Tableau2[Sexes],"G")</f>
        <v>4</v>
      </c>
      <c r="AD75" s="509">
        <f>COUNTIFS(Tableau2[VILLAGE],"BLESSEOUA",Tableau2[CLASSE],"CPU",Tableau2[[STATUT ]],"Redouble",Tableau2[Sexes],"G")</f>
        <v>4</v>
      </c>
      <c r="AE75" s="509">
        <f>COUNTIFS(Tableau2[VILLAGE],"BLESSEOUA",Tableau2[CLASSE],"CEU",Tableau2[[STATUT ]],"Redouble",Tableau2[Sexes],"G")</f>
        <v>0</v>
      </c>
      <c r="AF75" s="510">
        <f t="shared" ref="AF75" si="670">AD75*100/AD76</f>
        <v>66.666666666666671</v>
      </c>
      <c r="AG75" s="848"/>
      <c r="AH75" s="510">
        <f>AD75*100/AD97</f>
        <v>9.3023255813953494</v>
      </c>
      <c r="AI75" s="848"/>
      <c r="AJ75" s="510">
        <f>AD75*100/AD100</f>
        <v>2.4539877300613497</v>
      </c>
      <c r="AK75" s="848"/>
      <c r="AL75" s="324" t="s">
        <v>665</v>
      </c>
      <c r="AM75" s="509">
        <f>COUNTIFS(Tableau2[VILLAGE],"BLESSEOUA",Tableau2[[STATUT ]],"Absent",Tableau2[Sexes],"G")</f>
        <v>1</v>
      </c>
      <c r="AN75" s="509">
        <f>COUNTIFS(Tableau2[VILLAGE],"BLESSEOUA",Tableau2[CLASSE],"CPU",Tableau2[[STATUT ]],"Absent",Tableau2[Sexes],"G")</f>
        <v>1</v>
      </c>
      <c r="AO75" s="509">
        <f>COUNTIFS(Tableau2[VILLAGE],"BLESSEOUA",Tableau2[CLASSE],"CEU",Tableau2[[STATUT ]],"Absent",Tableau2[Sexes],"G")</f>
        <v>0</v>
      </c>
      <c r="AP75" s="510">
        <f t="shared" ref="AP75" si="671">AN75*100/AN76</f>
        <v>25</v>
      </c>
      <c r="AQ75" s="848"/>
      <c r="AR75" s="510">
        <f>AN75*100/AN97</f>
        <v>2.6315789473684212</v>
      </c>
      <c r="AS75" s="848"/>
      <c r="AT75" s="510">
        <f>AN75*100/AN100</f>
        <v>0.76923076923076927</v>
      </c>
      <c r="AU75" s="848"/>
      <c r="AV75" s="336" t="s">
        <v>665</v>
      </c>
      <c r="AW75" s="529">
        <f t="shared" si="639"/>
        <v>11</v>
      </c>
      <c r="AX75" s="509">
        <f>COUNTIFS(Tableau2[VILLAGE],"BLESSEOUA",Tableau2[Colonne1],"CP2",Tableau2[Sexes],"G")</f>
        <v>3</v>
      </c>
      <c r="AY75" s="509">
        <f>COUNTIFS(Tableau2[VILLAGE],"BLESSEOUA",Tableau2[Colonne1],"CE1",Tableau2[Sexes],"G")</f>
        <v>6</v>
      </c>
      <c r="AZ75" s="509">
        <f>COUNTIFS(Tableau2[VILLAGE],"BLESSEOUA",Tableau2[Colonne1],"CE2",Tableau2[Sexes],"G")</f>
        <v>2</v>
      </c>
      <c r="BA75" s="510">
        <f t="shared" ref="BA75" si="672">AX75*100/AX76</f>
        <v>60</v>
      </c>
      <c r="BB75" s="510">
        <f t="shared" ref="BB75" si="673">AY75*100/AY76</f>
        <v>42.857142857142854</v>
      </c>
      <c r="BC75" s="510">
        <f t="shared" ref="BC75" si="674">AZ75*100/AZ76</f>
        <v>28.571428571428573</v>
      </c>
      <c r="BD75" s="510">
        <f>AX75*100/$AX$97</f>
        <v>9.67741935483871</v>
      </c>
      <c r="BE75" s="510">
        <f>AY75*100/$AY$97</f>
        <v>6.4516129032258061</v>
      </c>
      <c r="BF75" s="510">
        <f>AZ75*100/$AZ$97</f>
        <v>3.8461538461538463</v>
      </c>
      <c r="BG75" s="510">
        <f t="shared" si="666"/>
        <v>2.0408163265306123</v>
      </c>
      <c r="BH75" s="510">
        <f t="shared" si="667"/>
        <v>1.4778325123152709</v>
      </c>
      <c r="BI75" s="510">
        <f t="shared" si="668"/>
        <v>1.834862385321101</v>
      </c>
    </row>
    <row r="76" spans="1:61" ht="21.5" customHeight="1" thickBot="1" x14ac:dyDescent="0.35">
      <c r="C76" s="937"/>
      <c r="D76" s="917"/>
      <c r="E76" s="325" t="s">
        <v>658</v>
      </c>
      <c r="F76" s="333">
        <f>COUNTIFS(Tableau2[VILLAGE],"BLESSEOUA")</f>
        <v>30</v>
      </c>
      <c r="G76" s="340">
        <f>SUM(G74:G75)</f>
        <v>100</v>
      </c>
      <c r="H76" s="340">
        <f>SUM(H74:H75)</f>
        <v>14.018691588785046</v>
      </c>
      <c r="I76" s="340">
        <f t="shared" ref="I76" si="675">SUM(I74:I75)</f>
        <v>3.5087719298245612</v>
      </c>
      <c r="J76" s="333">
        <f t="shared" ref="J76" si="676">SUM(J74:J75)</f>
        <v>30</v>
      </c>
      <c r="K76" s="333">
        <f t="shared" si="580"/>
        <v>0</v>
      </c>
      <c r="L76" s="343">
        <f t="shared" si="580"/>
        <v>100</v>
      </c>
      <c r="M76" s="343">
        <f t="shared" si="580"/>
        <v>0</v>
      </c>
      <c r="N76" s="343">
        <f t="shared" si="580"/>
        <v>14.018691588785046</v>
      </c>
      <c r="O76" s="343">
        <f t="shared" si="580"/>
        <v>0</v>
      </c>
      <c r="P76" s="343">
        <f t="shared" si="551"/>
        <v>3.7878787878787881</v>
      </c>
      <c r="Q76" s="343">
        <f t="shared" si="551"/>
        <v>0</v>
      </c>
      <c r="R76" s="333" t="s">
        <v>658</v>
      </c>
      <c r="S76" s="333">
        <f>COUNTIFS(Tableau2[VILLAGE],"BLESSEOUA",Tableau2[[STATUT ]],"admis")</f>
        <v>20</v>
      </c>
      <c r="T76" s="333">
        <f>COUNTIFS(Tableau2[VILLAGE],"BLESSEOUA",Tableau2[CE1-CE2],1)</f>
        <v>20</v>
      </c>
      <c r="U76" s="333">
        <f>COUNTIFS(Tableau2[VILLAGE],"BBLESSEOUA",Tableau2[CM1-CM2],1)</f>
        <v>0</v>
      </c>
      <c r="V76" s="343">
        <f t="shared" ref="V76:V94" si="677">SUM(V74:V75)</f>
        <v>100</v>
      </c>
      <c r="W76" s="849"/>
      <c r="X76" s="344">
        <f t="shared" ref="X76" si="678">SUM(X74:X75)</f>
        <v>15.037593984962406</v>
      </c>
      <c r="Y76" s="849"/>
      <c r="Z76" s="344">
        <f t="shared" ref="Z76" si="679">SUM(Z74:Z75)</f>
        <v>20</v>
      </c>
      <c r="AA76" s="849"/>
      <c r="AB76" s="333" t="s">
        <v>658</v>
      </c>
      <c r="AC76" s="333">
        <f>COUNTIFS(Tableau2[VILLAGE],"BLESSEOUA",Tableau2[[STATUT ]],"Redouble")</f>
        <v>6</v>
      </c>
      <c r="AD76" s="333">
        <f t="shared" ref="AD76" si="680">SUM(AD74:AD75)</f>
        <v>6</v>
      </c>
      <c r="AE76" s="333">
        <f t="shared" si="584"/>
        <v>0</v>
      </c>
      <c r="AF76" s="343">
        <f t="shared" si="584"/>
        <v>100</v>
      </c>
      <c r="AG76" s="849"/>
      <c r="AH76" s="344">
        <f t="shared" ref="AH76" si="681">SUM(AH74:AH75)</f>
        <v>13.953488372093023</v>
      </c>
      <c r="AI76" s="849"/>
      <c r="AJ76" s="344">
        <f t="shared" ref="AJ76" si="682">SUM(AJ74:AJ75)</f>
        <v>3.6809815950920246</v>
      </c>
      <c r="AK76" s="849"/>
      <c r="AL76" s="333" t="s">
        <v>658</v>
      </c>
      <c r="AM76" s="333">
        <f>COUNTIFS(Tableau2[VILLAGE],"BLESSEOUA",Tableau2[[STATUT ]],"Absent")</f>
        <v>4</v>
      </c>
      <c r="AN76" s="333">
        <f t="shared" ref="AN76:AP76" si="683">SUM(AN74:AN75)</f>
        <v>4</v>
      </c>
      <c r="AO76" s="333">
        <f t="shared" si="683"/>
        <v>0</v>
      </c>
      <c r="AP76" s="343">
        <f t="shared" si="683"/>
        <v>100</v>
      </c>
      <c r="AQ76" s="849"/>
      <c r="AR76" s="344">
        <f t="shared" ref="AR76" si="684">SUM(AR74:AR75)</f>
        <v>10.526315789473685</v>
      </c>
      <c r="AS76" s="849"/>
      <c r="AT76" s="344">
        <f t="shared" ref="AT76" si="685">SUM(AT74:AT75)</f>
        <v>3.0769230769230766</v>
      </c>
      <c r="AU76" s="849"/>
      <c r="AV76" s="342" t="s">
        <v>658</v>
      </c>
      <c r="AW76" s="530">
        <f t="shared" si="639"/>
        <v>26</v>
      </c>
      <c r="AX76" s="527">
        <f>SUM(AX74:AX75)</f>
        <v>5</v>
      </c>
      <c r="AY76" s="333">
        <f>SUM(AY74:AY75)</f>
        <v>14</v>
      </c>
      <c r="AZ76" s="333">
        <f>SUM(AZ74:AZ75)</f>
        <v>7</v>
      </c>
      <c r="BA76" s="517">
        <f t="shared" ref="BA76:BC76" si="686">SUM(BA74:BA75)</f>
        <v>100</v>
      </c>
      <c r="BB76" s="517">
        <f t="shared" si="686"/>
        <v>100</v>
      </c>
      <c r="BC76" s="517">
        <f t="shared" si="686"/>
        <v>100</v>
      </c>
      <c r="BD76" s="517">
        <f t="shared" ref="BD76" si="687">SUM(BD74:BD75)</f>
        <v>16.129032258064516</v>
      </c>
      <c r="BE76" s="517">
        <f t="shared" ref="BE76" si="688">SUM(BE74:BE75)</f>
        <v>15.053763440860214</v>
      </c>
      <c r="BF76" s="517">
        <f t="shared" ref="BF76" si="689">SUM(BF74:BF75)</f>
        <v>13.461538461538462</v>
      </c>
      <c r="BG76" s="517">
        <f t="shared" ref="BG76:BI76" si="690">SUM(BG74:BG75)</f>
        <v>3.4013605442176873</v>
      </c>
      <c r="BH76" s="517">
        <f t="shared" si="690"/>
        <v>3.4482758620689653</v>
      </c>
      <c r="BI76" s="517">
        <f t="shared" si="690"/>
        <v>6.4220183486238529</v>
      </c>
    </row>
    <row r="77" spans="1:61" ht="21" customHeight="1" x14ac:dyDescent="0.35">
      <c r="C77" s="937"/>
      <c r="D77" s="915" t="s">
        <v>2583</v>
      </c>
      <c r="E77" s="326" t="s">
        <v>1990</v>
      </c>
      <c r="F77" s="509">
        <f>COUNTIFS(Tableau2[VILLAGE],"GADAGO",Tableau2[Sexes],"F")</f>
        <v>4</v>
      </c>
      <c r="G77" s="508">
        <f>F77*100/F79</f>
        <v>22.222222222222221</v>
      </c>
      <c r="H77" s="508">
        <f>F77*100/$F$97</f>
        <v>1.8691588785046729</v>
      </c>
      <c r="I77" s="508">
        <f>F77*100/$F$100</f>
        <v>0.46783625730994149</v>
      </c>
      <c r="J77" s="509">
        <f>COUNTIFS(Tableau2[VILLAGE],"GADAGO",Tableau2[CLASSE],"CPU",Tableau2[Sexes],"F")</f>
        <v>4</v>
      </c>
      <c r="K77" s="509">
        <f>COUNTIFS(Tableau2[VILLAGE],"GADAGOµ",Tableau2[CLASSE],"CEU",Tableau2[Sexes],"F")</f>
        <v>0</v>
      </c>
      <c r="L77" s="510">
        <f>J77*100/J79</f>
        <v>22.222222222222221</v>
      </c>
      <c r="M77" s="510">
        <v>0</v>
      </c>
      <c r="N77" s="510">
        <f t="shared" ref="N77:N78" si="691">J77*100/$J$97</f>
        <v>1.8691588785046729</v>
      </c>
      <c r="O77" s="510">
        <f t="shared" si="659"/>
        <v>0</v>
      </c>
      <c r="P77" s="510">
        <f t="shared" ref="P77:P78" si="692">J77*100/$J$100</f>
        <v>0.50505050505050508</v>
      </c>
      <c r="Q77" s="510">
        <f t="shared" ref="Q77:Q78" si="693">K77*100/$K$100</f>
        <v>0</v>
      </c>
      <c r="R77" s="326" t="s">
        <v>1990</v>
      </c>
      <c r="S77" s="509">
        <f>COUNTIFS(Tableau2[VILLAGE],"GADAGO",Tableau2[[STATUT ]],"admis",Tableau2[Sexes],"F")</f>
        <v>1</v>
      </c>
      <c r="T77" s="509">
        <f>COUNTIFS(Tableau2[VILLAGE],"GADAGO",Tableau2[CE1-CE2],1,Tableau2[Sexes],"F")</f>
        <v>1</v>
      </c>
      <c r="U77" s="509">
        <f>COUNTIFS(Tableau2[VILLAGE],"GADAGO",Tableau2[CM1-CM2],1,Tableau2[Sexes],"F")</f>
        <v>0</v>
      </c>
      <c r="V77" s="510">
        <f t="shared" ref="V77:V92" si="694">T77*100/T79</f>
        <v>14.285714285714286</v>
      </c>
      <c r="W77" s="847"/>
      <c r="X77" s="510">
        <f>T77*100/T97</f>
        <v>0.75187969924812026</v>
      </c>
      <c r="Y77" s="847"/>
      <c r="Z77" s="510">
        <f t="shared" ref="Z77:Z78" si="695">T77*100/$L$100</f>
        <v>1</v>
      </c>
      <c r="AA77" s="847"/>
      <c r="AB77" s="326" t="s">
        <v>1990</v>
      </c>
      <c r="AC77" s="509">
        <f>COUNTIFS(Tableau2[VILLAGE],"GADAGO",Tableau2[[STATUT ]],"Redouble",Tableau2[Sexes],"F")</f>
        <v>3</v>
      </c>
      <c r="AD77" s="509">
        <f>COUNTIFS(Tableau2[VILLAGE],"GADAGO",Tableau2[CLASSE],"CPU",Tableau2[[STATUT ]],"Redouble",Tableau2[Sexes],"F")</f>
        <v>3</v>
      </c>
      <c r="AE77" s="509">
        <f>COUNTIFS(Tableau2[VILLAGE],"GADAGOµ",Tableau2[CLASSE],"CEU",Tableau2[[STATUT ]],"Redouble",Tableau2[Sexes],"F")</f>
        <v>0</v>
      </c>
      <c r="AF77" s="510">
        <f t="shared" ref="AF77" si="696">AD77*100/AD79</f>
        <v>30</v>
      </c>
      <c r="AG77" s="847"/>
      <c r="AH77" s="510">
        <f>AD77*100/AD97</f>
        <v>6.9767441860465116</v>
      </c>
      <c r="AI77" s="847"/>
      <c r="AJ77" s="510">
        <f>AD77*100/AD100</f>
        <v>1.8404907975460123</v>
      </c>
      <c r="AK77" s="847"/>
      <c r="AL77" s="326" t="s">
        <v>1990</v>
      </c>
      <c r="AM77" s="509">
        <f>COUNTIFS(Tableau2[VILLAGE],"GADAGO",Tableau2[[STATUT ]],"Absent",Tableau2[Sexes],"F")</f>
        <v>0</v>
      </c>
      <c r="AN77" s="509">
        <f>COUNTIFS(Tableau2[VILLAGE],"GADAGO",Tableau2[CLASSE],"CPU",Tableau2[[STATUT ]],"Absent",Tableau2[Sexes],"F")</f>
        <v>0</v>
      </c>
      <c r="AO77" s="509">
        <f>COUNTIFS(Tableau2[VILLAGE],"GADAGOµ",Tableau2[CLASSE],"CEU",Tableau2[[STATUT ]],"Absent",Tableau2[Sexes],"F")</f>
        <v>0</v>
      </c>
      <c r="AP77" s="510">
        <f t="shared" ref="AP77" si="697">AN77*100/AN79</f>
        <v>0</v>
      </c>
      <c r="AQ77" s="847"/>
      <c r="AR77" s="510">
        <f>AN77*100/AN97</f>
        <v>0</v>
      </c>
      <c r="AS77" s="847"/>
      <c r="AT77" s="510">
        <f>AN77*100/AN100</f>
        <v>0</v>
      </c>
      <c r="AU77" s="847"/>
      <c r="AV77" s="345" t="s">
        <v>1990</v>
      </c>
      <c r="AW77" s="529">
        <f t="shared" si="639"/>
        <v>4</v>
      </c>
      <c r="AX77" s="509">
        <f>COUNTIFS(Tableau2[VILLAGE],"GADAGO",Tableau2[Colonne1],"CP2",Tableau2[Sexes],"F")</f>
        <v>0</v>
      </c>
      <c r="AY77" s="509">
        <f>COUNTIFS(Tableau2[VILLAGE],"GADAGO",Tableau2[Colonne1],"CE1",Tableau2[Sexes],"F")</f>
        <v>3</v>
      </c>
      <c r="AZ77" s="509">
        <f>COUNTIFS(Tableau2[VILLAGE],"GADAGO",Tableau2[Colonne1],"CE2",Tableau2[Sexes],"F")</f>
        <v>1</v>
      </c>
      <c r="BA77" s="510">
        <f t="shared" ref="BA77:BC77" si="698">AX77*100/AX79</f>
        <v>0</v>
      </c>
      <c r="BB77" s="510">
        <f t="shared" si="698"/>
        <v>42.857142857142854</v>
      </c>
      <c r="BC77" s="510">
        <f t="shared" si="698"/>
        <v>20</v>
      </c>
      <c r="BD77" s="510">
        <f t="shared" ref="BD77:BD78" si="699">AX77*100/$AX$97</f>
        <v>0</v>
      </c>
      <c r="BE77" s="510">
        <f t="shared" ref="BE77:BE78" si="700">AY77*100/$AY$97</f>
        <v>3.225806451612903</v>
      </c>
      <c r="BF77" s="510">
        <f t="shared" ref="BF77:BF78" si="701">AZ77*100/$AZ$97</f>
        <v>1.9230769230769231</v>
      </c>
      <c r="BG77" s="510">
        <f t="shared" ref="BG77:BG78" si="702">AX77*100/$AX$100</f>
        <v>0</v>
      </c>
      <c r="BH77" s="510">
        <f t="shared" ref="BH77:BH78" si="703">AY77*100/$AY$100</f>
        <v>0.73891625615763545</v>
      </c>
      <c r="BI77" s="510">
        <f t="shared" ref="BI77:BI78" si="704">AZ77*100/$AZ$100</f>
        <v>0.91743119266055051</v>
      </c>
    </row>
    <row r="78" spans="1:61" ht="21" customHeight="1" thickBot="1" x14ac:dyDescent="0.4">
      <c r="C78" s="937"/>
      <c r="D78" s="916"/>
      <c r="E78" s="324" t="s">
        <v>665</v>
      </c>
      <c r="F78" s="509">
        <f>COUNTIFS(Tableau2[VILLAGE],"GADAGO",Tableau2[Sexes],"G")</f>
        <v>14</v>
      </c>
      <c r="G78" s="508">
        <f>F78*100/F79</f>
        <v>77.777777777777771</v>
      </c>
      <c r="H78" s="508">
        <f>F78*100/$F$97</f>
        <v>6.5420560747663554</v>
      </c>
      <c r="I78" s="508">
        <f>F78*100/$F$100</f>
        <v>1.6374269005847952</v>
      </c>
      <c r="J78" s="509">
        <f>COUNTIFS(Tableau2[VILLAGE],"GADAGO",Tableau2[CLASSE],"CPU",Tableau2[Sexes],"G")</f>
        <v>14</v>
      </c>
      <c r="K78" s="509">
        <f>COUNTIFS(Tableau2[VILLAGE],"GADAGO",Tableau2[CLASSE],"CEU",Tableau2[Sexes],"G")</f>
        <v>0</v>
      </c>
      <c r="L78" s="510">
        <f>J78*100/J79</f>
        <v>77.777777777777771</v>
      </c>
      <c r="M78" s="510">
        <v>0</v>
      </c>
      <c r="N78" s="510">
        <f t="shared" si="691"/>
        <v>6.5420560747663554</v>
      </c>
      <c r="O78" s="510">
        <f t="shared" si="659"/>
        <v>0</v>
      </c>
      <c r="P78" s="510">
        <f t="shared" si="692"/>
        <v>1.7676767676767677</v>
      </c>
      <c r="Q78" s="510">
        <f t="shared" si="693"/>
        <v>0</v>
      </c>
      <c r="R78" s="324" t="s">
        <v>665</v>
      </c>
      <c r="S78" s="509">
        <f>COUNTIFS(Tableau2[VILLAGE],"GADAGO",Tableau2[[STATUT ]],"admis",Tableau2[Sexes],"G")</f>
        <v>6</v>
      </c>
      <c r="T78" s="509">
        <f>COUNTIFS(Tableau2[VILLAGE],"GADAGO",Tableau2[CE1-CE2],1,Tableau2[Sexes],"G")</f>
        <v>6</v>
      </c>
      <c r="U78" s="509">
        <f>COUNTIFS(Tableau2[VILLAGE],"GADAGO",Tableau2[CM1-CM2],1,Tableau2[Sexes],"G")</f>
        <v>0</v>
      </c>
      <c r="V78" s="510">
        <f t="shared" si="669"/>
        <v>85.714285714285708</v>
      </c>
      <c r="W78" s="848"/>
      <c r="X78" s="510">
        <f>T78*100/T97</f>
        <v>4.511278195488722</v>
      </c>
      <c r="Y78" s="848"/>
      <c r="Z78" s="510">
        <f t="shared" si="695"/>
        <v>6</v>
      </c>
      <c r="AA78" s="848"/>
      <c r="AB78" s="324" t="s">
        <v>665</v>
      </c>
      <c r="AC78" s="509">
        <f>COUNTIFS(Tableau2[VILLAGE],"GADAGO",Tableau2[[STATUT ]],"Redouble",Tableau2[Sexes],"G")</f>
        <v>7</v>
      </c>
      <c r="AD78" s="509">
        <f>COUNTIFS(Tableau2[VILLAGE],"GADAGO",Tableau2[CLASSE],"CPU",Tableau2[[STATUT ]],"Redouble",Tableau2[Sexes],"G")</f>
        <v>7</v>
      </c>
      <c r="AE78" s="509">
        <f>COUNTIFS(Tableau2[VILLAGE],"GADAGO",Tableau2[CLASSE],"CEU",Tableau2[[STATUT ]],"Redouble",Tableau2[Sexes],"G")</f>
        <v>0</v>
      </c>
      <c r="AF78" s="510">
        <f t="shared" ref="AF78" si="705">AD78*100/AD79</f>
        <v>70</v>
      </c>
      <c r="AG78" s="848"/>
      <c r="AH78" s="510">
        <f>AD78*100/AD97</f>
        <v>16.279069767441861</v>
      </c>
      <c r="AI78" s="848"/>
      <c r="AJ78" s="510">
        <f>AD78*100/AD100</f>
        <v>4.294478527607362</v>
      </c>
      <c r="AK78" s="848"/>
      <c r="AL78" s="324" t="s">
        <v>665</v>
      </c>
      <c r="AM78" s="509">
        <f>COUNTIFS(Tableau2[VILLAGE],"GADAGO",Tableau2[[STATUT ]],"Absent",Tableau2[Sexes],"G")</f>
        <v>1</v>
      </c>
      <c r="AN78" s="509">
        <f>COUNTIFS(Tableau2[VILLAGE],"GADAGO",Tableau2[CLASSE],"CPU",Tableau2[[STATUT ]],"Absent",Tableau2[Sexes],"G")</f>
        <v>1</v>
      </c>
      <c r="AO78" s="509">
        <f>COUNTIFS(Tableau2[VILLAGE],"GADAGO",Tableau2[CLASSE],"CEU",Tableau2[[STATUT ]],"Absent",Tableau2[Sexes],"G")</f>
        <v>0</v>
      </c>
      <c r="AP78" s="510">
        <f t="shared" ref="AP78" si="706">AN78*100/AN79</f>
        <v>100</v>
      </c>
      <c r="AQ78" s="848"/>
      <c r="AR78" s="510">
        <f>AN78*100/AN97</f>
        <v>2.6315789473684212</v>
      </c>
      <c r="AS78" s="848"/>
      <c r="AT78" s="510">
        <f>AN78*100/AN100</f>
        <v>0.76923076923076927</v>
      </c>
      <c r="AU78" s="848"/>
      <c r="AV78" s="336" t="s">
        <v>665</v>
      </c>
      <c r="AW78" s="529">
        <f t="shared" si="639"/>
        <v>13</v>
      </c>
      <c r="AX78" s="509">
        <f>COUNTIFS(Tableau2[VILLAGE],"GADAGO",Tableau2[Colonne1],"CP2",Tableau2[Sexes],"G")</f>
        <v>5</v>
      </c>
      <c r="AY78" s="509">
        <f>COUNTIFS(Tableau2[VILLAGE],"GADAGO",Tableau2[Colonne1],"CE1",Tableau2[Sexes],"G")</f>
        <v>4</v>
      </c>
      <c r="AZ78" s="509">
        <f>COUNTIFS(Tableau2[VILLAGE],"GADAGO",Tableau2[Colonne1],"CE2",Tableau2[Sexes],"G")</f>
        <v>4</v>
      </c>
      <c r="BA78" s="510">
        <f t="shared" ref="BA78" si="707">AX78*100/AX79</f>
        <v>100</v>
      </c>
      <c r="BB78" s="510">
        <f t="shared" ref="BB78" si="708">AY78*100/AY79</f>
        <v>57.142857142857146</v>
      </c>
      <c r="BC78" s="510">
        <f t="shared" ref="BC78" si="709">AZ78*100/AZ79</f>
        <v>80</v>
      </c>
      <c r="BD78" s="510">
        <f t="shared" si="699"/>
        <v>16.129032258064516</v>
      </c>
      <c r="BE78" s="510">
        <f t="shared" si="700"/>
        <v>4.301075268817204</v>
      </c>
      <c r="BF78" s="510">
        <f t="shared" si="701"/>
        <v>7.6923076923076925</v>
      </c>
      <c r="BG78" s="510">
        <f t="shared" si="702"/>
        <v>3.4013605442176869</v>
      </c>
      <c r="BH78" s="510">
        <f t="shared" si="703"/>
        <v>0.98522167487684731</v>
      </c>
      <c r="BI78" s="510">
        <f t="shared" si="704"/>
        <v>3.669724770642202</v>
      </c>
    </row>
    <row r="79" spans="1:61" ht="21.5" customHeight="1" thickBot="1" x14ac:dyDescent="0.35">
      <c r="C79" s="937"/>
      <c r="D79" s="917"/>
      <c r="E79" s="325" t="s">
        <v>658</v>
      </c>
      <c r="F79" s="333">
        <f>COUNTIFS(Tableau2[VILLAGE],"GADAGO")</f>
        <v>18</v>
      </c>
      <c r="G79" s="340">
        <f>SUM(G77:G78)</f>
        <v>100</v>
      </c>
      <c r="H79" s="340">
        <f>SUM(H77:H78)</f>
        <v>8.4112149532710276</v>
      </c>
      <c r="I79" s="340">
        <f t="shared" ref="I79" si="710">SUM(I77:I78)</f>
        <v>2.1052631578947367</v>
      </c>
      <c r="J79" s="333">
        <f t="shared" ref="J79" si="711">SUM(J77:J78)</f>
        <v>18</v>
      </c>
      <c r="K79" s="333">
        <f t="shared" si="580"/>
        <v>0</v>
      </c>
      <c r="L79" s="343">
        <f t="shared" si="580"/>
        <v>100</v>
      </c>
      <c r="M79" s="343">
        <f t="shared" si="580"/>
        <v>0</v>
      </c>
      <c r="N79" s="343">
        <f t="shared" ref="N79:O79" si="712">SUM(N77:N78)</f>
        <v>8.4112149532710276</v>
      </c>
      <c r="O79" s="343">
        <f t="shared" si="712"/>
        <v>0</v>
      </c>
      <c r="P79" s="343">
        <f t="shared" si="551"/>
        <v>2.2727272727272729</v>
      </c>
      <c r="Q79" s="343">
        <f t="shared" si="551"/>
        <v>0</v>
      </c>
      <c r="R79" s="333" t="s">
        <v>658</v>
      </c>
      <c r="S79" s="333">
        <f>COUNTIFS(Tableau2[VILLAGE],"GADAGO",Tableau2[[STATUT ]],"admis")</f>
        <v>7</v>
      </c>
      <c r="T79" s="333">
        <f>COUNTIFS(Tableau2[VILLAGE],"GADAGO",Tableau2[CE1-CE2],1)</f>
        <v>7</v>
      </c>
      <c r="U79" s="333">
        <f>COUNTIFS(Tableau2[VILLAGE],"GADAGO",Tableau2[CM1-CM2],1)</f>
        <v>0</v>
      </c>
      <c r="V79" s="343">
        <f t="shared" si="677"/>
        <v>100</v>
      </c>
      <c r="W79" s="849"/>
      <c r="X79" s="344">
        <f t="shared" ref="X79" si="713">SUM(X77:X78)</f>
        <v>5.2631578947368425</v>
      </c>
      <c r="Y79" s="849"/>
      <c r="Z79" s="344">
        <f t="shared" ref="Z79" si="714">SUM(Z77:Z78)</f>
        <v>7</v>
      </c>
      <c r="AA79" s="849"/>
      <c r="AB79" s="333" t="s">
        <v>658</v>
      </c>
      <c r="AC79" s="333">
        <f>COUNTIFS(Tableau2[VILLAGE],"GADAGO",Tableau2[[STATUT ]],"Redouble")</f>
        <v>10</v>
      </c>
      <c r="AD79" s="333">
        <f t="shared" ref="AD79" si="715">SUM(AD77:AD78)</f>
        <v>10</v>
      </c>
      <c r="AE79" s="333">
        <f t="shared" si="584"/>
        <v>0</v>
      </c>
      <c r="AF79" s="343">
        <f t="shared" si="584"/>
        <v>100</v>
      </c>
      <c r="AG79" s="849"/>
      <c r="AH79" s="344">
        <f t="shared" ref="AH79" si="716">SUM(AH77:AH78)</f>
        <v>23.255813953488371</v>
      </c>
      <c r="AI79" s="849"/>
      <c r="AJ79" s="344">
        <f t="shared" ref="AJ79" si="717">SUM(AJ77:AJ78)</f>
        <v>6.1349693251533743</v>
      </c>
      <c r="AK79" s="849"/>
      <c r="AL79" s="333" t="s">
        <v>658</v>
      </c>
      <c r="AM79" s="333">
        <f>COUNTIFS(Tableau2[VILLAGE],"GADAGO",Tableau2[[STATUT ]],"Absent")</f>
        <v>1</v>
      </c>
      <c r="AN79" s="333">
        <f t="shared" ref="AN79:AP79" si="718">SUM(AN77:AN78)</f>
        <v>1</v>
      </c>
      <c r="AO79" s="333">
        <f t="shared" si="718"/>
        <v>0</v>
      </c>
      <c r="AP79" s="343">
        <f t="shared" si="718"/>
        <v>100</v>
      </c>
      <c r="AQ79" s="849"/>
      <c r="AR79" s="344">
        <f t="shared" ref="AR79" si="719">SUM(AR77:AR78)</f>
        <v>2.6315789473684212</v>
      </c>
      <c r="AS79" s="849"/>
      <c r="AT79" s="344">
        <f t="shared" ref="AT79" si="720">SUM(AT77:AT78)</f>
        <v>0.76923076923076927</v>
      </c>
      <c r="AU79" s="849"/>
      <c r="AV79" s="342" t="s">
        <v>658</v>
      </c>
      <c r="AW79" s="530">
        <f t="shared" si="639"/>
        <v>17</v>
      </c>
      <c r="AX79" s="527">
        <f>SUM(AX77:AX78)</f>
        <v>5</v>
      </c>
      <c r="AY79" s="333">
        <f>SUM(AY77:AY78)</f>
        <v>7</v>
      </c>
      <c r="AZ79" s="333">
        <f>SUM(AZ77:AZ78)</f>
        <v>5</v>
      </c>
      <c r="BA79" s="517">
        <f t="shared" ref="BA79:BC79" si="721">SUM(BA77:BA78)</f>
        <v>100</v>
      </c>
      <c r="BB79" s="517">
        <f t="shared" si="721"/>
        <v>100</v>
      </c>
      <c r="BC79" s="517">
        <f t="shared" si="721"/>
        <v>100</v>
      </c>
      <c r="BD79" s="517">
        <f t="shared" ref="BD79" si="722">SUM(BD77:BD78)</f>
        <v>16.129032258064516</v>
      </c>
      <c r="BE79" s="517">
        <f t="shared" ref="BE79" si="723">SUM(BE77:BE78)</f>
        <v>7.5268817204301071</v>
      </c>
      <c r="BF79" s="517">
        <f t="shared" ref="BF79" si="724">SUM(BF77:BF78)</f>
        <v>9.615384615384615</v>
      </c>
      <c r="BG79" s="517">
        <f t="shared" ref="BG79:BI79" si="725">SUM(BG77:BG78)</f>
        <v>3.4013605442176869</v>
      </c>
      <c r="BH79" s="517">
        <f t="shared" si="725"/>
        <v>1.7241379310344827</v>
      </c>
      <c r="BI79" s="517">
        <f t="shared" si="725"/>
        <v>4.5871559633027523</v>
      </c>
    </row>
    <row r="80" spans="1:61" ht="21" customHeight="1" x14ac:dyDescent="0.35">
      <c r="C80" s="937"/>
      <c r="D80" s="915" t="s">
        <v>1590</v>
      </c>
      <c r="E80" s="326" t="s">
        <v>1990</v>
      </c>
      <c r="F80" s="509">
        <f>COUNTIFS(Tableau2[VILLAGE],"GBALEVILLE",Tableau2[Sexes],"F")</f>
        <v>24</v>
      </c>
      <c r="G80" s="508">
        <f>F80*100/F82</f>
        <v>55.813953488372093</v>
      </c>
      <c r="H80" s="508">
        <f>F80*100/$F$97</f>
        <v>11.214953271028037</v>
      </c>
      <c r="I80" s="508">
        <f>F80*100/$F$100</f>
        <v>2.807017543859649</v>
      </c>
      <c r="J80" s="509">
        <f>COUNTIFS(Tableau2[VILLAGE],"GBALEVILLE",Tableau2[CLASSE],"CPU",Tableau2[Sexes],"F")</f>
        <v>24</v>
      </c>
      <c r="K80" s="509">
        <f>COUNTIFS(Tableau2[VILLAGE],"GBALEVILLE",Tableau2[CLASSE],"CEU",Tableau2[Sexes],"F")</f>
        <v>0</v>
      </c>
      <c r="L80" s="510">
        <f>J80*100/J82</f>
        <v>55.813953488372093</v>
      </c>
      <c r="M80" s="510">
        <v>0</v>
      </c>
      <c r="N80" s="510">
        <f t="shared" ref="N80:N81" si="726">J80*100/$J$97</f>
        <v>11.214953271028037</v>
      </c>
      <c r="O80" s="510">
        <f t="shared" si="659"/>
        <v>0</v>
      </c>
      <c r="P80" s="510">
        <f t="shared" ref="P80:P81" si="727">J80*100/$J$100</f>
        <v>3.0303030303030303</v>
      </c>
      <c r="Q80" s="510">
        <f t="shared" ref="Q80:Q81" si="728">K80*100/$K$100</f>
        <v>0</v>
      </c>
      <c r="R80" s="326" t="s">
        <v>1990</v>
      </c>
      <c r="S80" s="509">
        <f>COUNTIFS(Tableau2[VILLAGE],"GBALEVILLE",Tableau2[[STATUT ]],"admis",Tableau2[Sexes],"F")</f>
        <v>20</v>
      </c>
      <c r="T80" s="509">
        <f>COUNTIFS(Tableau2[VILLAGE],"GBALEVILLE",Tableau2[CE1-CE2],1,Tableau2[Sexes],"F")</f>
        <v>20</v>
      </c>
      <c r="U80" s="509">
        <f>COUNTIFS(Tableau2[VILLAGE],"GBALEVILLE",Tableau2[CM1-CM2],1,Tableau2[Sexes],"F")</f>
        <v>0</v>
      </c>
      <c r="V80" s="510">
        <f t="shared" si="694"/>
        <v>55.555555555555557</v>
      </c>
      <c r="W80" s="847"/>
      <c r="X80" s="510">
        <f>T80*100/T97</f>
        <v>15.037593984962406</v>
      </c>
      <c r="Y80" s="847"/>
      <c r="Z80" s="510">
        <f t="shared" ref="Z80:Z81" si="729">T80*100/$L$100</f>
        <v>20</v>
      </c>
      <c r="AA80" s="847"/>
      <c r="AB80" s="326" t="s">
        <v>1990</v>
      </c>
      <c r="AC80" s="509">
        <f>COUNTIFS(Tableau2[VILLAGE],"GBALEVILLE",Tableau2[[STATUT ]],"Redouble",Tableau2[Sexes],"F")</f>
        <v>2</v>
      </c>
      <c r="AD80" s="509">
        <f>COUNTIFS(Tableau2[VILLAGE],"GBALEVILLE",Tableau2[CLASSE],"CPU",Tableau2[[STATUT ]],"Redouble",Tableau2[Sexes],"F")</f>
        <v>2</v>
      </c>
      <c r="AE80" s="509">
        <f>COUNTIFS(Tableau2[VILLAGE],"GBALEVILLE",Tableau2[CLASSE],"CEU",Tableau2[[STATUT ]],"Redouble",Tableau2[Sexes],"F")</f>
        <v>0</v>
      </c>
      <c r="AF80" s="510">
        <f t="shared" ref="AF80" si="730">AD80*100/AD82</f>
        <v>40</v>
      </c>
      <c r="AG80" s="847"/>
      <c r="AH80" s="510">
        <f>AD80*100/AD97</f>
        <v>4.6511627906976747</v>
      </c>
      <c r="AI80" s="847"/>
      <c r="AJ80" s="510">
        <f>AD80*100/AD100</f>
        <v>1.2269938650306749</v>
      </c>
      <c r="AK80" s="847"/>
      <c r="AL80" s="326" t="s">
        <v>1990</v>
      </c>
      <c r="AM80" s="509">
        <f>COUNTIFS(Tableau2[VILLAGE],"GBALEVILLE",Tableau2[[STATUT ]],"Absent",Tableau2[Sexes],"F")</f>
        <v>2</v>
      </c>
      <c r="AN80" s="509">
        <f>COUNTIFS(Tableau2[VILLAGE],"GBALEVILLE",Tableau2[CLASSE],"CPU",Tableau2[[STATUT ]],"Absent",Tableau2[Sexes],"F")</f>
        <v>2</v>
      </c>
      <c r="AO80" s="509">
        <f>COUNTIFS(Tableau2[VILLAGE],"GBALEVILLE",Tableau2[CLASSE],"CEU",Tableau2[[STATUT ]],"Absent",Tableau2[Sexes],"F")</f>
        <v>0</v>
      </c>
      <c r="AP80" s="510">
        <f t="shared" ref="AP80" si="731">AN80*100/AN82</f>
        <v>100</v>
      </c>
      <c r="AQ80" s="847"/>
      <c r="AR80" s="510">
        <f>AN80*100/AN97</f>
        <v>5.2631578947368425</v>
      </c>
      <c r="AS80" s="847"/>
      <c r="AT80" s="510">
        <f>AN80*100/AN100</f>
        <v>1.5384615384615385</v>
      </c>
      <c r="AU80" s="847"/>
      <c r="AV80" s="345" t="s">
        <v>1990</v>
      </c>
      <c r="AW80" s="529">
        <f t="shared" si="639"/>
        <v>22</v>
      </c>
      <c r="AX80" s="509">
        <f>COUNTIFS(Tableau2[VILLAGE],"GBALEVILLE",Tableau2[Colonne1],"CP2",Tableau2[Sexes],"F")</f>
        <v>2</v>
      </c>
      <c r="AY80" s="509">
        <f>COUNTIFS(Tableau2[VILLAGE],"GBALEVILLE",Tableau2[Colonne1],"CE1",Tableau2[Sexes],"F")</f>
        <v>10</v>
      </c>
      <c r="AZ80" s="509">
        <f>COUNTIFS(Tableau2[VILLAGE],"GBALEVILLE",Tableau2[Colonne1],"CE2",Tableau2[Sexes],"F")</f>
        <v>10</v>
      </c>
      <c r="BA80" s="510">
        <f t="shared" ref="BA80:BC80" si="732">AX80*100/AX82</f>
        <v>100</v>
      </c>
      <c r="BB80" s="510">
        <f t="shared" si="732"/>
        <v>100</v>
      </c>
      <c r="BC80" s="510">
        <f t="shared" si="732"/>
        <v>100</v>
      </c>
      <c r="BD80" s="510">
        <f t="shared" ref="BD80:BD81" si="733">AX80*100/$AX$97</f>
        <v>6.4516129032258061</v>
      </c>
      <c r="BE80" s="510">
        <f t="shared" ref="BE80:BE81" si="734">AY80*100/$AY$97</f>
        <v>10.75268817204301</v>
      </c>
      <c r="BF80" s="510">
        <f t="shared" ref="BF80:BF81" si="735">AZ80*100/$AZ$97</f>
        <v>19.23076923076923</v>
      </c>
      <c r="BG80" s="510">
        <f t="shared" ref="BG80:BG81" si="736">AX80*100/$AX$100</f>
        <v>1.3605442176870748</v>
      </c>
      <c r="BH80" s="510">
        <f t="shared" ref="BH80:BH81" si="737">AY80*100/$AY$100</f>
        <v>2.4630541871921183</v>
      </c>
      <c r="BI80" s="510">
        <f t="shared" ref="BI80:BI81" si="738">AZ80*100/$AZ$100</f>
        <v>9.1743119266055047</v>
      </c>
    </row>
    <row r="81" spans="1:61" ht="21" customHeight="1" thickBot="1" x14ac:dyDescent="0.4">
      <c r="C81" s="937"/>
      <c r="D81" s="916"/>
      <c r="E81" s="324" t="s">
        <v>665</v>
      </c>
      <c r="F81" s="509">
        <f>COUNTIFS(Tableau2[VILLAGE],"GBALEVILLE",Tableau2[Sexes],"G")</f>
        <v>19</v>
      </c>
      <c r="G81" s="508">
        <f>F81*100/F82</f>
        <v>44.186046511627907</v>
      </c>
      <c r="H81" s="508">
        <f>F81*100/$F$97</f>
        <v>8.878504672897197</v>
      </c>
      <c r="I81" s="508">
        <f>F81*100/$F$100</f>
        <v>2.2222222222222223</v>
      </c>
      <c r="J81" s="509">
        <f>COUNTIFS(Tableau2[VILLAGE],"GBALEVILLE",Tableau2[CLASSE],"CPU",Tableau2[Sexes],"G")</f>
        <v>19</v>
      </c>
      <c r="K81" s="509">
        <f>COUNTIFS(Tableau2[VILLAGE],"GBALEVILLE",Tableau2[CLASSE],"CEU",Tableau2[Sexes],"G")</f>
        <v>0</v>
      </c>
      <c r="L81" s="510">
        <f>J81*100/J82</f>
        <v>44.186046511627907</v>
      </c>
      <c r="M81" s="510">
        <v>0</v>
      </c>
      <c r="N81" s="510">
        <f t="shared" si="726"/>
        <v>8.878504672897197</v>
      </c>
      <c r="O81" s="510">
        <f t="shared" si="659"/>
        <v>0</v>
      </c>
      <c r="P81" s="510">
        <f t="shared" si="727"/>
        <v>2.3989898989898988</v>
      </c>
      <c r="Q81" s="510">
        <f t="shared" si="728"/>
        <v>0</v>
      </c>
      <c r="R81" s="324" t="s">
        <v>665</v>
      </c>
      <c r="S81" s="509">
        <f>COUNTIFS(Tableau2[VILLAGE],"GBALEVILLE",Tableau2[[STATUT ]],"admis",Tableau2[Sexes],"G")</f>
        <v>16</v>
      </c>
      <c r="T81" s="509">
        <f>COUNTIFS(Tableau2[VILLAGE],"BGBALEVILLE",Tableau2[CE1-CE2],1,Tableau2[Sexes],"G")</f>
        <v>0</v>
      </c>
      <c r="U81" s="509">
        <f>COUNTIFS(Tableau2[VILLAGE],"GBALEVILLE",Tableau2[CM1-CM2],1,Tableau2[Sexes],"G")</f>
        <v>0</v>
      </c>
      <c r="V81" s="510">
        <f t="shared" si="669"/>
        <v>0</v>
      </c>
      <c r="W81" s="848"/>
      <c r="X81" s="510">
        <f>T81*100/T97</f>
        <v>0</v>
      </c>
      <c r="Y81" s="848"/>
      <c r="Z81" s="510">
        <f t="shared" si="729"/>
        <v>0</v>
      </c>
      <c r="AA81" s="848"/>
      <c r="AB81" s="324" t="s">
        <v>665</v>
      </c>
      <c r="AC81" s="509">
        <f>COUNTIFS(Tableau2[VILLAGE],"GBALEVILLE",Tableau2[[STATUT ]],"Redouble",Tableau2[Sexes],"G")</f>
        <v>3</v>
      </c>
      <c r="AD81" s="509">
        <f>COUNTIFS(Tableau2[VILLAGE],"GBALEVILLE",Tableau2[CLASSE],"CPU",Tableau2[[STATUT ]],"Redouble",Tableau2[Sexes],"G")</f>
        <v>3</v>
      </c>
      <c r="AE81" s="509">
        <f>COUNTIFS(Tableau2[VILLAGE],"GBALEVILLE",Tableau2[CLASSE],"CEU",Tableau2[[STATUT ]],"Redouble",Tableau2[Sexes],"G")</f>
        <v>0</v>
      </c>
      <c r="AF81" s="510">
        <f t="shared" ref="AF81" si="739">AD81*100/AD82</f>
        <v>60</v>
      </c>
      <c r="AG81" s="848"/>
      <c r="AH81" s="510">
        <f>AD81*100/AD97</f>
        <v>6.9767441860465116</v>
      </c>
      <c r="AI81" s="848"/>
      <c r="AJ81" s="510">
        <f>AD81*100/AD100</f>
        <v>1.8404907975460123</v>
      </c>
      <c r="AK81" s="848"/>
      <c r="AL81" s="324" t="s">
        <v>665</v>
      </c>
      <c r="AM81" s="509">
        <f>COUNTIFS(Tableau2[VILLAGE],"GBALEVILLE",Tableau2[[STATUT ]],"Absent",Tableau2[Sexes],"G")</f>
        <v>0</v>
      </c>
      <c r="AN81" s="509">
        <f>COUNTIFS(Tableau2[VILLAGE],"GBALEVILLE",Tableau2[CLASSE],"CPU",Tableau2[[STATUT ]],"Absent",Tableau2[Sexes],"G")</f>
        <v>0</v>
      </c>
      <c r="AO81" s="509">
        <f>COUNTIFS(Tableau2[VILLAGE],"GBALEVILLE",Tableau2[CLASSE],"CEU",Tableau2[[STATUT ]],"Absent",Tableau2[Sexes],"G")</f>
        <v>0</v>
      </c>
      <c r="AP81" s="510">
        <f t="shared" ref="AP81" si="740">AN81*100/AN82</f>
        <v>0</v>
      </c>
      <c r="AQ81" s="848"/>
      <c r="AR81" s="510">
        <f>AN81*100/AN97</f>
        <v>0</v>
      </c>
      <c r="AS81" s="848"/>
      <c r="AT81" s="510">
        <f>AN81*100/AN100</f>
        <v>0</v>
      </c>
      <c r="AU81" s="848"/>
      <c r="AV81" s="336" t="s">
        <v>665</v>
      </c>
      <c r="AW81" s="529">
        <f t="shared" si="639"/>
        <v>0</v>
      </c>
      <c r="AX81" s="509">
        <f>COUNTIFS(Tableau2[VILLAGE],"BGBALEVILLE",Tableau2[Colonne1],"CP2",Tableau2[Sexes],"G")</f>
        <v>0</v>
      </c>
      <c r="AY81" s="509">
        <f>COUNTIFS(Tableau2[VILLAGE],"BGBALEVILLE",Tableau2[Colonne1],"CE1",Tableau2[Sexes],"G")</f>
        <v>0</v>
      </c>
      <c r="AZ81" s="509">
        <f>COUNTIFS(Tableau2[VILLAGE],"BGBALEVILLE",Tableau2[Colonne1],"CE2",Tableau2[Sexes],"G")</f>
        <v>0</v>
      </c>
      <c r="BA81" s="510">
        <f t="shared" ref="BA81" si="741">AX81*100/AX82</f>
        <v>0</v>
      </c>
      <c r="BB81" s="510">
        <f t="shared" ref="BB81" si="742">AY81*100/AY82</f>
        <v>0</v>
      </c>
      <c r="BC81" s="510">
        <f t="shared" ref="BC81" si="743">AZ81*100/AZ82</f>
        <v>0</v>
      </c>
      <c r="BD81" s="510">
        <f t="shared" si="733"/>
        <v>0</v>
      </c>
      <c r="BE81" s="510">
        <f t="shared" si="734"/>
        <v>0</v>
      </c>
      <c r="BF81" s="510">
        <f t="shared" si="735"/>
        <v>0</v>
      </c>
      <c r="BG81" s="510">
        <f t="shared" si="736"/>
        <v>0</v>
      </c>
      <c r="BH81" s="510">
        <f t="shared" si="737"/>
        <v>0</v>
      </c>
      <c r="BI81" s="510">
        <f t="shared" si="738"/>
        <v>0</v>
      </c>
    </row>
    <row r="82" spans="1:61" ht="21.5" customHeight="1" thickBot="1" x14ac:dyDescent="0.35">
      <c r="C82" s="937"/>
      <c r="D82" s="917"/>
      <c r="E82" s="325" t="s">
        <v>658</v>
      </c>
      <c r="F82" s="333">
        <f>COUNTIFS(Tableau2[VILLAGE],"GBALEVILLE")</f>
        <v>43</v>
      </c>
      <c r="G82" s="340">
        <f>SUM(G80:G81)</f>
        <v>100</v>
      </c>
      <c r="H82" s="340">
        <f>SUM(H80:H81)</f>
        <v>20.093457943925234</v>
      </c>
      <c r="I82" s="340">
        <f t="shared" ref="I82" si="744">SUM(I80:I81)</f>
        <v>5.0292397660818713</v>
      </c>
      <c r="J82" s="333">
        <f t="shared" ref="J82" si="745">SUM(J80:J81)</f>
        <v>43</v>
      </c>
      <c r="K82" s="333">
        <f t="shared" si="580"/>
        <v>0</v>
      </c>
      <c r="L82" s="343">
        <f t="shared" si="580"/>
        <v>100</v>
      </c>
      <c r="M82" s="343">
        <f t="shared" si="580"/>
        <v>0</v>
      </c>
      <c r="N82" s="343">
        <f t="shared" ref="N82:Q97" si="746">SUM(N80:N81)</f>
        <v>20.093457943925234</v>
      </c>
      <c r="O82" s="343">
        <f t="shared" si="746"/>
        <v>0</v>
      </c>
      <c r="P82" s="343">
        <f t="shared" si="746"/>
        <v>5.4292929292929291</v>
      </c>
      <c r="Q82" s="343">
        <f t="shared" si="746"/>
        <v>0</v>
      </c>
      <c r="R82" s="333" t="s">
        <v>658</v>
      </c>
      <c r="S82" s="333">
        <f>COUNTIFS(Tableau2[VILLAGE],"GBALEVILLE",Tableau2[[STATUT ]],"admis")</f>
        <v>36</v>
      </c>
      <c r="T82" s="333">
        <f>COUNTIFS(Tableau2[VILLAGE],"GBALEVILLE",Tableau2[CE1-CE2],1)</f>
        <v>36</v>
      </c>
      <c r="U82" s="333">
        <f>COUNTIFS(Tableau2[VILLAGE],"GBALEVILLE",Tableau2[CM1-CM2],1)</f>
        <v>0</v>
      </c>
      <c r="V82" s="343">
        <f t="shared" si="677"/>
        <v>55.555555555555557</v>
      </c>
      <c r="W82" s="849"/>
      <c r="X82" s="344">
        <f t="shared" ref="X82" si="747">SUM(X80:X81)</f>
        <v>15.037593984962406</v>
      </c>
      <c r="Y82" s="849"/>
      <c r="Z82" s="344">
        <f t="shared" ref="Z82" si="748">SUM(Z80:Z81)</f>
        <v>20</v>
      </c>
      <c r="AA82" s="849"/>
      <c r="AB82" s="333" t="s">
        <v>658</v>
      </c>
      <c r="AC82" s="333">
        <f>COUNTIFS(Tableau2[VILLAGE],"GBALEVILLE",Tableau2[[STATUT ]],"Redouble")</f>
        <v>5</v>
      </c>
      <c r="AD82" s="333">
        <f t="shared" ref="AD82" si="749">SUM(AD80:AD81)</f>
        <v>5</v>
      </c>
      <c r="AE82" s="333">
        <f t="shared" si="584"/>
        <v>0</v>
      </c>
      <c r="AF82" s="343">
        <f t="shared" si="584"/>
        <v>100</v>
      </c>
      <c r="AG82" s="849"/>
      <c r="AH82" s="344">
        <f t="shared" ref="AH82" si="750">SUM(AH80:AH81)</f>
        <v>11.627906976744185</v>
      </c>
      <c r="AI82" s="849"/>
      <c r="AJ82" s="344">
        <f t="shared" ref="AJ82" si="751">SUM(AJ80:AJ81)</f>
        <v>3.0674846625766872</v>
      </c>
      <c r="AK82" s="849"/>
      <c r="AL82" s="333" t="s">
        <v>658</v>
      </c>
      <c r="AM82" s="333">
        <f>COUNTIFS(Tableau2[VILLAGE],"GBALEVILLE",Tableau2[[STATUT ]],"Absent")</f>
        <v>2</v>
      </c>
      <c r="AN82" s="333">
        <f t="shared" ref="AN82:AP82" si="752">SUM(AN80:AN81)</f>
        <v>2</v>
      </c>
      <c r="AO82" s="333">
        <f t="shared" si="752"/>
        <v>0</v>
      </c>
      <c r="AP82" s="343">
        <f t="shared" si="752"/>
        <v>100</v>
      </c>
      <c r="AQ82" s="849"/>
      <c r="AR82" s="344">
        <f t="shared" ref="AR82" si="753">SUM(AR80:AR81)</f>
        <v>5.2631578947368425</v>
      </c>
      <c r="AS82" s="849"/>
      <c r="AT82" s="344">
        <f t="shared" ref="AT82" si="754">SUM(AT80:AT81)</f>
        <v>1.5384615384615385</v>
      </c>
      <c r="AU82" s="849"/>
      <c r="AV82" s="342" t="s">
        <v>658</v>
      </c>
      <c r="AW82" s="530">
        <f t="shared" si="639"/>
        <v>22</v>
      </c>
      <c r="AX82" s="527">
        <f>SUM(AX80:AX81)</f>
        <v>2</v>
      </c>
      <c r="AY82" s="333">
        <f>SUM(AY80:AY81)</f>
        <v>10</v>
      </c>
      <c r="AZ82" s="333">
        <f>SUM(AZ80:AZ81)</f>
        <v>10</v>
      </c>
      <c r="BA82" s="517">
        <f t="shared" ref="BA82:BC82" si="755">SUM(BA80:BA81)</f>
        <v>100</v>
      </c>
      <c r="BB82" s="517">
        <f t="shared" si="755"/>
        <v>100</v>
      </c>
      <c r="BC82" s="517">
        <f t="shared" si="755"/>
        <v>100</v>
      </c>
      <c r="BD82" s="517">
        <f t="shared" ref="BD82" si="756">SUM(BD80:BD81)</f>
        <v>6.4516129032258061</v>
      </c>
      <c r="BE82" s="517">
        <f t="shared" ref="BE82" si="757">SUM(BE80:BE81)</f>
        <v>10.75268817204301</v>
      </c>
      <c r="BF82" s="517">
        <f t="shared" ref="BF82" si="758">SUM(BF80:BF81)</f>
        <v>19.23076923076923</v>
      </c>
      <c r="BG82" s="517">
        <f t="shared" ref="BG82:BI82" si="759">SUM(BG80:BG81)</f>
        <v>1.3605442176870748</v>
      </c>
      <c r="BH82" s="517">
        <f t="shared" si="759"/>
        <v>2.4630541871921183</v>
      </c>
      <c r="BI82" s="517">
        <f t="shared" si="759"/>
        <v>9.1743119266055047</v>
      </c>
    </row>
    <row r="83" spans="1:61" ht="21" customHeight="1" x14ac:dyDescent="0.35">
      <c r="C83" s="937"/>
      <c r="D83" s="915" t="s">
        <v>1307</v>
      </c>
      <c r="E83" s="326" t="s">
        <v>1990</v>
      </c>
      <c r="F83" s="509">
        <f>COUNTIFS(Tableau2[VILLAGE],"KIPIRI",Tableau2[Sexes],"F")</f>
        <v>5</v>
      </c>
      <c r="G83" s="508">
        <f>F83*100/F85</f>
        <v>27.777777777777779</v>
      </c>
      <c r="H83" s="508">
        <f>F83*100/$F$97</f>
        <v>2.3364485981308412</v>
      </c>
      <c r="I83" s="508">
        <f>F83*100/$F$100</f>
        <v>0.58479532163742687</v>
      </c>
      <c r="J83" s="509">
        <f>COUNTIFS(Tableau2[VILLAGE],"KIPIRI",Tableau2[CLASSE],"CPU",Tableau2[Sexes],"F")</f>
        <v>5</v>
      </c>
      <c r="K83" s="509">
        <f>COUNTIFS(Tableau2[VILLAGE],"KIPIRI",Tableau2[CLASSE],"CEU",Tableau2[Sexes],"F")</f>
        <v>0</v>
      </c>
      <c r="L83" s="510">
        <f>J83*100/J85</f>
        <v>27.777777777777779</v>
      </c>
      <c r="M83" s="510">
        <v>0</v>
      </c>
      <c r="N83" s="510">
        <f t="shared" ref="N83:N84" si="760">J83*100/$J$97</f>
        <v>2.3364485981308412</v>
      </c>
      <c r="O83" s="510">
        <f t="shared" si="659"/>
        <v>0</v>
      </c>
      <c r="P83" s="510">
        <f t="shared" ref="P83:P84" si="761">J83*100/$J$100</f>
        <v>0.63131313131313127</v>
      </c>
      <c r="Q83" s="510">
        <f t="shared" ref="Q83:Q84" si="762">K83*100/$K$100</f>
        <v>0</v>
      </c>
      <c r="R83" s="326" t="s">
        <v>1990</v>
      </c>
      <c r="S83" s="509">
        <f>COUNTIFS(Tableau2[VILLAGE],"KIPIRI",Tableau2[[STATUT ]],"admis",Tableau2[Sexes],"F")</f>
        <v>3</v>
      </c>
      <c r="T83" s="509">
        <f>COUNTIFS(Tableau2[VILLAGE],"KIPIRI",Tableau2[CE1-CE2],1,Tableau2[Sexes],"F")</f>
        <v>3</v>
      </c>
      <c r="U83" s="509">
        <f>COUNTIFS(Tableau2[VILLAGE],"KIPIRI",Tableau2[CM1-CM2],1,Tableau2[Sexes],"F")</f>
        <v>0</v>
      </c>
      <c r="V83" s="510">
        <f t="shared" si="694"/>
        <v>60</v>
      </c>
      <c r="W83" s="847"/>
      <c r="X83" s="510">
        <f>T83*100/T97</f>
        <v>2.255639097744361</v>
      </c>
      <c r="Y83" s="847"/>
      <c r="Z83" s="510">
        <f t="shared" ref="Z83:Z84" si="763">T83*100/$L$100</f>
        <v>3</v>
      </c>
      <c r="AA83" s="847"/>
      <c r="AB83" s="326" t="s">
        <v>1990</v>
      </c>
      <c r="AC83" s="509">
        <f>COUNTIFS(Tableau2[VILLAGE],"KIPIRI",Tableau2[[STATUT ]],"Redouble",Tableau2[Sexes],"F")</f>
        <v>2</v>
      </c>
      <c r="AD83" s="509">
        <f>COUNTIFS(Tableau2[VILLAGE],"KIPIRI",Tableau2[CLASSE],"CPU",Tableau2[[STATUT ]],"Redouble",Tableau2[Sexes],"F")</f>
        <v>2</v>
      </c>
      <c r="AE83" s="509">
        <f>COUNTIFS(Tableau2[VILLAGE],"KIPIRI",Tableau2[CLASSE],"CEU",Tableau2[[STATUT ]],"Redouble",Tableau2[Sexes],"F")</f>
        <v>0</v>
      </c>
      <c r="AF83" s="510">
        <f t="shared" ref="AF83" si="764">AD83*100/AD85</f>
        <v>18.181818181818183</v>
      </c>
      <c r="AG83" s="847"/>
      <c r="AH83" s="510">
        <f>AD83*100/AD97</f>
        <v>4.6511627906976747</v>
      </c>
      <c r="AI83" s="847"/>
      <c r="AJ83" s="510">
        <f>AD83*100/AD100</f>
        <v>1.2269938650306749</v>
      </c>
      <c r="AK83" s="847"/>
      <c r="AL83" s="326" t="s">
        <v>1990</v>
      </c>
      <c r="AM83" s="509">
        <f>COUNTIFS(Tableau2[VILLAGE],"KIPIRI",Tableau2[[STATUT ]],"Absent",Tableau2[Sexes],"F")</f>
        <v>0</v>
      </c>
      <c r="AN83" s="509">
        <f>COUNTIFS(Tableau2[VILLAGE],"KIPIRI",Tableau2[CLASSE],"CPU",Tableau2[[STATUT ]],"Absent",Tableau2[Sexes],"F")</f>
        <v>0</v>
      </c>
      <c r="AO83" s="509">
        <f>COUNTIFS(Tableau2[VILLAGE],"KIPIRI",Tableau2[CLASSE],"CEU",Tableau2[[STATUT ]],"Absent",Tableau2[Sexes],"F")</f>
        <v>0</v>
      </c>
      <c r="AP83" s="510">
        <f t="shared" ref="AP83" si="765">AN83*100/AN85</f>
        <v>0</v>
      </c>
      <c r="AQ83" s="847"/>
      <c r="AR83" s="510">
        <f>AN83*100/AN97</f>
        <v>0</v>
      </c>
      <c r="AS83" s="847"/>
      <c r="AT83" s="510">
        <f>AN83*100/AN100</f>
        <v>0</v>
      </c>
      <c r="AU83" s="847"/>
      <c r="AV83" s="345" t="s">
        <v>1990</v>
      </c>
      <c r="AW83" s="529">
        <f t="shared" si="639"/>
        <v>5</v>
      </c>
      <c r="AX83" s="509">
        <f>COUNTIFS(Tableau2[VILLAGE],"KIPIRI",Tableau2[Colonne1],"CP2",Tableau2[Sexes],"F")</f>
        <v>2</v>
      </c>
      <c r="AY83" s="509">
        <f>COUNTIFS(Tableau2[VILLAGE],"KIPIRI",Tableau2[Colonne1],"CE1",Tableau2[Sexes],"F")</f>
        <v>2</v>
      </c>
      <c r="AZ83" s="509">
        <f>COUNTIFS(Tableau2[VILLAGE],"KIPIRI",Tableau2[Colonne1],"CE2",Tableau2[Sexes],"F")</f>
        <v>1</v>
      </c>
      <c r="BA83" s="510">
        <f t="shared" ref="BA83:BC83" si="766">AX83*100/AX85</f>
        <v>22.222222222222221</v>
      </c>
      <c r="BB83" s="510">
        <f t="shared" si="766"/>
        <v>50</v>
      </c>
      <c r="BC83" s="510">
        <f t="shared" si="766"/>
        <v>33.333333333333336</v>
      </c>
      <c r="BD83" s="510">
        <f t="shared" ref="BD83:BD84" si="767">AX83*100/$AX$97</f>
        <v>6.4516129032258061</v>
      </c>
      <c r="BE83" s="510">
        <f t="shared" ref="BE83:BE84" si="768">AY83*100/$AY$97</f>
        <v>2.150537634408602</v>
      </c>
      <c r="BF83" s="510">
        <f t="shared" ref="BF83:BF84" si="769">AZ83*100/$AZ$97</f>
        <v>1.9230769230769231</v>
      </c>
      <c r="BG83" s="510">
        <f t="shared" ref="BG83:BG84" si="770">AX83*100/$AX$100</f>
        <v>1.3605442176870748</v>
      </c>
      <c r="BH83" s="510">
        <f t="shared" ref="BH83:BH84" si="771">AY83*100/$AY$100</f>
        <v>0.49261083743842365</v>
      </c>
      <c r="BI83" s="510">
        <f t="shared" ref="BI83:BI84" si="772">AZ83*100/$AZ$100</f>
        <v>0.91743119266055051</v>
      </c>
    </row>
    <row r="84" spans="1:61" ht="21" customHeight="1" thickBot="1" x14ac:dyDescent="0.4">
      <c r="C84" s="937"/>
      <c r="D84" s="916"/>
      <c r="E84" s="324" t="s">
        <v>665</v>
      </c>
      <c r="F84" s="509">
        <f>COUNTIFS(Tableau2[VILLAGE],"KIPIRI",Tableau2[Sexes],"G")</f>
        <v>13</v>
      </c>
      <c r="G84" s="508">
        <f>F84*100/F85</f>
        <v>72.222222222222229</v>
      </c>
      <c r="H84" s="508">
        <f>F84*100/$F$97</f>
        <v>6.0747663551401869</v>
      </c>
      <c r="I84" s="508">
        <f>F84*100/$F$100</f>
        <v>1.5204678362573099</v>
      </c>
      <c r="J84" s="509">
        <f>COUNTIFS(Tableau2[VILLAGE],"KIPIRI",Tableau2[CLASSE],"CPU",Tableau2[Sexes],"G")</f>
        <v>13</v>
      </c>
      <c r="K84" s="509">
        <f>COUNTIFS(Tableau2[VILLAGE],"KIPIRI",Tableau2[CLASSE],"CEU",Tableau2[Sexes],"G")</f>
        <v>0</v>
      </c>
      <c r="L84" s="510">
        <f>J84*100/J85</f>
        <v>72.222222222222229</v>
      </c>
      <c r="M84" s="510">
        <v>0</v>
      </c>
      <c r="N84" s="510">
        <f t="shared" si="760"/>
        <v>6.0747663551401869</v>
      </c>
      <c r="O84" s="510">
        <f t="shared" si="659"/>
        <v>0</v>
      </c>
      <c r="P84" s="510">
        <f t="shared" si="761"/>
        <v>1.6414141414141414</v>
      </c>
      <c r="Q84" s="510">
        <f t="shared" si="762"/>
        <v>0</v>
      </c>
      <c r="R84" s="324" t="s">
        <v>665</v>
      </c>
      <c r="S84" s="509">
        <f>COUNTIFS(Tableau2[VILLAGE],"KIPIRI",Tableau2[[STATUT ]],"admis",Tableau2[Sexes],"G")</f>
        <v>2</v>
      </c>
      <c r="T84" s="509">
        <f>COUNTIFS(Tableau2[VILLAGE],"KIPIRI",Tableau2[CE1-CE2],1,Tableau2[Sexes],"G")</f>
        <v>2</v>
      </c>
      <c r="U84" s="509">
        <f>COUNTIFS(Tableau2[VILLAGE],"KIPIRI",Tableau2[CM1-CM2],1,Tableau2[Sexes],"G")</f>
        <v>0</v>
      </c>
      <c r="V84" s="510">
        <f t="shared" si="669"/>
        <v>40</v>
      </c>
      <c r="W84" s="848"/>
      <c r="X84" s="510">
        <f>T84*100/T97</f>
        <v>1.5037593984962405</v>
      </c>
      <c r="Y84" s="848"/>
      <c r="Z84" s="510">
        <f t="shared" si="763"/>
        <v>2</v>
      </c>
      <c r="AA84" s="848"/>
      <c r="AB84" s="324" t="s">
        <v>665</v>
      </c>
      <c r="AC84" s="509">
        <f>COUNTIFS(Tableau2[VILLAGE],"KIPIRI",Tableau2[[STATUT ]],"Redouble",Tableau2[Sexes],"G")</f>
        <v>9</v>
      </c>
      <c r="AD84" s="509">
        <f>COUNTIFS(Tableau2[VILLAGE],"KIPIRI",Tableau2[CLASSE],"CPU",Tableau2[[STATUT ]],"Redouble",Tableau2[Sexes],"G")</f>
        <v>9</v>
      </c>
      <c r="AE84" s="509">
        <f>COUNTIFS(Tableau2[VILLAGE],"KIPIRI",Tableau2[CLASSE],"CEU",Tableau2[[STATUT ]],"Redouble",Tableau2[Sexes],"G")</f>
        <v>0</v>
      </c>
      <c r="AF84" s="510">
        <f t="shared" ref="AF84" si="773">AD84*100/AD85</f>
        <v>81.818181818181813</v>
      </c>
      <c r="AG84" s="848"/>
      <c r="AH84" s="510">
        <f>AD84*100/AD97</f>
        <v>20.930232558139537</v>
      </c>
      <c r="AI84" s="848"/>
      <c r="AJ84" s="510">
        <f>AD84*100/AD100</f>
        <v>5.5214723926380369</v>
      </c>
      <c r="AK84" s="848"/>
      <c r="AL84" s="324" t="s">
        <v>665</v>
      </c>
      <c r="AM84" s="509">
        <f>COUNTIFS(Tableau2[VILLAGE],"KIPIRI",Tableau2[[STATUT ]],"Absent",Tableau2[Sexes],"G")</f>
        <v>2</v>
      </c>
      <c r="AN84" s="509">
        <f>COUNTIFS(Tableau2[VILLAGE],"KIPIRI",Tableau2[CLASSE],"CPU",Tableau2[[STATUT ]],"Absent",Tableau2[Sexes],"G")</f>
        <v>2</v>
      </c>
      <c r="AO84" s="509">
        <f>COUNTIFS(Tableau2[VILLAGE],"KIPIRI",Tableau2[CLASSE],"CEU",Tableau2[[STATUT ]],"Absent",Tableau2[Sexes],"G")</f>
        <v>0</v>
      </c>
      <c r="AP84" s="510">
        <f t="shared" ref="AP84" si="774">AN84*100/AN85</f>
        <v>100</v>
      </c>
      <c r="AQ84" s="848"/>
      <c r="AR84" s="510">
        <f>AN84*100/AN97</f>
        <v>5.2631578947368425</v>
      </c>
      <c r="AS84" s="848"/>
      <c r="AT84" s="510">
        <f>AN84*100/AN100</f>
        <v>1.5384615384615385</v>
      </c>
      <c r="AU84" s="848"/>
      <c r="AV84" s="336" t="s">
        <v>665</v>
      </c>
      <c r="AW84" s="529">
        <f t="shared" si="639"/>
        <v>11</v>
      </c>
      <c r="AX84" s="509">
        <f>COUNTIFS(Tableau2[VILLAGE],"KIPIRI",Tableau2[Colonne1],"CP2",Tableau2[Sexes],"G")</f>
        <v>7</v>
      </c>
      <c r="AY84" s="509">
        <f>COUNTIFS(Tableau2[VILLAGE],"KIPIRI",Tableau2[Colonne1],"CE1",Tableau2[Sexes],"G")</f>
        <v>2</v>
      </c>
      <c r="AZ84" s="509">
        <f>COUNTIFS(Tableau2[VILLAGE],"KIPIRI",Tableau2[Colonne1],"CE2",Tableau2[Sexes],"G")</f>
        <v>2</v>
      </c>
      <c r="BA84" s="510">
        <f t="shared" ref="BA84" si="775">AX84*100/AX85</f>
        <v>77.777777777777771</v>
      </c>
      <c r="BB84" s="510">
        <f t="shared" ref="BB84" si="776">AY84*100/AY85</f>
        <v>50</v>
      </c>
      <c r="BC84" s="510">
        <f t="shared" ref="BC84" si="777">AZ84*100/AZ85</f>
        <v>66.666666666666671</v>
      </c>
      <c r="BD84" s="510">
        <f t="shared" si="767"/>
        <v>22.580645161290324</v>
      </c>
      <c r="BE84" s="510">
        <f t="shared" si="768"/>
        <v>2.150537634408602</v>
      </c>
      <c r="BF84" s="510">
        <f t="shared" si="769"/>
        <v>3.8461538461538463</v>
      </c>
      <c r="BG84" s="510">
        <f t="shared" si="770"/>
        <v>4.7619047619047619</v>
      </c>
      <c r="BH84" s="510">
        <f t="shared" si="771"/>
        <v>0.49261083743842365</v>
      </c>
      <c r="BI84" s="510">
        <f t="shared" si="772"/>
        <v>1.834862385321101</v>
      </c>
    </row>
    <row r="85" spans="1:61" ht="21.5" customHeight="1" thickBot="1" x14ac:dyDescent="0.35">
      <c r="C85" s="937"/>
      <c r="D85" s="917"/>
      <c r="E85" s="325" t="s">
        <v>658</v>
      </c>
      <c r="F85" s="333">
        <f>COUNTIFS(Tableau2[VILLAGE],"KIPIRI")</f>
        <v>18</v>
      </c>
      <c r="G85" s="340">
        <f>SUM(G83:G84)</f>
        <v>100</v>
      </c>
      <c r="H85" s="340">
        <f>SUM(H83:H84)</f>
        <v>8.4112149532710276</v>
      </c>
      <c r="I85" s="340">
        <f t="shared" ref="I85" si="778">SUM(I83:I84)</f>
        <v>2.1052631578947367</v>
      </c>
      <c r="J85" s="333">
        <f t="shared" ref="J85:O100" si="779">SUM(J83:J84)</f>
        <v>18</v>
      </c>
      <c r="K85" s="333">
        <f t="shared" si="779"/>
        <v>0</v>
      </c>
      <c r="L85" s="343">
        <f t="shared" si="779"/>
        <v>100</v>
      </c>
      <c r="M85" s="343">
        <f t="shared" si="779"/>
        <v>0</v>
      </c>
      <c r="N85" s="343">
        <f t="shared" si="779"/>
        <v>8.4112149532710276</v>
      </c>
      <c r="O85" s="343">
        <f t="shared" si="779"/>
        <v>0</v>
      </c>
      <c r="P85" s="343">
        <f t="shared" si="746"/>
        <v>2.2727272727272725</v>
      </c>
      <c r="Q85" s="343">
        <f t="shared" si="746"/>
        <v>0</v>
      </c>
      <c r="R85" s="333" t="s">
        <v>658</v>
      </c>
      <c r="S85" s="333">
        <f>COUNTIFS(Tableau2[VILLAGE],"KIPIRI",Tableau2[[STATUT ]],"admis")</f>
        <v>5</v>
      </c>
      <c r="T85" s="333">
        <f>COUNTIFS(Tableau2[VILLAGE],"KIPIRI",Tableau2[CE1-CE2],1)</f>
        <v>5</v>
      </c>
      <c r="U85" s="333">
        <f>COUNTIFS(Tableau2[VILLAGE],"BKIPIRI",Tableau2[CM1-CM2],1)</f>
        <v>0</v>
      </c>
      <c r="V85" s="343">
        <f t="shared" si="677"/>
        <v>100</v>
      </c>
      <c r="W85" s="849"/>
      <c r="X85" s="344">
        <f t="shared" ref="X85" si="780">SUM(X83:X84)</f>
        <v>3.7593984962406015</v>
      </c>
      <c r="Y85" s="849"/>
      <c r="Z85" s="344">
        <f t="shared" ref="Z85" si="781">SUM(Z83:Z84)</f>
        <v>5</v>
      </c>
      <c r="AA85" s="849"/>
      <c r="AB85" s="333" t="s">
        <v>658</v>
      </c>
      <c r="AC85" s="333">
        <f>COUNTIFS(Tableau2[VILLAGE],"KIPIRI",Tableau2[[STATUT ]],"Redouble")</f>
        <v>11</v>
      </c>
      <c r="AD85" s="333">
        <f t="shared" ref="AD85:AF100" si="782">SUM(AD83:AD84)</f>
        <v>11</v>
      </c>
      <c r="AE85" s="333">
        <f t="shared" si="782"/>
        <v>0</v>
      </c>
      <c r="AF85" s="343">
        <f t="shared" si="782"/>
        <v>100</v>
      </c>
      <c r="AG85" s="849"/>
      <c r="AH85" s="344">
        <f t="shared" ref="AH85" si="783">SUM(AH83:AH84)</f>
        <v>25.581395348837212</v>
      </c>
      <c r="AI85" s="849"/>
      <c r="AJ85" s="344">
        <f t="shared" ref="AJ85" si="784">SUM(AJ83:AJ84)</f>
        <v>6.7484662576687118</v>
      </c>
      <c r="AK85" s="849"/>
      <c r="AL85" s="333" t="s">
        <v>658</v>
      </c>
      <c r="AM85" s="333">
        <f>COUNTIFS(Tableau2[VILLAGE],"KIPIRI",Tableau2[[STATUT ]],"Absent")</f>
        <v>2</v>
      </c>
      <c r="AN85" s="333">
        <f t="shared" ref="AN85:AP85" si="785">SUM(AN83:AN84)</f>
        <v>2</v>
      </c>
      <c r="AO85" s="333">
        <f t="shared" si="785"/>
        <v>0</v>
      </c>
      <c r="AP85" s="343">
        <f t="shared" si="785"/>
        <v>100</v>
      </c>
      <c r="AQ85" s="849"/>
      <c r="AR85" s="344">
        <f t="shared" ref="AR85" si="786">SUM(AR83:AR84)</f>
        <v>5.2631578947368425</v>
      </c>
      <c r="AS85" s="849"/>
      <c r="AT85" s="344">
        <f t="shared" ref="AT85" si="787">SUM(AT83:AT84)</f>
        <v>1.5384615384615385</v>
      </c>
      <c r="AU85" s="849"/>
      <c r="AV85" s="342" t="s">
        <v>658</v>
      </c>
      <c r="AW85" s="530">
        <f t="shared" si="639"/>
        <v>16</v>
      </c>
      <c r="AX85" s="527">
        <f>SUM(AX83:AX84)</f>
        <v>9</v>
      </c>
      <c r="AY85" s="333">
        <f>SUM(AY83:AY84)</f>
        <v>4</v>
      </c>
      <c r="AZ85" s="333">
        <f>SUM(AZ83:AZ84)</f>
        <v>3</v>
      </c>
      <c r="BA85" s="517">
        <f t="shared" ref="BA85:BC85" si="788">SUM(BA83:BA84)</f>
        <v>100</v>
      </c>
      <c r="BB85" s="517">
        <f t="shared" si="788"/>
        <v>100</v>
      </c>
      <c r="BC85" s="517">
        <f t="shared" si="788"/>
        <v>100</v>
      </c>
      <c r="BD85" s="517">
        <f t="shared" ref="BD85" si="789">SUM(BD83:BD84)</f>
        <v>29.032258064516128</v>
      </c>
      <c r="BE85" s="517">
        <f t="shared" ref="BE85" si="790">SUM(BE83:BE84)</f>
        <v>4.301075268817204</v>
      </c>
      <c r="BF85" s="517">
        <f t="shared" ref="BF85" si="791">SUM(BF83:BF84)</f>
        <v>5.7692307692307692</v>
      </c>
      <c r="BG85" s="517">
        <f t="shared" ref="BG85:BI85" si="792">SUM(BG83:BG84)</f>
        <v>6.1224489795918364</v>
      </c>
      <c r="BH85" s="517">
        <f t="shared" si="792"/>
        <v>0.98522167487684731</v>
      </c>
      <c r="BI85" s="517">
        <f t="shared" si="792"/>
        <v>2.7522935779816518</v>
      </c>
    </row>
    <row r="86" spans="1:61" ht="21" customHeight="1" x14ac:dyDescent="0.35">
      <c r="C86" s="937"/>
      <c r="D86" s="915" t="s">
        <v>2695</v>
      </c>
      <c r="E86" s="326" t="s">
        <v>1990</v>
      </c>
      <c r="F86" s="509">
        <f>COUNTIFS(Tableau2[VILLAGE],"MAHEOUA",Tableau2[Sexes],"F")</f>
        <v>6</v>
      </c>
      <c r="G86" s="508">
        <f>F86*100/F88</f>
        <v>27.272727272727273</v>
      </c>
      <c r="H86" s="508">
        <f>F86*100/$F$97</f>
        <v>2.8037383177570092</v>
      </c>
      <c r="I86" s="508">
        <f>F86*100/$F$100</f>
        <v>0.70175438596491224</v>
      </c>
      <c r="J86" s="509">
        <f>COUNTIFS(Tableau2[VILLAGE],"MAHEOUA",Tableau2[CLASSE],"CPU",Tableau2[Sexes],"F")</f>
        <v>6</v>
      </c>
      <c r="K86" s="509">
        <f>COUNTIFS(Tableau2[VILLAGE],"MAHEOUA",Tableau2[CLASSE],"CEU",Tableau2[Sexes],"F")</f>
        <v>0</v>
      </c>
      <c r="L86" s="510">
        <f>J86*100/J88</f>
        <v>27.272727272727273</v>
      </c>
      <c r="M86" s="510">
        <v>0</v>
      </c>
      <c r="N86" s="510">
        <f t="shared" ref="N86:N87" si="793">J86*100/$J$97</f>
        <v>2.8037383177570092</v>
      </c>
      <c r="O86" s="510">
        <f t="shared" si="659"/>
        <v>0</v>
      </c>
      <c r="P86" s="510">
        <f t="shared" ref="P86:P87" si="794">J86*100/$J$100</f>
        <v>0.75757575757575757</v>
      </c>
      <c r="Q86" s="510">
        <f t="shared" ref="Q86:Q87" si="795">K86*100/$K$100</f>
        <v>0</v>
      </c>
      <c r="R86" s="326" t="s">
        <v>1990</v>
      </c>
      <c r="S86" s="509">
        <f>COUNTIFS(Tableau2[VILLAGE],"MAHEOUA",Tableau2[[STATUT ]],"admis",Tableau2[Sexes],"F")</f>
        <v>2</v>
      </c>
      <c r="T86" s="509">
        <f>COUNTIFS(Tableau2[VILLAGE],"MAHEOUA",Tableau2[CE1-CE2],1,Tableau2[Sexes],"F")</f>
        <v>2</v>
      </c>
      <c r="U86" s="509">
        <f>COUNTIFS(Tableau2[VILLAGE],"BMAHEOUA",Tableau2[CM1-CM2],1,Tableau2[Sexes],"F")</f>
        <v>0</v>
      </c>
      <c r="V86" s="510">
        <f t="shared" si="694"/>
        <v>28.571428571428573</v>
      </c>
      <c r="W86" s="847"/>
      <c r="X86" s="510">
        <f>T86*100/T97</f>
        <v>1.5037593984962405</v>
      </c>
      <c r="Y86" s="847"/>
      <c r="Z86" s="510">
        <f t="shared" ref="Z86:Z87" si="796">T86*100/$L$100</f>
        <v>2</v>
      </c>
      <c r="AA86" s="847"/>
      <c r="AB86" s="326" t="s">
        <v>1990</v>
      </c>
      <c r="AC86" s="509">
        <f>COUNTIFS(Tableau2[VILLAGE],"MAHEOUA",Tableau2[[STATUT ]],"Redouble",Tableau2[Sexes],"F")</f>
        <v>1</v>
      </c>
      <c r="AD86" s="509">
        <f>COUNTIFS(Tableau2[VILLAGE],"MAHEOUA",Tableau2[CLASSE],"CPU",Tableau2[[STATUT ]],"Redouble",Tableau2[Sexes],"F")</f>
        <v>1</v>
      </c>
      <c r="AE86" s="509">
        <f>COUNTIFS(Tableau2[VILLAGE],"MAHEOUA",Tableau2[CLASSE],"CEU",Tableau2[[STATUT ]],"Redouble",Tableau2[Sexes],"F")</f>
        <v>0</v>
      </c>
      <c r="AF86" s="510">
        <f t="shared" ref="AF86" si="797">AD86*100/AD88</f>
        <v>25</v>
      </c>
      <c r="AG86" s="847"/>
      <c r="AH86" s="510">
        <f>AD86*100/AD97</f>
        <v>2.3255813953488373</v>
      </c>
      <c r="AI86" s="847"/>
      <c r="AJ86" s="510">
        <f>AD86*100/AD100</f>
        <v>0.61349693251533743</v>
      </c>
      <c r="AK86" s="847"/>
      <c r="AL86" s="326" t="s">
        <v>1990</v>
      </c>
      <c r="AM86" s="509">
        <f>COUNTIFS(Tableau2[VILLAGE],"MAHEOUA",Tableau2[[STATUT ]],"Absent",Tableau2[Sexes],"F")</f>
        <v>3</v>
      </c>
      <c r="AN86" s="509">
        <f>COUNTIFS(Tableau2[VILLAGE],"MAHEOUA",Tableau2[CLASSE],"CPU",Tableau2[[STATUT ]],"Absent",Tableau2[Sexes],"F")</f>
        <v>3</v>
      </c>
      <c r="AO86" s="509">
        <f>COUNTIFS(Tableau2[VILLAGE],"MAHEOUA",Tableau2[CLASSE],"CEU",Tableau2[[STATUT ]],"Absent",Tableau2[Sexes],"F")</f>
        <v>0</v>
      </c>
      <c r="AP86" s="510">
        <f t="shared" ref="AP86" si="798">AN86*100/AN88</f>
        <v>27.272727272727273</v>
      </c>
      <c r="AQ86" s="847"/>
      <c r="AR86" s="510">
        <f>AN86*100/AN97</f>
        <v>7.8947368421052628</v>
      </c>
      <c r="AS86" s="847"/>
      <c r="AT86" s="510">
        <f>AN86*100/AN100</f>
        <v>2.3076923076923075</v>
      </c>
      <c r="AU86" s="847"/>
      <c r="AV86" s="345" t="s">
        <v>1990</v>
      </c>
      <c r="AW86" s="529">
        <f t="shared" si="639"/>
        <v>3</v>
      </c>
      <c r="AX86" s="509">
        <f>COUNTIFS(Tableau2[VILLAGE],"MAHEOUA",Tableau2[Colonne1],"CP2",Tableau2[Sexes],"F")</f>
        <v>1</v>
      </c>
      <c r="AY86" s="509">
        <f>COUNTIFS(Tableau2[VILLAGE],"MAHEOUA",Tableau2[Colonne1],"CE1",Tableau2[Sexes],"F")</f>
        <v>1</v>
      </c>
      <c r="AZ86" s="509">
        <f>COUNTIFS(Tableau2[VILLAGE],"MAHEOUA",Tableau2[Colonne1],"CE2",Tableau2[Sexes],"F")</f>
        <v>1</v>
      </c>
      <c r="BA86" s="510">
        <f t="shared" ref="BA86:BC86" si="799">AX86*100/AX88</f>
        <v>33.333333333333336</v>
      </c>
      <c r="BB86" s="510">
        <f t="shared" si="799"/>
        <v>25</v>
      </c>
      <c r="BC86" s="510">
        <f t="shared" si="799"/>
        <v>25</v>
      </c>
      <c r="BD86" s="510">
        <f t="shared" ref="BD86:BD87" si="800">AX86*100/$AX$97</f>
        <v>3.225806451612903</v>
      </c>
      <c r="BE86" s="510">
        <f t="shared" ref="BE86:BE87" si="801">AY86*100/$AY$97</f>
        <v>1.075268817204301</v>
      </c>
      <c r="BF86" s="510">
        <f t="shared" ref="BF86:BF87" si="802">AZ86*100/$AZ$97</f>
        <v>1.9230769230769231</v>
      </c>
      <c r="BG86" s="510">
        <f t="shared" ref="BG86:BG87" si="803">AX86*100/$AX$100</f>
        <v>0.68027210884353739</v>
      </c>
      <c r="BH86" s="510">
        <f t="shared" ref="BH86:BH87" si="804">AY86*100/$AY$100</f>
        <v>0.24630541871921183</v>
      </c>
      <c r="BI86" s="510">
        <f t="shared" ref="BI86:BI87" si="805">AZ86*100/$AZ$100</f>
        <v>0.91743119266055051</v>
      </c>
    </row>
    <row r="87" spans="1:61" ht="21" customHeight="1" thickBot="1" x14ac:dyDescent="0.4">
      <c r="C87" s="937"/>
      <c r="D87" s="916"/>
      <c r="E87" s="324" t="s">
        <v>665</v>
      </c>
      <c r="F87" s="509">
        <f>COUNTIFS(Tableau2[VILLAGE],"MAHEOUA",Tableau2[Sexes],"G")</f>
        <v>16</v>
      </c>
      <c r="G87" s="508">
        <f>F87*100/F88</f>
        <v>72.727272727272734</v>
      </c>
      <c r="H87" s="508">
        <f>F87*100/$F$97</f>
        <v>7.4766355140186915</v>
      </c>
      <c r="I87" s="508">
        <f>F87*100/$F$100</f>
        <v>1.871345029239766</v>
      </c>
      <c r="J87" s="509">
        <f>COUNTIFS(Tableau2[VILLAGE],"MAHEOUA",Tableau2[CLASSE],"CPU",Tableau2[Sexes],"G")</f>
        <v>16</v>
      </c>
      <c r="K87" s="509">
        <f>COUNTIFS(Tableau2[VILLAGE],"MAHEOUA",Tableau2[CLASSE],"CEU",Tableau2[Sexes],"G")</f>
        <v>0</v>
      </c>
      <c r="L87" s="510">
        <f>J87*100/J88</f>
        <v>72.727272727272734</v>
      </c>
      <c r="M87" s="510">
        <v>0</v>
      </c>
      <c r="N87" s="510">
        <f t="shared" si="793"/>
        <v>7.4766355140186915</v>
      </c>
      <c r="O87" s="510">
        <f t="shared" si="659"/>
        <v>0</v>
      </c>
      <c r="P87" s="510">
        <f t="shared" si="794"/>
        <v>2.0202020202020203</v>
      </c>
      <c r="Q87" s="510">
        <f t="shared" si="795"/>
        <v>0</v>
      </c>
      <c r="R87" s="324" t="s">
        <v>665</v>
      </c>
      <c r="S87" s="509">
        <f>COUNTIFS(Tableau2[VILLAGE],"MAHEOUA",Tableau2[[STATUT ]],"admis",Tableau2[Sexes],"G")</f>
        <v>5</v>
      </c>
      <c r="T87" s="509">
        <f>COUNTIFS(Tableau2[VILLAGE],"MAHEOUA",Tableau2[CE1-CE2],1,Tableau2[Sexes],"G")</f>
        <v>5</v>
      </c>
      <c r="U87" s="509">
        <f>COUNTIFS(Tableau2[VILLAGE],"MAHEOUA",Tableau2[CM1-CM2],1,Tableau2[Sexes],"G")</f>
        <v>0</v>
      </c>
      <c r="V87" s="510">
        <f t="shared" si="669"/>
        <v>71.428571428571431</v>
      </c>
      <c r="W87" s="848"/>
      <c r="X87" s="510">
        <f>T87*100/T97</f>
        <v>3.7593984962406015</v>
      </c>
      <c r="Y87" s="848"/>
      <c r="Z87" s="510">
        <f t="shared" si="796"/>
        <v>5</v>
      </c>
      <c r="AA87" s="848"/>
      <c r="AB87" s="324" t="s">
        <v>665</v>
      </c>
      <c r="AC87" s="509">
        <f>COUNTIFS(Tableau2[VILLAGE],"MAHEOUA",Tableau2[[STATUT ]],"Redouble",Tableau2[Sexes],"G")</f>
        <v>3</v>
      </c>
      <c r="AD87" s="509">
        <f>COUNTIFS(Tableau2[VILLAGE],"MAHEOUA",Tableau2[CLASSE],"CPU",Tableau2[[STATUT ]],"Redouble",Tableau2[Sexes],"G")</f>
        <v>3</v>
      </c>
      <c r="AE87" s="509">
        <f>COUNTIFS(Tableau2[VILLAGE],"MAHEOUA",Tableau2[CLASSE],"CEU",Tableau2[[STATUT ]],"Redouble",Tableau2[Sexes],"G")</f>
        <v>0</v>
      </c>
      <c r="AF87" s="510">
        <f t="shared" ref="AF87" si="806">AD87*100/AD88</f>
        <v>75</v>
      </c>
      <c r="AG87" s="848"/>
      <c r="AH87" s="510">
        <f>AD87*100/AD97</f>
        <v>6.9767441860465116</v>
      </c>
      <c r="AI87" s="848"/>
      <c r="AJ87" s="510">
        <f>AD87*100/AD100</f>
        <v>1.8404907975460123</v>
      </c>
      <c r="AK87" s="848"/>
      <c r="AL87" s="324" t="s">
        <v>665</v>
      </c>
      <c r="AM87" s="509">
        <f>COUNTIFS(Tableau2[VILLAGE],"MAHEOUA",Tableau2[[STATUT ]],"Absent",Tableau2[Sexes],"G")</f>
        <v>8</v>
      </c>
      <c r="AN87" s="509">
        <f>COUNTIFS(Tableau2[VILLAGE],"MAHEOUA",Tableau2[CLASSE],"CPU",Tableau2[[STATUT ]],"Absent",Tableau2[Sexes],"G")</f>
        <v>8</v>
      </c>
      <c r="AO87" s="509">
        <f>COUNTIFS(Tableau2[VILLAGE],"MAHEOUA",Tableau2[CLASSE],"CEU",Tableau2[[STATUT ]],"Absent",Tableau2[Sexes],"G")</f>
        <v>0</v>
      </c>
      <c r="AP87" s="510">
        <f t="shared" ref="AP87" si="807">AN87*100/AN88</f>
        <v>72.727272727272734</v>
      </c>
      <c r="AQ87" s="848"/>
      <c r="AR87" s="510">
        <f>AN87*100/AN97</f>
        <v>21.05263157894737</v>
      </c>
      <c r="AS87" s="848"/>
      <c r="AT87" s="510">
        <f>AN87*100/AN100</f>
        <v>6.1538461538461542</v>
      </c>
      <c r="AU87" s="848"/>
      <c r="AV87" s="336" t="s">
        <v>665</v>
      </c>
      <c r="AW87" s="529">
        <f t="shared" si="639"/>
        <v>8</v>
      </c>
      <c r="AX87" s="509">
        <f>COUNTIFS(Tableau2[VILLAGE],"MAHEOUA",Tableau2[Colonne1],"CP2",Tableau2[Sexes],"G")</f>
        <v>2</v>
      </c>
      <c r="AY87" s="509">
        <f>COUNTIFS(Tableau2[VILLAGE],"MAHEOUA",Tableau2[Colonne1],"CE1",Tableau2[Sexes],"G")</f>
        <v>3</v>
      </c>
      <c r="AZ87" s="509">
        <f>COUNTIFS(Tableau2[VILLAGE],"MAHEOUA",Tableau2[Colonne1],"CE2",Tableau2[Sexes],"G")</f>
        <v>3</v>
      </c>
      <c r="BA87" s="510">
        <f t="shared" ref="BA87" si="808">AX87*100/AX88</f>
        <v>66.666666666666671</v>
      </c>
      <c r="BB87" s="510">
        <f t="shared" ref="BB87" si="809">AY87*100/AY88</f>
        <v>75</v>
      </c>
      <c r="BC87" s="510">
        <f t="shared" ref="BC87" si="810">AZ87*100/AZ88</f>
        <v>75</v>
      </c>
      <c r="BD87" s="510">
        <f t="shared" si="800"/>
        <v>6.4516129032258061</v>
      </c>
      <c r="BE87" s="510">
        <f t="shared" si="801"/>
        <v>3.225806451612903</v>
      </c>
      <c r="BF87" s="510">
        <f t="shared" si="802"/>
        <v>5.7692307692307692</v>
      </c>
      <c r="BG87" s="510">
        <f t="shared" si="803"/>
        <v>1.3605442176870748</v>
      </c>
      <c r="BH87" s="510">
        <f t="shared" si="804"/>
        <v>0.73891625615763545</v>
      </c>
      <c r="BI87" s="510">
        <f t="shared" si="805"/>
        <v>2.7522935779816513</v>
      </c>
    </row>
    <row r="88" spans="1:61" ht="21.5" customHeight="1" thickBot="1" x14ac:dyDescent="0.35">
      <c r="C88" s="937"/>
      <c r="D88" s="917"/>
      <c r="E88" s="325" t="s">
        <v>658</v>
      </c>
      <c r="F88" s="333">
        <f>COUNTIFS(Tableau2[VILLAGE],"MAHEOUA")</f>
        <v>22</v>
      </c>
      <c r="G88" s="340">
        <f>SUM(G86:G87)</f>
        <v>100</v>
      </c>
      <c r="H88" s="340">
        <f>SUM(H86:H87)</f>
        <v>10.280373831775702</v>
      </c>
      <c r="I88" s="340">
        <f t="shared" ref="I88" si="811">SUM(I86:I87)</f>
        <v>2.5730994152046782</v>
      </c>
      <c r="J88" s="333">
        <f t="shared" ref="J88" si="812">SUM(J86:J87)</f>
        <v>22</v>
      </c>
      <c r="K88" s="333">
        <f t="shared" si="779"/>
        <v>0</v>
      </c>
      <c r="L88" s="343">
        <f t="shared" si="779"/>
        <v>100</v>
      </c>
      <c r="M88" s="343">
        <f t="shared" si="779"/>
        <v>0</v>
      </c>
      <c r="N88" s="343">
        <f t="shared" si="779"/>
        <v>10.280373831775702</v>
      </c>
      <c r="O88" s="343">
        <f t="shared" si="779"/>
        <v>0</v>
      </c>
      <c r="P88" s="343">
        <f t="shared" si="746"/>
        <v>2.7777777777777777</v>
      </c>
      <c r="Q88" s="343">
        <f t="shared" si="746"/>
        <v>0</v>
      </c>
      <c r="R88" s="333" t="s">
        <v>658</v>
      </c>
      <c r="S88" s="333">
        <f>COUNTIFS(Tableau2[VILLAGE],"MAHEOUA",Tableau2[[STATUT ]],"admis")</f>
        <v>7</v>
      </c>
      <c r="T88" s="333">
        <f>COUNTIFS(Tableau2[VILLAGE],"MAHEOUA",Tableau2[CE1-CE2],1)</f>
        <v>7</v>
      </c>
      <c r="U88" s="333">
        <f>COUNTIFS(Tableau2[VILLAGE],"MAHEOUA",Tableau2[CM1-CM2],1)</f>
        <v>0</v>
      </c>
      <c r="V88" s="343">
        <f t="shared" si="677"/>
        <v>100</v>
      </c>
      <c r="W88" s="849"/>
      <c r="X88" s="344">
        <f t="shared" ref="X88" si="813">SUM(X86:X87)</f>
        <v>5.2631578947368425</v>
      </c>
      <c r="Y88" s="849"/>
      <c r="Z88" s="344">
        <f t="shared" ref="Z88" si="814">SUM(Z86:Z87)</f>
        <v>7</v>
      </c>
      <c r="AA88" s="849"/>
      <c r="AB88" s="333" t="s">
        <v>658</v>
      </c>
      <c r="AC88" s="333">
        <f>COUNTIFS(Tableau2[VILLAGE],"MAHEOUA",Tableau2[[STATUT ]],"Redouble")</f>
        <v>4</v>
      </c>
      <c r="AD88" s="333">
        <f t="shared" ref="AD88" si="815">SUM(AD86:AD87)</f>
        <v>4</v>
      </c>
      <c r="AE88" s="333">
        <f t="shared" si="782"/>
        <v>0</v>
      </c>
      <c r="AF88" s="343">
        <f t="shared" si="782"/>
        <v>100</v>
      </c>
      <c r="AG88" s="849"/>
      <c r="AH88" s="344">
        <f t="shared" ref="AH88" si="816">SUM(AH86:AH87)</f>
        <v>9.3023255813953494</v>
      </c>
      <c r="AI88" s="849"/>
      <c r="AJ88" s="344">
        <f t="shared" ref="AJ88" si="817">SUM(AJ86:AJ87)</f>
        <v>2.4539877300613497</v>
      </c>
      <c r="AK88" s="849"/>
      <c r="AL88" s="333" t="s">
        <v>658</v>
      </c>
      <c r="AM88" s="333">
        <f>COUNTIFS(Tableau2[VILLAGE],"MAHEOUA",Tableau2[[STATUT ]],"Absent")</f>
        <v>11</v>
      </c>
      <c r="AN88" s="333">
        <f t="shared" ref="AN88:AP88" si="818">SUM(AN86:AN87)</f>
        <v>11</v>
      </c>
      <c r="AO88" s="333">
        <f t="shared" si="818"/>
        <v>0</v>
      </c>
      <c r="AP88" s="343">
        <f t="shared" si="818"/>
        <v>100</v>
      </c>
      <c r="AQ88" s="849"/>
      <c r="AR88" s="344">
        <f t="shared" ref="AR88" si="819">SUM(AR86:AR87)</f>
        <v>28.947368421052634</v>
      </c>
      <c r="AS88" s="849"/>
      <c r="AT88" s="344">
        <f t="shared" ref="AT88" si="820">SUM(AT86:AT87)</f>
        <v>8.4615384615384617</v>
      </c>
      <c r="AU88" s="849"/>
      <c r="AV88" s="342" t="s">
        <v>658</v>
      </c>
      <c r="AW88" s="530">
        <f t="shared" si="639"/>
        <v>11</v>
      </c>
      <c r="AX88" s="527">
        <f>SUM(AX86:AX87)</f>
        <v>3</v>
      </c>
      <c r="AY88" s="333">
        <f>SUM(AY86:AY87)</f>
        <v>4</v>
      </c>
      <c r="AZ88" s="333">
        <f>SUM(AZ86:AZ87)</f>
        <v>4</v>
      </c>
      <c r="BA88" s="517">
        <f t="shared" ref="BA88:BC88" si="821">SUM(BA86:BA87)</f>
        <v>100</v>
      </c>
      <c r="BB88" s="517">
        <f t="shared" si="821"/>
        <v>100</v>
      </c>
      <c r="BC88" s="517">
        <f t="shared" si="821"/>
        <v>100</v>
      </c>
      <c r="BD88" s="517">
        <f t="shared" ref="BD88" si="822">SUM(BD86:BD87)</f>
        <v>9.6774193548387082</v>
      </c>
      <c r="BE88" s="517">
        <f t="shared" ref="BE88" si="823">SUM(BE86:BE87)</f>
        <v>4.301075268817204</v>
      </c>
      <c r="BF88" s="517">
        <f t="shared" ref="BF88" si="824">SUM(BF86:BF87)</f>
        <v>7.6923076923076925</v>
      </c>
      <c r="BG88" s="517">
        <f t="shared" ref="BG88:BI88" si="825">SUM(BG86:BG87)</f>
        <v>2.0408163265306123</v>
      </c>
      <c r="BH88" s="517">
        <f t="shared" si="825"/>
        <v>0.98522167487684731</v>
      </c>
      <c r="BI88" s="517">
        <f t="shared" si="825"/>
        <v>3.669724770642202</v>
      </c>
    </row>
    <row r="89" spans="1:61" ht="21" customHeight="1" x14ac:dyDescent="0.35">
      <c r="C89" s="937"/>
      <c r="D89" s="915" t="s">
        <v>2652</v>
      </c>
      <c r="E89" s="326" t="s">
        <v>1990</v>
      </c>
      <c r="F89" s="509">
        <f>COUNTIFS(Tableau2[VILLAGE],"PETIT GOA(LAZOUA)",Tableau2[Sexes],"F")</f>
        <v>23</v>
      </c>
      <c r="G89" s="508">
        <f>F89*100/F91</f>
        <v>43.39622641509434</v>
      </c>
      <c r="H89" s="508">
        <f>F89*100/$F$97</f>
        <v>10.747663551401869</v>
      </c>
      <c r="I89" s="508">
        <f>F89*100/$F$100</f>
        <v>2.6900584795321638</v>
      </c>
      <c r="J89" s="509">
        <f>COUNTIFS(Tableau2[VILLAGE],"PETIT GOA(LAZOUA)",Tableau2[CLASSE],"CPU",Tableau2[Sexes],"F")</f>
        <v>23</v>
      </c>
      <c r="K89" s="509">
        <f>COUNTIFS(Tableau2[VILLAGE],"PETIT GOA(LAZOUA)",Tableau2[CLASSE],"CEU",Tableau2[Sexes],"F")</f>
        <v>0</v>
      </c>
      <c r="L89" s="510">
        <f>J89*100/J91</f>
        <v>43.39622641509434</v>
      </c>
      <c r="M89" s="510">
        <v>0</v>
      </c>
      <c r="N89" s="510">
        <f t="shared" ref="N89:N90" si="826">J89*100/$J$97</f>
        <v>10.747663551401869</v>
      </c>
      <c r="O89" s="510">
        <f t="shared" si="659"/>
        <v>0</v>
      </c>
      <c r="P89" s="510">
        <f t="shared" ref="P89:P90" si="827">J89*100/$J$100</f>
        <v>2.904040404040404</v>
      </c>
      <c r="Q89" s="510">
        <f t="shared" ref="Q89:Q90" si="828">K89*100/$K$100</f>
        <v>0</v>
      </c>
      <c r="R89" s="326" t="s">
        <v>1990</v>
      </c>
      <c r="S89" s="509">
        <f>COUNTIFS(Tableau2[VILLAGE],"PETIT GOA(LAZOUA)",Tableau2[[STATUT ]],"admis",Tableau2[Sexes],"F")</f>
        <v>16</v>
      </c>
      <c r="T89" s="509">
        <f>COUNTIFS(Tableau2[VILLAGE],"PETIT GOA(LAZOUA)",Tableau2[CE1-CE2],1,Tableau2[Sexes],"F")</f>
        <v>16</v>
      </c>
      <c r="U89" s="509">
        <f>COUNTIFS(Tableau2[VILLAGE],"PETIT GOA(LAZOUA)",Tableau2[CM1-CM2],1,Tableau2[Sexes],"F")</f>
        <v>0</v>
      </c>
      <c r="V89" s="510">
        <f>T89*100/T91</f>
        <v>37.209302325581397</v>
      </c>
      <c r="W89" s="847"/>
      <c r="X89" s="510">
        <f>T89*100/T97</f>
        <v>12.030075187969924</v>
      </c>
      <c r="Y89" s="847"/>
      <c r="Z89" s="510">
        <f t="shared" ref="Z89:Z90" si="829">T89*100/$L$100</f>
        <v>16</v>
      </c>
      <c r="AA89" s="847"/>
      <c r="AB89" s="326" t="s">
        <v>1990</v>
      </c>
      <c r="AC89" s="509">
        <f>COUNTIFS(Tableau2[VILLAGE],"PETIT GOA(LAZOUA)",Tableau2[[STATUT ]],"Redouble",Tableau2[Sexes],"F")</f>
        <v>4</v>
      </c>
      <c r="AD89" s="509">
        <f>COUNTIFS(Tableau2[VILLAGE],"PETIT GOA(LAZOUA)",Tableau2[CLASSE],"CPU",Tableau2[[STATUT ]],"Redouble",Tableau2[Sexes],"F")</f>
        <v>4</v>
      </c>
      <c r="AE89" s="509">
        <f>COUNTIFS(Tableau2[VILLAGE],"PETIT GOA(LAZOUA)",Tableau2[CLASSE],"CEU",Tableau2[[STATUT ]],"Redouble",Tableau2[Sexes],"F")</f>
        <v>0</v>
      </c>
      <c r="AF89" s="510">
        <f t="shared" ref="AF89" si="830">AD89*100/AD91</f>
        <v>66.666666666666671</v>
      </c>
      <c r="AG89" s="847"/>
      <c r="AH89" s="510">
        <f>AD89*100/AD97</f>
        <v>9.3023255813953494</v>
      </c>
      <c r="AI89" s="847"/>
      <c r="AJ89" s="510">
        <f>AD89*100/AD100</f>
        <v>2.4539877300613497</v>
      </c>
      <c r="AK89" s="847"/>
      <c r="AL89" s="326" t="s">
        <v>1990</v>
      </c>
      <c r="AM89" s="509">
        <f>COUNTIFS(Tableau2[VILLAGE],"PETIT GOA(LAZOUA)",Tableau2[[STATUT ]],"Absent",Tableau2[Sexes],"F")</f>
        <v>3</v>
      </c>
      <c r="AN89" s="509">
        <f>COUNTIFS(Tableau2[VILLAGE],"PETIT GOA(LAZOUA)",Tableau2[CLASSE],"CPU",Tableau2[[STATUT ]],"Absent",Tableau2[Sexes],"F")</f>
        <v>3</v>
      </c>
      <c r="AO89" s="847"/>
      <c r="AP89" s="847"/>
      <c r="AQ89" s="847"/>
      <c r="AR89" s="510">
        <f>AN89*100/AN97</f>
        <v>7.8947368421052628</v>
      </c>
      <c r="AS89" s="847"/>
      <c r="AT89" s="510">
        <f>AN89*100/AN100</f>
        <v>2.3076923076923075</v>
      </c>
      <c r="AU89" s="847"/>
      <c r="AV89" s="345" t="s">
        <v>1990</v>
      </c>
      <c r="AW89" s="529">
        <f t="shared" si="639"/>
        <v>20</v>
      </c>
      <c r="AX89" s="509">
        <f>COUNTIFS(Tableau2[VILLAGE],"PETIT GOA(LAZOUA)",Tableau2[Colonne1],"CP2",Tableau2[Sexes],"F")</f>
        <v>4</v>
      </c>
      <c r="AY89" s="509">
        <f>COUNTIFS(Tableau2[VILLAGE],"PETIT GOA(LAZOUA)",Tableau2[Colonne1],"CE1",Tableau2[Sexes],"F")</f>
        <v>14</v>
      </c>
      <c r="AZ89" s="509">
        <f>COUNTIFS(Tableau2[VILLAGE],"PETIT GOA(LAZOUA)",Tableau2[Colonne1],"CE2",Tableau2[Sexes],"F")</f>
        <v>2</v>
      </c>
      <c r="BA89" s="518">
        <f t="shared" ref="BA89:BC89" si="831">AX89*100/AX91</f>
        <v>80</v>
      </c>
      <c r="BB89" s="510">
        <f t="shared" si="831"/>
        <v>40</v>
      </c>
      <c r="BC89" s="510">
        <f t="shared" si="831"/>
        <v>22.222222222222221</v>
      </c>
      <c r="BD89" s="510">
        <f t="shared" ref="BD89:BD90" si="832">AX89*100/$AX$97</f>
        <v>12.903225806451612</v>
      </c>
      <c r="BE89" s="510">
        <f t="shared" ref="BE89:BE90" si="833">AY89*100/$AY$97</f>
        <v>15.053763440860216</v>
      </c>
      <c r="BF89" s="510">
        <f t="shared" ref="BF89:BF90" si="834">AZ89*100/$AZ$97</f>
        <v>3.8461538461538463</v>
      </c>
      <c r="BG89" s="510">
        <f t="shared" ref="BG89:BG90" si="835">AX89*100/$AX$100</f>
        <v>2.7210884353741496</v>
      </c>
      <c r="BH89" s="510">
        <f t="shared" ref="BH89:BH90" si="836">AY89*100/$AY$100</f>
        <v>3.4482758620689653</v>
      </c>
      <c r="BI89" s="510">
        <f t="shared" ref="BI89:BI90" si="837">AZ89*100/$AZ$100</f>
        <v>1.834862385321101</v>
      </c>
    </row>
    <row r="90" spans="1:61" ht="21" customHeight="1" thickBot="1" x14ac:dyDescent="0.4">
      <c r="C90" s="937"/>
      <c r="D90" s="916"/>
      <c r="E90" s="324" t="s">
        <v>665</v>
      </c>
      <c r="F90" s="509">
        <f>COUNTIFS(Tableau2[VILLAGE],"PETIT GOA(LAZOUA)",Tableau2[Sexes],"G")</f>
        <v>30</v>
      </c>
      <c r="G90" s="508">
        <f>F90*100/F91</f>
        <v>56.60377358490566</v>
      </c>
      <c r="H90" s="508">
        <f>F90*100/$F$97</f>
        <v>14.018691588785046</v>
      </c>
      <c r="I90" s="508">
        <f>F90*100/$F$100</f>
        <v>3.5087719298245612</v>
      </c>
      <c r="J90" s="509">
        <f>COUNTIFS(Tableau2[VILLAGE],"PETIT GOA(LAZOUA)",Tableau2[CLASSE],"CPU",Tableau2[Sexes],"G")</f>
        <v>30</v>
      </c>
      <c r="K90" s="509">
        <f>COUNTIFS(Tableau2[VILLAGE],"PETIT GOA(LAZOUA)",Tableau2[CLASSE],"CEU",Tableau2[Sexes],"G")</f>
        <v>0</v>
      </c>
      <c r="L90" s="510">
        <f>J90*100/J91</f>
        <v>56.60377358490566</v>
      </c>
      <c r="M90" s="510">
        <v>0</v>
      </c>
      <c r="N90" s="510">
        <f t="shared" si="826"/>
        <v>14.018691588785046</v>
      </c>
      <c r="O90" s="510">
        <f t="shared" si="659"/>
        <v>0</v>
      </c>
      <c r="P90" s="510">
        <f t="shared" si="827"/>
        <v>3.7878787878787881</v>
      </c>
      <c r="Q90" s="510">
        <f t="shared" si="828"/>
        <v>0</v>
      </c>
      <c r="R90" s="324" t="s">
        <v>665</v>
      </c>
      <c r="S90" s="509">
        <f>COUNTIFS(Tableau2[VILLAGE],"PETIT GOA(LAZOUA)",Tableau2[[STATUT ]],"admis",Tableau2[Sexes],"G")</f>
        <v>27</v>
      </c>
      <c r="T90" s="509">
        <f>COUNTIFS(Tableau2[VILLAGE],"PETIT GOA(LAZOUA)",Tableau2[CE1-CE2],1,Tableau2[Sexes],"G")</f>
        <v>27</v>
      </c>
      <c r="U90" s="509">
        <f>COUNTIFS(Tableau2[VILLAGE],"PETIT GOA(LAZOUA)",Tableau2[CM1-CM2],1,Tableau2[Sexes],"G")</f>
        <v>0</v>
      </c>
      <c r="V90" s="510">
        <f t="shared" si="669"/>
        <v>62.790697674418603</v>
      </c>
      <c r="W90" s="848"/>
      <c r="X90" s="510">
        <f>T90*100/T97</f>
        <v>20.300751879699249</v>
      </c>
      <c r="Y90" s="848"/>
      <c r="Z90" s="510">
        <f t="shared" si="829"/>
        <v>27</v>
      </c>
      <c r="AA90" s="848"/>
      <c r="AB90" s="324" t="s">
        <v>665</v>
      </c>
      <c r="AC90" s="509">
        <f>COUNTIFS(Tableau2[VILLAGE],"PETIT GOA(LAZOUA)",Tableau2[[STATUT ]],"Redouble",Tableau2[Sexes],"G")</f>
        <v>2</v>
      </c>
      <c r="AD90" s="509">
        <f>COUNTIFS(Tableau2[VILLAGE],"PETIT GOA(LAZOUA)",Tableau2[CLASSE],"CPU",Tableau2[[STATUT ]],"Redouble",Tableau2[Sexes],"G")</f>
        <v>2</v>
      </c>
      <c r="AE90" s="509">
        <f>COUNTIFS(Tableau2[VILLAGE],"PETIT GOA(LAZOUA)",Tableau2[CLASSE],"CEU",Tableau2[[STATUT ]],"Redouble",Tableau2[Sexes],"G")</f>
        <v>0</v>
      </c>
      <c r="AF90" s="510">
        <f t="shared" ref="AF90" si="838">AD90*100/AD91</f>
        <v>33.333333333333336</v>
      </c>
      <c r="AG90" s="848"/>
      <c r="AH90" s="510">
        <f>AD90*100/AD97</f>
        <v>4.6511627906976747</v>
      </c>
      <c r="AI90" s="848"/>
      <c r="AJ90" s="510">
        <f>AD90*100/AD100</f>
        <v>1.2269938650306749</v>
      </c>
      <c r="AK90" s="848"/>
      <c r="AL90" s="324" t="s">
        <v>665</v>
      </c>
      <c r="AM90" s="509">
        <f>COUNTIFS(Tableau2[VILLAGE],"PETIT GOA(LAZOUA)",Tableau2[[STATUT ]],"Absent",Tableau2[Sexes],"G")</f>
        <v>1</v>
      </c>
      <c r="AN90" s="509">
        <f>COUNTIFS(Tableau2[VILLAGE],"PETIT GOA(LAZOUA)",Tableau2[CLASSE],"CPU",Tableau2[[STATUT ]],"Absent",Tableau2[Sexes],"G")</f>
        <v>1</v>
      </c>
      <c r="AO90" s="848"/>
      <c r="AP90" s="848"/>
      <c r="AQ90" s="848"/>
      <c r="AR90" s="510">
        <f>AN90*100/AN97</f>
        <v>2.6315789473684212</v>
      </c>
      <c r="AS90" s="848"/>
      <c r="AT90" s="510">
        <f>AN90*100/AN100</f>
        <v>0.76923076923076927</v>
      </c>
      <c r="AU90" s="848"/>
      <c r="AV90" s="336" t="s">
        <v>665</v>
      </c>
      <c r="AW90" s="529">
        <f t="shared" si="639"/>
        <v>29</v>
      </c>
      <c r="AX90" s="509">
        <f>COUNTIFS(Tableau2[VILLAGE],"PETIT GOA(LAZOUA)",Tableau2[Colonne1],"CP2",Tableau2[Sexes],"G")</f>
        <v>1</v>
      </c>
      <c r="AY90" s="509">
        <f>COUNTIFS(Tableau2[VILLAGE],"PETIT GOA(LAZOUA)",Tableau2[Colonne1],"CE1",Tableau2[Sexes],"G")</f>
        <v>21</v>
      </c>
      <c r="AZ90" s="509">
        <f>COUNTIFS(Tableau2[VILLAGE],"PETIT GOA(LAZOUA)",Tableau2[Colonne1],"CE2",Tableau2[Sexes],"G")</f>
        <v>7</v>
      </c>
      <c r="BA90" s="510">
        <f t="shared" ref="BA90" si="839">AX90*100/AX91</f>
        <v>20</v>
      </c>
      <c r="BB90" s="510">
        <f t="shared" ref="BB90" si="840">AY90*100/AY91</f>
        <v>60</v>
      </c>
      <c r="BC90" s="510">
        <f t="shared" ref="BC90" si="841">AZ90*100/AZ91</f>
        <v>77.777777777777771</v>
      </c>
      <c r="BD90" s="510">
        <f t="shared" si="832"/>
        <v>3.225806451612903</v>
      </c>
      <c r="BE90" s="510">
        <f t="shared" si="833"/>
        <v>22.580645161290324</v>
      </c>
      <c r="BF90" s="510">
        <f t="shared" si="834"/>
        <v>13.461538461538462</v>
      </c>
      <c r="BG90" s="510">
        <f t="shared" si="835"/>
        <v>0.68027210884353739</v>
      </c>
      <c r="BH90" s="510">
        <f t="shared" si="836"/>
        <v>5.1724137931034484</v>
      </c>
      <c r="BI90" s="510">
        <f t="shared" si="837"/>
        <v>6.4220183486238529</v>
      </c>
    </row>
    <row r="91" spans="1:61" ht="21.5" customHeight="1" thickBot="1" x14ac:dyDescent="0.35">
      <c r="C91" s="937"/>
      <c r="D91" s="917"/>
      <c r="E91" s="325" t="s">
        <v>658</v>
      </c>
      <c r="F91" s="333">
        <f>COUNTIFS(Tableau2[VILLAGE],"PETIT GOA(LAZOUA)")</f>
        <v>53</v>
      </c>
      <c r="G91" s="340">
        <f>SUM(G89:G90)</f>
        <v>100</v>
      </c>
      <c r="H91" s="340">
        <f>SUM(H89:H90)</f>
        <v>24.766355140186917</v>
      </c>
      <c r="I91" s="340">
        <f t="shared" ref="I91" si="842">SUM(I89:I90)</f>
        <v>6.1988304093567255</v>
      </c>
      <c r="J91" s="333">
        <f t="shared" ref="J91" si="843">SUM(J89:J90)</f>
        <v>53</v>
      </c>
      <c r="K91" s="333">
        <f t="shared" si="779"/>
        <v>0</v>
      </c>
      <c r="L91" s="343">
        <f t="shared" si="779"/>
        <v>100</v>
      </c>
      <c r="M91" s="343">
        <f t="shared" si="779"/>
        <v>0</v>
      </c>
      <c r="N91" s="343">
        <f t="shared" si="779"/>
        <v>24.766355140186917</v>
      </c>
      <c r="O91" s="343">
        <f t="shared" si="779"/>
        <v>0</v>
      </c>
      <c r="P91" s="343">
        <f t="shared" si="746"/>
        <v>6.691919191919192</v>
      </c>
      <c r="Q91" s="343">
        <f t="shared" si="746"/>
        <v>0</v>
      </c>
      <c r="R91" s="333" t="s">
        <v>658</v>
      </c>
      <c r="S91" s="333">
        <f>COUNTIFS(Tableau2[VILLAGE],"PETIT GOA(LAZOUA)",Tableau2[[STATUT ]],"admis")</f>
        <v>43</v>
      </c>
      <c r="T91" s="333">
        <f>COUNTIFS(Tableau2[VILLAGE],"PETIT GOA(LAZOUA)",Tableau2[CE1-CE2],1)</f>
        <v>43</v>
      </c>
      <c r="U91" s="333">
        <f>COUNTIFS(Tableau2[VILLAGE],"PETIT GOA(LAZOUA)",Tableau2[CM1-CM2],1)</f>
        <v>0</v>
      </c>
      <c r="V91" s="343">
        <f t="shared" si="677"/>
        <v>100</v>
      </c>
      <c r="W91" s="849"/>
      <c r="X91" s="344">
        <f t="shared" ref="X91" si="844">SUM(X89:X90)</f>
        <v>32.330827067669176</v>
      </c>
      <c r="Y91" s="849"/>
      <c r="Z91" s="344">
        <f t="shared" ref="Z91" si="845">SUM(Z89:Z90)</f>
        <v>43</v>
      </c>
      <c r="AA91" s="849"/>
      <c r="AB91" s="333" t="s">
        <v>658</v>
      </c>
      <c r="AC91" s="333">
        <f>COUNTIFS(Tableau2[VILLAGE],"PETIT GOA(LAZOUA)",Tableau2[[STATUT ]],"Redouble")</f>
        <v>6</v>
      </c>
      <c r="AD91" s="333">
        <f t="shared" ref="AD91" si="846">SUM(AD89:AD90)</f>
        <v>6</v>
      </c>
      <c r="AE91" s="333">
        <f t="shared" si="782"/>
        <v>0</v>
      </c>
      <c r="AF91" s="343">
        <f t="shared" si="782"/>
        <v>100</v>
      </c>
      <c r="AG91" s="849"/>
      <c r="AH91" s="344">
        <f>SUM(AH89:AH90)</f>
        <v>13.953488372093023</v>
      </c>
      <c r="AI91" s="849"/>
      <c r="AJ91" s="344">
        <f t="shared" ref="AJ91" si="847">SUM(AJ89:AJ90)</f>
        <v>3.6809815950920246</v>
      </c>
      <c r="AK91" s="849"/>
      <c r="AL91" s="333" t="s">
        <v>658</v>
      </c>
      <c r="AM91" s="333">
        <f>COUNTIFS(Tableau2[VILLAGE],"PETIT GOA(LAZOUA)",Tableau2[[STATUT ]],"Absent")</f>
        <v>4</v>
      </c>
      <c r="AN91" s="333">
        <f t="shared" ref="AN91" si="848">SUM(AN89:AN90)</f>
        <v>4</v>
      </c>
      <c r="AO91" s="849"/>
      <c r="AP91" s="849"/>
      <c r="AQ91" s="849"/>
      <c r="AR91" s="344">
        <f>SUM(AR89:AR90)</f>
        <v>10.526315789473685</v>
      </c>
      <c r="AS91" s="849"/>
      <c r="AT91" s="344">
        <f t="shared" ref="AT91" si="849">SUM(AT89:AT90)</f>
        <v>3.0769230769230766</v>
      </c>
      <c r="AU91" s="849"/>
      <c r="AV91" s="342" t="s">
        <v>658</v>
      </c>
      <c r="AW91" s="530">
        <f t="shared" si="639"/>
        <v>49</v>
      </c>
      <c r="AX91" s="527">
        <f>SUM(AX89:AX90)</f>
        <v>5</v>
      </c>
      <c r="AY91" s="333">
        <f>SUM(AY89:AY90)</f>
        <v>35</v>
      </c>
      <c r="AZ91" s="333">
        <f>SUM(AZ89:AZ90)</f>
        <v>9</v>
      </c>
      <c r="BA91" s="517">
        <f t="shared" ref="BA91:BC91" si="850">SUM(BA89:BA90)</f>
        <v>100</v>
      </c>
      <c r="BB91" s="517">
        <f t="shared" si="850"/>
        <v>100</v>
      </c>
      <c r="BC91" s="517">
        <f t="shared" si="850"/>
        <v>100</v>
      </c>
      <c r="BD91" s="517">
        <f t="shared" ref="BD91" si="851">SUM(BD89:BD90)</f>
        <v>16.129032258064516</v>
      </c>
      <c r="BE91" s="517">
        <f t="shared" ref="BE91" si="852">SUM(BE89:BE90)</f>
        <v>37.634408602150543</v>
      </c>
      <c r="BF91" s="517">
        <f t="shared" ref="BF91" si="853">SUM(BF89:BF90)</f>
        <v>17.307692307692307</v>
      </c>
      <c r="BG91" s="517">
        <f t="shared" ref="BG91:BI91" si="854">SUM(BG89:BG90)</f>
        <v>3.4013605442176869</v>
      </c>
      <c r="BH91" s="517">
        <f t="shared" si="854"/>
        <v>8.6206896551724128</v>
      </c>
      <c r="BI91" s="517">
        <f t="shared" si="854"/>
        <v>8.2568807339449535</v>
      </c>
    </row>
    <row r="92" spans="1:61" ht="21" customHeight="1" x14ac:dyDescent="0.35">
      <c r="C92" s="937"/>
      <c r="D92" s="915" t="s">
        <v>1738</v>
      </c>
      <c r="E92" s="326" t="s">
        <v>1990</v>
      </c>
      <c r="F92" s="509">
        <f>COUNTIFS(Tableau2[VILLAGE],"ROA",Tableau2[Sexes],"F")</f>
        <v>16</v>
      </c>
      <c r="G92" s="508">
        <f>F92*100/F94</f>
        <v>53.333333333333336</v>
      </c>
      <c r="H92" s="508">
        <f>F92*100/$F$97</f>
        <v>7.4766355140186915</v>
      </c>
      <c r="I92" s="508">
        <f>F92*100/$F$100</f>
        <v>1.871345029239766</v>
      </c>
      <c r="J92" s="509">
        <f>COUNTIFS(Tableau2[VILLAGE],"ROA",Tableau2[CLASSE],"CPU",Tableau2[Sexes],"F")</f>
        <v>16</v>
      </c>
      <c r="K92" s="509">
        <f>COUNTIFS(Tableau2[VILLAGE],"ROA",Tableau2[CLASSE],"CEU",Tableau2[Sexes],"F")</f>
        <v>0</v>
      </c>
      <c r="L92" s="510">
        <f>J92*100/J94</f>
        <v>53.333333333333336</v>
      </c>
      <c r="M92" s="510">
        <v>0</v>
      </c>
      <c r="N92" s="510">
        <f t="shared" ref="N92:N93" si="855">J92*100/$J$97</f>
        <v>7.4766355140186915</v>
      </c>
      <c r="O92" s="510">
        <f t="shared" si="659"/>
        <v>0</v>
      </c>
      <c r="P92" s="510">
        <f t="shared" ref="P92:P93" si="856">J92*100/$J$100</f>
        <v>2.0202020202020203</v>
      </c>
      <c r="Q92" s="510">
        <f t="shared" ref="Q92:Q93" si="857">K92*100/$K$100</f>
        <v>0</v>
      </c>
      <c r="R92" s="326" t="s">
        <v>1990</v>
      </c>
      <c r="S92" s="509">
        <f>COUNTIFS(Tableau2[VILLAGE],"ROA",Tableau2[[STATUT ]],"admis",Tableau2[Sexes],"F")</f>
        <v>5</v>
      </c>
      <c r="T92" s="509">
        <f>COUNTIFS(Tableau2[VILLAGE],"ROA",Tableau2[CE1-CE2],1,Tableau2[Sexes],"F")</f>
        <v>5</v>
      </c>
      <c r="U92" s="509">
        <f>COUNTIFS(Tableau2[VILLAGE],"ROA",Tableau2[CM1-CM2],1,Tableau2[Sexes],"F")</f>
        <v>0</v>
      </c>
      <c r="V92" s="510">
        <f t="shared" si="694"/>
        <v>33.333333333333336</v>
      </c>
      <c r="W92" s="847"/>
      <c r="X92" s="510">
        <f>T92*100/T97</f>
        <v>3.7593984962406015</v>
      </c>
      <c r="Y92" s="847"/>
      <c r="Z92" s="510">
        <f t="shared" ref="Z92:Z93" si="858">T92*100/$L$100</f>
        <v>5</v>
      </c>
      <c r="AA92" s="847"/>
      <c r="AB92" s="326" t="s">
        <v>1990</v>
      </c>
      <c r="AC92" s="509">
        <f>COUNTIFS(Tableau2[VILLAGE],"ROA",Tableau2[[STATUT ]],"Redouble",Tableau2[Sexes],"F")</f>
        <v>1</v>
      </c>
      <c r="AD92" s="509">
        <f>COUNTIFS(Tableau2[VILLAGE],"ROA",Tableau2[CLASSE],"CPU",Tableau2[[STATUT ]],"Redouble",Tableau2[Sexes],"F")</f>
        <v>1</v>
      </c>
      <c r="AE92" s="509">
        <f>COUNTIFS(Tableau2[VILLAGE],"ROA",Tableau2[CLASSE],"CEU",Tableau2[[STATUT ]],"Redouble",Tableau2[Sexes],"F")</f>
        <v>0</v>
      </c>
      <c r="AF92" s="510">
        <f t="shared" ref="AF92" si="859">AD92*100/AD94</f>
        <v>100</v>
      </c>
      <c r="AG92" s="847"/>
      <c r="AH92" s="510">
        <f>AD92*100/AD97</f>
        <v>2.3255813953488373</v>
      </c>
      <c r="AI92" s="847"/>
      <c r="AJ92" s="510">
        <f>AD92*100/AD100</f>
        <v>0.61349693251533743</v>
      </c>
      <c r="AK92" s="847"/>
      <c r="AL92" s="326" t="s">
        <v>1990</v>
      </c>
      <c r="AM92" s="509">
        <f>COUNTIFS(Tableau2[VILLAGE],"ROA",Tableau2[[STATUT ]],"Absent",Tableau2[Sexes],"F")</f>
        <v>10</v>
      </c>
      <c r="AN92" s="509">
        <f>COUNTIFS(Tableau2[VILLAGE],"ROA",Tableau2[CLASSE],"CPU",Tableau2[[STATUT ]],"Absent",Tableau2[Sexes],"F")</f>
        <v>10</v>
      </c>
      <c r="AO92" s="509">
        <f>COUNTIFS(Tableau2[VILLAGE],"ROA",Tableau2[CLASSE],"CEU",Tableau2[[STATUT ]],"Absent",Tableau2[Sexes],"F")</f>
        <v>0</v>
      </c>
      <c r="AP92" s="510">
        <f t="shared" ref="AP92" si="860">AN92*100/AN94</f>
        <v>71.428571428571431</v>
      </c>
      <c r="AQ92" s="847"/>
      <c r="AR92" s="510">
        <f>AN92*100/AN97</f>
        <v>26.315789473684209</v>
      </c>
      <c r="AS92" s="847"/>
      <c r="AT92" s="510">
        <f>AN92*100/AN100</f>
        <v>7.6923076923076925</v>
      </c>
      <c r="AU92" s="847"/>
      <c r="AV92" s="345" t="s">
        <v>1990</v>
      </c>
      <c r="AW92" s="529">
        <f t="shared" si="639"/>
        <v>6</v>
      </c>
      <c r="AX92" s="509">
        <f>COUNTIFS(Tableau2[VILLAGE],"ROA",Tableau2[Colonne1],"CP2",Tableau2[Sexes],"F")</f>
        <v>0</v>
      </c>
      <c r="AY92" s="509">
        <f>COUNTIFS(Tableau2[VILLAGE],"ROA",Tableau2[Colonne1],"CE1",Tableau2[Sexes],"F")</f>
        <v>3</v>
      </c>
      <c r="AZ92" s="509">
        <f>COUNTIFS(Tableau2[VILLAGE],"ROA",Tableau2[Colonne1],"CE2",Tableau2[Sexes],"F")</f>
        <v>3</v>
      </c>
      <c r="BA92" s="510">
        <v>0</v>
      </c>
      <c r="BB92" s="510">
        <f t="shared" ref="BB92:BC92" si="861">AY92*100/AY94</f>
        <v>37.5</v>
      </c>
      <c r="BC92" s="510">
        <f t="shared" si="861"/>
        <v>37.5</v>
      </c>
      <c r="BD92" s="510">
        <f t="shared" ref="BD92:BD93" si="862">AX92*100/$AX$97</f>
        <v>0</v>
      </c>
      <c r="BE92" s="510">
        <f t="shared" ref="BE92:BE93" si="863">AY92*100/$AY$97</f>
        <v>3.225806451612903</v>
      </c>
      <c r="BF92" s="510">
        <f t="shared" ref="BF92:BF93" si="864">AZ92*100/$AZ$97</f>
        <v>5.7692307692307692</v>
      </c>
      <c r="BG92" s="510">
        <f t="shared" ref="BG92:BG93" si="865">AX92*100/$AX$100</f>
        <v>0</v>
      </c>
      <c r="BH92" s="510">
        <f t="shared" ref="BH92:BH93" si="866">AY92*100/$AY$100</f>
        <v>0.73891625615763545</v>
      </c>
      <c r="BI92" s="510">
        <f t="shared" ref="BI92:BI93" si="867">AZ92*100/$AZ$100</f>
        <v>2.7522935779816513</v>
      </c>
    </row>
    <row r="93" spans="1:61" ht="21" customHeight="1" thickBot="1" x14ac:dyDescent="0.4">
      <c r="C93" s="937"/>
      <c r="D93" s="916"/>
      <c r="E93" s="324" t="s">
        <v>665</v>
      </c>
      <c r="F93" s="509">
        <f>COUNTIFS(Tableau2[VILLAGE],"ROA",Tableau2[Sexes],"G")</f>
        <v>14</v>
      </c>
      <c r="G93" s="508">
        <f>F93*100/F94</f>
        <v>46.666666666666664</v>
      </c>
      <c r="H93" s="508">
        <f>F93*100/$F$97</f>
        <v>6.5420560747663554</v>
      </c>
      <c r="I93" s="508">
        <f>F93*100/$F$100</f>
        <v>1.6374269005847952</v>
      </c>
      <c r="J93" s="509">
        <f>COUNTIFS(Tableau2[VILLAGE],"ROA",Tableau2[CLASSE],"CPU",Tableau2[Sexes],"G")</f>
        <v>14</v>
      </c>
      <c r="K93" s="509">
        <f>COUNTIFS(Tableau2[VILLAGE],"ROA",Tableau2[CLASSE],"CEU",Tableau2[Sexes],"G")</f>
        <v>0</v>
      </c>
      <c r="L93" s="510">
        <f>J93*100/J94</f>
        <v>46.666666666666664</v>
      </c>
      <c r="M93" s="510">
        <v>0</v>
      </c>
      <c r="N93" s="510">
        <f t="shared" si="855"/>
        <v>6.5420560747663554</v>
      </c>
      <c r="O93" s="510">
        <f t="shared" si="659"/>
        <v>0</v>
      </c>
      <c r="P93" s="510">
        <f t="shared" si="856"/>
        <v>1.7676767676767677</v>
      </c>
      <c r="Q93" s="510">
        <f t="shared" si="857"/>
        <v>0</v>
      </c>
      <c r="R93" s="324" t="s">
        <v>665</v>
      </c>
      <c r="S93" s="509">
        <f>COUNTIFS(Tableau2[VILLAGE],"ROA",Tableau2[[STATUT ]],"admis",Tableau2[Sexes],"G")</f>
        <v>10</v>
      </c>
      <c r="T93" s="509">
        <f>COUNTIFS(Tableau2[VILLAGE],"ROA",Tableau2[CE1-CE2],1,Tableau2[Sexes],"G")</f>
        <v>10</v>
      </c>
      <c r="U93" s="509">
        <f>COUNTIFS(Tableau2[VILLAGE],"ROA",Tableau2[CM1-CM2],1,Tableau2[Sexes],"G")</f>
        <v>0</v>
      </c>
      <c r="V93" s="510">
        <f t="shared" si="669"/>
        <v>66.666666666666671</v>
      </c>
      <c r="W93" s="848"/>
      <c r="X93" s="510">
        <f>T93*100/T97</f>
        <v>7.518796992481203</v>
      </c>
      <c r="Y93" s="848"/>
      <c r="Z93" s="510">
        <f t="shared" si="858"/>
        <v>10</v>
      </c>
      <c r="AA93" s="848"/>
      <c r="AB93" s="324" t="s">
        <v>665</v>
      </c>
      <c r="AC93" s="509">
        <f>COUNTIFS(Tableau2[VILLAGE],"ROA",Tableau2[[STATUT ]],"Redouble",Tableau2[Sexes],"G")</f>
        <v>0</v>
      </c>
      <c r="AD93" s="509">
        <f>COUNTIFS(Tableau2[VILLAGE],"ROA",Tableau2[CLASSE],"CPU",Tableau2[[STATUT ]],"Redouble",Tableau2[Sexes],"G")</f>
        <v>0</v>
      </c>
      <c r="AE93" s="509">
        <f>COUNTIFS(Tableau2[VILLAGE],"ROA",Tableau2[CLASSE],"CEU",Tableau2[[STATUT ]],"Redouble",Tableau2[Sexes],"G")</f>
        <v>0</v>
      </c>
      <c r="AF93" s="510">
        <f t="shared" ref="AF93" si="868">AD93*100/AD94</f>
        <v>0</v>
      </c>
      <c r="AG93" s="848"/>
      <c r="AH93" s="510">
        <f>AD93*100/AD97</f>
        <v>0</v>
      </c>
      <c r="AI93" s="848"/>
      <c r="AJ93" s="510">
        <f>AD93*100/AD100</f>
        <v>0</v>
      </c>
      <c r="AK93" s="848"/>
      <c r="AL93" s="324" t="s">
        <v>665</v>
      </c>
      <c r="AM93" s="509">
        <f>COUNTIFS(Tableau2[VILLAGE],"ROA",Tableau2[[STATUT ]],"Absent",Tableau2[Sexes],"G")</f>
        <v>4</v>
      </c>
      <c r="AN93" s="509">
        <f>COUNTIFS(Tableau2[VILLAGE],"ROA",Tableau2[CLASSE],"CPU",Tableau2[[STATUT ]],"Absent",Tableau2[Sexes],"G")</f>
        <v>4</v>
      </c>
      <c r="AO93" s="509">
        <f>COUNTIFS(Tableau2[VILLAGE],"ROA",Tableau2[CLASSE],"CEU",Tableau2[[STATUT ]],"Absent",Tableau2[Sexes],"G")</f>
        <v>0</v>
      </c>
      <c r="AP93" s="510">
        <f t="shared" ref="AP93" si="869">AN93*100/AN94</f>
        <v>28.571428571428573</v>
      </c>
      <c r="AQ93" s="848"/>
      <c r="AR93" s="510">
        <f>AN93*100/AN97</f>
        <v>10.526315789473685</v>
      </c>
      <c r="AS93" s="848"/>
      <c r="AT93" s="510">
        <f>AN93*100/AN100</f>
        <v>3.0769230769230771</v>
      </c>
      <c r="AU93" s="848"/>
      <c r="AV93" s="336" t="s">
        <v>665</v>
      </c>
      <c r="AW93" s="529">
        <f t="shared" si="639"/>
        <v>10</v>
      </c>
      <c r="AX93" s="509">
        <f>COUNTIFS(Tableau2[VILLAGE],"ROA",Tableau2[Colonne1],"CP2",Tableau2[Sexes],"G")</f>
        <v>0</v>
      </c>
      <c r="AY93" s="509">
        <f>COUNTIFS(Tableau2[VILLAGE],"ROA",Tableau2[Colonne1],"CE1",Tableau2[Sexes],"G")</f>
        <v>5</v>
      </c>
      <c r="AZ93" s="509">
        <f>COUNTIFS(Tableau2[VILLAGE],"ROA",Tableau2[Colonne1],"CE2",Tableau2[Sexes],"G")</f>
        <v>5</v>
      </c>
      <c r="BA93" s="510">
        <v>0</v>
      </c>
      <c r="BB93" s="510">
        <f t="shared" ref="BB93" si="870">AY93*100/AY94</f>
        <v>62.5</v>
      </c>
      <c r="BC93" s="510">
        <f t="shared" ref="BC93" si="871">AZ93*100/AZ94</f>
        <v>62.5</v>
      </c>
      <c r="BD93" s="510">
        <f t="shared" si="862"/>
        <v>0</v>
      </c>
      <c r="BE93" s="510">
        <f t="shared" si="863"/>
        <v>5.376344086021505</v>
      </c>
      <c r="BF93" s="510">
        <f t="shared" si="864"/>
        <v>9.615384615384615</v>
      </c>
      <c r="BG93" s="510">
        <f t="shared" si="865"/>
        <v>0</v>
      </c>
      <c r="BH93" s="510">
        <f t="shared" si="866"/>
        <v>1.2315270935960592</v>
      </c>
      <c r="BI93" s="510">
        <f t="shared" si="867"/>
        <v>4.5871559633027523</v>
      </c>
    </row>
    <row r="94" spans="1:61" ht="21.5" customHeight="1" thickBot="1" x14ac:dyDescent="0.35">
      <c r="C94" s="938"/>
      <c r="D94" s="917"/>
      <c r="E94" s="325" t="s">
        <v>658</v>
      </c>
      <c r="F94" s="333">
        <f>COUNTIFS(Tableau2[VILLAGE],"ROA")</f>
        <v>30</v>
      </c>
      <c r="G94" s="340">
        <f>SUM(G92:G93)</f>
        <v>100</v>
      </c>
      <c r="H94" s="340">
        <f>SUM(H92:H93)</f>
        <v>14.018691588785046</v>
      </c>
      <c r="I94" s="340">
        <f t="shared" ref="I94" si="872">SUM(I92:I93)</f>
        <v>3.5087719298245612</v>
      </c>
      <c r="J94" s="333">
        <f t="shared" ref="J94" si="873">SUM(J92:J93)</f>
        <v>30</v>
      </c>
      <c r="K94" s="333">
        <f t="shared" si="779"/>
        <v>0</v>
      </c>
      <c r="L94" s="343">
        <f t="shared" si="779"/>
        <v>100</v>
      </c>
      <c r="M94" s="343">
        <f t="shared" si="779"/>
        <v>0</v>
      </c>
      <c r="N94" s="343">
        <f t="shared" si="779"/>
        <v>14.018691588785046</v>
      </c>
      <c r="O94" s="343">
        <f t="shared" si="779"/>
        <v>0</v>
      </c>
      <c r="P94" s="343">
        <f t="shared" si="746"/>
        <v>3.7878787878787881</v>
      </c>
      <c r="Q94" s="343">
        <f t="shared" si="746"/>
        <v>0</v>
      </c>
      <c r="R94" s="333" t="s">
        <v>658</v>
      </c>
      <c r="S94" s="333">
        <f>COUNTIFS(Tableau2[VILLAGE],"ROA",Tableau2[[STATUT ]],"admis")</f>
        <v>15</v>
      </c>
      <c r="T94" s="333">
        <f>COUNTIFS(Tableau2[VILLAGE],"ROA",Tableau2[CE1-CE2],1)</f>
        <v>15</v>
      </c>
      <c r="U94" s="333">
        <f>COUNTIFS(Tableau2[VILLAGE],"ROA",Tableau2[CM1-CM2],1)</f>
        <v>0</v>
      </c>
      <c r="V94" s="343">
        <f t="shared" si="677"/>
        <v>100</v>
      </c>
      <c r="W94" s="849"/>
      <c r="X94" s="344">
        <f t="shared" ref="X94" si="874">SUM(X92:X93)</f>
        <v>11.278195488721805</v>
      </c>
      <c r="Y94" s="849"/>
      <c r="Z94" s="344">
        <f t="shared" ref="Z94" si="875">SUM(Z92:Z93)</f>
        <v>15</v>
      </c>
      <c r="AA94" s="849"/>
      <c r="AB94" s="333" t="s">
        <v>658</v>
      </c>
      <c r="AC94" s="333">
        <f>COUNTIFS(Tableau2[VILLAGE],"ROA",Tableau2[[STATUT ]],"Redouble")</f>
        <v>1</v>
      </c>
      <c r="AD94" s="333">
        <f t="shared" ref="AD94" si="876">SUM(AD92:AD93)</f>
        <v>1</v>
      </c>
      <c r="AE94" s="333">
        <f t="shared" si="782"/>
        <v>0</v>
      </c>
      <c r="AF94" s="343">
        <f t="shared" si="782"/>
        <v>100</v>
      </c>
      <c r="AG94" s="849"/>
      <c r="AH94" s="344">
        <f t="shared" ref="AH94" si="877">SUM(AH92:AH93)</f>
        <v>2.3255813953488373</v>
      </c>
      <c r="AI94" s="849"/>
      <c r="AJ94" s="344">
        <f t="shared" ref="AJ94" si="878">SUM(AJ92:AJ93)</f>
        <v>0.61349693251533743</v>
      </c>
      <c r="AK94" s="849"/>
      <c r="AL94" s="333" t="s">
        <v>658</v>
      </c>
      <c r="AM94" s="333">
        <f>COUNTIFS(Tableau2[VILLAGE],"ROA",Tableau2[[STATUT ]],"Absent")</f>
        <v>14</v>
      </c>
      <c r="AN94" s="333">
        <f t="shared" ref="AN94:AP94" si="879">SUM(AN92:AN93)</f>
        <v>14</v>
      </c>
      <c r="AO94" s="333">
        <f t="shared" si="879"/>
        <v>0</v>
      </c>
      <c r="AP94" s="343">
        <f t="shared" si="879"/>
        <v>100</v>
      </c>
      <c r="AQ94" s="849"/>
      <c r="AR94" s="344">
        <f t="shared" ref="AR94" si="880">SUM(AR92:AR93)</f>
        <v>36.84210526315789</v>
      </c>
      <c r="AS94" s="849"/>
      <c r="AT94" s="344">
        <f t="shared" ref="AT94" si="881">SUM(AT92:AT93)</f>
        <v>10.76923076923077</v>
      </c>
      <c r="AU94" s="849"/>
      <c r="AV94" s="342" t="s">
        <v>658</v>
      </c>
      <c r="AW94" s="530">
        <f t="shared" si="639"/>
        <v>16</v>
      </c>
      <c r="AX94" s="527">
        <f>SUM(AX92:AX93)</f>
        <v>0</v>
      </c>
      <c r="AY94" s="333">
        <f>SUM(AY92:AY93)</f>
        <v>8</v>
      </c>
      <c r="AZ94" s="333">
        <f>SUM(AZ92:AZ93)</f>
        <v>8</v>
      </c>
      <c r="BA94" s="343">
        <f t="shared" ref="BA94:BC94" si="882">SUM(BA92:BA93)</f>
        <v>0</v>
      </c>
      <c r="BB94" s="517">
        <f t="shared" si="882"/>
        <v>100</v>
      </c>
      <c r="BC94" s="517">
        <f t="shared" si="882"/>
        <v>100</v>
      </c>
      <c r="BD94" s="517">
        <f t="shared" ref="BD94" si="883">SUM(BD92:BD93)</f>
        <v>0</v>
      </c>
      <c r="BE94" s="517">
        <f t="shared" ref="BE94" si="884">SUM(BE92:BE93)</f>
        <v>8.6021505376344081</v>
      </c>
      <c r="BF94" s="517">
        <f t="shared" ref="BF94" si="885">SUM(BF92:BF93)</f>
        <v>15.384615384615383</v>
      </c>
      <c r="BG94" s="517">
        <f t="shared" ref="BG94:BI94" si="886">SUM(BG92:BG93)</f>
        <v>0</v>
      </c>
      <c r="BH94" s="517">
        <f t="shared" si="886"/>
        <v>1.9704433497536946</v>
      </c>
      <c r="BI94" s="517">
        <f t="shared" si="886"/>
        <v>7.3394495412844041</v>
      </c>
    </row>
    <row r="95" spans="1:61" ht="15.5" x14ac:dyDescent="0.35">
      <c r="A95" s="692"/>
      <c r="B95" s="697"/>
      <c r="C95" s="930" t="s">
        <v>2699</v>
      </c>
      <c r="D95" s="931"/>
      <c r="E95" s="327" t="s">
        <v>1990</v>
      </c>
      <c r="F95" s="509">
        <f>COUNTIFS(Tableau2[DEPARTEMENT],"GRAND-ZATTRY",Tableau2[Sexes],"F")</f>
        <v>96</v>
      </c>
      <c r="G95" s="847"/>
      <c r="H95" s="511">
        <f>F95*100/$F$97</f>
        <v>44.859813084112147</v>
      </c>
      <c r="I95" s="508">
        <f>F95*100/$F$100</f>
        <v>11.228070175438596</v>
      </c>
      <c r="J95" s="509">
        <f>COUNTIFS(Tableau2[DEPARTEMENT],"GRAND-ZATTRY",Tableau2[CLASSE],"CPU",Tableau2[Sexes],"F")</f>
        <v>96</v>
      </c>
      <c r="K95" s="509">
        <f>COUNTIFS(Tableau2[DEPARTEMENT],"GRAND-ZATTRY",Tableau2[CLASSE],"CEU",Tableau2[Sexes],"F")</f>
        <v>0</v>
      </c>
      <c r="L95" s="510">
        <f>J95*100/J97</f>
        <v>44.859813084112147</v>
      </c>
      <c r="M95" s="510">
        <v>0</v>
      </c>
      <c r="N95" s="510">
        <f t="shared" ref="N95:N96" si="887">J95*100/$J$97</f>
        <v>44.859813084112147</v>
      </c>
      <c r="O95" s="510">
        <f t="shared" si="659"/>
        <v>0</v>
      </c>
      <c r="P95" s="510">
        <f t="shared" ref="P95:P96" si="888">J95*100/$J$100</f>
        <v>12.121212121212121</v>
      </c>
      <c r="Q95" s="510">
        <f t="shared" ref="Q95:Q96" si="889">K95*100/$K$100</f>
        <v>0</v>
      </c>
      <c r="R95" s="327" t="s">
        <v>1990</v>
      </c>
      <c r="S95" s="509">
        <f>COUNTIFS(Tableau2[DEPARTEMENT],"GRAND-ZATTRY",Tableau2[[STATUT ]],"admis",Tableau2[Sexes],"F")</f>
        <v>60</v>
      </c>
      <c r="T95" s="509">
        <f>COUNTIFS(Tableau2[DEPARTEMENT],"GRAND-ZATTRY",Tableau2[CE1-CE2],1,Tableau2[Sexes],"F")</f>
        <v>60</v>
      </c>
      <c r="U95" s="509">
        <f>COUNTIFS(Tableau2[DEPARTEMENT],"GRAND-ZATTRY",Tableau2[CM1-CM2],1,Tableau2[Sexes],"F")</f>
        <v>0</v>
      </c>
      <c r="V95" s="841"/>
      <c r="W95" s="842"/>
      <c r="X95" s="510">
        <f>T95*100/T97</f>
        <v>45.112781954887218</v>
      </c>
      <c r="Y95" s="847"/>
      <c r="Z95" s="510">
        <f>T95*100/$L$100</f>
        <v>60</v>
      </c>
      <c r="AA95" s="847"/>
      <c r="AB95" s="327" t="s">
        <v>1990</v>
      </c>
      <c r="AC95" s="509">
        <f>COUNTIFS(Tableau2[DEPARTEMENT],"GRAND-ZATTRY",Tableau2[[STATUT ]],"Redouble",Tableau2[Sexes],"F")</f>
        <v>15</v>
      </c>
      <c r="AD95" s="509">
        <f>COUNTIFS(Tableau2[DEPARTEMENT],"GRAND-ZATTRY",Tableau2[CLASSE],"CPU",Tableau2[[STATUT ]],"Redouble",Tableau2[Sexes],"F")</f>
        <v>15</v>
      </c>
      <c r="AE95" s="509">
        <f>COUNTIFS(Tableau2[DEPARTEMENT],"GRAND-ZATTRY",Tableau2[CLASSE],"CEU",Tableau2[[STATUT ]],"Redouble",Tableau2[Sexes],"F")</f>
        <v>0</v>
      </c>
      <c r="AF95" s="841"/>
      <c r="AG95" s="842"/>
      <c r="AH95" s="510">
        <f>AD95*100/AD97</f>
        <v>34.883720930232556</v>
      </c>
      <c r="AI95" s="847"/>
      <c r="AJ95" s="510">
        <f>AD95*100/AD100</f>
        <v>9.2024539877300615</v>
      </c>
      <c r="AK95" s="847"/>
      <c r="AL95" s="327" t="s">
        <v>1990</v>
      </c>
      <c r="AM95" s="509">
        <f>COUNTIFS(Tableau2[DEPARTEMENT],"GRAND-ZATTRY",Tableau2[[STATUT ]],"Absent",Tableau2[Sexes],"F")</f>
        <v>21</v>
      </c>
      <c r="AN95" s="509">
        <f>COUNTIFS(Tableau2[DEPARTEMENT],"GRAND-ZATTRY",Tableau2[CLASSE],"CPU",Tableau2[[STATUT ]],"Absent",Tableau2[Sexes],"F")</f>
        <v>21</v>
      </c>
      <c r="AO95" s="509">
        <f>COUNTIFS(Tableau2[DEPARTEMENT],"GRAND-ZATTRY",Tableau2[CLASSE],"CEU",Tableau2[[STATUT ]],"Absent",Tableau2[Sexes],"F")</f>
        <v>0</v>
      </c>
      <c r="AP95" s="841"/>
      <c r="AQ95" s="842"/>
      <c r="AR95" s="510">
        <f>AN95*100/AN97</f>
        <v>55.263157894736842</v>
      </c>
      <c r="AS95" s="847"/>
      <c r="AT95" s="510">
        <f>AN95*100/AN100</f>
        <v>16.153846153846153</v>
      </c>
      <c r="AU95" s="847"/>
      <c r="AV95" s="523" t="s">
        <v>1990</v>
      </c>
      <c r="AW95" s="529">
        <f t="shared" si="639"/>
        <v>75</v>
      </c>
      <c r="AX95" s="509">
        <f>COUNTIFS(Tableau2[DEPARTEMENT],"GRAND-ZATTRY",Tableau2[Colonne1],"CP2",Tableau2[Sexes],"F")</f>
        <v>11</v>
      </c>
      <c r="AY95" s="509">
        <f>COUNTIFS(Tableau2[DEPARTEMENT],"GRAND-ZATTRY",Tableau2[Colonne1],"CE1",Tableau2[Sexes],"F")</f>
        <v>41</v>
      </c>
      <c r="AZ95" s="509">
        <f>COUNTIFS(Tableau2[DEPARTEMENT],"GRAND-ZATTRY",Tableau2[Colonne1],"CE2",Tableau2[Sexes],"F")</f>
        <v>23</v>
      </c>
      <c r="BA95" s="510">
        <f t="shared" ref="BA95:BC95" si="890">AX95*100/AX97</f>
        <v>35.483870967741936</v>
      </c>
      <c r="BB95" s="510">
        <f t="shared" si="890"/>
        <v>44.086021505376344</v>
      </c>
      <c r="BC95" s="510">
        <f t="shared" si="890"/>
        <v>44.230769230769234</v>
      </c>
      <c r="BD95" s="510">
        <f t="shared" ref="BD95:BD96" si="891">AX95*100/$AX$97</f>
        <v>35.483870967741936</v>
      </c>
      <c r="BE95" s="510">
        <f t="shared" ref="BE95:BE96" si="892">AY95*100/$AY$97</f>
        <v>44.086021505376344</v>
      </c>
      <c r="BF95" s="510">
        <f t="shared" ref="BF95:BF96" si="893">AZ95*100/$AZ$97</f>
        <v>44.230769230769234</v>
      </c>
      <c r="BG95" s="510">
        <f t="shared" ref="BG95:BG96" si="894">AX95*100/$AX$100</f>
        <v>7.4829931972789119</v>
      </c>
      <c r="BH95" s="510">
        <f t="shared" ref="BH95:BH96" si="895">AY95*100/$AY$100</f>
        <v>10.098522167487685</v>
      </c>
      <c r="BI95" s="510">
        <f t="shared" ref="BI95:BI96" si="896">AZ95*100/$AZ$100</f>
        <v>21.100917431192659</v>
      </c>
    </row>
    <row r="96" spans="1:61" ht="16" thickBot="1" x14ac:dyDescent="0.4">
      <c r="A96" s="693"/>
      <c r="B96" s="698"/>
      <c r="C96" s="932"/>
      <c r="D96" s="933"/>
      <c r="E96" s="328" t="s">
        <v>665</v>
      </c>
      <c r="F96" s="509">
        <f>COUNTIFS(Tableau2[DEPARTEMENT],"GRAND-ZATTRY",Tableau2[Sexes],"G")</f>
        <v>118</v>
      </c>
      <c r="G96" s="848"/>
      <c r="H96" s="511">
        <f>F96*100/$F$97</f>
        <v>55.140186915887853</v>
      </c>
      <c r="I96" s="508">
        <f>F96*100/$F$100</f>
        <v>13.801169590643275</v>
      </c>
      <c r="J96" s="509">
        <f>COUNTIFS(Tableau2[DEPARTEMENT],"GRAND-ZATTRY",Tableau2[CLASSE],"CPU",Tableau2[Sexes],"G")</f>
        <v>118</v>
      </c>
      <c r="K96" s="509">
        <f>COUNTIFS(Tableau2[DEPARTEMENT],"GRAND-ZATTRY",Tableau2[CLASSE],"CEU",Tableau2[Sexes],"G")</f>
        <v>0</v>
      </c>
      <c r="L96" s="510">
        <f>J96*100/J97</f>
        <v>55.140186915887853</v>
      </c>
      <c r="M96" s="510">
        <v>0</v>
      </c>
      <c r="N96" s="510">
        <f t="shared" si="887"/>
        <v>55.140186915887853</v>
      </c>
      <c r="O96" s="510">
        <f t="shared" si="659"/>
        <v>0</v>
      </c>
      <c r="P96" s="510">
        <f t="shared" si="888"/>
        <v>14.8989898989899</v>
      </c>
      <c r="Q96" s="510">
        <f t="shared" si="889"/>
        <v>0</v>
      </c>
      <c r="R96" s="328" t="s">
        <v>665</v>
      </c>
      <c r="S96" s="509">
        <f>COUNTIFS(Tableau2[DEPARTEMENT],"GRAND-ZATTRY",Tableau2[[STATUT ]],"admis",Tableau2[Sexes],"G")</f>
        <v>73</v>
      </c>
      <c r="T96" s="509">
        <f>COUNTIFS(Tableau2[DEPARTEMENT],"GRAND-ZATTRY",Tableau2[CE1-CE2],1,Tableau2[Sexes],"G")</f>
        <v>73</v>
      </c>
      <c r="U96" s="509">
        <f>COUNTIFS(Tableau2[DEPARTEMENT],"GRAND-ZATTRY",Tableau2[CM1-CM2],1,Tableau2[Sexes],"G")</f>
        <v>0</v>
      </c>
      <c r="V96" s="843"/>
      <c r="W96" s="844"/>
      <c r="X96" s="510">
        <f>T96*100/T97</f>
        <v>54.887218045112782</v>
      </c>
      <c r="Y96" s="848"/>
      <c r="Z96" s="510">
        <f>T96*100/$L$100</f>
        <v>73</v>
      </c>
      <c r="AA96" s="848"/>
      <c r="AB96" s="328" t="s">
        <v>665</v>
      </c>
      <c r="AC96" s="509">
        <f>COUNTIFS(Tableau2[DEPARTEMENT],"GRAND-ZATTRY",Tableau2[[STATUT ]],"Redouble",Tableau2[Sexes],"G")</f>
        <v>28</v>
      </c>
      <c r="AD96" s="509">
        <f>COUNTIFS(Tableau2[DEPARTEMENT],"GRAND-ZATTRY",Tableau2[CLASSE],"CPU",Tableau2[[STATUT ]],"Redouble",Tableau2[Sexes],"G")</f>
        <v>28</v>
      </c>
      <c r="AE96" s="509">
        <f>COUNTIFS(Tableau2[DEPARTEMENT],"GRAND-ZATTRY",Tableau2[CLASSE],"CEU",Tableau2[[STATUT ]],"Redouble",Tableau2[Sexes],"G")</f>
        <v>0</v>
      </c>
      <c r="AF96" s="843"/>
      <c r="AG96" s="844"/>
      <c r="AH96" s="510">
        <f>AD96*100/AD97</f>
        <v>65.116279069767444</v>
      </c>
      <c r="AI96" s="848"/>
      <c r="AJ96" s="510">
        <f>AD96*100/AD100</f>
        <v>17.177914110429448</v>
      </c>
      <c r="AK96" s="848"/>
      <c r="AL96" s="328" t="s">
        <v>665</v>
      </c>
      <c r="AM96" s="509">
        <f>COUNTIFS(Tableau2[DEPARTEMENT],"GRAND-ZATTRY",Tableau2[[STATUT ]],"Absent",Tableau2[Sexes],"G")</f>
        <v>17</v>
      </c>
      <c r="AN96" s="509">
        <f>COUNTIFS(Tableau2[DEPARTEMENT],"GRAND-ZATTRY",Tableau2[CLASSE],"CPU",Tableau2[[STATUT ]],"Absent",Tableau2[Sexes],"G")</f>
        <v>17</v>
      </c>
      <c r="AO96" s="509">
        <f>COUNTIFS(Tableau2[DEPARTEMENT],"GRAND-ZATTRY",Tableau2[CLASSE],"CEU",Tableau2[[STATUT ]],"Absent",Tableau2[Sexes],"G")</f>
        <v>0</v>
      </c>
      <c r="AP96" s="843"/>
      <c r="AQ96" s="844"/>
      <c r="AR96" s="510">
        <f>AN96*100/AN97</f>
        <v>44.736842105263158</v>
      </c>
      <c r="AS96" s="848"/>
      <c r="AT96" s="510">
        <f>AN96*100/AN100</f>
        <v>13.076923076923077</v>
      </c>
      <c r="AU96" s="848"/>
      <c r="AV96" s="524" t="s">
        <v>665</v>
      </c>
      <c r="AW96" s="529">
        <f t="shared" si="639"/>
        <v>101</v>
      </c>
      <c r="AX96" s="509">
        <f>COUNTIFS(Tableau2[DEPARTEMENT],"GRAND-ZATTRY",Tableau2[Colonne1],"CP2",Tableau2[Sexes],"G")</f>
        <v>20</v>
      </c>
      <c r="AY96" s="509">
        <f>COUNTIFS(Tableau2[DEPARTEMENT],"GRAND-ZATTRY",Tableau2[Colonne1],"CE1",Tableau2[Sexes],"G")</f>
        <v>52</v>
      </c>
      <c r="AZ96" s="509">
        <f>COUNTIFS(Tableau2[DEPARTEMENT],"GRAND-ZATTRY",Tableau2[Colonne1],"CE2",Tableau2[Sexes],"G")</f>
        <v>29</v>
      </c>
      <c r="BA96" s="510">
        <f t="shared" ref="BA96" si="897">AX96*100/AX97</f>
        <v>64.516129032258064</v>
      </c>
      <c r="BB96" s="510">
        <f t="shared" ref="BB96" si="898">AY96*100/AY97</f>
        <v>55.913978494623656</v>
      </c>
      <c r="BC96" s="510">
        <f t="shared" ref="BC96" si="899">AZ96*100/AZ97</f>
        <v>55.769230769230766</v>
      </c>
      <c r="BD96" s="510">
        <f t="shared" si="891"/>
        <v>64.516129032258064</v>
      </c>
      <c r="BE96" s="510">
        <f t="shared" si="892"/>
        <v>55.913978494623656</v>
      </c>
      <c r="BF96" s="510">
        <f t="shared" si="893"/>
        <v>55.769230769230766</v>
      </c>
      <c r="BG96" s="510">
        <f t="shared" si="894"/>
        <v>13.605442176870747</v>
      </c>
      <c r="BH96" s="510">
        <f t="shared" si="895"/>
        <v>12.807881773399014</v>
      </c>
      <c r="BI96" s="510">
        <f t="shared" si="896"/>
        <v>26.605504587155963</v>
      </c>
    </row>
    <row r="97" spans="1:61" ht="16" customHeight="1" thickBot="1" x14ac:dyDescent="0.4">
      <c r="A97" s="694"/>
      <c r="B97" s="699"/>
      <c r="C97" s="934"/>
      <c r="D97" s="935"/>
      <c r="E97" s="329" t="s">
        <v>1992</v>
      </c>
      <c r="F97" s="512">
        <f>COUNTIFS(Tableau2[DEPARTEMENT],"GRAND-ZATTRY")</f>
        <v>214</v>
      </c>
      <c r="G97" s="849"/>
      <c r="H97" s="341">
        <f>SUM(H95:H96)</f>
        <v>100</v>
      </c>
      <c r="I97" s="340">
        <f t="shared" ref="I97" si="900">SUM(I95:I96)</f>
        <v>25.029239766081872</v>
      </c>
      <c r="J97" s="333">
        <f t="shared" ref="J97" si="901">SUM(J95:J96)</f>
        <v>214</v>
      </c>
      <c r="K97" s="333">
        <f t="shared" si="779"/>
        <v>0</v>
      </c>
      <c r="L97" s="343">
        <f t="shared" ref="L97:O97" si="902">SUM(L95:L96)</f>
        <v>100</v>
      </c>
      <c r="M97" s="343">
        <f t="shared" si="902"/>
        <v>0</v>
      </c>
      <c r="N97" s="343">
        <f t="shared" si="902"/>
        <v>100</v>
      </c>
      <c r="O97" s="343">
        <f t="shared" si="902"/>
        <v>0</v>
      </c>
      <c r="P97" s="343">
        <f t="shared" si="746"/>
        <v>27.020202020202021</v>
      </c>
      <c r="Q97" s="343">
        <f t="shared" si="746"/>
        <v>0</v>
      </c>
      <c r="R97" s="329" t="s">
        <v>1992</v>
      </c>
      <c r="S97" s="333">
        <f>COUNTIFS(Tableau2[DEPARTEMENT],"GRAND-ZATTRY",Tableau2[[STATUT ]],"admis")</f>
        <v>133</v>
      </c>
      <c r="T97" s="333">
        <f>COUNTIFS(Tableau2[DEPARTEMENT],"GRAND-ZATTRY",Tableau2[CE1-CE2],1)</f>
        <v>133</v>
      </c>
      <c r="U97" s="333">
        <f>COUNTIFS(Tableau2[VILLAGE],"BINDOUGOU",Tableau2[CM1-CM2],1)</f>
        <v>0</v>
      </c>
      <c r="V97" s="845"/>
      <c r="W97" s="846"/>
      <c r="X97" s="344">
        <f>SUM(X95:X96)</f>
        <v>100</v>
      </c>
      <c r="Y97" s="849"/>
      <c r="Z97" s="344">
        <f t="shared" ref="Z97" si="903">SUM(Z95:Z96)</f>
        <v>133</v>
      </c>
      <c r="AA97" s="849"/>
      <c r="AB97" s="329" t="s">
        <v>1992</v>
      </c>
      <c r="AC97" s="333">
        <f>COUNTIFS(Tableau2[DEPARTEMENT],"GRAND-ZATTRY",Tableau2[[STATUT ]],"Redouble")</f>
        <v>43</v>
      </c>
      <c r="AD97" s="333">
        <f t="shared" ref="AD97" si="904">SUM(AD95:AD96)</f>
        <v>43</v>
      </c>
      <c r="AE97" s="333">
        <f t="shared" si="782"/>
        <v>0</v>
      </c>
      <c r="AF97" s="845"/>
      <c r="AG97" s="846"/>
      <c r="AH97" s="344">
        <f t="shared" ref="AH97" si="905">SUM(AH95:AH96)</f>
        <v>100</v>
      </c>
      <c r="AI97" s="849"/>
      <c r="AJ97" s="344">
        <f t="shared" ref="AJ97" si="906">SUM(AJ95:AJ96)</f>
        <v>26.380368098159508</v>
      </c>
      <c r="AK97" s="849"/>
      <c r="AL97" s="329" t="s">
        <v>1992</v>
      </c>
      <c r="AM97" s="333">
        <f>COUNTIFS(Tableau2[DEPARTEMENT],"GRAND-ZATTRY",Tableau2[[STATUT ]],"Absent")</f>
        <v>38</v>
      </c>
      <c r="AN97" s="333">
        <f t="shared" ref="AN97:AO97" si="907">SUM(AN95:AN96)</f>
        <v>38</v>
      </c>
      <c r="AO97" s="333">
        <f t="shared" si="907"/>
        <v>0</v>
      </c>
      <c r="AP97" s="845"/>
      <c r="AQ97" s="846"/>
      <c r="AR97" s="344">
        <f t="shared" ref="AR97" si="908">SUM(AR95:AR96)</f>
        <v>100</v>
      </c>
      <c r="AS97" s="849"/>
      <c r="AT97" s="344">
        <f t="shared" ref="AT97" si="909">SUM(AT95:AT96)</f>
        <v>29.23076923076923</v>
      </c>
      <c r="AU97" s="849"/>
      <c r="AV97" s="525" t="s">
        <v>1992</v>
      </c>
      <c r="AW97" s="530">
        <f t="shared" si="639"/>
        <v>176</v>
      </c>
      <c r="AX97" s="527">
        <f>SUM(AX95:AX96)</f>
        <v>31</v>
      </c>
      <c r="AY97" s="333">
        <f>SUM(AY95:AY96)</f>
        <v>93</v>
      </c>
      <c r="AZ97" s="333">
        <f>SUM(AZ95:AZ96)</f>
        <v>52</v>
      </c>
      <c r="BA97" s="517">
        <f t="shared" ref="BA97:BC97" si="910">SUM(BA95:BA96)</f>
        <v>100</v>
      </c>
      <c r="BB97" s="517">
        <f t="shared" si="910"/>
        <v>100</v>
      </c>
      <c r="BC97" s="517">
        <f t="shared" si="910"/>
        <v>100</v>
      </c>
      <c r="BD97" s="517">
        <f t="shared" ref="BD97" si="911">SUM(BD95:BD96)</f>
        <v>100</v>
      </c>
      <c r="BE97" s="517">
        <f t="shared" ref="BE97" si="912">SUM(BE95:BE96)</f>
        <v>100</v>
      </c>
      <c r="BF97" s="517">
        <f t="shared" ref="BF97" si="913">SUM(BF95:BF96)</f>
        <v>100</v>
      </c>
      <c r="BG97" s="517">
        <f t="shared" ref="BG97:BI97" si="914">SUM(BG95:BG96)</f>
        <v>21.088435374149661</v>
      </c>
      <c r="BH97" s="517">
        <f t="shared" si="914"/>
        <v>22.906403940886698</v>
      </c>
      <c r="BI97" s="517">
        <f t="shared" si="914"/>
        <v>47.706422018348619</v>
      </c>
    </row>
    <row r="98" spans="1:61" ht="15.5" x14ac:dyDescent="0.35">
      <c r="A98" s="692"/>
      <c r="B98" s="697"/>
      <c r="C98" s="918" t="s">
        <v>1996</v>
      </c>
      <c r="D98" s="919"/>
      <c r="E98" s="327" t="s">
        <v>1990</v>
      </c>
      <c r="F98" s="509">
        <f>COUNTIFS(Tableau2[Sexes],"F")</f>
        <v>392</v>
      </c>
      <c r="G98" s="924"/>
      <c r="H98" s="925"/>
      <c r="I98" s="508">
        <f>F98*100/$F$100</f>
        <v>45.847953216374272</v>
      </c>
      <c r="J98" s="509">
        <f>COUNTIFS(Tableau2[CLASSE],"CPU",Tableau2[Sexes],"F")</f>
        <v>361</v>
      </c>
      <c r="K98" s="509">
        <f>COUNTIFS(Tableau2[CLASSE],"CEU",Tableau2[Sexes],"F")</f>
        <v>31</v>
      </c>
      <c r="L98" s="510">
        <f>J98*100/J100</f>
        <v>45.580808080808083</v>
      </c>
      <c r="M98" s="510">
        <f>K98*100/K100</f>
        <v>49.206349206349209</v>
      </c>
      <c r="N98" s="847"/>
      <c r="O98" s="847"/>
      <c r="P98" s="847"/>
      <c r="Q98" s="847"/>
      <c r="R98" s="327" t="s">
        <v>1990</v>
      </c>
      <c r="S98" s="509">
        <f>COUNTIFS(Tableau2[[STATUT ]],"admis",Tableau2[Sexes],"F")</f>
        <v>245</v>
      </c>
      <c r="T98" s="509">
        <f>COUNTIFS(Tableau2[CE1-CE2],1,Tableau2[Sexes],"F")</f>
        <v>223</v>
      </c>
      <c r="U98" s="509">
        <f>COUNTIFS(Tableau2[CM1-CM2],1,Tableau2[Sexes],"F")</f>
        <v>22</v>
      </c>
      <c r="V98" s="841"/>
      <c r="W98" s="842"/>
      <c r="X98" s="847"/>
      <c r="Y98" s="847"/>
      <c r="Z98" s="510">
        <f>T98*100/$L$100</f>
        <v>223</v>
      </c>
      <c r="AA98" s="510">
        <f>U98*100/$M$100</f>
        <v>22</v>
      </c>
      <c r="AB98" s="327" t="s">
        <v>1990</v>
      </c>
      <c r="AC98" s="509">
        <f>COUNTIFS(Tableau2[[STATUT ]],"Redouble",Tableau2[Sexes],"F")</f>
        <v>89</v>
      </c>
      <c r="AD98" s="509">
        <f>COUNTIFS(Tableau2[CLASSE],"CPU",Tableau2[[STATUT ]],"Redouble",Tableau2[Sexes],"F")</f>
        <v>82</v>
      </c>
      <c r="AE98" s="509">
        <f>COUNTIFS(Tableau2[CLASSE],"CEU",Tableau2[[STATUT ]],"Redouble",Tableau2[Sexes],"F")</f>
        <v>7</v>
      </c>
      <c r="AF98" s="841"/>
      <c r="AG98" s="842"/>
      <c r="AH98" s="847"/>
      <c r="AI98" s="847"/>
      <c r="AJ98" s="510">
        <f>AD98*100/AD100</f>
        <v>50.306748466257666</v>
      </c>
      <c r="AK98" s="510">
        <f>AE98*100/AE100</f>
        <v>77.777777777777771</v>
      </c>
      <c r="AL98" s="327" t="s">
        <v>1990</v>
      </c>
      <c r="AM98" s="509">
        <f>COUNTIFS(Tableau2[[STATUT ]],"Absent",Tableau2[Sexes],"F")</f>
        <v>58</v>
      </c>
      <c r="AN98" s="509">
        <f>COUNTIFS(Tableau2[CLASSE],"CPU",Tableau2[[STATUT ]],"Absent",Tableau2[Sexes],"F")</f>
        <v>56</v>
      </c>
      <c r="AO98" s="509">
        <f>COUNTIFS(Tableau2[CLASSE],"CEU",Tableau2[[STATUT ]],"Absent",Tableau2[Sexes],"F")</f>
        <v>2</v>
      </c>
      <c r="AP98" s="841"/>
      <c r="AQ98" s="842"/>
      <c r="AR98" s="847"/>
      <c r="AS98" s="847"/>
      <c r="AT98" s="510">
        <f>AN98*100/AN100</f>
        <v>43.07692307692308</v>
      </c>
      <c r="AU98" s="510">
        <f>AO98*100/AO100</f>
        <v>33.333333333333336</v>
      </c>
      <c r="AV98" s="523" t="s">
        <v>1990</v>
      </c>
      <c r="AW98" s="529">
        <f t="shared" si="639"/>
        <v>305</v>
      </c>
      <c r="AX98" s="509">
        <f>COUNTIFS(Tableau2[Colonne1],"CP2",Tableau2[Sexes],"F")</f>
        <v>75</v>
      </c>
      <c r="AY98" s="509">
        <f>COUNTIFS(Tableau2[Colonne1],"CE1",Tableau2[Sexes],"F")</f>
        <v>185</v>
      </c>
      <c r="AZ98" s="509">
        <f>COUNTIFS(Tableau2[Colonne1],"CE2",Tableau2[Sexes],"F")</f>
        <v>45</v>
      </c>
      <c r="BA98" s="510">
        <f t="shared" ref="BA98:BC98" si="915">AX98*100/AX100</f>
        <v>51.020408163265309</v>
      </c>
      <c r="BB98" s="510">
        <f t="shared" si="915"/>
        <v>45.566502463054185</v>
      </c>
      <c r="BC98" s="510">
        <f t="shared" si="915"/>
        <v>41.284403669724767</v>
      </c>
      <c r="BD98" s="510">
        <f>AX98*100/$AX$100</f>
        <v>51.020408163265309</v>
      </c>
      <c r="BE98" s="510">
        <f>AY98*100/$AY$100</f>
        <v>45.566502463054185</v>
      </c>
      <c r="BF98" s="510">
        <f>AZ98*100/$AZ$100</f>
        <v>41.284403669724767</v>
      </c>
      <c r="BG98" s="510">
        <f t="shared" ref="BG98:BG99" si="916">AX98*100/$AX$100</f>
        <v>51.020408163265309</v>
      </c>
      <c r="BH98" s="510">
        <f t="shared" ref="BH98:BH99" si="917">AY98*100/$AY$100</f>
        <v>45.566502463054185</v>
      </c>
      <c r="BI98" s="510">
        <f t="shared" ref="BI98:BI99" si="918">AZ98*100/$AZ$100</f>
        <v>41.284403669724767</v>
      </c>
    </row>
    <row r="99" spans="1:61" ht="16" thickBot="1" x14ac:dyDescent="0.4">
      <c r="A99" s="693"/>
      <c r="B99" s="698"/>
      <c r="C99" s="920"/>
      <c r="D99" s="921"/>
      <c r="E99" s="328" t="s">
        <v>665</v>
      </c>
      <c r="F99" s="509">
        <f>COUNTIFS(Tableau2[Sexes],"g")</f>
        <v>463</v>
      </c>
      <c r="G99" s="926"/>
      <c r="H99" s="927"/>
      <c r="I99" s="508">
        <f>F99*100/$F$100</f>
        <v>54.152046783625728</v>
      </c>
      <c r="J99" s="509">
        <f>COUNTIFS(Tableau2[CLASSE],"CPU",Tableau2[Sexes],"G")</f>
        <v>431</v>
      </c>
      <c r="K99" s="509">
        <f>COUNTIFS(Tableau2[CLASSE],"CEU",Tableau2[Sexes],"G")</f>
        <v>32</v>
      </c>
      <c r="L99" s="510">
        <f>J99*100/J100</f>
        <v>54.419191919191917</v>
      </c>
      <c r="M99" s="510">
        <f>K99*100/K100</f>
        <v>50.793650793650791</v>
      </c>
      <c r="N99" s="848"/>
      <c r="O99" s="848"/>
      <c r="P99" s="848"/>
      <c r="Q99" s="848"/>
      <c r="R99" s="328" t="s">
        <v>665</v>
      </c>
      <c r="S99" s="509">
        <f>COUNTIFS(Tableau2[[STATUT ]],"admis",Tableau2[Sexes],"G")</f>
        <v>302</v>
      </c>
      <c r="T99" s="509">
        <f>COUNTIFS(Tableau2[CE1-CE2],1,Tableau2[Sexes],"G")</f>
        <v>276</v>
      </c>
      <c r="U99" s="509">
        <f>COUNTIFS(Tableau2[CM1-CM2],1,Tableau2[Sexes],"G")</f>
        <v>26</v>
      </c>
      <c r="V99" s="843"/>
      <c r="W99" s="844"/>
      <c r="X99" s="848"/>
      <c r="Y99" s="848"/>
      <c r="Z99" s="510">
        <f>T99*100/$L$100</f>
        <v>276</v>
      </c>
      <c r="AA99" s="510">
        <f>U99*100/$M$100</f>
        <v>26</v>
      </c>
      <c r="AB99" s="328" t="s">
        <v>665</v>
      </c>
      <c r="AC99" s="509">
        <f>COUNTIFS(Tableau2[[STATUT ]],"Redouble",Tableau2[Sexes],"G")</f>
        <v>83</v>
      </c>
      <c r="AD99" s="509">
        <f>COUNTIFS(Tableau2[CLASSE],"CPU",Tableau2[[STATUT ]],"Redouble",Tableau2[Sexes],"G")</f>
        <v>81</v>
      </c>
      <c r="AE99" s="509">
        <f>COUNTIFS(Tableau2[CLASSE],"CEU",Tableau2[[STATUT ]],"Redouble",Tableau2[Sexes],"G")</f>
        <v>2</v>
      </c>
      <c r="AF99" s="843"/>
      <c r="AG99" s="844"/>
      <c r="AH99" s="848"/>
      <c r="AI99" s="848"/>
      <c r="AJ99" s="510">
        <f>AD99*100/AD100</f>
        <v>49.693251533742334</v>
      </c>
      <c r="AK99" s="510">
        <f>AE99*100/AE100</f>
        <v>22.222222222222221</v>
      </c>
      <c r="AL99" s="328" t="s">
        <v>665</v>
      </c>
      <c r="AM99" s="509">
        <f>COUNTIFS(Tableau2[[STATUT ]],"Absent",Tableau2[Sexes],"G")</f>
        <v>78</v>
      </c>
      <c r="AN99" s="509">
        <f>COUNTIFS(Tableau2[CLASSE],"CPU",Tableau2[[STATUT ]],"Absent",Tableau2[Sexes],"G")</f>
        <v>74</v>
      </c>
      <c r="AO99" s="509">
        <f>COUNTIFS(Tableau2[CLASSE],"CEU",Tableau2[[STATUT ]],"Absent",Tableau2[Sexes],"G")</f>
        <v>4</v>
      </c>
      <c r="AP99" s="843"/>
      <c r="AQ99" s="844"/>
      <c r="AR99" s="848"/>
      <c r="AS99" s="848"/>
      <c r="AT99" s="510">
        <f>AN99*100/AN100</f>
        <v>56.92307692307692</v>
      </c>
      <c r="AU99" s="510">
        <f>AO99*100/AO100</f>
        <v>66.666666666666671</v>
      </c>
      <c r="AV99" s="524" t="s">
        <v>665</v>
      </c>
      <c r="AW99" s="529">
        <f t="shared" si="639"/>
        <v>357</v>
      </c>
      <c r="AX99" s="509">
        <f>COUNTIFS(Tableau2[Colonne1],"CP2",Tableau2[Sexes],"G")</f>
        <v>72</v>
      </c>
      <c r="AY99" s="509">
        <f>COUNTIFS(Tableau2[Colonne1],"CE1",Tableau2[Sexes],"G")</f>
        <v>221</v>
      </c>
      <c r="AZ99" s="509">
        <f>COUNTIFS(Tableau2[Colonne1],"CE2",Tableau2[Sexes],"G")</f>
        <v>64</v>
      </c>
      <c r="BA99" s="510">
        <f t="shared" ref="BA99" si="919">AX99*100/AX100</f>
        <v>48.979591836734691</v>
      </c>
      <c r="BB99" s="510">
        <f t="shared" ref="BB99" si="920">AY99*100/AY100</f>
        <v>54.433497536945815</v>
      </c>
      <c r="BC99" s="510">
        <f t="shared" ref="BC99" si="921">AZ99*100/AZ100</f>
        <v>58.715596330275233</v>
      </c>
      <c r="BD99" s="510">
        <f>AX99*100/$AX$100</f>
        <v>48.979591836734691</v>
      </c>
      <c r="BE99" s="510">
        <f>AY99*100/$AY$100</f>
        <v>54.433497536945815</v>
      </c>
      <c r="BF99" s="510">
        <f>AZ99*100/$AZ$100</f>
        <v>58.715596330275233</v>
      </c>
      <c r="BG99" s="510">
        <f t="shared" si="916"/>
        <v>48.979591836734691</v>
      </c>
      <c r="BH99" s="510">
        <f t="shared" si="917"/>
        <v>54.433497536945815</v>
      </c>
      <c r="BI99" s="510">
        <f t="shared" si="918"/>
        <v>58.715596330275233</v>
      </c>
    </row>
    <row r="100" spans="1:61" ht="15.5" customHeight="1" thickBot="1" x14ac:dyDescent="0.45">
      <c r="A100" s="694"/>
      <c r="B100" s="699"/>
      <c r="C100" s="922"/>
      <c r="D100" s="923"/>
      <c r="E100" s="331" t="s">
        <v>1992</v>
      </c>
      <c r="F100" s="513">
        <f>SUM($F$98:$F$99)</f>
        <v>855</v>
      </c>
      <c r="G100" s="928"/>
      <c r="H100" s="929"/>
      <c r="I100" s="340">
        <f t="shared" ref="I100" si="922">SUM(I98:I99)</f>
        <v>100</v>
      </c>
      <c r="J100" s="333">
        <f t="shared" ref="J100" si="923">SUM(J98:J99)</f>
        <v>792</v>
      </c>
      <c r="K100" s="333">
        <f t="shared" si="779"/>
        <v>63</v>
      </c>
      <c r="L100" s="343">
        <f t="shared" ref="L100:M100" si="924">SUM(L98:L99)</f>
        <v>100</v>
      </c>
      <c r="M100" s="343">
        <f t="shared" si="924"/>
        <v>100</v>
      </c>
      <c r="N100" s="849"/>
      <c r="O100" s="849"/>
      <c r="P100" s="849"/>
      <c r="Q100" s="849"/>
      <c r="R100" s="331" t="s">
        <v>1992</v>
      </c>
      <c r="S100" s="709">
        <f>COUNTIFS(Tableau2[[STATUT ]],"admis")</f>
        <v>547</v>
      </c>
      <c r="T100" s="333">
        <f>COUNTIFS(Tableau2[CE1-CE2],1)</f>
        <v>499</v>
      </c>
      <c r="U100" s="333">
        <f>COUNTIFS(Tableau2[CM1-CM2],1)</f>
        <v>48</v>
      </c>
      <c r="V100" s="845"/>
      <c r="W100" s="846"/>
      <c r="X100" s="849"/>
      <c r="Y100" s="849"/>
      <c r="Z100" s="344">
        <f t="shared" ref="Z100:AA100" si="925">SUM(Z98:Z99)</f>
        <v>499</v>
      </c>
      <c r="AA100" s="344">
        <f t="shared" si="925"/>
        <v>48</v>
      </c>
      <c r="AB100" s="331" t="s">
        <v>1992</v>
      </c>
      <c r="AC100" s="513">
        <f>COUNTIFS(Tableau2[[STATUT ]],"Redouble")</f>
        <v>172</v>
      </c>
      <c r="AD100" s="333">
        <f t="shared" ref="AD100" si="926">SUM(AD98:AD99)</f>
        <v>163</v>
      </c>
      <c r="AE100" s="333">
        <f t="shared" si="782"/>
        <v>9</v>
      </c>
      <c r="AF100" s="845"/>
      <c r="AG100" s="846"/>
      <c r="AH100" s="849"/>
      <c r="AI100" s="849"/>
      <c r="AJ100" s="344">
        <f t="shared" ref="AJ100:AK100" si="927">SUM(AJ98:AJ99)</f>
        <v>100</v>
      </c>
      <c r="AK100" s="344">
        <f t="shared" si="927"/>
        <v>100</v>
      </c>
      <c r="AL100" s="331" t="s">
        <v>1992</v>
      </c>
      <c r="AM100" s="513">
        <f>COUNTIFS(Tableau2[[STATUT ]],"Absent")</f>
        <v>136</v>
      </c>
      <c r="AN100" s="333">
        <f t="shared" ref="AN100:AO100" si="928">SUM(AN98:AN99)</f>
        <v>130</v>
      </c>
      <c r="AO100" s="333">
        <f t="shared" si="928"/>
        <v>6</v>
      </c>
      <c r="AP100" s="845"/>
      <c r="AQ100" s="846"/>
      <c r="AR100" s="849"/>
      <c r="AS100" s="849"/>
      <c r="AT100" s="344">
        <f t="shared" ref="AT100:AU100" si="929">SUM(AT98:AT99)</f>
        <v>100</v>
      </c>
      <c r="AU100" s="344">
        <f t="shared" si="929"/>
        <v>100</v>
      </c>
      <c r="AV100" s="526" t="s">
        <v>1992</v>
      </c>
      <c r="AW100" s="531">
        <f>SUM(AX100:AZ100)</f>
        <v>662</v>
      </c>
      <c r="AX100" s="527">
        <f>SUM(AX98:AX99)</f>
        <v>147</v>
      </c>
      <c r="AY100" s="333">
        <f>SUM(AY98:AY99)</f>
        <v>406</v>
      </c>
      <c r="AZ100" s="333">
        <f>SUM(AZ98:AZ99)</f>
        <v>109</v>
      </c>
      <c r="BA100" s="517">
        <f t="shared" ref="BA100:BC100" si="930">SUM(BA98:BA99)</f>
        <v>100</v>
      </c>
      <c r="BB100" s="517">
        <f t="shared" si="930"/>
        <v>100</v>
      </c>
      <c r="BC100" s="517">
        <f t="shared" si="930"/>
        <v>100</v>
      </c>
      <c r="BD100" s="517">
        <f t="shared" ref="BD100" si="931">SUM(BD98:BD99)</f>
        <v>100</v>
      </c>
      <c r="BE100" s="517">
        <f t="shared" ref="BE100" si="932">SUM(BE98:BE99)</f>
        <v>100</v>
      </c>
      <c r="BF100" s="517">
        <f t="shared" ref="BF100" si="933">SUM(BF98:BF99)</f>
        <v>100</v>
      </c>
      <c r="BG100" s="517">
        <f t="shared" ref="BG100:BI100" si="934">SUM(BG98:BG99)</f>
        <v>100</v>
      </c>
      <c r="BH100" s="517">
        <f t="shared" si="934"/>
        <v>100</v>
      </c>
      <c r="BI100" s="517">
        <f t="shared" si="934"/>
        <v>100</v>
      </c>
    </row>
  </sheetData>
  <mergeCells count="345">
    <mergeCell ref="AP98:AQ100"/>
    <mergeCell ref="AR98:AR100"/>
    <mergeCell ref="AS98:AS100"/>
    <mergeCell ref="AT3:AU3"/>
    <mergeCell ref="AL3:AO3"/>
    <mergeCell ref="AL4:AM4"/>
    <mergeCell ref="AV3:AW4"/>
    <mergeCell ref="AO89:AO91"/>
    <mergeCell ref="AP89:AP91"/>
    <mergeCell ref="AQ89:AQ91"/>
    <mergeCell ref="AS89:AS91"/>
    <mergeCell ref="AU89:AU91"/>
    <mergeCell ref="AQ92:AQ94"/>
    <mergeCell ref="AS92:AS94"/>
    <mergeCell ref="AU92:AU94"/>
    <mergeCell ref="AP95:AQ97"/>
    <mergeCell ref="AS95:AS97"/>
    <mergeCell ref="AU95:AU97"/>
    <mergeCell ref="AS74:AS76"/>
    <mergeCell ref="AU74:AU76"/>
    <mergeCell ref="AQ77:AQ79"/>
    <mergeCell ref="AS77:AS79"/>
    <mergeCell ref="AU77:AU79"/>
    <mergeCell ref="AQ80:AQ82"/>
    <mergeCell ref="AS80:AS82"/>
    <mergeCell ref="AU80:AU82"/>
    <mergeCell ref="AQ83:AQ85"/>
    <mergeCell ref="AS83:AS85"/>
    <mergeCell ref="AU83:AU85"/>
    <mergeCell ref="AP56:AP58"/>
    <mergeCell ref="AQ56:AQ58"/>
    <mergeCell ref="AS56:AS58"/>
    <mergeCell ref="AU56:AU58"/>
    <mergeCell ref="AQ59:AQ61"/>
    <mergeCell ref="AS59:AS61"/>
    <mergeCell ref="AU59:AU61"/>
    <mergeCell ref="AP62:AQ64"/>
    <mergeCell ref="AS62:AS64"/>
    <mergeCell ref="AU62:AU64"/>
    <mergeCell ref="AS44:AS46"/>
    <mergeCell ref="AU44:AU46"/>
    <mergeCell ref="AQ47:AQ49"/>
    <mergeCell ref="AS47:AS49"/>
    <mergeCell ref="AU47:AU49"/>
    <mergeCell ref="AQ50:AQ52"/>
    <mergeCell ref="AS50:AS52"/>
    <mergeCell ref="AU50:AU52"/>
    <mergeCell ref="AQ53:AQ55"/>
    <mergeCell ref="AS53:AS55"/>
    <mergeCell ref="AU53:AU55"/>
    <mergeCell ref="AG83:AG85"/>
    <mergeCell ref="AI83:AI85"/>
    <mergeCell ref="AK83:AK85"/>
    <mergeCell ref="AQ11:AQ13"/>
    <mergeCell ref="AS11:AS13"/>
    <mergeCell ref="AU11:AU13"/>
    <mergeCell ref="AP14:AP16"/>
    <mergeCell ref="AQ14:AQ16"/>
    <mergeCell ref="AS14:AS16"/>
    <mergeCell ref="AU14:AU16"/>
    <mergeCell ref="AQ17:AQ19"/>
    <mergeCell ref="AS17:AS19"/>
    <mergeCell ref="AU17:AU19"/>
    <mergeCell ref="AU29:AU31"/>
    <mergeCell ref="AQ32:AQ34"/>
    <mergeCell ref="AS32:AS34"/>
    <mergeCell ref="AU32:AU34"/>
    <mergeCell ref="AQ35:AQ37"/>
    <mergeCell ref="AS35:AS37"/>
    <mergeCell ref="AU35:AU37"/>
    <mergeCell ref="AP38:AQ40"/>
    <mergeCell ref="AQ41:AQ43"/>
    <mergeCell ref="AS41:AS43"/>
    <mergeCell ref="AU41:AU43"/>
    <mergeCell ref="W92:W94"/>
    <mergeCell ref="Y92:Y94"/>
    <mergeCell ref="Y17:Y19"/>
    <mergeCell ref="W23:W25"/>
    <mergeCell ref="Y23:Y25"/>
    <mergeCell ref="X3:Y3"/>
    <mergeCell ref="Z3:AA3"/>
    <mergeCell ref="W5:W7"/>
    <mergeCell ref="Y5:Y7"/>
    <mergeCell ref="AA89:AA91"/>
    <mergeCell ref="AA41:AA43"/>
    <mergeCell ref="W44:W46"/>
    <mergeCell ref="Y44:Y46"/>
    <mergeCell ref="W80:W82"/>
    <mergeCell ref="Y80:Y82"/>
    <mergeCell ref="W83:W85"/>
    <mergeCell ref="Y83:Y85"/>
    <mergeCell ref="W86:W88"/>
    <mergeCell ref="Y86:Y88"/>
    <mergeCell ref="W89:W91"/>
    <mergeCell ref="Y89:Y91"/>
    <mergeCell ref="W41:W43"/>
    <mergeCell ref="Y41:Y43"/>
    <mergeCell ref="W14:W16"/>
    <mergeCell ref="C98:D100"/>
    <mergeCell ref="G98:H100"/>
    <mergeCell ref="C95:D97"/>
    <mergeCell ref="G95:G97"/>
    <mergeCell ref="AA95:AA97"/>
    <mergeCell ref="D92:D94"/>
    <mergeCell ref="AA92:AA94"/>
    <mergeCell ref="C74:C94"/>
    <mergeCell ref="N98:N100"/>
    <mergeCell ref="O98:O100"/>
    <mergeCell ref="P98:P100"/>
    <mergeCell ref="Q98:Q100"/>
    <mergeCell ref="D89:D91"/>
    <mergeCell ref="D86:D88"/>
    <mergeCell ref="AA86:AA88"/>
    <mergeCell ref="D83:D85"/>
    <mergeCell ref="AA83:AA85"/>
    <mergeCell ref="D80:D82"/>
    <mergeCell ref="AA80:AA82"/>
    <mergeCell ref="V95:W97"/>
    <mergeCell ref="Y95:Y97"/>
    <mergeCell ref="V98:W100"/>
    <mergeCell ref="X98:X100"/>
    <mergeCell ref="Y98:Y100"/>
    <mergeCell ref="AG86:AG88"/>
    <mergeCell ref="AI86:AI88"/>
    <mergeCell ref="AK86:AK88"/>
    <mergeCell ref="AQ86:AQ88"/>
    <mergeCell ref="AS86:AS88"/>
    <mergeCell ref="AU86:AU88"/>
    <mergeCell ref="D77:D79"/>
    <mergeCell ref="AA77:AA79"/>
    <mergeCell ref="D74:D76"/>
    <mergeCell ref="AA74:AA76"/>
    <mergeCell ref="W74:W76"/>
    <mergeCell ref="Y74:Y76"/>
    <mergeCell ref="W77:W79"/>
    <mergeCell ref="AG74:AG76"/>
    <mergeCell ref="AI74:AI76"/>
    <mergeCell ref="AK74:AK76"/>
    <mergeCell ref="AG77:AG79"/>
    <mergeCell ref="AI77:AI79"/>
    <mergeCell ref="AK77:AK79"/>
    <mergeCell ref="AG80:AG82"/>
    <mergeCell ref="AI80:AI82"/>
    <mergeCell ref="AK80:AK82"/>
    <mergeCell ref="AQ74:AQ76"/>
    <mergeCell ref="Y77:Y79"/>
    <mergeCell ref="AK71:AK73"/>
    <mergeCell ref="AQ68:AQ70"/>
    <mergeCell ref="AS68:AS70"/>
    <mergeCell ref="AU68:AU70"/>
    <mergeCell ref="AP71:AQ73"/>
    <mergeCell ref="AS71:AS73"/>
    <mergeCell ref="AU71:AU73"/>
    <mergeCell ref="D68:D70"/>
    <mergeCell ref="AA68:AA70"/>
    <mergeCell ref="C71:D73"/>
    <mergeCell ref="G71:G73"/>
    <mergeCell ref="AA71:AA73"/>
    <mergeCell ref="W68:W70"/>
    <mergeCell ref="Y68:Y70"/>
    <mergeCell ref="V71:W73"/>
    <mergeCell ref="Y71:Y73"/>
    <mergeCell ref="AF71:AG73"/>
    <mergeCell ref="AI71:AI73"/>
    <mergeCell ref="C65:C70"/>
    <mergeCell ref="D65:D67"/>
    <mergeCell ref="AA65:AA67"/>
    <mergeCell ref="W65:W67"/>
    <mergeCell ref="Y65:Y67"/>
    <mergeCell ref="AG65:AG67"/>
    <mergeCell ref="D53:D55"/>
    <mergeCell ref="AA53:AA55"/>
    <mergeCell ref="AK65:AK67"/>
    <mergeCell ref="AG68:AG70"/>
    <mergeCell ref="AI68:AI70"/>
    <mergeCell ref="AK68:AK70"/>
    <mergeCell ref="AQ65:AQ67"/>
    <mergeCell ref="AS65:AS67"/>
    <mergeCell ref="AU65:AU67"/>
    <mergeCell ref="C62:D64"/>
    <mergeCell ref="G62:G64"/>
    <mergeCell ref="AA62:AA64"/>
    <mergeCell ref="AI65:AI67"/>
    <mergeCell ref="AI53:AI55"/>
    <mergeCell ref="AK53:AK55"/>
    <mergeCell ref="W59:W61"/>
    <mergeCell ref="Y59:Y61"/>
    <mergeCell ref="V62:W64"/>
    <mergeCell ref="Y62:Y64"/>
    <mergeCell ref="D59:D61"/>
    <mergeCell ref="AA59:AA61"/>
    <mergeCell ref="C41:C61"/>
    <mergeCell ref="AK56:AK58"/>
    <mergeCell ref="AG59:AG61"/>
    <mergeCell ref="AI59:AI61"/>
    <mergeCell ref="AK59:AK61"/>
    <mergeCell ref="AF62:AG64"/>
    <mergeCell ref="AI62:AI64"/>
    <mergeCell ref="AK62:AK64"/>
    <mergeCell ref="AA44:AA46"/>
    <mergeCell ref="W47:W49"/>
    <mergeCell ref="D56:D58"/>
    <mergeCell ref="AA56:AA58"/>
    <mergeCell ref="W53:W55"/>
    <mergeCell ref="Y53:Y55"/>
    <mergeCell ref="W56:W58"/>
    <mergeCell ref="Y56:Y58"/>
    <mergeCell ref="AG56:AG58"/>
    <mergeCell ref="AI56:AI58"/>
    <mergeCell ref="D44:D46"/>
    <mergeCell ref="D50:D52"/>
    <mergeCell ref="AA50:AA52"/>
    <mergeCell ref="W50:W52"/>
    <mergeCell ref="Y50:Y52"/>
    <mergeCell ref="AG50:AG52"/>
    <mergeCell ref="AI50:AI52"/>
    <mergeCell ref="AK50:AK52"/>
    <mergeCell ref="AG53:AG55"/>
    <mergeCell ref="D47:D49"/>
    <mergeCell ref="AG41:AG43"/>
    <mergeCell ref="AI41:AI43"/>
    <mergeCell ref="AK41:AK43"/>
    <mergeCell ref="AG44:AG46"/>
    <mergeCell ref="AI44:AI46"/>
    <mergeCell ref="AK44:AK46"/>
    <mergeCell ref="AG47:AG49"/>
    <mergeCell ref="AI47:AI49"/>
    <mergeCell ref="AK47:AK49"/>
    <mergeCell ref="Y47:Y49"/>
    <mergeCell ref="AA47:AA49"/>
    <mergeCell ref="AK29:AK31"/>
    <mergeCell ref="W17:W19"/>
    <mergeCell ref="AG32:AG34"/>
    <mergeCell ref="AI32:AI34"/>
    <mergeCell ref="AK32:AK34"/>
    <mergeCell ref="AP44:AP46"/>
    <mergeCell ref="AQ44:AQ46"/>
    <mergeCell ref="C38:D40"/>
    <mergeCell ref="G38:G40"/>
    <mergeCell ref="D35:D37"/>
    <mergeCell ref="AA35:AA37"/>
    <mergeCell ref="W32:W34"/>
    <mergeCell ref="Y32:Y34"/>
    <mergeCell ref="W35:W37"/>
    <mergeCell ref="Y35:Y37"/>
    <mergeCell ref="V38:W40"/>
    <mergeCell ref="AG35:AG37"/>
    <mergeCell ref="AI35:AI37"/>
    <mergeCell ref="AK35:AK37"/>
    <mergeCell ref="AF38:AG40"/>
    <mergeCell ref="D32:D34"/>
    <mergeCell ref="AA32:AA34"/>
    <mergeCell ref="D41:D43"/>
    <mergeCell ref="Y14:Y16"/>
    <mergeCell ref="AQ23:AQ25"/>
    <mergeCell ref="AS23:AS25"/>
    <mergeCell ref="AU23:AU25"/>
    <mergeCell ref="AQ29:AQ31"/>
    <mergeCell ref="AS29:AS31"/>
    <mergeCell ref="D20:D22"/>
    <mergeCell ref="D23:D25"/>
    <mergeCell ref="AA23:AA25"/>
    <mergeCell ref="AG17:AG19"/>
    <mergeCell ref="AI17:AI19"/>
    <mergeCell ref="AK17:AK19"/>
    <mergeCell ref="AG23:AG25"/>
    <mergeCell ref="AI23:AI25"/>
    <mergeCell ref="AK23:AK25"/>
    <mergeCell ref="AP20:AP22"/>
    <mergeCell ref="D26:D28"/>
    <mergeCell ref="D29:D31"/>
    <mergeCell ref="AA29:AA31"/>
    <mergeCell ref="W29:W31"/>
    <mergeCell ref="Y29:Y31"/>
    <mergeCell ref="AG29:AG31"/>
    <mergeCell ref="AI29:AI31"/>
    <mergeCell ref="AI14:AI16"/>
    <mergeCell ref="AK14:AK16"/>
    <mergeCell ref="C3:C4"/>
    <mergeCell ref="D3:D4"/>
    <mergeCell ref="E3:F4"/>
    <mergeCell ref="G3:G4"/>
    <mergeCell ref="H3:H4"/>
    <mergeCell ref="I3:I4"/>
    <mergeCell ref="D14:D16"/>
    <mergeCell ref="AA14:AA16"/>
    <mergeCell ref="D8:D10"/>
    <mergeCell ref="Z8:Z10"/>
    <mergeCell ref="C5:C37"/>
    <mergeCell ref="D5:D7"/>
    <mergeCell ref="AA5:AA7"/>
    <mergeCell ref="D17:D19"/>
    <mergeCell ref="AA17:AA19"/>
    <mergeCell ref="D11:D13"/>
    <mergeCell ref="AA11:AA13"/>
    <mergeCell ref="R3:U3"/>
    <mergeCell ref="V8:V10"/>
    <mergeCell ref="X8:X10"/>
    <mergeCell ref="W11:W13"/>
    <mergeCell ref="Y11:Y13"/>
    <mergeCell ref="AG5:AG7"/>
    <mergeCell ref="AI5:AI7"/>
    <mergeCell ref="AK5:AK7"/>
    <mergeCell ref="AP3:AQ3"/>
    <mergeCell ref="AR3:AS3"/>
    <mergeCell ref="AQ5:AQ7"/>
    <mergeCell ref="AS5:AS7"/>
    <mergeCell ref="AU5:AU7"/>
    <mergeCell ref="AP8:AP10"/>
    <mergeCell ref="AR8:AR10"/>
    <mergeCell ref="AT8:AT10"/>
    <mergeCell ref="AX3:AZ3"/>
    <mergeCell ref="J3:K3"/>
    <mergeCell ref="L3:M3"/>
    <mergeCell ref="N3:O3"/>
    <mergeCell ref="P3:Q3"/>
    <mergeCell ref="BA3:BC3"/>
    <mergeCell ref="BD3:BF3"/>
    <mergeCell ref="AF3:AG3"/>
    <mergeCell ref="AH3:AI3"/>
    <mergeCell ref="AJ3:AK3"/>
    <mergeCell ref="BG3:BI3"/>
    <mergeCell ref="R4:S4"/>
    <mergeCell ref="V3:W3"/>
    <mergeCell ref="AF98:AG100"/>
    <mergeCell ref="AH98:AH100"/>
    <mergeCell ref="AI98:AI100"/>
    <mergeCell ref="AB4:AC4"/>
    <mergeCell ref="AB3:AE3"/>
    <mergeCell ref="AG89:AG91"/>
    <mergeCell ref="AI89:AI91"/>
    <mergeCell ref="AK89:AK91"/>
    <mergeCell ref="AG92:AG94"/>
    <mergeCell ref="AI92:AI94"/>
    <mergeCell ref="AK92:AK94"/>
    <mergeCell ref="AF95:AG97"/>
    <mergeCell ref="AI95:AI97"/>
    <mergeCell ref="AK95:AK97"/>
    <mergeCell ref="AF8:AF10"/>
    <mergeCell ref="AH8:AH10"/>
    <mergeCell ref="AJ8:AJ10"/>
    <mergeCell ref="AG11:AG13"/>
    <mergeCell ref="AI11:AI13"/>
    <mergeCell ref="AK11:AK13"/>
    <mergeCell ref="AG14:AG16"/>
  </mergeCells>
  <pageMargins left="0.7" right="0.7" top="0.75" bottom="0.75" header="0.3" footer="0.3"/>
  <pageSetup scale="20" orientation="portrait" r:id="rId1"/>
  <rowBreaks count="1" manualBreakCount="1">
    <brk id="51" min="1" max="49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77DF2-750F-4B10-AF85-BEA1946E339F}">
  <sheetPr>
    <tabColor theme="9" tint="-0.249977111117893"/>
  </sheetPr>
  <dimension ref="A3:AB40"/>
  <sheetViews>
    <sheetView topLeftCell="D1" workbookViewId="0">
      <selection activeCell="K9" sqref="K9"/>
    </sheetView>
  </sheetViews>
  <sheetFormatPr baseColWidth="10" defaultColWidth="10.90625" defaultRowHeight="14.5" x14ac:dyDescent="0.35"/>
  <cols>
    <col min="2" max="2" width="10.90625" style="17"/>
    <col min="3" max="4" width="16.26953125" customWidth="1"/>
    <col min="5" max="5" width="9.81640625" style="17" customWidth="1"/>
    <col min="6" max="6" width="8.54296875" style="19" customWidth="1"/>
    <col min="7" max="7" width="9.1796875" style="17" customWidth="1"/>
    <col min="8" max="8" width="9.26953125" style="17" customWidth="1"/>
    <col min="9" max="9" width="7.81640625" customWidth="1"/>
    <col min="10" max="10" width="9.1796875" customWidth="1"/>
    <col min="11" max="11" width="8.453125" style="17" customWidth="1"/>
    <col min="12" max="16" width="7.81640625" style="19" customWidth="1"/>
    <col min="17" max="17" width="9.1796875" style="19" customWidth="1"/>
    <col min="18" max="19" width="7.81640625" style="19" customWidth="1"/>
    <col min="20" max="20" width="8.453125" style="19" customWidth="1"/>
    <col min="21" max="22" width="7.81640625" style="19" customWidth="1"/>
    <col min="23" max="23" width="8.453125" style="19" customWidth="1"/>
    <col min="24" max="24" width="10.1796875" customWidth="1"/>
    <col min="25" max="27" width="9.7265625" customWidth="1"/>
    <col min="28" max="28" width="9.7265625" style="17" customWidth="1"/>
  </cols>
  <sheetData>
    <row r="3" spans="3:28" ht="15" thickBot="1" x14ac:dyDescent="0.4"/>
    <row r="4" spans="3:28" ht="21.5" thickBot="1" x14ac:dyDescent="0.55000000000000004">
      <c r="C4" s="752" t="s">
        <v>3524</v>
      </c>
      <c r="D4" s="753"/>
      <c r="E4" s="753"/>
      <c r="F4" s="753"/>
      <c r="G4" s="753"/>
      <c r="H4" s="753"/>
      <c r="I4" s="753"/>
      <c r="J4" s="753"/>
      <c r="K4" s="753"/>
      <c r="L4" s="753"/>
      <c r="M4" s="753"/>
      <c r="N4" s="753"/>
      <c r="O4" s="753"/>
      <c r="P4" s="753"/>
      <c r="Q4" s="753"/>
      <c r="R4" s="753"/>
      <c r="S4" s="753"/>
      <c r="T4" s="753"/>
      <c r="U4" s="753"/>
      <c r="V4" s="753"/>
      <c r="W4" s="753"/>
      <c r="X4" s="753"/>
      <c r="Y4" s="753"/>
      <c r="Z4" s="753"/>
      <c r="AA4" s="753"/>
      <c r="AB4" s="753"/>
    </row>
    <row r="5" spans="3:28" ht="15" thickBot="1" x14ac:dyDescent="0.4">
      <c r="C5" s="542"/>
    </row>
    <row r="6" spans="3:28" ht="32.25" customHeight="1" thickBot="1" x14ac:dyDescent="0.4">
      <c r="C6" s="754" t="s">
        <v>1981</v>
      </c>
      <c r="D6" s="756" t="s">
        <v>1982</v>
      </c>
      <c r="E6" s="758" t="s">
        <v>1983</v>
      </c>
      <c r="F6" s="759"/>
      <c r="G6" s="750" t="s">
        <v>1984</v>
      </c>
      <c r="H6" s="763" t="s">
        <v>1985</v>
      </c>
      <c r="I6" s="765" t="s">
        <v>1986</v>
      </c>
      <c r="J6" s="767" t="s">
        <v>1987</v>
      </c>
      <c r="K6" s="768"/>
      <c r="L6" s="771" t="s">
        <v>1987</v>
      </c>
      <c r="M6" s="772"/>
      <c r="N6" s="772"/>
      <c r="O6" s="773" t="s">
        <v>1984</v>
      </c>
      <c r="P6" s="773"/>
      <c r="Q6" s="774"/>
      <c r="R6" s="775" t="s">
        <v>1985</v>
      </c>
      <c r="S6" s="776"/>
      <c r="T6" s="777"/>
      <c r="U6" s="776" t="s">
        <v>1986</v>
      </c>
      <c r="V6" s="776"/>
      <c r="W6" s="776"/>
      <c r="X6" s="778" t="s">
        <v>1988</v>
      </c>
      <c r="Y6" s="779"/>
      <c r="Z6" s="750" t="s">
        <v>1984</v>
      </c>
      <c r="AA6" s="782" t="s">
        <v>1985</v>
      </c>
      <c r="AB6" s="750" t="s">
        <v>1986</v>
      </c>
    </row>
    <row r="7" spans="3:28" ht="27.75" customHeight="1" thickBot="1" x14ac:dyDescent="0.4">
      <c r="C7" s="755"/>
      <c r="D7" s="757"/>
      <c r="E7" s="760"/>
      <c r="F7" s="761"/>
      <c r="G7" s="762"/>
      <c r="H7" s="764"/>
      <c r="I7" s="766"/>
      <c r="J7" s="769"/>
      <c r="K7" s="770"/>
      <c r="L7" s="543" t="s">
        <v>3378</v>
      </c>
      <c r="M7" s="544" t="s">
        <v>3376</v>
      </c>
      <c r="N7" s="545" t="s">
        <v>3377</v>
      </c>
      <c r="O7" s="546" t="s">
        <v>3510</v>
      </c>
      <c r="P7" s="547" t="s">
        <v>3511</v>
      </c>
      <c r="Q7" s="548" t="s">
        <v>3512</v>
      </c>
      <c r="R7" s="546" t="s">
        <v>3510</v>
      </c>
      <c r="S7" s="547" t="s">
        <v>3511</v>
      </c>
      <c r="T7" s="548" t="s">
        <v>3512</v>
      </c>
      <c r="U7" s="546" t="s">
        <v>3510</v>
      </c>
      <c r="V7" s="547" t="s">
        <v>3511</v>
      </c>
      <c r="W7" s="548" t="s">
        <v>3512</v>
      </c>
      <c r="X7" s="780"/>
      <c r="Y7" s="781"/>
      <c r="Z7" s="751"/>
      <c r="AA7" s="783"/>
      <c r="AB7" s="751"/>
    </row>
    <row r="8" spans="3:28" ht="15" customHeight="1" thickBot="1" x14ac:dyDescent="0.4">
      <c r="C8" s="784" t="s">
        <v>1989</v>
      </c>
      <c r="D8" s="787" t="s">
        <v>563</v>
      </c>
      <c r="E8" s="549" t="s">
        <v>1990</v>
      </c>
      <c r="F8" s="550">
        <v>13</v>
      </c>
      <c r="G8" s="551">
        <v>48.148148148148145</v>
      </c>
      <c r="H8" s="552">
        <v>12.871287128712872</v>
      </c>
      <c r="I8" s="553">
        <v>4.6428571428571432</v>
      </c>
      <c r="J8" s="554" t="s">
        <v>1990</v>
      </c>
      <c r="K8" s="555">
        <v>9</v>
      </c>
      <c r="L8" s="556">
        <v>7</v>
      </c>
      <c r="M8" s="557">
        <v>2</v>
      </c>
      <c r="N8" s="558">
        <v>0</v>
      </c>
      <c r="O8" s="559">
        <v>33.333333333333336</v>
      </c>
      <c r="P8" s="560">
        <v>9.5238095238095237</v>
      </c>
      <c r="Q8" s="561">
        <v>0</v>
      </c>
      <c r="R8" s="559">
        <v>9.0909090909090917</v>
      </c>
      <c r="S8" s="562">
        <v>2.5974025974025974</v>
      </c>
      <c r="T8" s="561">
        <v>0</v>
      </c>
      <c r="U8" s="559">
        <v>3.0701754385964914</v>
      </c>
      <c r="V8" s="562">
        <v>0.8771929824561403</v>
      </c>
      <c r="W8" s="561">
        <v>0</v>
      </c>
      <c r="X8" s="563" t="s">
        <v>1990</v>
      </c>
      <c r="Y8" s="564">
        <v>4</v>
      </c>
      <c r="Z8" s="551">
        <v>66.666666666666671</v>
      </c>
      <c r="AA8" s="565">
        <v>16.666666666666668</v>
      </c>
      <c r="AB8" s="551">
        <v>7.6923076923076925</v>
      </c>
    </row>
    <row r="9" spans="3:28" ht="15.75" customHeight="1" thickBot="1" x14ac:dyDescent="0.4">
      <c r="C9" s="785"/>
      <c r="D9" s="788"/>
      <c r="E9" s="566" t="s">
        <v>665</v>
      </c>
      <c r="F9" s="567">
        <v>14</v>
      </c>
      <c r="G9" s="551">
        <v>51.851851851851855</v>
      </c>
      <c r="H9" s="568">
        <v>13.861386138613861</v>
      </c>
      <c r="I9" s="551">
        <v>5</v>
      </c>
      <c r="J9" s="569" t="s">
        <v>665</v>
      </c>
      <c r="K9" s="555">
        <v>12</v>
      </c>
      <c r="L9" s="556">
        <v>6</v>
      </c>
      <c r="M9" s="570">
        <v>6</v>
      </c>
      <c r="N9" s="571">
        <v>0</v>
      </c>
      <c r="O9" s="572">
        <v>28.571428571428573</v>
      </c>
      <c r="P9" s="573">
        <v>28.571428571428573</v>
      </c>
      <c r="Q9" s="561">
        <v>0</v>
      </c>
      <c r="R9" s="572">
        <v>7.7922077922077921</v>
      </c>
      <c r="S9" s="574">
        <v>7.7922077922077921</v>
      </c>
      <c r="T9" s="575">
        <v>0</v>
      </c>
      <c r="U9" s="572">
        <v>2.6315789473684212</v>
      </c>
      <c r="V9" s="574">
        <v>2.6315789473684212</v>
      </c>
      <c r="W9" s="575">
        <v>0</v>
      </c>
      <c r="X9" s="576" t="s">
        <v>665</v>
      </c>
      <c r="Y9" s="577">
        <v>2</v>
      </c>
      <c r="Z9" s="551">
        <v>33.333333333333336</v>
      </c>
      <c r="AA9" s="578">
        <v>8.3333333333333339</v>
      </c>
      <c r="AB9" s="551">
        <v>3.8461538461538463</v>
      </c>
    </row>
    <row r="10" spans="3:28" ht="16.5" customHeight="1" thickBot="1" x14ac:dyDescent="0.4">
      <c r="C10" s="785"/>
      <c r="D10" s="789"/>
      <c r="E10" s="579" t="s">
        <v>658</v>
      </c>
      <c r="F10" s="580">
        <v>27</v>
      </c>
      <c r="G10" s="581">
        <v>100</v>
      </c>
      <c r="H10" s="582">
        <v>26.732673267326732</v>
      </c>
      <c r="I10" s="583">
        <v>9.6428571428571423</v>
      </c>
      <c r="J10" s="584" t="s">
        <v>658</v>
      </c>
      <c r="K10" s="585">
        <v>21</v>
      </c>
      <c r="L10" s="586">
        <v>13</v>
      </c>
      <c r="M10" s="587">
        <v>8</v>
      </c>
      <c r="N10" s="588">
        <v>0</v>
      </c>
      <c r="O10" s="589">
        <v>61.904761904761912</v>
      </c>
      <c r="P10" s="589">
        <v>38.095238095238095</v>
      </c>
      <c r="Q10" s="590">
        <v>0</v>
      </c>
      <c r="R10" s="591">
        <v>16.883116883116884</v>
      </c>
      <c r="S10" s="591">
        <v>10.38961038961039</v>
      </c>
      <c r="T10" s="590">
        <v>0</v>
      </c>
      <c r="U10" s="591">
        <v>5.7017543859649127</v>
      </c>
      <c r="V10" s="591">
        <v>3.5087719298245617</v>
      </c>
      <c r="W10" s="590">
        <v>0</v>
      </c>
      <c r="X10" s="579" t="s">
        <v>658</v>
      </c>
      <c r="Y10" s="592">
        <v>6</v>
      </c>
      <c r="Z10" s="593">
        <v>100</v>
      </c>
      <c r="AA10" s="594">
        <v>25</v>
      </c>
      <c r="AB10" s="595">
        <v>11.538461538461538</v>
      </c>
    </row>
    <row r="11" spans="3:28" ht="15.75" customHeight="1" thickBot="1" x14ac:dyDescent="0.4">
      <c r="C11" s="785"/>
      <c r="D11" s="787" t="s">
        <v>355</v>
      </c>
      <c r="E11" s="549" t="s">
        <v>1990</v>
      </c>
      <c r="F11" s="596">
        <v>15</v>
      </c>
      <c r="G11" s="578">
        <v>57.692307692307693</v>
      </c>
      <c r="H11" s="568">
        <v>14.851485148514852</v>
      </c>
      <c r="I11" s="551">
        <v>5.3571428571428568</v>
      </c>
      <c r="J11" s="597" t="s">
        <v>1990</v>
      </c>
      <c r="K11" s="555">
        <v>11</v>
      </c>
      <c r="L11" s="556">
        <v>8</v>
      </c>
      <c r="M11" s="557">
        <v>3</v>
      </c>
      <c r="N11" s="558">
        <v>0</v>
      </c>
      <c r="O11" s="559">
        <v>42.10526315789474</v>
      </c>
      <c r="P11" s="562">
        <v>15.789473684210526</v>
      </c>
      <c r="Q11" s="561">
        <v>0</v>
      </c>
      <c r="R11" s="559">
        <v>10.38961038961039</v>
      </c>
      <c r="S11" s="562">
        <v>3.8961038961038961</v>
      </c>
      <c r="T11" s="561">
        <v>0</v>
      </c>
      <c r="U11" s="559">
        <v>3.5087719298245612</v>
      </c>
      <c r="V11" s="562">
        <v>1.3157894736842106</v>
      </c>
      <c r="W11" s="561">
        <v>0</v>
      </c>
      <c r="X11" s="598" t="s">
        <v>1990</v>
      </c>
      <c r="Y11" s="599">
        <v>4</v>
      </c>
      <c r="Z11" s="551">
        <v>57.142857142857146</v>
      </c>
      <c r="AA11" s="578">
        <v>16.666666666666668</v>
      </c>
      <c r="AB11" s="551">
        <v>7.6923076923076925</v>
      </c>
    </row>
    <row r="12" spans="3:28" ht="15.75" customHeight="1" x14ac:dyDescent="0.35">
      <c r="C12" s="785"/>
      <c r="D12" s="788"/>
      <c r="E12" s="566" t="s">
        <v>665</v>
      </c>
      <c r="F12" s="596">
        <v>11</v>
      </c>
      <c r="G12" s="578">
        <v>42.307692307692307</v>
      </c>
      <c r="H12" s="568">
        <v>10.891089108910892</v>
      </c>
      <c r="I12" s="551">
        <v>3.9285714285714284</v>
      </c>
      <c r="J12" s="569" t="s">
        <v>665</v>
      </c>
      <c r="K12" s="555">
        <v>8</v>
      </c>
      <c r="L12" s="556">
        <v>1</v>
      </c>
      <c r="M12" s="570">
        <v>6</v>
      </c>
      <c r="N12" s="571">
        <v>1</v>
      </c>
      <c r="O12" s="572">
        <v>5.2631578947368425</v>
      </c>
      <c r="P12" s="574">
        <v>31.578947368421051</v>
      </c>
      <c r="Q12" s="600">
        <v>5.2631578947368425</v>
      </c>
      <c r="R12" s="572">
        <v>1.2987012987012987</v>
      </c>
      <c r="S12" s="574">
        <v>7.7922077922077921</v>
      </c>
      <c r="T12" s="600">
        <v>1.2987012987012987</v>
      </c>
      <c r="U12" s="572">
        <v>0.43859649122807015</v>
      </c>
      <c r="V12" s="574">
        <v>2.6315789473684212</v>
      </c>
      <c r="W12" s="600">
        <v>0.43859649122807015</v>
      </c>
      <c r="X12" s="576" t="s">
        <v>665</v>
      </c>
      <c r="Y12" s="577">
        <v>3</v>
      </c>
      <c r="Z12" s="551">
        <v>42.857142857142854</v>
      </c>
      <c r="AA12" s="578">
        <v>12.5</v>
      </c>
      <c r="AB12" s="551">
        <v>5.7692307692307692</v>
      </c>
    </row>
    <row r="13" spans="3:28" ht="16.5" customHeight="1" thickBot="1" x14ac:dyDescent="0.4">
      <c r="C13" s="785"/>
      <c r="D13" s="789"/>
      <c r="E13" s="579" t="s">
        <v>658</v>
      </c>
      <c r="F13" s="601">
        <v>26</v>
      </c>
      <c r="G13" s="581">
        <v>100</v>
      </c>
      <c r="H13" s="582">
        <v>25.742574257425744</v>
      </c>
      <c r="I13" s="583">
        <v>9.2857142857142847</v>
      </c>
      <c r="J13" s="584" t="s">
        <v>658</v>
      </c>
      <c r="K13" s="585">
        <v>19</v>
      </c>
      <c r="L13" s="586">
        <v>9</v>
      </c>
      <c r="M13" s="602">
        <v>9</v>
      </c>
      <c r="N13" s="588">
        <v>1</v>
      </c>
      <c r="O13" s="591">
        <v>47.368421052631582</v>
      </c>
      <c r="P13" s="591">
        <v>47.368421052631575</v>
      </c>
      <c r="Q13" s="591">
        <v>5.2631578947368425</v>
      </c>
      <c r="R13" s="591">
        <v>11.688311688311689</v>
      </c>
      <c r="S13" s="591">
        <v>11.688311688311689</v>
      </c>
      <c r="T13" s="591">
        <v>1.2987012987012987</v>
      </c>
      <c r="U13" s="591">
        <v>3.9473684210526314</v>
      </c>
      <c r="V13" s="591">
        <v>3.9473684210526319</v>
      </c>
      <c r="W13" s="591">
        <v>0.43859649122807015</v>
      </c>
      <c r="X13" s="579" t="s">
        <v>658</v>
      </c>
      <c r="Y13" s="592">
        <v>7</v>
      </c>
      <c r="Z13" s="593">
        <v>100</v>
      </c>
      <c r="AA13" s="594">
        <v>29.166666666666668</v>
      </c>
      <c r="AB13" s="603">
        <v>13.461538461538462</v>
      </c>
    </row>
    <row r="14" spans="3:28" ht="15.75" customHeight="1" thickBot="1" x14ac:dyDescent="0.4">
      <c r="C14" s="785"/>
      <c r="D14" s="787" t="s">
        <v>221</v>
      </c>
      <c r="E14" s="604" t="s">
        <v>1990</v>
      </c>
      <c r="F14" s="596">
        <v>26</v>
      </c>
      <c r="G14" s="578">
        <v>54.166666666666664</v>
      </c>
      <c r="H14" s="568">
        <v>25.742574257425744</v>
      </c>
      <c r="I14" s="551">
        <v>9.2857142857142865</v>
      </c>
      <c r="J14" s="597" t="s">
        <v>1990</v>
      </c>
      <c r="K14" s="555">
        <v>22</v>
      </c>
      <c r="L14" s="556">
        <v>10</v>
      </c>
      <c r="M14" s="605">
        <v>12</v>
      </c>
      <c r="N14" s="606">
        <v>0</v>
      </c>
      <c r="O14" s="559">
        <v>27.027027027027028</v>
      </c>
      <c r="P14" s="562">
        <v>32.432432432432435</v>
      </c>
      <c r="Q14" s="561">
        <v>0</v>
      </c>
      <c r="R14" s="559">
        <v>12.987012987012987</v>
      </c>
      <c r="S14" s="562">
        <v>15.584415584415584</v>
      </c>
      <c r="T14" s="561">
        <v>0</v>
      </c>
      <c r="U14" s="559">
        <v>4.3859649122807021</v>
      </c>
      <c r="V14" s="562">
        <v>5.2631578947368425</v>
      </c>
      <c r="W14" s="561">
        <v>0</v>
      </c>
      <c r="X14" s="563" t="s">
        <v>1990</v>
      </c>
      <c r="Y14" s="564">
        <v>4</v>
      </c>
      <c r="Z14" s="551">
        <v>36.363636363636367</v>
      </c>
      <c r="AA14" s="578">
        <v>16.666666666666668</v>
      </c>
      <c r="AB14" s="551">
        <v>7.6923076923076925</v>
      </c>
    </row>
    <row r="15" spans="3:28" ht="16.5" customHeight="1" x14ac:dyDescent="0.35">
      <c r="C15" s="785"/>
      <c r="D15" s="788"/>
      <c r="E15" s="566" t="s">
        <v>665</v>
      </c>
      <c r="F15" s="596">
        <v>22</v>
      </c>
      <c r="G15" s="578">
        <v>45.833333333333336</v>
      </c>
      <c r="H15" s="568">
        <v>21.782178217821784</v>
      </c>
      <c r="I15" s="551">
        <v>7.8571428571428568</v>
      </c>
      <c r="J15" s="569" t="s">
        <v>665</v>
      </c>
      <c r="K15" s="555">
        <v>15</v>
      </c>
      <c r="L15" s="556">
        <v>3</v>
      </c>
      <c r="M15" s="570">
        <v>12</v>
      </c>
      <c r="N15" s="571">
        <v>3</v>
      </c>
      <c r="O15" s="572">
        <v>8.1081081081081088</v>
      </c>
      <c r="P15" s="574">
        <v>32.432432432432435</v>
      </c>
      <c r="Q15" s="600">
        <v>8.1081081081081088</v>
      </c>
      <c r="R15" s="572">
        <v>3.8961038961038961</v>
      </c>
      <c r="S15" s="574">
        <v>15.584415584415584</v>
      </c>
      <c r="T15" s="600">
        <v>3.8961038961038961</v>
      </c>
      <c r="U15" s="572">
        <v>1.3157894736842106</v>
      </c>
      <c r="V15" s="574">
        <v>5.2631578947368425</v>
      </c>
      <c r="W15" s="600">
        <v>1.3157894736842106</v>
      </c>
      <c r="X15" s="576" t="s">
        <v>665</v>
      </c>
      <c r="Y15" s="607">
        <v>7</v>
      </c>
      <c r="Z15" s="551">
        <v>63.636363636363633</v>
      </c>
      <c r="AA15" s="578">
        <v>29.166666666666668</v>
      </c>
      <c r="AB15" s="551">
        <v>13.461538461538462</v>
      </c>
    </row>
    <row r="16" spans="3:28" ht="16.5" customHeight="1" thickBot="1" x14ac:dyDescent="0.4">
      <c r="C16" s="786"/>
      <c r="D16" s="789"/>
      <c r="E16" s="579" t="s">
        <v>658</v>
      </c>
      <c r="F16" s="608">
        <v>48</v>
      </c>
      <c r="G16" s="609">
        <v>100</v>
      </c>
      <c r="H16" s="610">
        <v>47.524752475247524</v>
      </c>
      <c r="I16" s="583">
        <v>17.142857142857142</v>
      </c>
      <c r="J16" s="611" t="s">
        <v>658</v>
      </c>
      <c r="K16" s="585">
        <v>37</v>
      </c>
      <c r="L16" s="586">
        <v>13</v>
      </c>
      <c r="M16" s="612">
        <v>24</v>
      </c>
      <c r="N16" s="613">
        <v>3</v>
      </c>
      <c r="O16" s="591">
        <v>35.135135135135137</v>
      </c>
      <c r="P16" s="591">
        <v>64.86486486486487</v>
      </c>
      <c r="Q16" s="591">
        <v>8.1081081081081088</v>
      </c>
      <c r="R16" s="591">
        <v>16.883116883116884</v>
      </c>
      <c r="S16" s="614">
        <v>31.168831168831169</v>
      </c>
      <c r="T16" s="614">
        <v>3.8961038961038961</v>
      </c>
      <c r="U16" s="614">
        <v>5.7017543859649127</v>
      </c>
      <c r="V16" s="614">
        <v>10.526315789473685</v>
      </c>
      <c r="W16" s="614">
        <v>1.3157894736842106</v>
      </c>
      <c r="X16" s="615" t="s">
        <v>658</v>
      </c>
      <c r="Y16" s="616">
        <v>11</v>
      </c>
      <c r="Z16" s="593">
        <v>100</v>
      </c>
      <c r="AA16" s="594">
        <v>45.833333333333336</v>
      </c>
      <c r="AB16" s="617">
        <v>21.153846153846153</v>
      </c>
    </row>
    <row r="17" spans="1:28" ht="16.5" customHeight="1" thickBot="1" x14ac:dyDescent="0.4">
      <c r="A17" s="692"/>
      <c r="B17" s="697"/>
      <c r="C17" s="790" t="s">
        <v>1991</v>
      </c>
      <c r="D17" s="791"/>
      <c r="E17" s="618" t="s">
        <v>1990</v>
      </c>
      <c r="F17" s="596">
        <v>54</v>
      </c>
      <c r="G17" s="814"/>
      <c r="H17" s="568">
        <v>53.465346534653463</v>
      </c>
      <c r="I17" s="551">
        <v>19.285714285714285</v>
      </c>
      <c r="J17" s="619" t="s">
        <v>1990</v>
      </c>
      <c r="K17" s="555">
        <v>42</v>
      </c>
      <c r="L17" s="620">
        <v>25</v>
      </c>
      <c r="M17" s="620">
        <v>17</v>
      </c>
      <c r="N17" s="620">
        <v>0</v>
      </c>
      <c r="O17" s="796"/>
      <c r="P17" s="797"/>
      <c r="Q17" s="797"/>
      <c r="R17" s="621">
        <v>32.467532467532465</v>
      </c>
      <c r="S17" s="621">
        <v>22.077922077922079</v>
      </c>
      <c r="T17" s="621">
        <v>0</v>
      </c>
      <c r="U17" s="621">
        <v>10.964912280701755</v>
      </c>
      <c r="V17" s="621">
        <v>7.4561403508771926</v>
      </c>
      <c r="W17" s="621">
        <v>0</v>
      </c>
      <c r="X17" s="618" t="s">
        <v>1990</v>
      </c>
      <c r="Y17" s="622">
        <v>12</v>
      </c>
      <c r="Z17" s="802"/>
      <c r="AA17" s="578">
        <v>50</v>
      </c>
      <c r="AB17" s="551">
        <v>23.076923076923077</v>
      </c>
    </row>
    <row r="18" spans="1:28" ht="16.5" customHeight="1" x14ac:dyDescent="0.35">
      <c r="A18" s="693"/>
      <c r="B18" s="698"/>
      <c r="C18" s="792"/>
      <c r="D18" s="793"/>
      <c r="E18" s="623" t="s">
        <v>665</v>
      </c>
      <c r="F18" s="596">
        <v>47</v>
      </c>
      <c r="G18" s="815"/>
      <c r="H18" s="568">
        <v>46.534653465346537</v>
      </c>
      <c r="I18" s="551">
        <v>16.785714285714285</v>
      </c>
      <c r="J18" s="624" t="s">
        <v>665</v>
      </c>
      <c r="K18" s="555">
        <v>35</v>
      </c>
      <c r="L18" s="620">
        <v>10</v>
      </c>
      <c r="M18" s="620">
        <v>24</v>
      </c>
      <c r="N18" s="620">
        <v>1</v>
      </c>
      <c r="O18" s="798"/>
      <c r="P18" s="799"/>
      <c r="Q18" s="799"/>
      <c r="R18" s="621">
        <v>12.987012987012987</v>
      </c>
      <c r="S18" s="621">
        <v>31.168831168831169</v>
      </c>
      <c r="T18" s="621">
        <v>1.2987012987012987</v>
      </c>
      <c r="U18" s="621">
        <v>4.3859649122807021</v>
      </c>
      <c r="V18" s="621">
        <v>10.526315789473685</v>
      </c>
      <c r="W18" s="621">
        <v>0.43859649122807015</v>
      </c>
      <c r="X18" s="623" t="s">
        <v>665</v>
      </c>
      <c r="Y18" s="625">
        <v>12</v>
      </c>
      <c r="Z18" s="803"/>
      <c r="AA18" s="578">
        <v>50</v>
      </c>
      <c r="AB18" s="551">
        <v>23.076923076923077</v>
      </c>
    </row>
    <row r="19" spans="1:28" ht="16.5" customHeight="1" thickBot="1" x14ac:dyDescent="0.4">
      <c r="A19" s="694"/>
      <c r="B19" s="699"/>
      <c r="C19" s="794"/>
      <c r="D19" s="795"/>
      <c r="E19" s="626" t="s">
        <v>1992</v>
      </c>
      <c r="F19" s="627">
        <v>101</v>
      </c>
      <c r="G19" s="816"/>
      <c r="H19" s="628">
        <v>100</v>
      </c>
      <c r="I19" s="583">
        <v>36.071428571428569</v>
      </c>
      <c r="J19" s="629" t="s">
        <v>1992</v>
      </c>
      <c r="K19" s="585">
        <v>77</v>
      </c>
      <c r="L19" s="587">
        <v>35</v>
      </c>
      <c r="M19" s="587">
        <v>41</v>
      </c>
      <c r="N19" s="587">
        <v>1</v>
      </c>
      <c r="O19" s="800"/>
      <c r="P19" s="801"/>
      <c r="Q19" s="801"/>
      <c r="R19" s="591">
        <v>45.454545454545453</v>
      </c>
      <c r="S19" s="591">
        <v>53.246753246753244</v>
      </c>
      <c r="T19" s="591">
        <v>1.2987012987012987</v>
      </c>
      <c r="U19" s="591">
        <v>15.350877192982457</v>
      </c>
      <c r="V19" s="591">
        <v>17.982456140350877</v>
      </c>
      <c r="W19" s="591">
        <v>0.43859649122807015</v>
      </c>
      <c r="X19" s="626" t="s">
        <v>1992</v>
      </c>
      <c r="Y19" s="592">
        <v>24</v>
      </c>
      <c r="Z19" s="804"/>
      <c r="AA19" s="630">
        <v>100</v>
      </c>
      <c r="AB19" s="631">
        <v>46.153846153846153</v>
      </c>
    </row>
    <row r="20" spans="1:28" ht="15.75" customHeight="1" thickBot="1" x14ac:dyDescent="0.4">
      <c r="C20" s="805" t="s">
        <v>1993</v>
      </c>
      <c r="D20" s="808" t="s">
        <v>708</v>
      </c>
      <c r="E20" s="604" t="s">
        <v>1990</v>
      </c>
      <c r="F20" s="596">
        <v>20</v>
      </c>
      <c r="G20" s="578">
        <v>38.46153846153846</v>
      </c>
      <c r="H20" s="568">
        <v>14.925373134328359</v>
      </c>
      <c r="I20" s="551">
        <v>7.1428571428571432</v>
      </c>
      <c r="J20" s="554" t="s">
        <v>1990</v>
      </c>
      <c r="K20" s="555">
        <v>18</v>
      </c>
      <c r="L20" s="556">
        <v>4</v>
      </c>
      <c r="M20" s="632">
        <v>12</v>
      </c>
      <c r="N20" s="633">
        <v>2</v>
      </c>
      <c r="O20" s="634">
        <v>8.3333333333333339</v>
      </c>
      <c r="P20" s="635">
        <v>25</v>
      </c>
      <c r="Q20" s="636">
        <v>4.166666666666667</v>
      </c>
      <c r="R20" s="637">
        <v>3.5087719298245612</v>
      </c>
      <c r="S20" s="638">
        <v>10.526315789473685</v>
      </c>
      <c r="T20" s="639">
        <v>1.7543859649122806</v>
      </c>
      <c r="U20" s="637">
        <v>1.7543859649122806</v>
      </c>
      <c r="V20" s="638">
        <v>5.2631578947368425</v>
      </c>
      <c r="W20" s="639">
        <v>0.8771929824561403</v>
      </c>
      <c r="X20" s="598" t="s">
        <v>1990</v>
      </c>
      <c r="Y20" s="640">
        <v>2</v>
      </c>
      <c r="Z20" s="551">
        <v>50</v>
      </c>
      <c r="AA20" s="578">
        <v>10</v>
      </c>
      <c r="AB20" s="551">
        <v>3.8461538461538463</v>
      </c>
    </row>
    <row r="21" spans="1:28" ht="15.75" customHeight="1" x14ac:dyDescent="0.35">
      <c r="C21" s="806"/>
      <c r="D21" s="809"/>
      <c r="E21" s="566" t="s">
        <v>665</v>
      </c>
      <c r="F21" s="596">
        <v>32</v>
      </c>
      <c r="G21" s="578">
        <v>61.53846153846154</v>
      </c>
      <c r="H21" s="568">
        <v>23.880597014925375</v>
      </c>
      <c r="I21" s="551">
        <v>11.428571428571429</v>
      </c>
      <c r="J21" s="569" t="s">
        <v>665</v>
      </c>
      <c r="K21" s="555">
        <v>30</v>
      </c>
      <c r="L21" s="556">
        <v>11</v>
      </c>
      <c r="M21" s="641">
        <v>15</v>
      </c>
      <c r="N21" s="642">
        <v>11</v>
      </c>
      <c r="O21" s="637">
        <v>22.916666666666668</v>
      </c>
      <c r="P21" s="643">
        <v>31.25</v>
      </c>
      <c r="Q21" s="644">
        <v>22.916666666666668</v>
      </c>
      <c r="R21" s="637">
        <v>9.6491228070175445</v>
      </c>
      <c r="S21" s="643">
        <v>13.157894736842104</v>
      </c>
      <c r="T21" s="644">
        <v>9.6491228070175445</v>
      </c>
      <c r="U21" s="637">
        <v>4.8245614035087723</v>
      </c>
      <c r="V21" s="643">
        <v>6.5789473684210522</v>
      </c>
      <c r="W21" s="644">
        <v>4.8245614035087723</v>
      </c>
      <c r="X21" s="576" t="s">
        <v>665</v>
      </c>
      <c r="Y21" s="607">
        <v>2</v>
      </c>
      <c r="Z21" s="551">
        <v>50</v>
      </c>
      <c r="AA21" s="578">
        <v>10</v>
      </c>
      <c r="AB21" s="551">
        <v>3.8461538461538463</v>
      </c>
    </row>
    <row r="22" spans="1:28" ht="16.5" customHeight="1" thickBot="1" x14ac:dyDescent="0.4">
      <c r="C22" s="806"/>
      <c r="D22" s="810"/>
      <c r="E22" s="615" t="s">
        <v>658</v>
      </c>
      <c r="F22" s="601">
        <v>52</v>
      </c>
      <c r="G22" s="581">
        <v>100</v>
      </c>
      <c r="H22" s="582">
        <v>38.805970149253731</v>
      </c>
      <c r="I22" s="583">
        <v>18.571428571428573</v>
      </c>
      <c r="J22" s="584" t="s">
        <v>658</v>
      </c>
      <c r="K22" s="585">
        <v>48</v>
      </c>
      <c r="L22" s="586">
        <v>15</v>
      </c>
      <c r="M22" s="602">
        <v>27</v>
      </c>
      <c r="N22" s="588">
        <v>13</v>
      </c>
      <c r="O22" s="590">
        <v>31.25</v>
      </c>
      <c r="P22" s="590">
        <v>56.25</v>
      </c>
      <c r="Q22" s="591">
        <v>27.083333333333336</v>
      </c>
      <c r="R22" s="591">
        <v>13.157894736842106</v>
      </c>
      <c r="S22" s="591">
        <v>23.684210526315788</v>
      </c>
      <c r="T22" s="591">
        <v>11.403508771929825</v>
      </c>
      <c r="U22" s="591">
        <v>6.5789473684210531</v>
      </c>
      <c r="V22" s="591">
        <v>11.842105263157894</v>
      </c>
      <c r="W22" s="591">
        <v>5.7017543859649127</v>
      </c>
      <c r="X22" s="579" t="s">
        <v>658</v>
      </c>
      <c r="Y22" s="592">
        <v>4</v>
      </c>
      <c r="Z22" s="593">
        <v>100</v>
      </c>
      <c r="AA22" s="594">
        <v>20</v>
      </c>
      <c r="AB22" s="617">
        <v>7.6923076923076925</v>
      </c>
    </row>
    <row r="23" spans="1:28" ht="15.75" customHeight="1" thickBot="1" x14ac:dyDescent="0.4">
      <c r="C23" s="806"/>
      <c r="D23" s="808" t="s">
        <v>3525</v>
      </c>
      <c r="E23" s="549" t="s">
        <v>1990</v>
      </c>
      <c r="F23" s="596">
        <v>37</v>
      </c>
      <c r="G23" s="578">
        <v>74</v>
      </c>
      <c r="H23" s="568">
        <v>27.611940298507463</v>
      </c>
      <c r="I23" s="551">
        <v>13.214285714285714</v>
      </c>
      <c r="J23" s="597" t="s">
        <v>1990</v>
      </c>
      <c r="K23" s="555">
        <v>33</v>
      </c>
      <c r="L23" s="556">
        <v>12</v>
      </c>
      <c r="M23" s="632">
        <v>15</v>
      </c>
      <c r="N23" s="633">
        <v>6</v>
      </c>
      <c r="O23" s="637">
        <v>57.142857142857146</v>
      </c>
      <c r="P23" s="635">
        <v>71.428571428571431</v>
      </c>
      <c r="Q23" s="636">
        <v>28.571428571428573</v>
      </c>
      <c r="R23" s="637">
        <v>10.526315789473685</v>
      </c>
      <c r="S23" s="638">
        <v>13.157894736842104</v>
      </c>
      <c r="T23" s="639">
        <v>5.2631578947368425</v>
      </c>
      <c r="U23" s="637">
        <v>5.2631578947368425</v>
      </c>
      <c r="V23" s="638">
        <v>6.5789473684210522</v>
      </c>
      <c r="W23" s="639">
        <v>2.6315789473684212</v>
      </c>
      <c r="X23" s="563" t="s">
        <v>1990</v>
      </c>
      <c r="Y23" s="645">
        <v>4</v>
      </c>
      <c r="Z23" s="551">
        <v>66.666666666666671</v>
      </c>
      <c r="AA23" s="578">
        <v>20</v>
      </c>
      <c r="AB23" s="551">
        <v>7.6923076923076925</v>
      </c>
    </row>
    <row r="24" spans="1:28" ht="15.75" customHeight="1" x14ac:dyDescent="0.35">
      <c r="C24" s="806"/>
      <c r="D24" s="809"/>
      <c r="E24" s="566" t="s">
        <v>665</v>
      </c>
      <c r="F24" s="596">
        <v>13</v>
      </c>
      <c r="G24" s="578">
        <v>26</v>
      </c>
      <c r="H24" s="568">
        <v>9.7014925373134329</v>
      </c>
      <c r="I24" s="551">
        <v>4.6428571428571432</v>
      </c>
      <c r="J24" s="569" t="s">
        <v>665</v>
      </c>
      <c r="K24" s="555">
        <v>12</v>
      </c>
      <c r="L24" s="556">
        <v>4</v>
      </c>
      <c r="M24" s="641">
        <v>6</v>
      </c>
      <c r="N24" s="642">
        <v>4</v>
      </c>
      <c r="O24" s="637">
        <v>19.047619047619047</v>
      </c>
      <c r="P24" s="643">
        <v>28.571428571428573</v>
      </c>
      <c r="Q24" s="644">
        <v>19.047619047619047</v>
      </c>
      <c r="R24" s="637">
        <v>3.5087719298245612</v>
      </c>
      <c r="S24" s="643">
        <v>5.2631578947368425</v>
      </c>
      <c r="T24" s="644">
        <v>3.5087719298245612</v>
      </c>
      <c r="U24" s="637">
        <v>1.7543859649122806</v>
      </c>
      <c r="V24" s="643">
        <v>2.6315789473684212</v>
      </c>
      <c r="W24" s="644">
        <v>1.7543859649122806</v>
      </c>
      <c r="X24" s="576" t="s">
        <v>665</v>
      </c>
      <c r="Y24" s="607">
        <v>1</v>
      </c>
      <c r="Z24" s="551">
        <v>16.666666666666668</v>
      </c>
      <c r="AA24" s="578">
        <v>5</v>
      </c>
      <c r="AB24" s="551">
        <v>1.9230769230769231</v>
      </c>
    </row>
    <row r="25" spans="1:28" ht="16.5" customHeight="1" thickBot="1" x14ac:dyDescent="0.4">
      <c r="C25" s="806"/>
      <c r="D25" s="810"/>
      <c r="E25" s="579" t="s">
        <v>658</v>
      </c>
      <c r="F25" s="601">
        <v>50</v>
      </c>
      <c r="G25" s="646">
        <v>100</v>
      </c>
      <c r="H25" s="582">
        <v>37.313432835820898</v>
      </c>
      <c r="I25" s="583">
        <v>17.857142857142858</v>
      </c>
      <c r="J25" s="584" t="s">
        <v>658</v>
      </c>
      <c r="K25" s="585">
        <v>21</v>
      </c>
      <c r="L25" s="586">
        <v>16</v>
      </c>
      <c r="M25" s="602">
        <v>21</v>
      </c>
      <c r="N25" s="588">
        <v>10</v>
      </c>
      <c r="O25" s="591">
        <v>76.19047619047619</v>
      </c>
      <c r="P25" s="591">
        <v>100</v>
      </c>
      <c r="Q25" s="591">
        <v>47.61904761904762</v>
      </c>
      <c r="R25" s="591">
        <v>14.035087719298247</v>
      </c>
      <c r="S25" s="591">
        <v>18.421052631578945</v>
      </c>
      <c r="T25" s="591">
        <v>8.7719298245614041</v>
      </c>
      <c r="U25" s="591">
        <v>7.0175438596491233</v>
      </c>
      <c r="V25" s="591">
        <v>9.2105263157894726</v>
      </c>
      <c r="W25" s="591">
        <v>4.3859649122807021</v>
      </c>
      <c r="X25" s="579" t="s">
        <v>658</v>
      </c>
      <c r="Y25" s="592">
        <v>6</v>
      </c>
      <c r="Z25" s="593">
        <v>83.333333333333343</v>
      </c>
      <c r="AA25" s="594">
        <v>25</v>
      </c>
      <c r="AB25" s="617">
        <v>9.615384615384615</v>
      </c>
    </row>
    <row r="26" spans="1:28" ht="15.75" customHeight="1" thickBot="1" x14ac:dyDescent="0.4">
      <c r="C26" s="806"/>
      <c r="D26" s="808" t="s">
        <v>3526</v>
      </c>
      <c r="E26" s="604" t="s">
        <v>1990</v>
      </c>
      <c r="F26" s="596">
        <v>14</v>
      </c>
      <c r="G26" s="578">
        <v>73.684210526315795</v>
      </c>
      <c r="H26" s="568">
        <v>10.447761194029852</v>
      </c>
      <c r="I26" s="551">
        <v>5</v>
      </c>
      <c r="J26" s="554" t="s">
        <v>1990</v>
      </c>
      <c r="K26" s="555">
        <v>7</v>
      </c>
      <c r="L26" s="556">
        <v>6</v>
      </c>
      <c r="M26" s="632">
        <v>0</v>
      </c>
      <c r="N26" s="633">
        <v>1</v>
      </c>
      <c r="O26" s="637">
        <v>54.545454545454547</v>
      </c>
      <c r="P26" s="635">
        <v>0</v>
      </c>
      <c r="Q26" s="636">
        <v>9.0909090909090917</v>
      </c>
      <c r="R26" s="637">
        <v>5.2631578947368425</v>
      </c>
      <c r="S26" s="638">
        <v>0</v>
      </c>
      <c r="T26" s="639">
        <v>0.8771929824561403</v>
      </c>
      <c r="U26" s="637">
        <v>2.6315789473684212</v>
      </c>
      <c r="V26" s="638">
        <v>0</v>
      </c>
      <c r="W26" s="639">
        <v>0.43859649122807015</v>
      </c>
      <c r="X26" s="598" t="s">
        <v>1990</v>
      </c>
      <c r="Y26" s="640">
        <v>7</v>
      </c>
      <c r="Z26" s="551">
        <v>87.5</v>
      </c>
      <c r="AA26" s="578">
        <v>35</v>
      </c>
      <c r="AB26" s="551">
        <v>13.461538461538462</v>
      </c>
    </row>
    <row r="27" spans="1:28" ht="15.75" customHeight="1" x14ac:dyDescent="0.35">
      <c r="C27" s="806"/>
      <c r="D27" s="809"/>
      <c r="E27" s="566" t="s">
        <v>665</v>
      </c>
      <c r="F27" s="596">
        <v>5</v>
      </c>
      <c r="G27" s="578">
        <v>26.315789473684209</v>
      </c>
      <c r="H27" s="568">
        <v>3.7313432835820897</v>
      </c>
      <c r="I27" s="551">
        <v>1.7857142857142858</v>
      </c>
      <c r="J27" s="569" t="s">
        <v>665</v>
      </c>
      <c r="K27" s="555">
        <v>4</v>
      </c>
      <c r="L27" s="556">
        <v>1</v>
      </c>
      <c r="M27" s="641">
        <v>3</v>
      </c>
      <c r="N27" s="642">
        <v>1</v>
      </c>
      <c r="O27" s="637">
        <v>9.0909090909090917</v>
      </c>
      <c r="P27" s="643">
        <v>27.272727272727273</v>
      </c>
      <c r="Q27" s="644">
        <v>9.0909090909090917</v>
      </c>
      <c r="R27" s="637">
        <v>0.8771929824561403</v>
      </c>
      <c r="S27" s="643">
        <v>2.6315789473684212</v>
      </c>
      <c r="T27" s="644">
        <v>0.8771929824561403</v>
      </c>
      <c r="U27" s="637">
        <v>0.43859649122807015</v>
      </c>
      <c r="V27" s="643">
        <v>1.3157894736842106</v>
      </c>
      <c r="W27" s="644">
        <v>0.43859649122807015</v>
      </c>
      <c r="X27" s="576" t="s">
        <v>665</v>
      </c>
      <c r="Y27" s="607">
        <v>1</v>
      </c>
      <c r="Z27" s="551">
        <v>12.5</v>
      </c>
      <c r="AA27" s="578">
        <v>5</v>
      </c>
      <c r="AB27" s="551">
        <v>1.9230769230769231</v>
      </c>
    </row>
    <row r="28" spans="1:28" ht="16.5" customHeight="1" thickBot="1" x14ac:dyDescent="0.4">
      <c r="C28" s="806"/>
      <c r="D28" s="810"/>
      <c r="E28" s="615" t="s">
        <v>658</v>
      </c>
      <c r="F28" s="601">
        <v>19</v>
      </c>
      <c r="G28" s="581">
        <v>100</v>
      </c>
      <c r="H28" s="582">
        <v>14.179104477611942</v>
      </c>
      <c r="I28" s="583">
        <v>6.7857142857142856</v>
      </c>
      <c r="J28" s="584" t="s">
        <v>658</v>
      </c>
      <c r="K28" s="585">
        <v>11</v>
      </c>
      <c r="L28" s="586">
        <v>7</v>
      </c>
      <c r="M28" s="602">
        <v>3</v>
      </c>
      <c r="N28" s="588">
        <v>2</v>
      </c>
      <c r="O28" s="647">
        <v>63.63636363636364</v>
      </c>
      <c r="P28" s="591">
        <v>27.272727272727273</v>
      </c>
      <c r="Q28" s="591">
        <v>18.181818181818183</v>
      </c>
      <c r="R28" s="591">
        <v>6.1403508771929829</v>
      </c>
      <c r="S28" s="591">
        <v>2.6315789473684212</v>
      </c>
      <c r="T28" s="591">
        <v>1.7543859649122806</v>
      </c>
      <c r="U28" s="591">
        <v>3.0701754385964914</v>
      </c>
      <c r="V28" s="591">
        <v>1.3157894736842106</v>
      </c>
      <c r="W28" s="591">
        <v>0.8771929824561403</v>
      </c>
      <c r="X28" s="579" t="s">
        <v>658</v>
      </c>
      <c r="Y28" s="616">
        <v>8</v>
      </c>
      <c r="Z28" s="593">
        <v>100</v>
      </c>
      <c r="AA28" s="594">
        <v>40</v>
      </c>
      <c r="AB28" s="617">
        <v>15.384615384615385</v>
      </c>
    </row>
    <row r="29" spans="1:28" ht="15.75" customHeight="1" thickBot="1" x14ac:dyDescent="0.4">
      <c r="C29" s="806"/>
      <c r="D29" s="811" t="s">
        <v>3527</v>
      </c>
      <c r="E29" s="549" t="s">
        <v>1990</v>
      </c>
      <c r="F29" s="596">
        <v>8</v>
      </c>
      <c r="G29" s="578">
        <v>61.53846153846154</v>
      </c>
      <c r="H29" s="568">
        <v>5.9701492537313436</v>
      </c>
      <c r="I29" s="551">
        <v>2.8571428571428572</v>
      </c>
      <c r="J29" s="597" t="s">
        <v>1990</v>
      </c>
      <c r="K29" s="555">
        <v>7</v>
      </c>
      <c r="L29" s="556">
        <v>5</v>
      </c>
      <c r="M29" s="648">
        <v>2</v>
      </c>
      <c r="N29" s="649">
        <v>0</v>
      </c>
      <c r="O29" s="637">
        <v>50</v>
      </c>
      <c r="P29" s="635">
        <v>20</v>
      </c>
      <c r="Q29" s="650">
        <v>0</v>
      </c>
      <c r="R29" s="637">
        <v>4.3859649122807021</v>
      </c>
      <c r="S29" s="638">
        <v>1.7543859649122806</v>
      </c>
      <c r="T29" s="639">
        <v>0</v>
      </c>
      <c r="U29" s="637">
        <v>2.192982456140351</v>
      </c>
      <c r="V29" s="638">
        <v>0.8771929824561403</v>
      </c>
      <c r="W29" s="639">
        <v>0</v>
      </c>
      <c r="X29" s="563" t="s">
        <v>1990</v>
      </c>
      <c r="Y29" s="645">
        <v>1</v>
      </c>
      <c r="Z29" s="551">
        <v>33.333333333333336</v>
      </c>
      <c r="AA29" s="578">
        <v>5</v>
      </c>
      <c r="AB29" s="551">
        <v>1.9230769230769231</v>
      </c>
    </row>
    <row r="30" spans="1:28" ht="15.75" customHeight="1" x14ac:dyDescent="0.35">
      <c r="C30" s="806"/>
      <c r="D30" s="812"/>
      <c r="E30" s="566" t="s">
        <v>665</v>
      </c>
      <c r="F30" s="596">
        <v>5</v>
      </c>
      <c r="G30" s="578">
        <v>38.46153846153846</v>
      </c>
      <c r="H30" s="568">
        <v>3.7313432835820897</v>
      </c>
      <c r="I30" s="551">
        <v>1.7857142857142858</v>
      </c>
      <c r="J30" s="569" t="s">
        <v>665</v>
      </c>
      <c r="K30" s="555">
        <v>3</v>
      </c>
      <c r="L30" s="556">
        <v>1</v>
      </c>
      <c r="M30" s="641">
        <v>2</v>
      </c>
      <c r="N30" s="642">
        <v>1</v>
      </c>
      <c r="O30" s="637">
        <v>10</v>
      </c>
      <c r="P30" s="643">
        <v>20</v>
      </c>
      <c r="Q30" s="651">
        <v>10</v>
      </c>
      <c r="R30" s="637">
        <v>0.8771929824561403</v>
      </c>
      <c r="S30" s="643">
        <v>1.7543859649122806</v>
      </c>
      <c r="T30" s="644">
        <v>0.8771929824561403</v>
      </c>
      <c r="U30" s="637">
        <v>0.43859649122807015</v>
      </c>
      <c r="V30" s="643">
        <v>0.8771929824561403</v>
      </c>
      <c r="W30" s="644">
        <v>0.43859649122807015</v>
      </c>
      <c r="X30" s="576" t="s">
        <v>665</v>
      </c>
      <c r="Y30" s="607">
        <v>2</v>
      </c>
      <c r="Z30" s="551">
        <v>66.666666666666671</v>
      </c>
      <c r="AA30" s="578">
        <v>10</v>
      </c>
      <c r="AB30" s="551">
        <v>3.8461538461538463</v>
      </c>
    </row>
    <row r="31" spans="1:28" ht="15" customHeight="1" thickBot="1" x14ac:dyDescent="0.4">
      <c r="C31" s="807"/>
      <c r="D31" s="813"/>
      <c r="E31" s="579" t="s">
        <v>658</v>
      </c>
      <c r="F31" s="601">
        <v>13</v>
      </c>
      <c r="G31" s="581">
        <v>100</v>
      </c>
      <c r="H31" s="582">
        <v>9.7014925373134329</v>
      </c>
      <c r="I31" s="583">
        <v>4.6428571428571432</v>
      </c>
      <c r="J31" s="584" t="s">
        <v>658</v>
      </c>
      <c r="K31" s="585">
        <v>10</v>
      </c>
      <c r="L31" s="586">
        <v>6</v>
      </c>
      <c r="M31" s="602">
        <v>4</v>
      </c>
      <c r="N31" s="588">
        <v>1</v>
      </c>
      <c r="O31" s="591">
        <v>60</v>
      </c>
      <c r="P31" s="590">
        <v>40</v>
      </c>
      <c r="Q31" s="590">
        <v>10</v>
      </c>
      <c r="R31" s="591">
        <v>5.2631578947368425</v>
      </c>
      <c r="S31" s="591">
        <v>3.5087719298245612</v>
      </c>
      <c r="T31" s="591">
        <v>0.8771929824561403</v>
      </c>
      <c r="U31" s="591">
        <v>2.6315789473684212</v>
      </c>
      <c r="V31" s="591">
        <v>1.7543859649122806</v>
      </c>
      <c r="W31" s="591">
        <v>0.43859649122807015</v>
      </c>
      <c r="X31" s="579" t="s">
        <v>658</v>
      </c>
      <c r="Y31" s="592">
        <v>3</v>
      </c>
      <c r="Z31" s="593">
        <v>100</v>
      </c>
      <c r="AA31" s="594">
        <v>15</v>
      </c>
      <c r="AB31" s="595">
        <v>5.7692307692307692</v>
      </c>
    </row>
    <row r="32" spans="1:28" ht="16.5" customHeight="1" thickBot="1" x14ac:dyDescent="0.4">
      <c r="A32" s="692"/>
      <c r="B32" s="695"/>
      <c r="C32" s="790" t="s">
        <v>1994</v>
      </c>
      <c r="D32" s="791"/>
      <c r="E32" s="618" t="s">
        <v>1990</v>
      </c>
      <c r="F32" s="622">
        <v>79</v>
      </c>
      <c r="G32" s="814"/>
      <c r="H32" s="568">
        <v>58.955223880597018</v>
      </c>
      <c r="I32" s="551">
        <v>28.214285714285715</v>
      </c>
      <c r="J32" s="619" t="s">
        <v>1990</v>
      </c>
      <c r="K32" s="555">
        <v>65</v>
      </c>
      <c r="L32" s="620">
        <v>27</v>
      </c>
      <c r="M32" s="620">
        <v>29</v>
      </c>
      <c r="N32" s="620">
        <v>9</v>
      </c>
      <c r="O32" s="796"/>
      <c r="P32" s="797"/>
      <c r="Q32" s="797"/>
      <c r="R32" s="621">
        <v>23.684210526315791</v>
      </c>
      <c r="S32" s="621">
        <v>25.438596491228068</v>
      </c>
      <c r="T32" s="621">
        <v>7.8947368421052628</v>
      </c>
      <c r="U32" s="637">
        <v>11.842105263157896</v>
      </c>
      <c r="V32" s="638">
        <v>12.719298245614034</v>
      </c>
      <c r="W32" s="639">
        <v>3.9473684210526314</v>
      </c>
      <c r="X32" s="618" t="s">
        <v>1990</v>
      </c>
      <c r="Y32" s="622">
        <v>14</v>
      </c>
      <c r="Z32" s="802"/>
      <c r="AA32" s="578">
        <v>70</v>
      </c>
      <c r="AB32" s="551">
        <v>26.923076923076923</v>
      </c>
    </row>
    <row r="33" spans="1:28" ht="16.5" customHeight="1" thickBot="1" x14ac:dyDescent="0.4">
      <c r="A33" s="693"/>
      <c r="C33" s="792"/>
      <c r="D33" s="793"/>
      <c r="E33" s="623" t="s">
        <v>665</v>
      </c>
      <c r="F33" s="622">
        <v>55</v>
      </c>
      <c r="G33" s="815"/>
      <c r="H33" s="568">
        <v>41.044776119402982</v>
      </c>
      <c r="I33" s="551">
        <v>19.642857142857142</v>
      </c>
      <c r="J33" s="624" t="s">
        <v>665</v>
      </c>
      <c r="K33" s="555">
        <v>49</v>
      </c>
      <c r="L33" s="620">
        <v>17</v>
      </c>
      <c r="M33" s="620">
        <v>26</v>
      </c>
      <c r="N33" s="620">
        <v>6</v>
      </c>
      <c r="O33" s="798"/>
      <c r="P33" s="799"/>
      <c r="Q33" s="799"/>
      <c r="R33" s="621">
        <v>14.912280701754385</v>
      </c>
      <c r="S33" s="621">
        <v>22.807017543859651</v>
      </c>
      <c r="T33" s="621">
        <v>5.2631578947368425</v>
      </c>
      <c r="U33" s="637">
        <v>7.4561403508771926</v>
      </c>
      <c r="V33" s="643">
        <v>11.403508771929825</v>
      </c>
      <c r="W33" s="644">
        <v>2.6315789473684212</v>
      </c>
      <c r="X33" s="623" t="s">
        <v>665</v>
      </c>
      <c r="Y33" s="625">
        <v>6</v>
      </c>
      <c r="Z33" s="803"/>
      <c r="AA33" s="652">
        <v>30</v>
      </c>
      <c r="AB33" s="551">
        <v>11.538461538461538</v>
      </c>
    </row>
    <row r="34" spans="1:28" ht="16.5" customHeight="1" thickBot="1" x14ac:dyDescent="0.4">
      <c r="A34" s="694"/>
      <c r="B34" s="696"/>
      <c r="C34" s="794"/>
      <c r="D34" s="795"/>
      <c r="E34" s="626" t="s">
        <v>1992</v>
      </c>
      <c r="F34" s="653">
        <v>134</v>
      </c>
      <c r="G34" s="816"/>
      <c r="H34" s="654">
        <v>100</v>
      </c>
      <c r="I34" s="583">
        <v>47.857142857142861</v>
      </c>
      <c r="J34" s="629" t="s">
        <v>1992</v>
      </c>
      <c r="K34" s="585">
        <v>114</v>
      </c>
      <c r="L34" s="587">
        <v>44</v>
      </c>
      <c r="M34" s="587">
        <v>55</v>
      </c>
      <c r="N34" s="587">
        <v>15</v>
      </c>
      <c r="O34" s="800"/>
      <c r="P34" s="801"/>
      <c r="Q34" s="801"/>
      <c r="R34" s="591">
        <v>38.596491228070178</v>
      </c>
      <c r="S34" s="591">
        <v>48.245614035087719</v>
      </c>
      <c r="T34" s="591">
        <v>13.157894736842106</v>
      </c>
      <c r="U34" s="591">
        <v>19.298245614035089</v>
      </c>
      <c r="V34" s="591">
        <v>24.12280701754386</v>
      </c>
      <c r="W34" s="591">
        <v>6.5789473684210531</v>
      </c>
      <c r="X34" s="626" t="s">
        <v>1992</v>
      </c>
      <c r="Y34" s="592">
        <v>20</v>
      </c>
      <c r="Z34" s="804"/>
      <c r="AA34" s="655">
        <v>100</v>
      </c>
      <c r="AB34" s="595">
        <v>38.46153846153846</v>
      </c>
    </row>
    <row r="35" spans="1:28" ht="16" thickBot="1" x14ac:dyDescent="0.4">
      <c r="A35" s="692"/>
      <c r="B35" s="697"/>
      <c r="C35" s="817" t="s">
        <v>1995</v>
      </c>
      <c r="D35" s="820" t="s">
        <v>804</v>
      </c>
      <c r="E35" s="604" t="s">
        <v>1990</v>
      </c>
      <c r="F35" s="596">
        <v>23</v>
      </c>
      <c r="G35" s="578">
        <v>51.111111111111114</v>
      </c>
      <c r="H35" s="823"/>
      <c r="I35" s="551">
        <v>8.2142857142857135</v>
      </c>
      <c r="J35" s="554" t="s">
        <v>1990</v>
      </c>
      <c r="K35" s="555">
        <v>19</v>
      </c>
      <c r="L35" s="556">
        <v>12</v>
      </c>
      <c r="M35" s="620">
        <v>7</v>
      </c>
      <c r="N35" s="656">
        <v>0</v>
      </c>
      <c r="O35" s="634">
        <v>32.432432432432435</v>
      </c>
      <c r="P35" s="635">
        <v>18.918918918918919</v>
      </c>
      <c r="Q35" s="650">
        <v>0</v>
      </c>
      <c r="R35" s="637">
        <v>32.432432432432435</v>
      </c>
      <c r="S35" s="638">
        <v>18.918918918918919</v>
      </c>
      <c r="T35" s="639">
        <v>0</v>
      </c>
      <c r="U35" s="637">
        <v>5.2631578947368425</v>
      </c>
      <c r="V35" s="638">
        <v>3.0701754385964914</v>
      </c>
      <c r="W35" s="639">
        <v>0</v>
      </c>
      <c r="X35" s="598" t="s">
        <v>1990</v>
      </c>
      <c r="Y35" s="640">
        <v>4</v>
      </c>
      <c r="Z35" s="551">
        <v>50</v>
      </c>
      <c r="AA35" s="814"/>
      <c r="AB35" s="551">
        <v>7.6923076923076925</v>
      </c>
    </row>
    <row r="36" spans="1:28" ht="15.5" x14ac:dyDescent="0.35">
      <c r="A36" s="693"/>
      <c r="B36" s="698"/>
      <c r="C36" s="818"/>
      <c r="D36" s="821"/>
      <c r="E36" s="566" t="s">
        <v>665</v>
      </c>
      <c r="F36" s="596">
        <v>22</v>
      </c>
      <c r="G36" s="578">
        <v>48.888888888888886</v>
      </c>
      <c r="H36" s="824"/>
      <c r="I36" s="551">
        <v>7.8571428571428568</v>
      </c>
      <c r="J36" s="569" t="s">
        <v>665</v>
      </c>
      <c r="K36" s="555">
        <v>18</v>
      </c>
      <c r="L36" s="556">
        <v>5</v>
      </c>
      <c r="M36" s="620">
        <v>12</v>
      </c>
      <c r="N36" s="656">
        <v>1</v>
      </c>
      <c r="O36" s="637">
        <v>13.513513513513514</v>
      </c>
      <c r="P36" s="643">
        <v>32.432432432432435</v>
      </c>
      <c r="Q36" s="644">
        <v>2.7027027027027026</v>
      </c>
      <c r="R36" s="637">
        <v>13.513513513513514</v>
      </c>
      <c r="S36" s="643">
        <v>32.432432432432435</v>
      </c>
      <c r="T36" s="644">
        <v>2.7027027027027026</v>
      </c>
      <c r="U36" s="637">
        <v>2.192982456140351</v>
      </c>
      <c r="V36" s="643">
        <v>5.2631578947368425</v>
      </c>
      <c r="W36" s="644">
        <v>0.43859649122807015</v>
      </c>
      <c r="X36" s="576" t="s">
        <v>665</v>
      </c>
      <c r="Y36" s="607">
        <v>4</v>
      </c>
      <c r="Z36" s="551">
        <v>50</v>
      </c>
      <c r="AA36" s="815"/>
      <c r="AB36" s="551">
        <v>7.6923076923076925</v>
      </c>
    </row>
    <row r="37" spans="1:28" ht="16" thickBot="1" x14ac:dyDescent="0.4">
      <c r="A37" s="694"/>
      <c r="B37" s="699"/>
      <c r="C37" s="819"/>
      <c r="D37" s="822"/>
      <c r="E37" s="579" t="s">
        <v>658</v>
      </c>
      <c r="F37" s="601">
        <v>45</v>
      </c>
      <c r="G37" s="581">
        <v>100</v>
      </c>
      <c r="H37" s="825"/>
      <c r="I37" s="631">
        <v>16.071428571428569</v>
      </c>
      <c r="J37" s="584" t="s">
        <v>658</v>
      </c>
      <c r="K37" s="585">
        <v>37</v>
      </c>
      <c r="L37" s="586">
        <v>17</v>
      </c>
      <c r="M37" s="602">
        <v>19</v>
      </c>
      <c r="N37" s="588">
        <v>1</v>
      </c>
      <c r="O37" s="591">
        <v>45.945945945945951</v>
      </c>
      <c r="P37" s="591">
        <v>51.351351351351354</v>
      </c>
      <c r="Q37" s="591">
        <v>2.7027027027027026</v>
      </c>
      <c r="R37" s="591">
        <v>45.945945945945951</v>
      </c>
      <c r="S37" s="591">
        <v>51.351351351351354</v>
      </c>
      <c r="T37" s="591">
        <v>2.7027027027027026</v>
      </c>
      <c r="U37" s="591">
        <v>7.4561403508771935</v>
      </c>
      <c r="V37" s="591">
        <v>8.3333333333333339</v>
      </c>
      <c r="W37" s="591">
        <v>0.43859649122807015</v>
      </c>
      <c r="X37" s="579" t="s">
        <v>658</v>
      </c>
      <c r="Y37" s="592">
        <v>8</v>
      </c>
      <c r="Z37" s="593">
        <v>100</v>
      </c>
      <c r="AA37" s="816"/>
      <c r="AB37" s="595">
        <v>15.384615384615385</v>
      </c>
    </row>
    <row r="38" spans="1:28" ht="16.5" customHeight="1" thickBot="1" x14ac:dyDescent="0.4">
      <c r="A38" s="692"/>
      <c r="B38" s="697"/>
      <c r="C38" s="826" t="s">
        <v>1996</v>
      </c>
      <c r="D38" s="827"/>
      <c r="E38" s="618" t="s">
        <v>1990</v>
      </c>
      <c r="F38" s="596">
        <v>156</v>
      </c>
      <c r="G38" s="832"/>
      <c r="H38" s="832"/>
      <c r="I38" s="551">
        <v>55.714285714285715</v>
      </c>
      <c r="J38" s="619" t="s">
        <v>1990</v>
      </c>
      <c r="K38" s="555">
        <v>126</v>
      </c>
      <c r="L38" s="657">
        <v>64</v>
      </c>
      <c r="M38" s="620">
        <v>53</v>
      </c>
      <c r="N38" s="620">
        <v>9</v>
      </c>
      <c r="O38" s="796"/>
      <c r="P38" s="797"/>
      <c r="Q38" s="797"/>
      <c r="R38" s="797"/>
      <c r="S38" s="797"/>
      <c r="T38" s="797"/>
      <c r="U38" s="637">
        <v>28.07017543859649</v>
      </c>
      <c r="V38" s="638">
        <v>23.245614035087719</v>
      </c>
      <c r="W38" s="639">
        <v>3.9473684210526314</v>
      </c>
      <c r="X38" s="618" t="s">
        <v>1990</v>
      </c>
      <c r="Y38" s="622">
        <v>30</v>
      </c>
      <c r="Z38" s="823"/>
      <c r="AA38" s="814"/>
      <c r="AB38" s="551">
        <v>57.692307692307693</v>
      </c>
    </row>
    <row r="39" spans="1:28" ht="16.5" customHeight="1" thickBot="1" x14ac:dyDescent="0.4">
      <c r="A39" s="693"/>
      <c r="B39" s="698"/>
      <c r="C39" s="828"/>
      <c r="D39" s="829"/>
      <c r="E39" s="623" t="s">
        <v>665</v>
      </c>
      <c r="F39" s="596">
        <v>124</v>
      </c>
      <c r="G39" s="833"/>
      <c r="H39" s="833"/>
      <c r="I39" s="551">
        <v>44.285714285714285</v>
      </c>
      <c r="J39" s="624" t="s">
        <v>665</v>
      </c>
      <c r="K39" s="555">
        <v>102</v>
      </c>
      <c r="L39" s="657">
        <v>32</v>
      </c>
      <c r="M39" s="620">
        <v>62</v>
      </c>
      <c r="N39" s="620">
        <v>8</v>
      </c>
      <c r="O39" s="798"/>
      <c r="P39" s="799"/>
      <c r="Q39" s="799"/>
      <c r="R39" s="799"/>
      <c r="S39" s="799"/>
      <c r="T39" s="799"/>
      <c r="U39" s="637">
        <v>14.035087719298245</v>
      </c>
      <c r="V39" s="643">
        <v>27.192982456140349</v>
      </c>
      <c r="W39" s="644">
        <v>3.5087719298245612</v>
      </c>
      <c r="X39" s="623" t="s">
        <v>665</v>
      </c>
      <c r="Y39" s="625">
        <v>22</v>
      </c>
      <c r="Z39" s="824"/>
      <c r="AA39" s="815"/>
      <c r="AB39" s="551">
        <v>42.307692307692307</v>
      </c>
    </row>
    <row r="40" spans="1:28" ht="16.5" customHeight="1" thickBot="1" x14ac:dyDescent="0.4">
      <c r="A40" s="694"/>
      <c r="B40" s="699"/>
      <c r="C40" s="830"/>
      <c r="D40" s="831"/>
      <c r="E40" s="658" t="s">
        <v>1992</v>
      </c>
      <c r="F40" s="659">
        <v>280</v>
      </c>
      <c r="G40" s="834"/>
      <c r="H40" s="834"/>
      <c r="I40" s="583">
        <v>100</v>
      </c>
      <c r="J40" s="660" t="s">
        <v>1992</v>
      </c>
      <c r="K40" s="585">
        <v>228</v>
      </c>
      <c r="L40" s="657">
        <v>96</v>
      </c>
      <c r="M40" s="657">
        <v>115</v>
      </c>
      <c r="N40" s="657">
        <v>17</v>
      </c>
      <c r="O40" s="800"/>
      <c r="P40" s="801"/>
      <c r="Q40" s="801"/>
      <c r="R40" s="801"/>
      <c r="S40" s="801"/>
      <c r="T40" s="801"/>
      <c r="U40" s="661">
        <v>42.105263157894733</v>
      </c>
      <c r="V40" s="661">
        <v>50.438596491228068</v>
      </c>
      <c r="W40" s="661">
        <v>7.4561403508771926</v>
      </c>
      <c r="X40" s="658" t="s">
        <v>1992</v>
      </c>
      <c r="Y40" s="592">
        <v>52</v>
      </c>
      <c r="Z40" s="825"/>
      <c r="AA40" s="816"/>
      <c r="AB40" s="595">
        <v>100</v>
      </c>
    </row>
  </sheetData>
  <mergeCells count="41">
    <mergeCell ref="AA35:AA37"/>
    <mergeCell ref="C38:D40"/>
    <mergeCell ref="G38:H40"/>
    <mergeCell ref="O38:T40"/>
    <mergeCell ref="Z38:AA40"/>
    <mergeCell ref="C32:D34"/>
    <mergeCell ref="G32:G34"/>
    <mergeCell ref="O32:Q34"/>
    <mergeCell ref="Z32:Z34"/>
    <mergeCell ref="C35:C37"/>
    <mergeCell ref="D35:D37"/>
    <mergeCell ref="H35:H37"/>
    <mergeCell ref="O17:Q19"/>
    <mergeCell ref="Z17:Z19"/>
    <mergeCell ref="C20:C31"/>
    <mergeCell ref="D20:D22"/>
    <mergeCell ref="D23:D25"/>
    <mergeCell ref="D26:D28"/>
    <mergeCell ref="D29:D31"/>
    <mergeCell ref="G17:G19"/>
    <mergeCell ref="C8:C16"/>
    <mergeCell ref="D8:D10"/>
    <mergeCell ref="D11:D13"/>
    <mergeCell ref="D14:D16"/>
    <mergeCell ref="C17:D19"/>
    <mergeCell ref="AB6:AB7"/>
    <mergeCell ref="C4:AB4"/>
    <mergeCell ref="C6:C7"/>
    <mergeCell ref="D6:D7"/>
    <mergeCell ref="E6:F7"/>
    <mergeCell ref="G6:G7"/>
    <mergeCell ref="H6:H7"/>
    <mergeCell ref="I6:I7"/>
    <mergeCell ref="J6:K7"/>
    <mergeCell ref="L6:N6"/>
    <mergeCell ref="O6:Q6"/>
    <mergeCell ref="R6:T6"/>
    <mergeCell ref="U6:W6"/>
    <mergeCell ref="X6:Y7"/>
    <mergeCell ref="Z6:Z7"/>
    <mergeCell ref="AA6:AA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365BB-8354-4CD0-B146-8FC43DCB57BF}">
  <sheetPr>
    <tabColor rgb="FFFF0000"/>
  </sheetPr>
  <dimension ref="A1:U40"/>
  <sheetViews>
    <sheetView view="pageBreakPreview" topLeftCell="A18" zoomScale="85" zoomScaleNormal="100" zoomScaleSheetLayoutView="85" workbookViewId="0">
      <selection activeCell="H33" sqref="H33"/>
    </sheetView>
  </sheetViews>
  <sheetFormatPr baseColWidth="10" defaultColWidth="10.90625" defaultRowHeight="14.5" x14ac:dyDescent="0.35"/>
  <cols>
    <col min="1" max="2" width="6.08984375" customWidth="1"/>
    <col min="3" max="3" width="9.54296875" style="673" customWidth="1"/>
    <col min="4" max="4" width="6.7265625" customWidth="1"/>
    <col min="5" max="5" width="13.453125" customWidth="1"/>
    <col min="6" max="7" width="13.6328125" customWidth="1"/>
    <col min="8" max="8" width="19.81640625" customWidth="1"/>
    <col min="10" max="10" width="14.453125" customWidth="1"/>
    <col min="11" max="11" width="14.1796875" customWidth="1"/>
    <col min="17" max="23" width="16.7265625" customWidth="1"/>
  </cols>
  <sheetData>
    <row r="1" spans="1:21" ht="33.5" customHeight="1" thickBot="1" x14ac:dyDescent="0.4">
      <c r="A1" s="957" t="s">
        <v>3556</v>
      </c>
      <c r="B1" s="957"/>
      <c r="C1" s="957"/>
      <c r="D1" s="958">
        <v>2021</v>
      </c>
      <c r="E1" s="958"/>
      <c r="F1" s="972">
        <v>2022</v>
      </c>
      <c r="G1" s="973"/>
      <c r="H1" s="974"/>
      <c r="J1" s="975" t="s">
        <v>3521</v>
      </c>
      <c r="K1" s="969">
        <v>2021</v>
      </c>
      <c r="L1" s="969"/>
      <c r="M1" s="970">
        <v>2022</v>
      </c>
      <c r="N1" s="971"/>
      <c r="O1" s="970">
        <v>2022</v>
      </c>
      <c r="P1" s="971"/>
      <c r="R1" s="965" t="s">
        <v>3523</v>
      </c>
      <c r="S1" s="967" t="s">
        <v>3557</v>
      </c>
      <c r="T1" s="967"/>
      <c r="U1" s="968"/>
    </row>
    <row r="2" spans="1:21" s="19" customFormat="1" ht="45" customHeight="1" thickBot="1" x14ac:dyDescent="0.4">
      <c r="A2" s="957"/>
      <c r="B2" s="957"/>
      <c r="C2" s="957"/>
      <c r="D2" s="687" t="s">
        <v>1983</v>
      </c>
      <c r="E2" s="687" t="s">
        <v>3522</v>
      </c>
      <c r="F2" s="687" t="s">
        <v>3558</v>
      </c>
      <c r="G2" s="687" t="s">
        <v>3559</v>
      </c>
      <c r="H2" s="687" t="s">
        <v>3560</v>
      </c>
      <c r="J2" s="976"/>
      <c r="K2" s="533" t="s">
        <v>1983</v>
      </c>
      <c r="L2" s="533" t="s">
        <v>3522</v>
      </c>
      <c r="M2" s="533" t="s">
        <v>3558</v>
      </c>
      <c r="N2" s="534" t="s">
        <v>3520</v>
      </c>
      <c r="R2" s="966"/>
      <c r="S2" s="689">
        <v>2021</v>
      </c>
      <c r="T2" s="690">
        <v>2022</v>
      </c>
      <c r="U2" s="691" t="s">
        <v>1992</v>
      </c>
    </row>
    <row r="3" spans="1:21" ht="15.5" x14ac:dyDescent="0.35">
      <c r="A3" s="959" t="s">
        <v>3561</v>
      </c>
      <c r="B3" s="960"/>
      <c r="C3" s="677" t="s">
        <v>1990</v>
      </c>
      <c r="D3" s="685">
        <v>54</v>
      </c>
      <c r="E3" s="686">
        <v>42</v>
      </c>
      <c r="F3" s="676">
        <v>150</v>
      </c>
      <c r="G3" s="676">
        <v>31</v>
      </c>
      <c r="H3" s="676">
        <v>129</v>
      </c>
      <c r="J3" s="671" t="s">
        <v>1990</v>
      </c>
      <c r="K3" s="535">
        <v>156</v>
      </c>
      <c r="L3" s="532">
        <v>126</v>
      </c>
      <c r="M3" s="509">
        <f>COUNTIFS(Tableau2[CLASSE],"CPU",Tableau2[Sexes],"F")</f>
        <v>361</v>
      </c>
      <c r="N3" s="532">
        <v>305</v>
      </c>
      <c r="O3" s="535">
        <f>+M3+G3</f>
        <v>392</v>
      </c>
      <c r="P3" s="51">
        <f>O3/O5</f>
        <v>0.45847953216374271</v>
      </c>
      <c r="R3" s="674" t="s">
        <v>1990</v>
      </c>
      <c r="S3" s="529">
        <v>126</v>
      </c>
      <c r="T3" s="529">
        <v>305</v>
      </c>
      <c r="U3" s="540">
        <f>SUM(S3:T3)</f>
        <v>431</v>
      </c>
    </row>
    <row r="4" spans="1:21" ht="16" thickBot="1" x14ac:dyDescent="0.4">
      <c r="A4" s="961"/>
      <c r="B4" s="962"/>
      <c r="C4" s="678" t="s">
        <v>665</v>
      </c>
      <c r="D4" s="685">
        <v>47</v>
      </c>
      <c r="E4" s="686">
        <v>35</v>
      </c>
      <c r="F4" s="676">
        <v>178</v>
      </c>
      <c r="G4" s="676">
        <v>32</v>
      </c>
      <c r="H4" s="676">
        <v>149</v>
      </c>
      <c r="J4" s="671" t="s">
        <v>665</v>
      </c>
      <c r="K4" s="535">
        <v>124</v>
      </c>
      <c r="L4" s="532">
        <v>102</v>
      </c>
      <c r="M4" s="509">
        <f>COUNTIFS(Tableau2[CLASSE],"CPU",Tableau2[Sexes],"G")</f>
        <v>431</v>
      </c>
      <c r="N4" s="532">
        <v>357</v>
      </c>
      <c r="O4" s="535">
        <f>+M4+G4</f>
        <v>463</v>
      </c>
      <c r="P4" s="51">
        <f>O4/O5</f>
        <v>0.54152046783625729</v>
      </c>
      <c r="R4" s="671" t="s">
        <v>665</v>
      </c>
      <c r="S4" s="529">
        <v>102</v>
      </c>
      <c r="T4" s="529">
        <v>357</v>
      </c>
      <c r="U4" s="663">
        <f t="shared" ref="U4:U5" si="0">SUM(S4:T4)</f>
        <v>459</v>
      </c>
    </row>
    <row r="5" spans="1:21" ht="16.5" customHeight="1" thickBot="1" x14ac:dyDescent="0.45">
      <c r="A5" s="963"/>
      <c r="B5" s="964"/>
      <c r="C5" s="682" t="s">
        <v>1992</v>
      </c>
      <c r="D5" s="680">
        <v>101</v>
      </c>
      <c r="E5" s="680">
        <v>77</v>
      </c>
      <c r="F5" s="681">
        <v>328</v>
      </c>
      <c r="G5" s="681">
        <v>63</v>
      </c>
      <c r="H5" s="681">
        <v>278</v>
      </c>
      <c r="J5" s="672" t="s">
        <v>1992</v>
      </c>
      <c r="K5" s="536">
        <v>280</v>
      </c>
      <c r="L5" s="538">
        <v>228</v>
      </c>
      <c r="M5" s="333">
        <f t="shared" ref="M5" si="1">SUM(M3:M4)</f>
        <v>792</v>
      </c>
      <c r="N5" s="537">
        <v>662</v>
      </c>
      <c r="O5" s="537">
        <f>SUM(O3:O4)</f>
        <v>855</v>
      </c>
      <c r="P5" s="732">
        <v>100</v>
      </c>
      <c r="R5" s="675" t="s">
        <v>1992</v>
      </c>
      <c r="S5" s="541">
        <v>228</v>
      </c>
      <c r="T5" s="662">
        <v>662</v>
      </c>
      <c r="U5" s="688">
        <f t="shared" si="0"/>
        <v>890</v>
      </c>
    </row>
    <row r="6" spans="1:21" ht="15.5" x14ac:dyDescent="0.35">
      <c r="A6" s="945" t="s">
        <v>1993</v>
      </c>
      <c r="B6" s="946"/>
      <c r="C6" s="679" t="s">
        <v>1990</v>
      </c>
      <c r="D6" s="686">
        <v>79</v>
      </c>
      <c r="E6" s="686">
        <v>65</v>
      </c>
      <c r="F6" s="676">
        <v>93</v>
      </c>
      <c r="G6" s="676">
        <v>0</v>
      </c>
      <c r="H6" s="676">
        <v>83</v>
      </c>
    </row>
    <row r="7" spans="1:21" ht="13.5" customHeight="1" x14ac:dyDescent="0.35">
      <c r="A7" s="947"/>
      <c r="B7" s="948"/>
      <c r="C7" s="678" t="s">
        <v>665</v>
      </c>
      <c r="D7" s="686">
        <v>55</v>
      </c>
      <c r="E7" s="686">
        <v>49</v>
      </c>
      <c r="F7" s="676">
        <v>108</v>
      </c>
      <c r="G7" s="676">
        <v>0</v>
      </c>
      <c r="H7" s="676">
        <v>85</v>
      </c>
    </row>
    <row r="8" spans="1:21" ht="19" customHeight="1" thickBot="1" x14ac:dyDescent="0.4">
      <c r="A8" s="949"/>
      <c r="B8" s="950"/>
      <c r="C8" s="682" t="s">
        <v>1992</v>
      </c>
      <c r="D8" s="680">
        <v>134</v>
      </c>
      <c r="E8" s="680">
        <v>114</v>
      </c>
      <c r="F8" s="681">
        <v>201</v>
      </c>
      <c r="G8" s="681">
        <v>0</v>
      </c>
      <c r="H8" s="681">
        <v>168</v>
      </c>
    </row>
    <row r="9" spans="1:21" ht="15.5" x14ac:dyDescent="0.35">
      <c r="A9" s="945" t="s">
        <v>1995</v>
      </c>
      <c r="B9" s="946"/>
      <c r="C9" s="679" t="s">
        <v>1990</v>
      </c>
      <c r="D9" s="685">
        <v>23</v>
      </c>
      <c r="E9" s="686">
        <v>19</v>
      </c>
      <c r="F9" s="676">
        <v>22</v>
      </c>
      <c r="G9" s="676">
        <v>0</v>
      </c>
      <c r="H9" s="676">
        <v>18</v>
      </c>
    </row>
    <row r="10" spans="1:21" ht="15.5" x14ac:dyDescent="0.35">
      <c r="A10" s="947"/>
      <c r="B10" s="948"/>
      <c r="C10" s="678" t="s">
        <v>665</v>
      </c>
      <c r="D10" s="685">
        <v>22</v>
      </c>
      <c r="E10" s="686">
        <v>18</v>
      </c>
      <c r="F10" s="676">
        <v>27</v>
      </c>
      <c r="G10" s="676">
        <v>0</v>
      </c>
      <c r="H10" s="676">
        <v>22</v>
      </c>
    </row>
    <row r="11" spans="1:21" ht="19" thickBot="1" x14ac:dyDescent="0.4">
      <c r="A11" s="949"/>
      <c r="B11" s="950"/>
      <c r="C11" s="682" t="s">
        <v>1992</v>
      </c>
      <c r="D11" s="680">
        <v>45</v>
      </c>
      <c r="E11" s="680">
        <v>37</v>
      </c>
      <c r="F11" s="681">
        <v>49</v>
      </c>
      <c r="G11" s="681">
        <v>0</v>
      </c>
      <c r="H11" s="681">
        <v>40</v>
      </c>
    </row>
    <row r="12" spans="1:21" s="539" customFormat="1" ht="17" customHeight="1" x14ac:dyDescent="0.35">
      <c r="A12" s="951" t="s">
        <v>3562</v>
      </c>
      <c r="B12" s="952"/>
      <c r="C12" s="679" t="s">
        <v>1990</v>
      </c>
      <c r="D12" s="683"/>
      <c r="E12" s="683"/>
      <c r="F12" s="676">
        <v>96</v>
      </c>
      <c r="G12" s="676">
        <v>0</v>
      </c>
      <c r="H12" s="676">
        <v>75</v>
      </c>
    </row>
    <row r="13" spans="1:21" ht="15.5" x14ac:dyDescent="0.35">
      <c r="A13" s="953"/>
      <c r="B13" s="954"/>
      <c r="C13" s="678" t="s">
        <v>665</v>
      </c>
      <c r="D13" s="683"/>
      <c r="E13" s="683"/>
      <c r="F13" s="676">
        <v>118</v>
      </c>
      <c r="G13" s="676">
        <v>0</v>
      </c>
      <c r="H13" s="676">
        <v>101</v>
      </c>
    </row>
    <row r="14" spans="1:21" ht="19" thickBot="1" x14ac:dyDescent="0.4">
      <c r="A14" s="955"/>
      <c r="B14" s="956"/>
      <c r="C14" s="682" t="s">
        <v>1992</v>
      </c>
      <c r="D14" s="684"/>
      <c r="E14" s="684"/>
      <c r="F14" s="681">
        <v>214</v>
      </c>
      <c r="G14" s="681">
        <v>0</v>
      </c>
      <c r="H14" s="681">
        <v>176</v>
      </c>
    </row>
    <row r="15" spans="1:21" ht="15.5" x14ac:dyDescent="0.35">
      <c r="A15" s="945" t="s">
        <v>3563</v>
      </c>
      <c r="B15" s="946"/>
      <c r="C15" s="679" t="s">
        <v>1990</v>
      </c>
      <c r="D15" s="685">
        <v>156</v>
      </c>
      <c r="E15" s="686">
        <v>126</v>
      </c>
      <c r="F15" s="676">
        <v>361</v>
      </c>
      <c r="G15" s="676">
        <v>0</v>
      </c>
      <c r="H15" s="676">
        <v>305</v>
      </c>
    </row>
    <row r="16" spans="1:21" ht="15.5" x14ac:dyDescent="0.35">
      <c r="A16" s="947"/>
      <c r="B16" s="948"/>
      <c r="C16" s="678" t="s">
        <v>665</v>
      </c>
      <c r="D16" s="685">
        <v>124</v>
      </c>
      <c r="E16" s="686">
        <v>102</v>
      </c>
      <c r="F16" s="676">
        <v>431</v>
      </c>
      <c r="G16" s="676">
        <v>0</v>
      </c>
      <c r="H16" s="676">
        <v>357</v>
      </c>
    </row>
    <row r="17" spans="1:17" ht="19" thickBot="1" x14ac:dyDescent="0.4">
      <c r="A17" s="949"/>
      <c r="B17" s="950"/>
      <c r="C17" s="682" t="s">
        <v>1992</v>
      </c>
      <c r="D17" s="680">
        <v>280</v>
      </c>
      <c r="E17" s="680">
        <v>228</v>
      </c>
      <c r="F17" s="681">
        <v>792</v>
      </c>
      <c r="G17" s="681">
        <v>0</v>
      </c>
      <c r="H17" s="681">
        <v>662</v>
      </c>
    </row>
    <row r="21" spans="1:17" ht="27.5" x14ac:dyDescent="0.35">
      <c r="A21" s="957" t="s">
        <v>3556</v>
      </c>
      <c r="B21" s="957"/>
      <c r="C21" s="957"/>
      <c r="D21" s="977">
        <v>2021</v>
      </c>
      <c r="E21" s="977"/>
      <c r="F21" s="977" t="s">
        <v>3566</v>
      </c>
      <c r="G21" s="977"/>
      <c r="H21" s="977"/>
    </row>
    <row r="22" spans="1:17" x14ac:dyDescent="0.35">
      <c r="A22" s="957"/>
      <c r="B22" s="957"/>
      <c r="C22" s="957"/>
      <c r="D22" s="396" t="s">
        <v>3564</v>
      </c>
      <c r="E22" s="396" t="s">
        <v>2165</v>
      </c>
      <c r="F22" s="702" t="s">
        <v>3564</v>
      </c>
      <c r="G22" s="703" t="s">
        <v>2165</v>
      </c>
      <c r="H22" s="703" t="s">
        <v>3565</v>
      </c>
    </row>
    <row r="23" spans="1:17" x14ac:dyDescent="0.35">
      <c r="A23" s="961" t="s">
        <v>3561</v>
      </c>
      <c r="B23" s="961"/>
      <c r="C23" s="704" t="s">
        <v>1990</v>
      </c>
      <c r="D23" s="396">
        <v>54</v>
      </c>
      <c r="E23" s="396"/>
      <c r="F23" s="22">
        <v>181</v>
      </c>
      <c r="G23" s="22">
        <v>23</v>
      </c>
      <c r="H23" s="708">
        <f>G23*100/F23</f>
        <v>12.707182320441989</v>
      </c>
    </row>
    <row r="24" spans="1:17" x14ac:dyDescent="0.35">
      <c r="A24" s="961"/>
      <c r="B24" s="961"/>
      <c r="C24" s="704" t="s">
        <v>665</v>
      </c>
      <c r="D24" s="396">
        <v>47</v>
      </c>
      <c r="E24" s="396"/>
      <c r="F24" s="22">
        <v>210</v>
      </c>
      <c r="G24" s="22">
        <v>33</v>
      </c>
      <c r="H24" s="708">
        <f t="shared" ref="H24:H36" si="2">G24*100/F24</f>
        <v>15.714285714285714</v>
      </c>
    </row>
    <row r="25" spans="1:17" ht="17.5" x14ac:dyDescent="0.35">
      <c r="A25" s="961"/>
      <c r="B25" s="961"/>
      <c r="C25" s="705" t="s">
        <v>1992</v>
      </c>
      <c r="D25" s="396">
        <v>101</v>
      </c>
      <c r="E25" s="396"/>
      <c r="F25" s="530">
        <v>391</v>
      </c>
      <c r="G25" s="530">
        <v>56</v>
      </c>
      <c r="H25" s="707">
        <f t="shared" si="2"/>
        <v>14.322250639386189</v>
      </c>
    </row>
    <row r="26" spans="1:17" x14ac:dyDescent="0.35">
      <c r="A26" s="961" t="s">
        <v>1993</v>
      </c>
      <c r="B26" s="961"/>
      <c r="C26" s="704" t="s">
        <v>1990</v>
      </c>
      <c r="D26" s="396">
        <v>79</v>
      </c>
      <c r="E26" s="396"/>
      <c r="F26" s="22">
        <v>93</v>
      </c>
      <c r="G26" s="22">
        <v>10</v>
      </c>
      <c r="H26" s="708">
        <f t="shared" si="2"/>
        <v>10.75268817204301</v>
      </c>
    </row>
    <row r="27" spans="1:17" x14ac:dyDescent="0.35">
      <c r="A27" s="961"/>
      <c r="B27" s="961"/>
      <c r="C27" s="704" t="s">
        <v>665</v>
      </c>
      <c r="D27" s="396">
        <v>55</v>
      </c>
      <c r="E27" s="396"/>
      <c r="F27" s="22">
        <v>108</v>
      </c>
      <c r="G27" s="22">
        <v>23</v>
      </c>
      <c r="H27" s="708">
        <f t="shared" si="2"/>
        <v>21.296296296296298</v>
      </c>
      <c r="J27" s="700"/>
    </row>
    <row r="28" spans="1:17" ht="18" thickBot="1" x14ac:dyDescent="0.4">
      <c r="A28" s="961"/>
      <c r="B28" s="961"/>
      <c r="C28" s="705" t="s">
        <v>1992</v>
      </c>
      <c r="D28" s="396">
        <v>134</v>
      </c>
      <c r="E28" s="396"/>
      <c r="F28" s="530">
        <v>201</v>
      </c>
      <c r="G28" s="530">
        <v>33</v>
      </c>
      <c r="H28" s="707">
        <f t="shared" si="2"/>
        <v>16.417910447761194</v>
      </c>
      <c r="J28" s="700"/>
    </row>
    <row r="29" spans="1:17" ht="16" thickBot="1" x14ac:dyDescent="0.4">
      <c r="A29" s="961" t="s">
        <v>1995</v>
      </c>
      <c r="B29" s="961"/>
      <c r="C29" s="704" t="s">
        <v>1990</v>
      </c>
      <c r="D29" s="396">
        <v>23</v>
      </c>
      <c r="E29" s="396"/>
      <c r="F29" s="22">
        <v>22</v>
      </c>
      <c r="G29" s="22">
        <v>4</v>
      </c>
      <c r="H29" s="708">
        <f t="shared" si="2"/>
        <v>18.181818181818183</v>
      </c>
      <c r="J29" s="700"/>
      <c r="K29" s="720" t="s">
        <v>3567</v>
      </c>
      <c r="L29" s="710" t="s">
        <v>1990</v>
      </c>
      <c r="M29" s="710" t="s">
        <v>665</v>
      </c>
      <c r="N29" s="711" t="s">
        <v>658</v>
      </c>
      <c r="Q29" t="s">
        <v>3596</v>
      </c>
    </row>
    <row r="30" spans="1:17" ht="25.5" customHeight="1" thickBot="1" x14ac:dyDescent="0.4">
      <c r="A30" s="961"/>
      <c r="B30" s="961"/>
      <c r="C30" s="704" t="s">
        <v>665</v>
      </c>
      <c r="D30" s="396">
        <v>22</v>
      </c>
      <c r="E30" s="396"/>
      <c r="F30" s="22">
        <v>27</v>
      </c>
      <c r="G30" s="22">
        <v>5</v>
      </c>
      <c r="H30" s="708">
        <f t="shared" si="2"/>
        <v>18.518518518518519</v>
      </c>
      <c r="J30" s="701"/>
      <c r="K30" s="712" t="s">
        <v>3568</v>
      </c>
      <c r="L30" s="717">
        <v>156</v>
      </c>
      <c r="M30" s="717">
        <v>124</v>
      </c>
      <c r="N30" s="715">
        <v>280</v>
      </c>
      <c r="Q30">
        <v>228</v>
      </c>
    </row>
    <row r="31" spans="1:17" ht="25.5" customHeight="1" thickBot="1" x14ac:dyDescent="0.4">
      <c r="A31" s="961"/>
      <c r="B31" s="961"/>
      <c r="C31" s="705" t="s">
        <v>1992</v>
      </c>
      <c r="D31" s="396">
        <v>45</v>
      </c>
      <c r="E31" s="396"/>
      <c r="F31" s="530">
        <v>49</v>
      </c>
      <c r="G31" s="530">
        <v>9</v>
      </c>
      <c r="H31" s="707">
        <f t="shared" si="2"/>
        <v>18.367346938775512</v>
      </c>
      <c r="K31" s="712" t="s">
        <v>3569</v>
      </c>
      <c r="L31" s="718">
        <v>392</v>
      </c>
      <c r="M31" s="718">
        <v>463</v>
      </c>
      <c r="N31" s="716">
        <v>855</v>
      </c>
      <c r="Q31">
        <v>725</v>
      </c>
    </row>
    <row r="32" spans="1:17" ht="25.5" customHeight="1" thickBot="1" x14ac:dyDescent="0.4">
      <c r="A32" s="978" t="s">
        <v>3562</v>
      </c>
      <c r="B32" s="978"/>
      <c r="C32" s="704" t="s">
        <v>1990</v>
      </c>
      <c r="D32" s="396"/>
      <c r="E32" s="396"/>
      <c r="F32" s="22">
        <v>96</v>
      </c>
      <c r="G32" s="22">
        <v>21</v>
      </c>
      <c r="H32" s="708">
        <f t="shared" si="2"/>
        <v>21.875</v>
      </c>
      <c r="K32" s="713" t="s">
        <v>658</v>
      </c>
      <c r="L32" s="719">
        <f t="shared" ref="L32:M32" si="3">SUM(L30:L31)</f>
        <v>548</v>
      </c>
      <c r="M32" s="719">
        <f t="shared" si="3"/>
        <v>587</v>
      </c>
      <c r="N32" s="714">
        <f>SUM(N30:N31)</f>
        <v>1135</v>
      </c>
      <c r="Q32">
        <f>SUM(Q30:Q31)</f>
        <v>953</v>
      </c>
    </row>
    <row r="33" spans="1:13" x14ac:dyDescent="0.35">
      <c r="A33" s="978"/>
      <c r="B33" s="978"/>
      <c r="C33" s="704" t="s">
        <v>665</v>
      </c>
      <c r="D33" s="396"/>
      <c r="E33" s="396"/>
      <c r="F33" s="22">
        <v>118</v>
      </c>
      <c r="G33" s="22">
        <v>17</v>
      </c>
      <c r="H33" s="708">
        <f t="shared" si="2"/>
        <v>14.40677966101695</v>
      </c>
    </row>
    <row r="34" spans="1:13" ht="17.5" x14ac:dyDescent="0.35">
      <c r="A34" s="978"/>
      <c r="B34" s="978"/>
      <c r="C34" s="705" t="s">
        <v>1992</v>
      </c>
      <c r="D34" s="396"/>
      <c r="E34" s="396"/>
      <c r="F34" s="530">
        <v>214</v>
      </c>
      <c r="G34" s="530">
        <v>38</v>
      </c>
      <c r="H34" s="707">
        <f t="shared" si="2"/>
        <v>17.757009345794394</v>
      </c>
    </row>
    <row r="35" spans="1:13" x14ac:dyDescent="0.35">
      <c r="A35" s="961" t="s">
        <v>3563</v>
      </c>
      <c r="B35" s="961"/>
      <c r="C35" s="704" t="s">
        <v>1990</v>
      </c>
      <c r="D35" s="396">
        <v>156</v>
      </c>
      <c r="E35" s="396"/>
      <c r="F35" s="22">
        <v>392</v>
      </c>
      <c r="G35" s="22">
        <v>58</v>
      </c>
      <c r="H35" s="708">
        <f t="shared" si="2"/>
        <v>14.795918367346939</v>
      </c>
    </row>
    <row r="36" spans="1:13" x14ac:dyDescent="0.35">
      <c r="A36" s="961"/>
      <c r="B36" s="961"/>
      <c r="C36" s="704" t="s">
        <v>665</v>
      </c>
      <c r="D36" s="396">
        <v>124</v>
      </c>
      <c r="E36" s="396"/>
      <c r="F36" s="22">
        <v>463</v>
      </c>
      <c r="G36" s="22">
        <v>78</v>
      </c>
      <c r="H36" s="708">
        <f t="shared" si="2"/>
        <v>16.846652267818573</v>
      </c>
    </row>
    <row r="37" spans="1:13" ht="17.5" x14ac:dyDescent="0.35">
      <c r="A37" s="961"/>
      <c r="B37" s="961"/>
      <c r="C37" s="705" t="s">
        <v>1992</v>
      </c>
      <c r="D37" s="396">
        <v>280</v>
      </c>
      <c r="E37" s="396"/>
      <c r="F37" s="530">
        <v>855</v>
      </c>
      <c r="G37" s="530">
        <v>136</v>
      </c>
      <c r="H37" s="706">
        <f>G37*100/F37</f>
        <v>15.906432748538011</v>
      </c>
      <c r="K37" t="s">
        <v>3570</v>
      </c>
      <c r="L37" t="s">
        <v>1</v>
      </c>
    </row>
    <row r="38" spans="1:13" x14ac:dyDescent="0.35">
      <c r="J38" t="s">
        <v>3573</v>
      </c>
      <c r="K38">
        <v>244</v>
      </c>
      <c r="L38">
        <v>294</v>
      </c>
      <c r="M38">
        <v>538</v>
      </c>
    </row>
    <row r="39" spans="1:13" x14ac:dyDescent="0.35">
      <c r="J39" t="s">
        <v>3572</v>
      </c>
      <c r="K39" s="22">
        <v>392</v>
      </c>
      <c r="L39" s="22">
        <v>463</v>
      </c>
      <c r="M39">
        <f>SUM(K39:L39)</f>
        <v>855</v>
      </c>
    </row>
    <row r="40" spans="1:13" ht="15.5" x14ac:dyDescent="0.35">
      <c r="J40" t="s">
        <v>3571</v>
      </c>
      <c r="K40" s="685">
        <v>156</v>
      </c>
      <c r="L40" s="685">
        <v>124</v>
      </c>
      <c r="M40">
        <f>SUM(K40:L40)</f>
        <v>280</v>
      </c>
    </row>
  </sheetData>
  <mergeCells count="22">
    <mergeCell ref="A35:B37"/>
    <mergeCell ref="D21:E21"/>
    <mergeCell ref="F21:H21"/>
    <mergeCell ref="A21:C22"/>
    <mergeCell ref="A23:B25"/>
    <mergeCell ref="A26:B28"/>
    <mergeCell ref="A29:B31"/>
    <mergeCell ref="A32:B34"/>
    <mergeCell ref="R1:R2"/>
    <mergeCell ref="S1:U1"/>
    <mergeCell ref="K1:L1"/>
    <mergeCell ref="M1:N1"/>
    <mergeCell ref="F1:H1"/>
    <mergeCell ref="J1:J2"/>
    <mergeCell ref="O1:P1"/>
    <mergeCell ref="A9:B11"/>
    <mergeCell ref="A12:B14"/>
    <mergeCell ref="A15:B17"/>
    <mergeCell ref="A1:C2"/>
    <mergeCell ref="D1:E1"/>
    <mergeCell ref="A3:B5"/>
    <mergeCell ref="A6:B8"/>
  </mergeCells>
  <pageMargins left="0.7" right="0.7" top="0.75" bottom="0.75" header="0.3" footer="0.3"/>
  <pageSetup scale="73" orientation="portrait" r:id="rId1"/>
  <colBreaks count="2" manualBreakCount="2">
    <brk id="9" max="39" man="1"/>
    <brk id="17" max="39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2082-CEE7-40BD-ADCC-90D6F5C62F2E}">
  <dimension ref="A1:I28"/>
  <sheetViews>
    <sheetView topLeftCell="A7" workbookViewId="0">
      <selection activeCell="B6" sqref="B6:I6"/>
    </sheetView>
  </sheetViews>
  <sheetFormatPr baseColWidth="10" defaultColWidth="10.90625" defaultRowHeight="14.5" x14ac:dyDescent="0.35"/>
  <sheetData>
    <row r="1" spans="1:9" ht="56.5" thickBot="1" x14ac:dyDescent="0.4">
      <c r="A1" s="721" t="s">
        <v>3575</v>
      </c>
      <c r="B1" s="722" t="s">
        <v>872</v>
      </c>
      <c r="C1" s="723" t="s">
        <v>3576</v>
      </c>
      <c r="D1" s="722" t="s">
        <v>3577</v>
      </c>
      <c r="E1" s="723" t="s">
        <v>3578</v>
      </c>
      <c r="F1" s="723" t="s">
        <v>3579</v>
      </c>
      <c r="G1" s="723" t="s">
        <v>3580</v>
      </c>
      <c r="H1" s="723" t="s">
        <v>3581</v>
      </c>
      <c r="I1" s="723" t="s">
        <v>3582</v>
      </c>
    </row>
    <row r="2" spans="1:9" ht="15" thickBot="1" x14ac:dyDescent="0.4">
      <c r="A2" s="979" t="s">
        <v>3583</v>
      </c>
      <c r="B2" s="980"/>
      <c r="C2" s="980"/>
      <c r="D2" s="980"/>
      <c r="E2" s="980"/>
      <c r="F2" s="980"/>
      <c r="G2" s="980"/>
      <c r="H2" s="980"/>
      <c r="I2" s="981"/>
    </row>
    <row r="3" spans="1:9" ht="28.5" thickBot="1" x14ac:dyDescent="0.4">
      <c r="A3" s="982" t="s">
        <v>660</v>
      </c>
      <c r="B3" s="724" t="s">
        <v>254</v>
      </c>
      <c r="C3" s="725" t="s">
        <v>3376</v>
      </c>
      <c r="D3" s="725">
        <v>15</v>
      </c>
      <c r="E3" s="725">
        <v>15</v>
      </c>
      <c r="F3" s="725">
        <v>14</v>
      </c>
      <c r="G3" s="725">
        <v>9.8699999999999992</v>
      </c>
      <c r="H3" s="725">
        <v>3.25</v>
      </c>
      <c r="I3" s="726">
        <v>0.93330000000000002</v>
      </c>
    </row>
    <row r="4" spans="1:9" ht="28.5" thickBot="1" x14ac:dyDescent="0.4">
      <c r="A4" s="983"/>
      <c r="B4" s="724" t="s">
        <v>2393</v>
      </c>
      <c r="C4" s="725" t="s">
        <v>3376</v>
      </c>
      <c r="D4" s="725">
        <v>57</v>
      </c>
      <c r="E4" s="725">
        <v>57</v>
      </c>
      <c r="F4" s="725">
        <v>54</v>
      </c>
      <c r="G4" s="725">
        <v>9.93</v>
      </c>
      <c r="H4" s="725">
        <v>3.62</v>
      </c>
      <c r="I4" s="726">
        <v>0.94730000000000003</v>
      </c>
    </row>
    <row r="5" spans="1:9" ht="28.5" thickBot="1" x14ac:dyDescent="0.4">
      <c r="A5" s="983"/>
      <c r="B5" s="724" t="s">
        <v>2338</v>
      </c>
      <c r="C5" s="725" t="s">
        <v>3376</v>
      </c>
      <c r="D5" s="725">
        <v>20</v>
      </c>
      <c r="E5" s="725">
        <v>15</v>
      </c>
      <c r="F5" s="725">
        <v>14</v>
      </c>
      <c r="G5" s="725">
        <v>9.81</v>
      </c>
      <c r="H5" s="725">
        <v>4.87</v>
      </c>
      <c r="I5" s="726">
        <v>0.93330000000000002</v>
      </c>
    </row>
    <row r="6" spans="1:9" ht="15" thickBot="1" x14ac:dyDescent="0.4">
      <c r="A6" s="983"/>
      <c r="B6" s="979" t="s">
        <v>3584</v>
      </c>
      <c r="C6" s="980"/>
      <c r="D6" s="980"/>
      <c r="E6" s="980"/>
      <c r="F6" s="980"/>
      <c r="G6" s="980"/>
      <c r="H6" s="980"/>
      <c r="I6" s="981"/>
    </row>
    <row r="7" spans="1:9" ht="28.5" thickBot="1" x14ac:dyDescent="0.4">
      <c r="A7" s="983"/>
      <c r="B7" s="724" t="s">
        <v>254</v>
      </c>
      <c r="C7" s="725" t="s">
        <v>2009</v>
      </c>
      <c r="D7" s="725">
        <v>25</v>
      </c>
      <c r="E7" s="725">
        <v>25</v>
      </c>
      <c r="F7" s="725">
        <v>13</v>
      </c>
      <c r="G7" s="725">
        <v>8.3699999999999992</v>
      </c>
      <c r="H7" s="725">
        <v>1.81</v>
      </c>
      <c r="I7" s="726">
        <v>0.64280000000000004</v>
      </c>
    </row>
    <row r="8" spans="1:9" ht="42.5" thickBot="1" x14ac:dyDescent="0.4">
      <c r="A8" s="983"/>
      <c r="B8" s="724" t="s">
        <v>3585</v>
      </c>
      <c r="C8" s="725" t="s">
        <v>2009</v>
      </c>
      <c r="D8" s="725">
        <v>25</v>
      </c>
      <c r="E8" s="725">
        <v>24</v>
      </c>
      <c r="F8" s="725">
        <v>17</v>
      </c>
      <c r="G8" s="725">
        <v>9.6199999999999992</v>
      </c>
      <c r="H8" s="725">
        <v>2.37</v>
      </c>
      <c r="I8" s="727">
        <v>0.72</v>
      </c>
    </row>
    <row r="9" spans="1:9" ht="15" thickBot="1" x14ac:dyDescent="0.4">
      <c r="A9" s="983"/>
      <c r="B9" s="985" t="s">
        <v>2393</v>
      </c>
      <c r="C9" s="725" t="s">
        <v>3586</v>
      </c>
      <c r="D9" s="725">
        <v>27</v>
      </c>
      <c r="E9" s="725">
        <v>27</v>
      </c>
      <c r="F9" s="725">
        <v>25</v>
      </c>
      <c r="G9" s="725">
        <v>9.75</v>
      </c>
      <c r="H9" s="725">
        <v>2.62</v>
      </c>
      <c r="I9" s="726">
        <v>0.92589999999999995</v>
      </c>
    </row>
    <row r="10" spans="1:9" ht="15" thickBot="1" x14ac:dyDescent="0.4">
      <c r="A10" s="983"/>
      <c r="B10" s="986"/>
      <c r="C10" s="725" t="s">
        <v>3587</v>
      </c>
      <c r="D10" s="725">
        <v>28</v>
      </c>
      <c r="E10" s="725">
        <v>28</v>
      </c>
      <c r="F10" s="725">
        <v>23</v>
      </c>
      <c r="G10" s="725">
        <v>9.6199999999999992</v>
      </c>
      <c r="H10" s="725">
        <v>1.75</v>
      </c>
      <c r="I10" s="726">
        <v>0.82140000000000002</v>
      </c>
    </row>
    <row r="11" spans="1:9" ht="28.5" thickBot="1" x14ac:dyDescent="0.4">
      <c r="A11" s="983"/>
      <c r="B11" s="724" t="s">
        <v>3588</v>
      </c>
      <c r="C11" s="725" t="s">
        <v>2009</v>
      </c>
      <c r="D11" s="725">
        <v>28</v>
      </c>
      <c r="E11" s="725">
        <v>23</v>
      </c>
      <c r="F11" s="725">
        <v>14</v>
      </c>
      <c r="G11" s="725">
        <v>8.8699999999999992</v>
      </c>
      <c r="H11" s="725">
        <v>2.25</v>
      </c>
      <c r="I11" s="726">
        <v>0.60860000000000003</v>
      </c>
    </row>
    <row r="12" spans="1:9" ht="28.5" thickBot="1" x14ac:dyDescent="0.4">
      <c r="A12" s="984"/>
      <c r="B12" s="724" t="s">
        <v>2338</v>
      </c>
      <c r="C12" s="725" t="s">
        <v>2009</v>
      </c>
      <c r="D12" s="725">
        <v>22</v>
      </c>
      <c r="E12" s="725">
        <v>22</v>
      </c>
      <c r="F12" s="725">
        <v>16</v>
      </c>
      <c r="G12" s="725">
        <v>9.25</v>
      </c>
      <c r="H12" s="725">
        <v>1.75</v>
      </c>
      <c r="I12" s="726">
        <v>0.72719999999999996</v>
      </c>
    </row>
    <row r="13" spans="1:9" ht="15" thickBot="1" x14ac:dyDescent="0.4">
      <c r="A13" s="982" t="s">
        <v>662</v>
      </c>
      <c r="B13" s="985" t="s">
        <v>2116</v>
      </c>
      <c r="C13" s="725" t="s">
        <v>3586</v>
      </c>
      <c r="D13" s="725">
        <v>26</v>
      </c>
      <c r="E13" s="725">
        <v>23</v>
      </c>
      <c r="F13" s="725">
        <v>23</v>
      </c>
      <c r="G13" s="725">
        <v>8.66</v>
      </c>
      <c r="H13" s="725">
        <v>5.16</v>
      </c>
      <c r="I13" s="727">
        <v>1</v>
      </c>
    </row>
    <row r="14" spans="1:9" ht="15" thickBot="1" x14ac:dyDescent="0.4">
      <c r="A14" s="983"/>
      <c r="B14" s="986"/>
      <c r="C14" s="725" t="s">
        <v>3587</v>
      </c>
      <c r="D14" s="725">
        <v>28</v>
      </c>
      <c r="E14" s="725">
        <v>27</v>
      </c>
      <c r="F14" s="725">
        <v>26</v>
      </c>
      <c r="G14" s="725">
        <v>8.83</v>
      </c>
      <c r="H14" s="725">
        <v>3.83</v>
      </c>
      <c r="I14" s="726">
        <v>0.92290000000000005</v>
      </c>
    </row>
    <row r="15" spans="1:9" ht="15" thickBot="1" x14ac:dyDescent="0.4">
      <c r="A15" s="983"/>
      <c r="B15" s="985" t="s">
        <v>3039</v>
      </c>
      <c r="C15" s="725" t="s">
        <v>3586</v>
      </c>
      <c r="D15" s="725">
        <v>25</v>
      </c>
      <c r="E15" s="725">
        <v>24</v>
      </c>
      <c r="F15" s="725">
        <v>19</v>
      </c>
      <c r="G15" s="725">
        <v>9.66</v>
      </c>
      <c r="H15" s="725">
        <v>1.66</v>
      </c>
      <c r="I15" s="726">
        <v>0.79159999999999997</v>
      </c>
    </row>
    <row r="16" spans="1:9" ht="15" thickBot="1" x14ac:dyDescent="0.4">
      <c r="A16" s="983"/>
      <c r="B16" s="986"/>
      <c r="C16" s="725" t="s">
        <v>3587</v>
      </c>
      <c r="D16" s="725">
        <v>23</v>
      </c>
      <c r="E16" s="725">
        <v>22</v>
      </c>
      <c r="F16" s="725">
        <v>18</v>
      </c>
      <c r="G16" s="725">
        <v>8.66</v>
      </c>
      <c r="H16" s="725">
        <v>3.5</v>
      </c>
      <c r="I16" s="726">
        <v>0.81810000000000005</v>
      </c>
    </row>
    <row r="17" spans="1:9" ht="28.5" thickBot="1" x14ac:dyDescent="0.4">
      <c r="A17" s="983"/>
      <c r="B17" s="724" t="s">
        <v>3261</v>
      </c>
      <c r="C17" s="725" t="s">
        <v>2009</v>
      </c>
      <c r="D17" s="725">
        <v>26</v>
      </c>
      <c r="E17" s="725">
        <v>26</v>
      </c>
      <c r="F17" s="725">
        <v>25</v>
      </c>
      <c r="G17" s="725">
        <v>8.57</v>
      </c>
      <c r="H17" s="725">
        <v>4.42</v>
      </c>
      <c r="I17" s="726">
        <v>0.96150000000000002</v>
      </c>
    </row>
    <row r="18" spans="1:9" ht="28.5" thickBot="1" x14ac:dyDescent="0.4">
      <c r="A18" s="984"/>
      <c r="B18" s="724" t="s">
        <v>3589</v>
      </c>
      <c r="C18" s="725" t="s">
        <v>2009</v>
      </c>
      <c r="D18" s="725">
        <v>23</v>
      </c>
      <c r="E18" s="725">
        <v>10</v>
      </c>
      <c r="F18" s="725">
        <v>10</v>
      </c>
      <c r="G18" s="725">
        <v>8.33</v>
      </c>
      <c r="H18" s="725">
        <v>5.33</v>
      </c>
      <c r="I18" s="727">
        <v>1</v>
      </c>
    </row>
    <row r="19" spans="1:9" ht="15" thickBot="1" x14ac:dyDescent="0.4">
      <c r="A19" s="728"/>
      <c r="B19" s="979" t="s">
        <v>3590</v>
      </c>
      <c r="C19" s="980"/>
      <c r="D19" s="980"/>
      <c r="E19" s="980"/>
      <c r="F19" s="980"/>
      <c r="G19" s="980"/>
      <c r="H19" s="980"/>
      <c r="I19" s="981"/>
    </row>
    <row r="20" spans="1:9" x14ac:dyDescent="0.35">
      <c r="A20" s="982" t="s">
        <v>1995</v>
      </c>
      <c r="B20" s="985" t="s">
        <v>2724</v>
      </c>
      <c r="C20" s="987" t="s">
        <v>3376</v>
      </c>
      <c r="D20" s="987">
        <v>17</v>
      </c>
      <c r="E20" s="987">
        <v>17</v>
      </c>
      <c r="F20" s="987">
        <v>13</v>
      </c>
      <c r="G20" s="987">
        <v>8.24</v>
      </c>
      <c r="H20" s="987">
        <v>3.13</v>
      </c>
      <c r="I20" s="993">
        <v>0.76470000000000005</v>
      </c>
    </row>
    <row r="21" spans="1:9" ht="15" thickBot="1" x14ac:dyDescent="0.4">
      <c r="A21" s="984"/>
      <c r="B21" s="986"/>
      <c r="C21" s="989"/>
      <c r="D21" s="989"/>
      <c r="E21" s="989"/>
      <c r="F21" s="989"/>
      <c r="G21" s="989"/>
      <c r="H21" s="989"/>
      <c r="I21" s="994"/>
    </row>
    <row r="22" spans="1:9" ht="15" thickBot="1" x14ac:dyDescent="0.4">
      <c r="A22" s="728"/>
      <c r="B22" s="979" t="s">
        <v>3584</v>
      </c>
      <c r="C22" s="980"/>
      <c r="D22" s="980"/>
      <c r="E22" s="980"/>
      <c r="F22" s="980"/>
      <c r="G22" s="980"/>
      <c r="H22" s="980"/>
      <c r="I22" s="981"/>
    </row>
    <row r="23" spans="1:9" ht="15" thickBot="1" x14ac:dyDescent="0.4">
      <c r="A23" s="987" t="s">
        <v>3595</v>
      </c>
      <c r="B23" s="724" t="s">
        <v>2724</v>
      </c>
      <c r="C23" s="725" t="s">
        <v>3591</v>
      </c>
      <c r="D23" s="725">
        <v>26</v>
      </c>
      <c r="E23" s="725">
        <v>17</v>
      </c>
      <c r="F23" s="725">
        <v>17</v>
      </c>
      <c r="G23" s="725">
        <v>8.44</v>
      </c>
      <c r="H23" s="725">
        <v>5.44</v>
      </c>
      <c r="I23" s="727">
        <v>1</v>
      </c>
    </row>
    <row r="24" spans="1:9" ht="28.5" thickBot="1" x14ac:dyDescent="0.4">
      <c r="A24" s="988"/>
      <c r="B24" s="724" t="s">
        <v>3592</v>
      </c>
      <c r="C24" s="725" t="s">
        <v>3591</v>
      </c>
      <c r="D24" s="725">
        <v>34</v>
      </c>
      <c r="E24" s="725">
        <v>28</v>
      </c>
      <c r="F24" s="725">
        <v>14</v>
      </c>
      <c r="G24" s="725">
        <v>9.42</v>
      </c>
      <c r="H24" s="725">
        <v>1.57</v>
      </c>
      <c r="I24" s="727">
        <v>0.5</v>
      </c>
    </row>
    <row r="25" spans="1:9" ht="28.5" thickBot="1" x14ac:dyDescent="0.4">
      <c r="A25" s="988"/>
      <c r="B25" s="724" t="s">
        <v>3593</v>
      </c>
      <c r="C25" s="725" t="s">
        <v>2009</v>
      </c>
      <c r="D25" s="725">
        <v>26</v>
      </c>
      <c r="E25" s="725">
        <v>23</v>
      </c>
      <c r="F25" s="725">
        <v>19</v>
      </c>
      <c r="G25" s="725">
        <v>8.85</v>
      </c>
      <c r="H25" s="725">
        <v>3.57</v>
      </c>
      <c r="I25" s="726">
        <v>0.82599999999999996</v>
      </c>
    </row>
    <row r="26" spans="1:9" ht="15" thickBot="1" x14ac:dyDescent="0.4">
      <c r="A26" s="988"/>
      <c r="B26" s="724" t="s">
        <v>1738</v>
      </c>
      <c r="C26" s="725" t="s">
        <v>2009</v>
      </c>
      <c r="D26" s="725">
        <v>22</v>
      </c>
      <c r="E26" s="725">
        <v>20</v>
      </c>
      <c r="F26" s="725">
        <v>18</v>
      </c>
      <c r="G26" s="725">
        <v>9.3699999999999992</v>
      </c>
      <c r="H26" s="725">
        <v>4.25</v>
      </c>
      <c r="I26" s="726">
        <v>0.93330000000000002</v>
      </c>
    </row>
    <row r="27" spans="1:9" ht="15" thickBot="1" x14ac:dyDescent="0.4">
      <c r="A27" s="989"/>
      <c r="B27" s="724" t="s">
        <v>2724</v>
      </c>
      <c r="C27" s="725" t="s">
        <v>3591</v>
      </c>
      <c r="D27" s="725">
        <v>29</v>
      </c>
      <c r="E27" s="725">
        <v>27</v>
      </c>
      <c r="F27" s="725">
        <v>26</v>
      </c>
      <c r="G27" s="725">
        <v>9</v>
      </c>
      <c r="H27" s="725">
        <v>4</v>
      </c>
      <c r="I27" s="724" t="s">
        <v>3594</v>
      </c>
    </row>
    <row r="28" spans="1:9" ht="20.5" thickBot="1" x14ac:dyDescent="0.4">
      <c r="A28" s="990" t="s">
        <v>1992</v>
      </c>
      <c r="B28" s="991"/>
      <c r="C28" s="992"/>
      <c r="D28" s="729">
        <v>552</v>
      </c>
      <c r="E28" s="729">
        <v>500</v>
      </c>
      <c r="F28" s="729">
        <v>418</v>
      </c>
      <c r="G28" s="730"/>
      <c r="H28" s="730"/>
      <c r="I28" s="731">
        <v>0.83599999999999997</v>
      </c>
    </row>
  </sheetData>
  <mergeCells count="20">
    <mergeCell ref="B22:I22"/>
    <mergeCell ref="A23:A27"/>
    <mergeCell ref="A28:C28"/>
    <mergeCell ref="B19:I19"/>
    <mergeCell ref="A20:A21"/>
    <mergeCell ref="B20:B21"/>
    <mergeCell ref="C20:C21"/>
    <mergeCell ref="D20:D21"/>
    <mergeCell ref="E20:E21"/>
    <mergeCell ref="F20:F21"/>
    <mergeCell ref="G20:G21"/>
    <mergeCell ref="H20:H21"/>
    <mergeCell ref="I20:I21"/>
    <mergeCell ref="A2:I2"/>
    <mergeCell ref="A3:A12"/>
    <mergeCell ref="B6:I6"/>
    <mergeCell ref="B9:B10"/>
    <mergeCell ref="A13:A18"/>
    <mergeCell ref="B13:B14"/>
    <mergeCell ref="B15:B1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D5431-3090-4C93-A216-6F20993E8E3F}">
  <sheetPr codeName="Feuil14">
    <tabColor rgb="FF00B050"/>
  </sheetPr>
  <dimension ref="A1:H18"/>
  <sheetViews>
    <sheetView workbookViewId="0">
      <selection activeCell="B18" sqref="B18"/>
    </sheetView>
  </sheetViews>
  <sheetFormatPr baseColWidth="10" defaultColWidth="11.453125" defaultRowHeight="14.5" x14ac:dyDescent="0.35"/>
  <cols>
    <col min="1" max="16384" width="11.453125" style="1"/>
  </cols>
  <sheetData>
    <row r="1" spans="1:8" ht="18" thickBot="1" x14ac:dyDescent="0.4">
      <c r="A1" s="995" t="s">
        <v>875</v>
      </c>
      <c r="B1" s="995"/>
      <c r="C1" s="995"/>
      <c r="D1" s="995"/>
      <c r="E1" s="995"/>
      <c r="F1" s="995"/>
      <c r="G1" s="995"/>
    </row>
    <row r="2" spans="1:8" ht="14.5" customHeight="1" x14ac:dyDescent="0.35">
      <c r="A2" s="56"/>
      <c r="B2" s="57"/>
      <c r="C2" s="57"/>
      <c r="D2" s="57"/>
      <c r="E2" s="57"/>
      <c r="F2" s="57"/>
      <c r="G2" s="57"/>
      <c r="H2" s="58"/>
    </row>
    <row r="3" spans="1:8" x14ac:dyDescent="0.35">
      <c r="A3" s="59"/>
      <c r="H3" s="60"/>
    </row>
    <row r="4" spans="1:8" ht="30.5" customHeight="1" x14ac:dyDescent="0.35">
      <c r="A4" s="59"/>
      <c r="H4" s="60"/>
    </row>
    <row r="5" spans="1:8" ht="27" customHeight="1" x14ac:dyDescent="0.35">
      <c r="A5" s="59"/>
      <c r="H5" s="60"/>
    </row>
    <row r="6" spans="1:8" x14ac:dyDescent="0.35">
      <c r="A6" s="59"/>
      <c r="H6" s="60"/>
    </row>
    <row r="7" spans="1:8" x14ac:dyDescent="0.35">
      <c r="A7" s="59"/>
      <c r="H7" s="60"/>
    </row>
    <row r="8" spans="1:8" x14ac:dyDescent="0.35">
      <c r="A8" s="59"/>
      <c r="H8" s="60"/>
    </row>
    <row r="9" spans="1:8" x14ac:dyDescent="0.35">
      <c r="A9" s="59"/>
      <c r="H9" s="60"/>
    </row>
    <row r="10" spans="1:8" x14ac:dyDescent="0.35">
      <c r="A10" s="59"/>
      <c r="H10" s="60"/>
    </row>
    <row r="11" spans="1:8" x14ac:dyDescent="0.35">
      <c r="A11" s="996"/>
      <c r="B11" s="997"/>
      <c r="C11" s="997"/>
      <c r="H11" s="60"/>
    </row>
    <row r="12" spans="1:8" x14ac:dyDescent="0.35">
      <c r="A12" s="59"/>
      <c r="H12" s="60"/>
    </row>
    <row r="13" spans="1:8" x14ac:dyDescent="0.35">
      <c r="A13" s="59"/>
      <c r="H13" s="60"/>
    </row>
    <row r="14" spans="1:8" x14ac:dyDescent="0.35">
      <c r="A14" s="59"/>
      <c r="H14" s="60"/>
    </row>
    <row r="15" spans="1:8" x14ac:dyDescent="0.35">
      <c r="A15" s="59"/>
      <c r="H15" s="60"/>
    </row>
    <row r="16" spans="1:8" x14ac:dyDescent="0.35">
      <c r="A16" s="59"/>
      <c r="H16" s="60"/>
    </row>
    <row r="17" spans="1:8" x14ac:dyDescent="0.35">
      <c r="A17" s="59"/>
      <c r="H17" s="60"/>
    </row>
    <row r="18" spans="1:8" ht="15" thickBot="1" x14ac:dyDescent="0.4">
      <c r="A18" s="61"/>
      <c r="B18" s="62"/>
      <c r="C18" s="62"/>
      <c r="D18" s="62"/>
      <c r="E18" s="62"/>
      <c r="F18" s="62"/>
      <c r="G18" s="62"/>
      <c r="H18" s="63"/>
    </row>
  </sheetData>
  <mergeCells count="2">
    <mergeCell ref="A1:G1"/>
    <mergeCell ref="A11:C11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EC817-7094-4FD4-B1CF-0B81FCFF3596}">
  <sheetPr codeName="Feuil12"/>
  <dimension ref="A1:Q1588"/>
  <sheetViews>
    <sheetView zoomScale="56" zoomScaleNormal="56" workbookViewId="0">
      <pane ySplit="1" topLeftCell="A1267" activePane="bottomLeft" state="frozen"/>
      <selection pane="bottomLeft" activeCell="H1275" sqref="H1275"/>
    </sheetView>
  </sheetViews>
  <sheetFormatPr baseColWidth="10" defaultColWidth="10.90625" defaultRowHeight="14.5" x14ac:dyDescent="0.35"/>
  <cols>
    <col min="1" max="1" width="5.36328125" style="17" customWidth="1"/>
    <col min="2" max="2" width="45.81640625" style="17" customWidth="1"/>
    <col min="3" max="3" width="19.6328125" style="19" customWidth="1"/>
    <col min="4" max="4" width="20" style="17" customWidth="1"/>
    <col min="5" max="5" width="24" style="17" customWidth="1"/>
    <col min="6" max="6" width="17.1796875" customWidth="1"/>
    <col min="7" max="7" width="53.6328125" customWidth="1"/>
    <col min="8" max="8" width="40.08984375" style="17" customWidth="1"/>
    <col min="9" max="9" width="35.7265625" style="22" customWidth="1"/>
    <col min="10" max="10" width="29.453125" style="17" customWidth="1"/>
    <col min="11" max="11" width="23.26953125" customWidth="1"/>
    <col min="12" max="12" width="23.81640625" style="17" customWidth="1"/>
    <col min="13" max="13" width="51.08984375" customWidth="1"/>
    <col min="14" max="14" width="42" customWidth="1"/>
    <col min="15" max="16" width="10.90625" style="41"/>
    <col min="17" max="17" width="13.1796875" style="41" customWidth="1"/>
  </cols>
  <sheetData>
    <row r="1" spans="1:17" ht="30.5" customHeight="1" x14ac:dyDescent="0.35">
      <c r="A1" s="52" t="s">
        <v>0</v>
      </c>
      <c r="B1" s="355" t="s">
        <v>45</v>
      </c>
      <c r="C1" s="356" t="s">
        <v>43</v>
      </c>
      <c r="D1" s="356" t="s">
        <v>38</v>
      </c>
      <c r="E1" s="356" t="s">
        <v>42</v>
      </c>
      <c r="F1" s="357" t="s">
        <v>40</v>
      </c>
      <c r="G1" s="358" t="s">
        <v>51</v>
      </c>
      <c r="H1" s="365" t="s">
        <v>114</v>
      </c>
      <c r="I1" s="361" t="s">
        <v>52</v>
      </c>
      <c r="J1" s="358" t="s">
        <v>46</v>
      </c>
      <c r="K1" s="359" t="s">
        <v>47</v>
      </c>
      <c r="L1" s="358" t="s">
        <v>48</v>
      </c>
      <c r="M1" s="360" t="s">
        <v>49</v>
      </c>
      <c r="N1" s="360" t="s">
        <v>50</v>
      </c>
      <c r="O1" s="374" t="s">
        <v>1</v>
      </c>
      <c r="P1" s="375" t="s">
        <v>2</v>
      </c>
      <c r="Q1" s="376" t="s">
        <v>3</v>
      </c>
    </row>
    <row r="2" spans="1:17" ht="16.5" hidden="1" x14ac:dyDescent="0.35">
      <c r="A2" s="53">
        <v>1</v>
      </c>
      <c r="B2" s="18" t="s">
        <v>4</v>
      </c>
      <c r="C2" s="18" t="s">
        <v>660</v>
      </c>
      <c r="D2" s="18" t="s">
        <v>39</v>
      </c>
      <c r="E2" s="18" t="s">
        <v>41</v>
      </c>
      <c r="F2" s="2"/>
      <c r="G2" s="2"/>
      <c r="H2" s="366"/>
      <c r="I2" s="18" t="s">
        <v>53</v>
      </c>
      <c r="J2" s="23"/>
      <c r="K2" s="4"/>
      <c r="L2" s="15" t="s">
        <v>2</v>
      </c>
      <c r="M2" s="5"/>
      <c r="N2" s="5"/>
      <c r="O2" s="147">
        <v>0</v>
      </c>
      <c r="P2" s="15">
        <v>3</v>
      </c>
      <c r="Q2" s="148">
        <f>SUM(O2:P2)</f>
        <v>3</v>
      </c>
    </row>
    <row r="3" spans="1:17" ht="16.5" hidden="1" x14ac:dyDescent="0.35">
      <c r="A3" s="53">
        <v>2</v>
      </c>
      <c r="B3" s="18" t="s">
        <v>5</v>
      </c>
      <c r="C3" s="18" t="s">
        <v>660</v>
      </c>
      <c r="D3" s="18" t="s">
        <v>39</v>
      </c>
      <c r="E3" s="18" t="s">
        <v>41</v>
      </c>
      <c r="F3" s="2"/>
      <c r="G3" s="2"/>
      <c r="H3" s="366"/>
      <c r="I3" s="18" t="s">
        <v>53</v>
      </c>
      <c r="J3" s="23" t="s">
        <v>6</v>
      </c>
      <c r="K3" s="4"/>
      <c r="L3" s="15" t="s">
        <v>2</v>
      </c>
      <c r="M3" s="5"/>
      <c r="N3" s="5"/>
      <c r="O3" s="147">
        <v>1</v>
      </c>
      <c r="P3" s="15">
        <v>4</v>
      </c>
      <c r="Q3" s="148">
        <f t="shared" ref="Q3:Q27" si="0">SUM(O3:P3)</f>
        <v>5</v>
      </c>
    </row>
    <row r="4" spans="1:17" ht="16.5" hidden="1" x14ac:dyDescent="0.35">
      <c r="A4" s="53">
        <v>3</v>
      </c>
      <c r="B4" s="18" t="s">
        <v>7</v>
      </c>
      <c r="C4" s="18" t="s">
        <v>660</v>
      </c>
      <c r="D4" s="18" t="s">
        <v>39</v>
      </c>
      <c r="E4" s="18" t="s">
        <v>41</v>
      </c>
      <c r="F4" s="2"/>
      <c r="G4" s="2"/>
      <c r="H4" s="366"/>
      <c r="I4" s="18" t="s">
        <v>53</v>
      </c>
      <c r="J4" s="23" t="s">
        <v>8</v>
      </c>
      <c r="K4" s="4"/>
      <c r="L4" s="15" t="s">
        <v>9</v>
      </c>
      <c r="M4" s="5"/>
      <c r="N4" s="5"/>
      <c r="O4" s="147">
        <v>1</v>
      </c>
      <c r="P4" s="15">
        <v>3</v>
      </c>
      <c r="Q4" s="148">
        <f t="shared" si="0"/>
        <v>4</v>
      </c>
    </row>
    <row r="5" spans="1:17" ht="16.5" hidden="1" x14ac:dyDescent="0.35">
      <c r="A5" s="53">
        <v>4</v>
      </c>
      <c r="B5" s="18" t="s">
        <v>10</v>
      </c>
      <c r="C5" s="18" t="s">
        <v>660</v>
      </c>
      <c r="D5" s="18" t="s">
        <v>39</v>
      </c>
      <c r="E5" s="18" t="s">
        <v>41</v>
      </c>
      <c r="F5" s="2"/>
      <c r="G5" s="2"/>
      <c r="H5" s="366"/>
      <c r="I5" s="18" t="s">
        <v>53</v>
      </c>
      <c r="J5" s="23"/>
      <c r="K5" s="4"/>
      <c r="L5" s="15" t="s">
        <v>2</v>
      </c>
      <c r="M5" s="5"/>
      <c r="N5" s="5"/>
      <c r="O5" s="147">
        <v>1</v>
      </c>
      <c r="P5" s="15">
        <v>2</v>
      </c>
      <c r="Q5" s="148">
        <f t="shared" si="0"/>
        <v>3</v>
      </c>
    </row>
    <row r="6" spans="1:17" ht="16.5" hidden="1" x14ac:dyDescent="0.35">
      <c r="A6" s="53">
        <v>5</v>
      </c>
      <c r="B6" s="18" t="s">
        <v>11</v>
      </c>
      <c r="C6" s="18" t="s">
        <v>660</v>
      </c>
      <c r="D6" s="18" t="s">
        <v>39</v>
      </c>
      <c r="E6" s="18" t="s">
        <v>41</v>
      </c>
      <c r="F6" s="2"/>
      <c r="G6" s="2"/>
      <c r="H6" s="366"/>
      <c r="I6" s="18" t="s">
        <v>53</v>
      </c>
      <c r="J6" s="23" t="s">
        <v>12</v>
      </c>
      <c r="K6" s="4"/>
      <c r="L6" s="15" t="s">
        <v>2</v>
      </c>
      <c r="M6" s="3"/>
      <c r="N6" s="5"/>
      <c r="O6" s="147">
        <v>2</v>
      </c>
      <c r="P6" s="15">
        <v>2</v>
      </c>
      <c r="Q6" s="148">
        <f t="shared" si="0"/>
        <v>4</v>
      </c>
    </row>
    <row r="7" spans="1:17" ht="16.5" hidden="1" x14ac:dyDescent="0.35">
      <c r="A7" s="53">
        <v>6</v>
      </c>
      <c r="B7" s="18" t="s">
        <v>13</v>
      </c>
      <c r="C7" s="18" t="s">
        <v>660</v>
      </c>
      <c r="D7" s="18" t="s">
        <v>39</v>
      </c>
      <c r="E7" s="18" t="s">
        <v>41</v>
      </c>
      <c r="F7" s="2"/>
      <c r="G7" s="2"/>
      <c r="H7" s="366"/>
      <c r="I7" s="18" t="s">
        <v>53</v>
      </c>
      <c r="J7" s="23" t="s">
        <v>14</v>
      </c>
      <c r="K7" s="4"/>
      <c r="L7" s="15" t="s">
        <v>2</v>
      </c>
      <c r="M7" s="5"/>
      <c r="N7" s="5"/>
      <c r="O7" s="147">
        <v>1</v>
      </c>
      <c r="P7" s="15">
        <v>2</v>
      </c>
      <c r="Q7" s="148">
        <f t="shared" si="0"/>
        <v>3</v>
      </c>
    </row>
    <row r="8" spans="1:17" ht="16.5" hidden="1" x14ac:dyDescent="0.35">
      <c r="A8" s="53">
        <v>7</v>
      </c>
      <c r="B8" s="18" t="s">
        <v>15</v>
      </c>
      <c r="C8" s="18" t="s">
        <v>660</v>
      </c>
      <c r="D8" s="18" t="s">
        <v>39</v>
      </c>
      <c r="E8" s="18" t="s">
        <v>41</v>
      </c>
      <c r="F8" s="2"/>
      <c r="G8" s="2"/>
      <c r="H8" s="366"/>
      <c r="I8" s="18" t="s">
        <v>53</v>
      </c>
      <c r="J8" s="23"/>
      <c r="K8" s="4"/>
      <c r="L8" s="15" t="s">
        <v>2</v>
      </c>
      <c r="M8" s="5"/>
      <c r="N8" s="5"/>
      <c r="O8" s="147">
        <v>4</v>
      </c>
      <c r="P8" s="15">
        <v>2</v>
      </c>
      <c r="Q8" s="148">
        <f t="shared" si="0"/>
        <v>6</v>
      </c>
    </row>
    <row r="9" spans="1:17" ht="16.5" hidden="1" x14ac:dyDescent="0.35">
      <c r="A9" s="53">
        <v>8</v>
      </c>
      <c r="B9" s="18" t="s">
        <v>16</v>
      </c>
      <c r="C9" s="18" t="s">
        <v>660</v>
      </c>
      <c r="D9" s="18" t="s">
        <v>39</v>
      </c>
      <c r="E9" s="18" t="s">
        <v>41</v>
      </c>
      <c r="F9" s="2"/>
      <c r="G9" s="2"/>
      <c r="H9" s="366"/>
      <c r="I9" s="18" t="s">
        <v>53</v>
      </c>
      <c r="J9" s="23"/>
      <c r="K9" s="4"/>
      <c r="L9" s="15" t="s">
        <v>2</v>
      </c>
      <c r="M9" s="5"/>
      <c r="N9" s="5"/>
      <c r="O9" s="147">
        <v>0</v>
      </c>
      <c r="P9" s="15">
        <v>2</v>
      </c>
      <c r="Q9" s="148">
        <f t="shared" si="0"/>
        <v>2</v>
      </c>
    </row>
    <row r="10" spans="1:17" ht="16.5" hidden="1" x14ac:dyDescent="0.35">
      <c r="A10" s="53">
        <v>9</v>
      </c>
      <c r="B10" s="18" t="s">
        <v>17</v>
      </c>
      <c r="C10" s="18" t="s">
        <v>660</v>
      </c>
      <c r="D10" s="18" t="s">
        <v>39</v>
      </c>
      <c r="E10" s="18" t="s">
        <v>41</v>
      </c>
      <c r="F10" s="2"/>
      <c r="G10" s="2"/>
      <c r="H10" s="366"/>
      <c r="I10" s="18" t="s">
        <v>53</v>
      </c>
      <c r="J10" s="23"/>
      <c r="K10" s="4"/>
      <c r="L10" s="15" t="s">
        <v>2</v>
      </c>
      <c r="M10" s="5"/>
      <c r="N10" s="5"/>
      <c r="O10" s="147">
        <v>2</v>
      </c>
      <c r="P10" s="15">
        <v>2</v>
      </c>
      <c r="Q10" s="148">
        <f t="shared" si="0"/>
        <v>4</v>
      </c>
    </row>
    <row r="11" spans="1:17" ht="16.5" hidden="1" x14ac:dyDescent="0.35">
      <c r="A11" s="53">
        <v>10</v>
      </c>
      <c r="B11" s="18" t="s">
        <v>18</v>
      </c>
      <c r="C11" s="18" t="s">
        <v>660</v>
      </c>
      <c r="D11" s="18" t="s">
        <v>39</v>
      </c>
      <c r="E11" s="18" t="s">
        <v>41</v>
      </c>
      <c r="F11" s="2"/>
      <c r="G11" s="2"/>
      <c r="H11" s="366"/>
      <c r="I11" s="18" t="s">
        <v>53</v>
      </c>
      <c r="J11" s="23"/>
      <c r="K11" s="4"/>
      <c r="L11" s="15" t="s">
        <v>2</v>
      </c>
      <c r="M11" s="5"/>
      <c r="N11" s="5"/>
      <c r="O11" s="147">
        <v>1</v>
      </c>
      <c r="P11" s="15">
        <v>2</v>
      </c>
      <c r="Q11" s="148">
        <f t="shared" si="0"/>
        <v>3</v>
      </c>
    </row>
    <row r="12" spans="1:17" ht="16.5" hidden="1" x14ac:dyDescent="0.35">
      <c r="A12" s="53">
        <v>11</v>
      </c>
      <c r="B12" s="18" t="s">
        <v>19</v>
      </c>
      <c r="C12" s="18" t="s">
        <v>660</v>
      </c>
      <c r="D12" s="18" t="s">
        <v>39</v>
      </c>
      <c r="E12" s="18" t="s">
        <v>41</v>
      </c>
      <c r="F12" s="2"/>
      <c r="G12" s="2"/>
      <c r="H12" s="366"/>
      <c r="I12" s="18" t="s">
        <v>53</v>
      </c>
      <c r="J12" s="23"/>
      <c r="K12" s="4"/>
      <c r="L12" s="15" t="s">
        <v>2</v>
      </c>
      <c r="M12" s="5"/>
      <c r="N12" s="5"/>
      <c r="O12" s="147">
        <v>2</v>
      </c>
      <c r="P12" s="15">
        <v>3</v>
      </c>
      <c r="Q12" s="148">
        <f t="shared" si="0"/>
        <v>5</v>
      </c>
    </row>
    <row r="13" spans="1:17" ht="16.5" hidden="1" x14ac:dyDescent="0.35">
      <c r="A13" s="53">
        <v>12</v>
      </c>
      <c r="B13" s="18" t="s">
        <v>20</v>
      </c>
      <c r="C13" s="18" t="s">
        <v>660</v>
      </c>
      <c r="D13" s="18" t="s">
        <v>39</v>
      </c>
      <c r="E13" s="18" t="s">
        <v>41</v>
      </c>
      <c r="F13" s="2"/>
      <c r="G13" s="2"/>
      <c r="H13" s="366"/>
      <c r="I13" s="18" t="s">
        <v>53</v>
      </c>
      <c r="J13" s="23"/>
      <c r="K13" s="4"/>
      <c r="L13" s="15" t="s">
        <v>2</v>
      </c>
      <c r="M13" s="5"/>
      <c r="N13" s="5"/>
      <c r="O13" s="147">
        <v>1</v>
      </c>
      <c r="P13" s="15">
        <v>2</v>
      </c>
      <c r="Q13" s="148">
        <f t="shared" si="0"/>
        <v>3</v>
      </c>
    </row>
    <row r="14" spans="1:17" ht="16.5" hidden="1" x14ac:dyDescent="0.35">
      <c r="A14" s="53">
        <v>13</v>
      </c>
      <c r="B14" s="18" t="s">
        <v>21</v>
      </c>
      <c r="C14" s="18" t="s">
        <v>660</v>
      </c>
      <c r="D14" s="18" t="s">
        <v>39</v>
      </c>
      <c r="E14" s="18" t="s">
        <v>41</v>
      </c>
      <c r="F14" s="2"/>
      <c r="G14" s="2"/>
      <c r="H14" s="366"/>
      <c r="I14" s="18" t="s">
        <v>53</v>
      </c>
      <c r="J14" s="23"/>
      <c r="K14" s="4"/>
      <c r="L14" s="15" t="s">
        <v>2</v>
      </c>
      <c r="M14" s="5"/>
      <c r="N14" s="5"/>
      <c r="O14" s="147">
        <v>1</v>
      </c>
      <c r="P14" s="15">
        <v>1</v>
      </c>
      <c r="Q14" s="148">
        <f t="shared" si="0"/>
        <v>2</v>
      </c>
    </row>
    <row r="15" spans="1:17" ht="16.5" hidden="1" x14ac:dyDescent="0.35">
      <c r="A15" s="53">
        <v>14</v>
      </c>
      <c r="B15" s="18" t="s">
        <v>22</v>
      </c>
      <c r="C15" s="18" t="s">
        <v>660</v>
      </c>
      <c r="D15" s="18" t="s">
        <v>39</v>
      </c>
      <c r="E15" s="18" t="s">
        <v>41</v>
      </c>
      <c r="F15" s="2"/>
      <c r="G15" s="2"/>
      <c r="H15" s="366"/>
      <c r="I15" s="18" t="s">
        <v>53</v>
      </c>
      <c r="J15" s="23"/>
      <c r="K15" s="4"/>
      <c r="L15" s="15" t="s">
        <v>2</v>
      </c>
      <c r="M15" s="5"/>
      <c r="N15" s="5"/>
      <c r="O15" s="147">
        <v>3</v>
      </c>
      <c r="P15" s="15">
        <v>1</v>
      </c>
      <c r="Q15" s="148">
        <f t="shared" si="0"/>
        <v>4</v>
      </c>
    </row>
    <row r="16" spans="1:17" ht="16.5" hidden="1" x14ac:dyDescent="0.35">
      <c r="A16" s="53">
        <v>15</v>
      </c>
      <c r="B16" s="18" t="s">
        <v>23</v>
      </c>
      <c r="C16" s="18" t="s">
        <v>660</v>
      </c>
      <c r="D16" s="18" t="s">
        <v>39</v>
      </c>
      <c r="E16" s="18" t="s">
        <v>41</v>
      </c>
      <c r="F16" s="2"/>
      <c r="G16" s="2"/>
      <c r="H16" s="366"/>
      <c r="I16" s="18" t="s">
        <v>53</v>
      </c>
      <c r="J16" s="23"/>
      <c r="K16" s="4"/>
      <c r="L16" s="15" t="s">
        <v>2</v>
      </c>
      <c r="M16" s="5"/>
      <c r="N16" s="5"/>
      <c r="O16" s="147">
        <v>1</v>
      </c>
      <c r="P16" s="15">
        <v>2</v>
      </c>
      <c r="Q16" s="148">
        <f t="shared" si="0"/>
        <v>3</v>
      </c>
    </row>
    <row r="17" spans="1:17" ht="16.5" hidden="1" x14ac:dyDescent="0.35">
      <c r="A17" s="53">
        <v>16</v>
      </c>
      <c r="B17" s="18" t="s">
        <v>24</v>
      </c>
      <c r="C17" s="18" t="s">
        <v>660</v>
      </c>
      <c r="D17" s="18" t="s">
        <v>39</v>
      </c>
      <c r="E17" s="18" t="s">
        <v>41</v>
      </c>
      <c r="F17" s="2"/>
      <c r="G17" s="2"/>
      <c r="H17" s="366"/>
      <c r="I17" s="18" t="s">
        <v>53</v>
      </c>
      <c r="J17" s="23" t="s">
        <v>25</v>
      </c>
      <c r="K17" s="4"/>
      <c r="L17" s="15" t="s">
        <v>9</v>
      </c>
      <c r="M17" s="5"/>
      <c r="N17" s="5"/>
      <c r="O17" s="147">
        <v>1</v>
      </c>
      <c r="P17" s="15">
        <v>2</v>
      </c>
      <c r="Q17" s="148">
        <f t="shared" si="0"/>
        <v>3</v>
      </c>
    </row>
    <row r="18" spans="1:17" ht="16.5" hidden="1" x14ac:dyDescent="0.35">
      <c r="A18" s="53">
        <v>17</v>
      </c>
      <c r="B18" s="18" t="s">
        <v>26</v>
      </c>
      <c r="C18" s="18" t="s">
        <v>660</v>
      </c>
      <c r="D18" s="18" t="s">
        <v>39</v>
      </c>
      <c r="E18" s="18" t="s">
        <v>41</v>
      </c>
      <c r="F18" s="2"/>
      <c r="G18" s="2"/>
      <c r="H18" s="366"/>
      <c r="I18" s="18" t="s">
        <v>53</v>
      </c>
      <c r="J18" s="23" t="s">
        <v>27</v>
      </c>
      <c r="K18" s="4"/>
      <c r="L18" s="15" t="s">
        <v>2</v>
      </c>
      <c r="M18" s="5"/>
      <c r="N18" s="5"/>
      <c r="O18" s="147">
        <v>2</v>
      </c>
      <c r="P18" s="15">
        <v>1</v>
      </c>
      <c r="Q18" s="148">
        <f t="shared" si="0"/>
        <v>3</v>
      </c>
    </row>
    <row r="19" spans="1:17" ht="16.5" hidden="1" x14ac:dyDescent="0.35">
      <c r="A19" s="53">
        <v>18</v>
      </c>
      <c r="B19" s="18" t="s">
        <v>28</v>
      </c>
      <c r="C19" s="18" t="s">
        <v>660</v>
      </c>
      <c r="D19" s="18" t="s">
        <v>39</v>
      </c>
      <c r="E19" s="18" t="s">
        <v>41</v>
      </c>
      <c r="F19" s="2"/>
      <c r="G19" s="2"/>
      <c r="H19" s="366"/>
      <c r="I19" s="18" t="s">
        <v>53</v>
      </c>
      <c r="J19" s="23" t="s">
        <v>29</v>
      </c>
      <c r="K19" s="4"/>
      <c r="L19" s="15" t="s">
        <v>9</v>
      </c>
      <c r="M19" s="5"/>
      <c r="N19" s="5"/>
      <c r="O19" s="147">
        <v>0</v>
      </c>
      <c r="P19" s="15">
        <v>2</v>
      </c>
      <c r="Q19" s="148">
        <f t="shared" si="0"/>
        <v>2</v>
      </c>
    </row>
    <row r="20" spans="1:17" ht="16.5" hidden="1" x14ac:dyDescent="0.35">
      <c r="A20" s="53">
        <v>19</v>
      </c>
      <c r="B20" s="18" t="s">
        <v>30</v>
      </c>
      <c r="C20" s="18" t="s">
        <v>660</v>
      </c>
      <c r="D20" s="18" t="s">
        <v>39</v>
      </c>
      <c r="E20" s="18" t="s">
        <v>41</v>
      </c>
      <c r="F20" s="2"/>
      <c r="G20" s="2"/>
      <c r="H20" s="366"/>
      <c r="I20" s="18" t="s">
        <v>53</v>
      </c>
      <c r="J20" s="23"/>
      <c r="K20" s="4"/>
      <c r="L20" s="15" t="s">
        <v>2</v>
      </c>
      <c r="M20" s="5"/>
      <c r="N20" s="5"/>
      <c r="O20" s="147">
        <v>1</v>
      </c>
      <c r="P20" s="15">
        <v>2</v>
      </c>
      <c r="Q20" s="148">
        <f t="shared" si="0"/>
        <v>3</v>
      </c>
    </row>
    <row r="21" spans="1:17" ht="16.5" hidden="1" x14ac:dyDescent="0.35">
      <c r="A21" s="53">
        <v>20</v>
      </c>
      <c r="B21" s="18" t="s">
        <v>31</v>
      </c>
      <c r="C21" s="18" t="s">
        <v>660</v>
      </c>
      <c r="D21" s="18" t="s">
        <v>39</v>
      </c>
      <c r="E21" s="18" t="s">
        <v>41</v>
      </c>
      <c r="F21" s="2"/>
      <c r="G21" s="2"/>
      <c r="H21" s="366"/>
      <c r="I21" s="18" t="s">
        <v>53</v>
      </c>
      <c r="J21" s="23"/>
      <c r="K21" s="4"/>
      <c r="L21" s="15" t="s">
        <v>2</v>
      </c>
      <c r="M21" s="5"/>
      <c r="N21" s="5"/>
      <c r="O21" s="147">
        <v>2</v>
      </c>
      <c r="P21" s="15">
        <v>3</v>
      </c>
      <c r="Q21" s="148">
        <f t="shared" si="0"/>
        <v>5</v>
      </c>
    </row>
    <row r="22" spans="1:17" ht="16.5" hidden="1" x14ac:dyDescent="0.35">
      <c r="A22" s="53">
        <v>21</v>
      </c>
      <c r="B22" s="18" t="s">
        <v>32</v>
      </c>
      <c r="C22" s="18" t="s">
        <v>660</v>
      </c>
      <c r="D22" s="18" t="s">
        <v>39</v>
      </c>
      <c r="E22" s="18" t="s">
        <v>41</v>
      </c>
      <c r="F22" s="2"/>
      <c r="G22" s="2"/>
      <c r="H22" s="366"/>
      <c r="I22" s="18" t="s">
        <v>53</v>
      </c>
      <c r="J22" s="23"/>
      <c r="K22" s="4"/>
      <c r="L22" s="15" t="s">
        <v>2</v>
      </c>
      <c r="M22" s="5"/>
      <c r="N22" s="5"/>
      <c r="O22" s="147">
        <v>1</v>
      </c>
      <c r="P22" s="15">
        <v>1</v>
      </c>
      <c r="Q22" s="148">
        <f t="shared" si="0"/>
        <v>2</v>
      </c>
    </row>
    <row r="23" spans="1:17" ht="16.5" hidden="1" x14ac:dyDescent="0.35">
      <c r="A23" s="53">
        <v>22</v>
      </c>
      <c r="B23" s="18" t="s">
        <v>33</v>
      </c>
      <c r="C23" s="18" t="s">
        <v>660</v>
      </c>
      <c r="D23" s="18" t="s">
        <v>39</v>
      </c>
      <c r="E23" s="18" t="s">
        <v>41</v>
      </c>
      <c r="F23" s="2"/>
      <c r="G23" s="2"/>
      <c r="H23" s="366"/>
      <c r="I23" s="18" t="s">
        <v>53</v>
      </c>
      <c r="J23" s="23"/>
      <c r="K23" s="4"/>
      <c r="L23" s="15" t="s">
        <v>9</v>
      </c>
      <c r="M23" s="5"/>
      <c r="N23" s="5"/>
      <c r="O23" s="147">
        <v>1</v>
      </c>
      <c r="P23" s="15">
        <v>1</v>
      </c>
      <c r="Q23" s="148">
        <f t="shared" si="0"/>
        <v>2</v>
      </c>
    </row>
    <row r="24" spans="1:17" ht="16.5" hidden="1" x14ac:dyDescent="0.35">
      <c r="A24" s="53">
        <v>23</v>
      </c>
      <c r="B24" s="18" t="s">
        <v>34</v>
      </c>
      <c r="C24" s="18" t="s">
        <v>660</v>
      </c>
      <c r="D24" s="18" t="s">
        <v>39</v>
      </c>
      <c r="E24" s="18" t="s">
        <v>41</v>
      </c>
      <c r="F24" s="2"/>
      <c r="G24" s="2"/>
      <c r="H24" s="366"/>
      <c r="I24" s="18" t="s">
        <v>53</v>
      </c>
      <c r="J24" s="23"/>
      <c r="K24" s="4"/>
      <c r="L24" s="15" t="s">
        <v>9</v>
      </c>
      <c r="M24" s="5"/>
      <c r="N24" s="5"/>
      <c r="O24" s="147">
        <v>2</v>
      </c>
      <c r="P24" s="15">
        <v>0</v>
      </c>
      <c r="Q24" s="148">
        <f t="shared" si="0"/>
        <v>2</v>
      </c>
    </row>
    <row r="25" spans="1:17" ht="16.5" hidden="1" x14ac:dyDescent="0.5">
      <c r="A25" s="53">
        <v>24</v>
      </c>
      <c r="B25" s="18" t="s">
        <v>35</v>
      </c>
      <c r="C25" s="18" t="s">
        <v>660</v>
      </c>
      <c r="D25" s="18" t="s">
        <v>39</v>
      </c>
      <c r="E25" s="18" t="s">
        <v>41</v>
      </c>
      <c r="F25" s="2"/>
      <c r="G25" s="2"/>
      <c r="H25" s="366"/>
      <c r="I25" s="18" t="s">
        <v>53</v>
      </c>
      <c r="J25" s="23"/>
      <c r="K25" s="6"/>
      <c r="L25" s="15" t="s">
        <v>2</v>
      </c>
      <c r="M25" s="6"/>
      <c r="N25" s="6"/>
      <c r="O25" s="149">
        <v>1</v>
      </c>
      <c r="P25" s="149">
        <v>1</v>
      </c>
      <c r="Q25" s="150">
        <f t="shared" si="0"/>
        <v>2</v>
      </c>
    </row>
    <row r="26" spans="1:17" ht="16.5" hidden="1" x14ac:dyDescent="0.35">
      <c r="A26" s="53">
        <v>25</v>
      </c>
      <c r="B26" s="18" t="s">
        <v>36</v>
      </c>
      <c r="C26" s="18" t="s">
        <v>660</v>
      </c>
      <c r="D26" s="18" t="s">
        <v>39</v>
      </c>
      <c r="E26" s="18" t="s">
        <v>41</v>
      </c>
      <c r="F26" s="2"/>
      <c r="G26" s="2"/>
      <c r="H26" s="366"/>
      <c r="I26" s="18" t="s">
        <v>53</v>
      </c>
      <c r="J26" s="24"/>
      <c r="K26" s="8"/>
      <c r="L26" s="15" t="s">
        <v>2</v>
      </c>
      <c r="M26" s="8"/>
      <c r="N26" s="8"/>
      <c r="O26" s="151">
        <v>1</v>
      </c>
      <c r="P26" s="151">
        <v>2</v>
      </c>
      <c r="Q26" s="152">
        <f t="shared" si="0"/>
        <v>3</v>
      </c>
    </row>
    <row r="27" spans="1:17" ht="16.5" hidden="1" x14ac:dyDescent="0.35">
      <c r="A27" s="53">
        <v>26</v>
      </c>
      <c r="B27" s="351" t="s">
        <v>37</v>
      </c>
      <c r="C27" s="18" t="s">
        <v>660</v>
      </c>
      <c r="D27" s="18" t="s">
        <v>39</v>
      </c>
      <c r="E27" s="18" t="s">
        <v>41</v>
      </c>
      <c r="F27" s="2"/>
      <c r="G27" s="9"/>
      <c r="H27" s="367"/>
      <c r="I27" s="18" t="s">
        <v>53</v>
      </c>
      <c r="J27" s="25"/>
      <c r="K27" s="11"/>
      <c r="L27" s="16" t="s">
        <v>9</v>
      </c>
      <c r="M27" s="11"/>
      <c r="N27" s="11"/>
      <c r="O27" s="143">
        <v>1</v>
      </c>
      <c r="P27" s="143">
        <v>2</v>
      </c>
      <c r="Q27" s="153">
        <f t="shared" si="0"/>
        <v>3</v>
      </c>
    </row>
    <row r="28" spans="1:17" ht="16.5" hidden="1" x14ac:dyDescent="0.35">
      <c r="A28" s="53">
        <v>27</v>
      </c>
      <c r="B28" s="18" t="s">
        <v>73</v>
      </c>
      <c r="C28" s="18" t="s">
        <v>660</v>
      </c>
      <c r="D28" s="17" t="s">
        <v>103</v>
      </c>
      <c r="E28" s="17" t="s">
        <v>104</v>
      </c>
      <c r="I28" s="18" t="s">
        <v>53</v>
      </c>
      <c r="J28" s="23" t="s">
        <v>54</v>
      </c>
      <c r="K28" s="4"/>
      <c r="L28" s="15" t="s">
        <v>2</v>
      </c>
      <c r="M28" s="5"/>
      <c r="N28" s="5"/>
      <c r="O28" s="147">
        <v>2</v>
      </c>
      <c r="P28" s="15">
        <v>1</v>
      </c>
      <c r="Q28" s="148">
        <f>SUM(O28:P28)</f>
        <v>3</v>
      </c>
    </row>
    <row r="29" spans="1:17" ht="16.5" hidden="1" x14ac:dyDescent="0.35">
      <c r="A29" s="53">
        <v>28</v>
      </c>
      <c r="B29" s="18" t="s">
        <v>74</v>
      </c>
      <c r="C29" s="18" t="s">
        <v>660</v>
      </c>
      <c r="D29" s="17" t="s">
        <v>103</v>
      </c>
      <c r="E29" s="17" t="s">
        <v>104</v>
      </c>
      <c r="I29" s="18" t="s">
        <v>53</v>
      </c>
      <c r="J29" s="23" t="s">
        <v>55</v>
      </c>
      <c r="K29" s="4"/>
      <c r="L29" s="15" t="s">
        <v>2</v>
      </c>
      <c r="M29" s="5"/>
      <c r="N29" s="5"/>
      <c r="O29" s="147">
        <v>0</v>
      </c>
      <c r="P29" s="15">
        <v>0</v>
      </c>
      <c r="Q29" s="148">
        <f t="shared" ref="Q29:Q57" si="1">SUM(O29:P29)</f>
        <v>0</v>
      </c>
    </row>
    <row r="30" spans="1:17" ht="16.5" hidden="1" x14ac:dyDescent="0.35">
      <c r="A30" s="53">
        <v>29</v>
      </c>
      <c r="B30" s="18" t="s">
        <v>75</v>
      </c>
      <c r="C30" s="18" t="s">
        <v>660</v>
      </c>
      <c r="D30" s="17" t="s">
        <v>103</v>
      </c>
      <c r="E30" s="17" t="s">
        <v>104</v>
      </c>
      <c r="I30" s="18" t="s">
        <v>53</v>
      </c>
      <c r="J30" s="23" t="s">
        <v>56</v>
      </c>
      <c r="K30" s="4"/>
      <c r="L30" s="15" t="s">
        <v>2</v>
      </c>
      <c r="M30" s="5"/>
      <c r="N30" s="5"/>
      <c r="O30" s="147">
        <v>2</v>
      </c>
      <c r="P30" s="15">
        <v>2</v>
      </c>
      <c r="Q30" s="148">
        <f t="shared" si="1"/>
        <v>4</v>
      </c>
    </row>
    <row r="31" spans="1:17" ht="16.5" hidden="1" x14ac:dyDescent="0.35">
      <c r="A31" s="53">
        <v>30</v>
      </c>
      <c r="B31" s="18" t="s">
        <v>76</v>
      </c>
      <c r="C31" s="18" t="s">
        <v>660</v>
      </c>
      <c r="D31" s="17" t="s">
        <v>103</v>
      </c>
      <c r="E31" s="17" t="s">
        <v>104</v>
      </c>
      <c r="I31" s="18" t="s">
        <v>53</v>
      </c>
      <c r="J31" s="23" t="s">
        <v>57</v>
      </c>
      <c r="K31" s="4"/>
      <c r="L31" s="15" t="s">
        <v>2</v>
      </c>
      <c r="M31" s="5"/>
      <c r="N31" s="5"/>
      <c r="O31" s="147">
        <v>3</v>
      </c>
      <c r="P31" s="15">
        <v>2</v>
      </c>
      <c r="Q31" s="148">
        <f t="shared" si="1"/>
        <v>5</v>
      </c>
    </row>
    <row r="32" spans="1:17" ht="16.5" hidden="1" x14ac:dyDescent="0.35">
      <c r="A32" s="53">
        <v>31</v>
      </c>
      <c r="B32" s="18" t="s">
        <v>77</v>
      </c>
      <c r="C32" s="18" t="s">
        <v>660</v>
      </c>
      <c r="D32" s="17" t="s">
        <v>103</v>
      </c>
      <c r="E32" s="17" t="s">
        <v>104</v>
      </c>
      <c r="I32" s="18" t="s">
        <v>53</v>
      </c>
      <c r="J32" s="23" t="s">
        <v>58</v>
      </c>
      <c r="K32" s="4"/>
      <c r="L32" s="15" t="s">
        <v>2</v>
      </c>
      <c r="M32" s="3"/>
      <c r="N32" s="5"/>
      <c r="O32" s="147">
        <v>1</v>
      </c>
      <c r="P32" s="15">
        <v>4</v>
      </c>
      <c r="Q32" s="148">
        <f t="shared" si="1"/>
        <v>5</v>
      </c>
    </row>
    <row r="33" spans="1:17" ht="16.5" hidden="1" x14ac:dyDescent="0.35">
      <c r="A33" s="53">
        <v>32</v>
      </c>
      <c r="B33" s="18" t="s">
        <v>78</v>
      </c>
      <c r="C33" s="18" t="s">
        <v>660</v>
      </c>
      <c r="D33" s="17" t="s">
        <v>103</v>
      </c>
      <c r="E33" s="17" t="s">
        <v>104</v>
      </c>
      <c r="I33" s="18" t="s">
        <v>53</v>
      </c>
      <c r="J33" s="23"/>
      <c r="K33" s="4"/>
      <c r="L33" s="15" t="s">
        <v>9</v>
      </c>
      <c r="M33" s="5"/>
      <c r="N33" s="5"/>
      <c r="O33" s="147">
        <v>1</v>
      </c>
      <c r="P33" s="15">
        <v>2</v>
      </c>
      <c r="Q33" s="148">
        <f t="shared" si="1"/>
        <v>3</v>
      </c>
    </row>
    <row r="34" spans="1:17" ht="16.5" hidden="1" x14ac:dyDescent="0.35">
      <c r="A34" s="53">
        <v>33</v>
      </c>
      <c r="B34" s="18" t="s">
        <v>79</v>
      </c>
      <c r="C34" s="18" t="s">
        <v>660</v>
      </c>
      <c r="D34" s="17" t="s">
        <v>103</v>
      </c>
      <c r="E34" s="17" t="s">
        <v>104</v>
      </c>
      <c r="I34" s="18" t="s">
        <v>53</v>
      </c>
      <c r="J34" s="23"/>
      <c r="K34" s="4"/>
      <c r="L34" s="15" t="s">
        <v>2</v>
      </c>
      <c r="M34" s="5"/>
      <c r="N34" s="5"/>
      <c r="O34" s="147">
        <v>3</v>
      </c>
      <c r="P34" s="15">
        <v>1</v>
      </c>
      <c r="Q34" s="148">
        <f t="shared" si="1"/>
        <v>4</v>
      </c>
    </row>
    <row r="35" spans="1:17" ht="16.5" hidden="1" x14ac:dyDescent="0.35">
      <c r="A35" s="53">
        <v>34</v>
      </c>
      <c r="B35" s="18" t="s">
        <v>80</v>
      </c>
      <c r="C35" s="18" t="s">
        <v>660</v>
      </c>
      <c r="D35" s="17" t="s">
        <v>103</v>
      </c>
      <c r="E35" s="17" t="s">
        <v>104</v>
      </c>
      <c r="I35" s="18" t="s">
        <v>53</v>
      </c>
      <c r="J35" s="23" t="s">
        <v>59</v>
      </c>
      <c r="K35" s="4"/>
      <c r="L35" s="15" t="s">
        <v>2</v>
      </c>
      <c r="M35" s="5"/>
      <c r="N35" s="5"/>
      <c r="O35" s="147">
        <v>1</v>
      </c>
      <c r="P35" s="15">
        <v>2</v>
      </c>
      <c r="Q35" s="148">
        <f t="shared" si="1"/>
        <v>3</v>
      </c>
    </row>
    <row r="36" spans="1:17" ht="16.5" hidden="1" x14ac:dyDescent="0.35">
      <c r="A36" s="53">
        <v>35</v>
      </c>
      <c r="B36" s="18" t="s">
        <v>81</v>
      </c>
      <c r="C36" s="18" t="s">
        <v>660</v>
      </c>
      <c r="D36" s="17" t="s">
        <v>103</v>
      </c>
      <c r="E36" s="17" t="s">
        <v>104</v>
      </c>
      <c r="I36" s="18" t="s">
        <v>53</v>
      </c>
      <c r="J36" s="23"/>
      <c r="K36" s="4"/>
      <c r="L36" s="15" t="s">
        <v>2</v>
      </c>
      <c r="M36" s="5"/>
      <c r="N36" s="5"/>
      <c r="O36" s="147">
        <v>1</v>
      </c>
      <c r="P36" s="15">
        <v>4</v>
      </c>
      <c r="Q36" s="148">
        <f t="shared" si="1"/>
        <v>5</v>
      </c>
    </row>
    <row r="37" spans="1:17" ht="16.5" hidden="1" x14ac:dyDescent="0.35">
      <c r="A37" s="53">
        <v>36</v>
      </c>
      <c r="B37" s="18" t="s">
        <v>82</v>
      </c>
      <c r="C37" s="18" t="s">
        <v>660</v>
      </c>
      <c r="D37" s="17" t="s">
        <v>103</v>
      </c>
      <c r="E37" s="17" t="s">
        <v>104</v>
      </c>
      <c r="I37" s="18" t="s">
        <v>53</v>
      </c>
      <c r="J37" s="23" t="s">
        <v>60</v>
      </c>
      <c r="K37" s="4"/>
      <c r="L37" s="15" t="s">
        <v>2</v>
      </c>
      <c r="M37" s="5"/>
      <c r="N37" s="5"/>
      <c r="O37" s="147">
        <v>2</v>
      </c>
      <c r="P37" s="15">
        <v>0</v>
      </c>
      <c r="Q37" s="148">
        <f t="shared" si="1"/>
        <v>2</v>
      </c>
    </row>
    <row r="38" spans="1:17" ht="16.5" hidden="1" x14ac:dyDescent="0.35">
      <c r="A38" s="53">
        <v>37</v>
      </c>
      <c r="B38" s="18" t="s">
        <v>83</v>
      </c>
      <c r="C38" s="18" t="s">
        <v>660</v>
      </c>
      <c r="D38" s="17" t="s">
        <v>103</v>
      </c>
      <c r="E38" s="17" t="s">
        <v>104</v>
      </c>
      <c r="I38" s="18" t="s">
        <v>53</v>
      </c>
      <c r="J38" s="23" t="s">
        <v>61</v>
      </c>
      <c r="K38" s="4"/>
      <c r="L38" s="15" t="s">
        <v>2</v>
      </c>
      <c r="M38" s="5"/>
      <c r="N38" s="5"/>
      <c r="O38" s="147">
        <v>4</v>
      </c>
      <c r="P38" s="15">
        <v>2</v>
      </c>
      <c r="Q38" s="148">
        <f t="shared" si="1"/>
        <v>6</v>
      </c>
    </row>
    <row r="39" spans="1:17" ht="16.5" hidden="1" x14ac:dyDescent="0.35">
      <c r="A39" s="53">
        <v>38</v>
      </c>
      <c r="B39" s="18" t="s">
        <v>84</v>
      </c>
      <c r="C39" s="18" t="s">
        <v>660</v>
      </c>
      <c r="D39" s="17" t="s">
        <v>103</v>
      </c>
      <c r="E39" s="17" t="s">
        <v>104</v>
      </c>
      <c r="I39" s="18" t="s">
        <v>53</v>
      </c>
      <c r="J39" s="23" t="s">
        <v>62</v>
      </c>
      <c r="K39" s="4"/>
      <c r="L39" s="15" t="s">
        <v>2</v>
      </c>
      <c r="M39" s="5"/>
      <c r="N39" s="5"/>
      <c r="O39" s="147">
        <v>1</v>
      </c>
      <c r="P39" s="15">
        <v>2</v>
      </c>
      <c r="Q39" s="148">
        <f t="shared" si="1"/>
        <v>3</v>
      </c>
    </row>
    <row r="40" spans="1:17" ht="16.5" hidden="1" x14ac:dyDescent="0.35">
      <c r="A40" s="53">
        <v>39</v>
      </c>
      <c r="B40" s="18" t="s">
        <v>85</v>
      </c>
      <c r="C40" s="18" t="s">
        <v>660</v>
      </c>
      <c r="D40" s="17" t="s">
        <v>103</v>
      </c>
      <c r="E40" s="17" t="s">
        <v>104</v>
      </c>
      <c r="I40" s="18" t="s">
        <v>53</v>
      </c>
      <c r="J40" s="23" t="s">
        <v>63</v>
      </c>
      <c r="K40" s="4"/>
      <c r="L40" s="15" t="s">
        <v>2</v>
      </c>
      <c r="M40" s="5"/>
      <c r="N40" s="5"/>
      <c r="O40" s="147">
        <v>1</v>
      </c>
      <c r="P40" s="15">
        <v>1</v>
      </c>
      <c r="Q40" s="148">
        <f t="shared" si="1"/>
        <v>2</v>
      </c>
    </row>
    <row r="41" spans="1:17" ht="16.5" hidden="1" x14ac:dyDescent="0.35">
      <c r="A41" s="53">
        <v>40</v>
      </c>
      <c r="B41" s="18" t="s">
        <v>86</v>
      </c>
      <c r="C41" s="18" t="s">
        <v>660</v>
      </c>
      <c r="D41" s="17" t="s">
        <v>103</v>
      </c>
      <c r="E41" s="17" t="s">
        <v>104</v>
      </c>
      <c r="I41" s="18" t="s">
        <v>53</v>
      </c>
      <c r="J41" s="23" t="s">
        <v>64</v>
      </c>
      <c r="K41" s="4"/>
      <c r="L41" s="15" t="s">
        <v>2</v>
      </c>
      <c r="M41" s="5"/>
      <c r="N41" s="5"/>
      <c r="O41" s="147">
        <v>1</v>
      </c>
      <c r="P41" s="15">
        <v>1</v>
      </c>
      <c r="Q41" s="148">
        <f t="shared" si="1"/>
        <v>2</v>
      </c>
    </row>
    <row r="42" spans="1:17" ht="16.5" hidden="1" x14ac:dyDescent="0.35">
      <c r="A42" s="53">
        <v>41</v>
      </c>
      <c r="B42" s="18" t="s">
        <v>87</v>
      </c>
      <c r="C42" s="18" t="s">
        <v>660</v>
      </c>
      <c r="D42" s="17" t="s">
        <v>103</v>
      </c>
      <c r="E42" s="17" t="s">
        <v>104</v>
      </c>
      <c r="I42" s="18" t="s">
        <v>53</v>
      </c>
      <c r="J42" s="23" t="s">
        <v>65</v>
      </c>
      <c r="K42" s="4"/>
      <c r="L42" s="15" t="s">
        <v>2</v>
      </c>
      <c r="M42" s="5"/>
      <c r="N42" s="5"/>
      <c r="O42" s="147">
        <v>0</v>
      </c>
      <c r="P42" s="15">
        <v>0</v>
      </c>
      <c r="Q42" s="148">
        <f t="shared" si="1"/>
        <v>0</v>
      </c>
    </row>
    <row r="43" spans="1:17" ht="16.5" hidden="1" x14ac:dyDescent="0.35">
      <c r="A43" s="53">
        <v>42</v>
      </c>
      <c r="B43" s="18" t="s">
        <v>88</v>
      </c>
      <c r="C43" s="18" t="s">
        <v>660</v>
      </c>
      <c r="D43" s="17" t="s">
        <v>103</v>
      </c>
      <c r="E43" s="17" t="s">
        <v>104</v>
      </c>
      <c r="I43" s="18" t="s">
        <v>53</v>
      </c>
      <c r="J43" s="23" t="s">
        <v>66</v>
      </c>
      <c r="K43" s="4"/>
      <c r="L43" s="15" t="s">
        <v>2</v>
      </c>
      <c r="M43" s="5"/>
      <c r="N43" s="5"/>
      <c r="O43" s="147">
        <v>1</v>
      </c>
      <c r="P43" s="15">
        <v>2</v>
      </c>
      <c r="Q43" s="148">
        <f t="shared" si="1"/>
        <v>3</v>
      </c>
    </row>
    <row r="44" spans="1:17" ht="16.5" hidden="1" x14ac:dyDescent="0.35">
      <c r="A44" s="53">
        <v>43</v>
      </c>
      <c r="B44" s="18" t="s">
        <v>89</v>
      </c>
      <c r="C44" s="18" t="s">
        <v>660</v>
      </c>
      <c r="D44" s="17" t="s">
        <v>103</v>
      </c>
      <c r="E44" s="17" t="s">
        <v>104</v>
      </c>
      <c r="I44" s="18" t="s">
        <v>53</v>
      </c>
      <c r="J44" s="23"/>
      <c r="K44" s="4"/>
      <c r="L44" s="15" t="s">
        <v>2</v>
      </c>
      <c r="M44" s="5"/>
      <c r="N44" s="5"/>
      <c r="O44" s="147">
        <v>2</v>
      </c>
      <c r="P44" s="15">
        <v>1</v>
      </c>
      <c r="Q44" s="148">
        <f t="shared" si="1"/>
        <v>3</v>
      </c>
    </row>
    <row r="45" spans="1:17" ht="16.5" hidden="1" x14ac:dyDescent="0.35">
      <c r="A45" s="53">
        <v>44</v>
      </c>
      <c r="B45" s="18" t="s">
        <v>90</v>
      </c>
      <c r="C45" s="18" t="s">
        <v>660</v>
      </c>
      <c r="D45" s="17" t="s">
        <v>103</v>
      </c>
      <c r="E45" s="17" t="s">
        <v>104</v>
      </c>
      <c r="I45" s="18" t="s">
        <v>53</v>
      </c>
      <c r="J45" s="23" t="s">
        <v>67</v>
      </c>
      <c r="K45" s="4"/>
      <c r="L45" s="15" t="s">
        <v>2</v>
      </c>
      <c r="M45" s="5"/>
      <c r="N45" s="5"/>
      <c r="O45" s="147">
        <v>0</v>
      </c>
      <c r="P45" s="15">
        <v>2</v>
      </c>
      <c r="Q45" s="148">
        <f t="shared" si="1"/>
        <v>2</v>
      </c>
    </row>
    <row r="46" spans="1:17" ht="16.5" hidden="1" x14ac:dyDescent="0.35">
      <c r="A46" s="53">
        <v>45</v>
      </c>
      <c r="B46" s="18" t="s">
        <v>91</v>
      </c>
      <c r="C46" s="18" t="s">
        <v>660</v>
      </c>
      <c r="D46" s="17" t="s">
        <v>103</v>
      </c>
      <c r="E46" s="17" t="s">
        <v>104</v>
      </c>
      <c r="I46" s="18" t="s">
        <v>53</v>
      </c>
      <c r="J46" s="23" t="s">
        <v>68</v>
      </c>
      <c r="K46" s="4"/>
      <c r="L46" s="15" t="s">
        <v>2</v>
      </c>
      <c r="M46" s="5"/>
      <c r="N46" s="5"/>
      <c r="O46" s="147">
        <v>1</v>
      </c>
      <c r="P46" s="15">
        <v>2</v>
      </c>
      <c r="Q46" s="148">
        <f t="shared" si="1"/>
        <v>3</v>
      </c>
    </row>
    <row r="47" spans="1:17" ht="16.5" hidden="1" x14ac:dyDescent="0.35">
      <c r="A47" s="53">
        <v>46</v>
      </c>
      <c r="B47" s="18" t="s">
        <v>92</v>
      </c>
      <c r="C47" s="18" t="s">
        <v>660</v>
      </c>
      <c r="D47" s="17" t="s">
        <v>103</v>
      </c>
      <c r="E47" s="17" t="s">
        <v>104</v>
      </c>
      <c r="I47" s="18" t="s">
        <v>53</v>
      </c>
      <c r="J47" s="23" t="s">
        <v>69</v>
      </c>
      <c r="K47" s="4"/>
      <c r="L47" s="15" t="s">
        <v>2</v>
      </c>
      <c r="M47" s="5"/>
      <c r="N47" s="5"/>
      <c r="O47" s="147">
        <v>2</v>
      </c>
      <c r="P47" s="15">
        <v>3</v>
      </c>
      <c r="Q47" s="148">
        <f t="shared" si="1"/>
        <v>5</v>
      </c>
    </row>
    <row r="48" spans="1:17" ht="16.5" hidden="1" x14ac:dyDescent="0.35">
      <c r="A48" s="53">
        <v>47</v>
      </c>
      <c r="B48" s="18" t="s">
        <v>93</v>
      </c>
      <c r="C48" s="18" t="s">
        <v>660</v>
      </c>
      <c r="D48" s="17" t="s">
        <v>103</v>
      </c>
      <c r="E48" s="17" t="s">
        <v>104</v>
      </c>
      <c r="I48" s="18" t="s">
        <v>53</v>
      </c>
      <c r="J48" s="23" t="s">
        <v>70</v>
      </c>
      <c r="K48" s="4"/>
      <c r="L48" s="15" t="s">
        <v>2</v>
      </c>
      <c r="M48" s="5"/>
      <c r="N48" s="5"/>
      <c r="O48" s="147">
        <v>1</v>
      </c>
      <c r="P48" s="15">
        <v>1</v>
      </c>
      <c r="Q48" s="148">
        <f t="shared" si="1"/>
        <v>2</v>
      </c>
    </row>
    <row r="49" spans="1:17" ht="16.5" hidden="1" x14ac:dyDescent="0.35">
      <c r="A49" s="53">
        <v>48</v>
      </c>
      <c r="B49" s="18" t="s">
        <v>94</v>
      </c>
      <c r="C49" s="18" t="s">
        <v>660</v>
      </c>
      <c r="D49" s="17" t="s">
        <v>103</v>
      </c>
      <c r="E49" s="17" t="s">
        <v>104</v>
      </c>
      <c r="I49" s="18" t="s">
        <v>53</v>
      </c>
      <c r="J49" s="23" t="s">
        <v>71</v>
      </c>
      <c r="K49" s="4"/>
      <c r="L49" s="15" t="s">
        <v>9</v>
      </c>
      <c r="M49" s="5"/>
      <c r="N49" s="5"/>
      <c r="O49" s="147">
        <v>1</v>
      </c>
      <c r="P49" s="15">
        <v>1</v>
      </c>
      <c r="Q49" s="148">
        <f t="shared" si="1"/>
        <v>2</v>
      </c>
    </row>
    <row r="50" spans="1:17" ht="16.5" hidden="1" x14ac:dyDescent="0.35">
      <c r="A50" s="53">
        <v>49</v>
      </c>
      <c r="B50" s="18" t="s">
        <v>95</v>
      </c>
      <c r="C50" s="18" t="s">
        <v>660</v>
      </c>
      <c r="D50" s="17" t="s">
        <v>103</v>
      </c>
      <c r="E50" s="17" t="s">
        <v>104</v>
      </c>
      <c r="F50" s="26"/>
      <c r="I50" s="18" t="s">
        <v>53</v>
      </c>
      <c r="J50" s="23"/>
      <c r="K50" s="4"/>
      <c r="L50" s="15" t="s">
        <v>9</v>
      </c>
      <c r="M50" s="5"/>
      <c r="N50" s="5"/>
      <c r="O50" s="147">
        <v>2</v>
      </c>
      <c r="P50" s="15">
        <v>0</v>
      </c>
      <c r="Q50" s="148">
        <f t="shared" si="1"/>
        <v>2</v>
      </c>
    </row>
    <row r="51" spans="1:17" ht="16.5" hidden="1" x14ac:dyDescent="0.35">
      <c r="A51" s="53">
        <v>50</v>
      </c>
      <c r="B51" s="18" t="s">
        <v>96</v>
      </c>
      <c r="C51" s="18" t="s">
        <v>660</v>
      </c>
      <c r="D51" s="17" t="s">
        <v>103</v>
      </c>
      <c r="E51" s="17" t="s">
        <v>104</v>
      </c>
      <c r="I51" s="18" t="s">
        <v>53</v>
      </c>
      <c r="J51" s="23" t="s">
        <v>72</v>
      </c>
      <c r="K51" s="4"/>
      <c r="L51" s="15" t="s">
        <v>9</v>
      </c>
      <c r="M51" s="5"/>
      <c r="N51" s="5"/>
      <c r="O51" s="147">
        <v>1</v>
      </c>
      <c r="P51" s="15">
        <v>1</v>
      </c>
      <c r="Q51" s="148">
        <f t="shared" si="1"/>
        <v>2</v>
      </c>
    </row>
    <row r="52" spans="1:17" ht="16.5" hidden="1" x14ac:dyDescent="0.35">
      <c r="A52" s="53">
        <v>51</v>
      </c>
      <c r="B52" s="18" t="s">
        <v>97</v>
      </c>
      <c r="C52" s="18" t="s">
        <v>660</v>
      </c>
      <c r="D52" s="17" t="s">
        <v>103</v>
      </c>
      <c r="E52" s="17" t="s">
        <v>104</v>
      </c>
      <c r="I52" s="18" t="s">
        <v>53</v>
      </c>
      <c r="J52" s="23"/>
      <c r="K52" s="4"/>
      <c r="L52" s="15" t="s">
        <v>9</v>
      </c>
      <c r="M52" s="5"/>
      <c r="N52" s="5"/>
      <c r="O52" s="147">
        <v>1</v>
      </c>
      <c r="P52" s="15">
        <v>2</v>
      </c>
      <c r="Q52" s="148">
        <f t="shared" si="1"/>
        <v>3</v>
      </c>
    </row>
    <row r="53" spans="1:17" ht="16.5" hidden="1" x14ac:dyDescent="0.35">
      <c r="A53" s="53">
        <v>52</v>
      </c>
      <c r="B53" s="18" t="s">
        <v>98</v>
      </c>
      <c r="C53" s="18" t="s">
        <v>660</v>
      </c>
      <c r="D53" s="17" t="s">
        <v>103</v>
      </c>
      <c r="E53" s="17" t="s">
        <v>104</v>
      </c>
      <c r="I53" s="18" t="s">
        <v>53</v>
      </c>
      <c r="J53" s="23"/>
      <c r="K53" s="4"/>
      <c r="L53" s="15" t="s">
        <v>2</v>
      </c>
      <c r="M53" s="5"/>
      <c r="N53" s="5"/>
      <c r="O53" s="147">
        <v>1</v>
      </c>
      <c r="P53" s="15">
        <v>2</v>
      </c>
      <c r="Q53" s="148">
        <f t="shared" si="1"/>
        <v>3</v>
      </c>
    </row>
    <row r="54" spans="1:17" ht="16.5" hidden="1" x14ac:dyDescent="0.5">
      <c r="A54" s="53">
        <v>53</v>
      </c>
      <c r="B54" s="18" t="s">
        <v>99</v>
      </c>
      <c r="C54" s="18" t="s">
        <v>660</v>
      </c>
      <c r="D54" s="17" t="s">
        <v>103</v>
      </c>
      <c r="E54" s="17" t="s">
        <v>104</v>
      </c>
      <c r="I54" s="18" t="s">
        <v>53</v>
      </c>
      <c r="J54" s="23"/>
      <c r="K54" s="6"/>
      <c r="L54" s="15" t="s">
        <v>2</v>
      </c>
      <c r="M54" s="6"/>
      <c r="N54" s="6"/>
      <c r="O54" s="149">
        <v>2</v>
      </c>
      <c r="P54" s="149">
        <v>1</v>
      </c>
      <c r="Q54" s="150">
        <f t="shared" si="1"/>
        <v>3</v>
      </c>
    </row>
    <row r="55" spans="1:17" ht="16.5" hidden="1" x14ac:dyDescent="0.35">
      <c r="A55" s="53">
        <v>54</v>
      </c>
      <c r="B55" s="18" t="s">
        <v>100</v>
      </c>
      <c r="C55" s="18" t="s">
        <v>660</v>
      </c>
      <c r="D55" s="17" t="s">
        <v>103</v>
      </c>
      <c r="E55" s="17" t="s">
        <v>104</v>
      </c>
      <c r="I55" s="18" t="s">
        <v>53</v>
      </c>
      <c r="J55" s="24"/>
      <c r="K55" s="8"/>
      <c r="L55" s="15" t="s">
        <v>2</v>
      </c>
      <c r="M55" s="8"/>
      <c r="N55" s="8"/>
      <c r="O55" s="151">
        <v>3</v>
      </c>
      <c r="P55" s="151">
        <v>2</v>
      </c>
      <c r="Q55" s="152">
        <f t="shared" si="1"/>
        <v>5</v>
      </c>
    </row>
    <row r="56" spans="1:17" ht="16.5" hidden="1" x14ac:dyDescent="0.35">
      <c r="A56" s="53">
        <v>55</v>
      </c>
      <c r="B56" s="351" t="s">
        <v>101</v>
      </c>
      <c r="C56" s="18" t="s">
        <v>660</v>
      </c>
      <c r="D56" s="17" t="s">
        <v>103</v>
      </c>
      <c r="E56" s="17" t="s">
        <v>104</v>
      </c>
      <c r="I56" s="18" t="s">
        <v>53</v>
      </c>
      <c r="J56" s="25"/>
      <c r="K56" s="11"/>
      <c r="L56" s="16" t="s">
        <v>9</v>
      </c>
      <c r="M56" s="11"/>
      <c r="N56" s="11"/>
      <c r="O56" s="143">
        <v>1</v>
      </c>
      <c r="P56" s="143">
        <v>2</v>
      </c>
      <c r="Q56" s="153">
        <f t="shared" si="1"/>
        <v>3</v>
      </c>
    </row>
    <row r="57" spans="1:17" ht="17" hidden="1" thickBot="1" x14ac:dyDescent="0.55000000000000004">
      <c r="A57" s="53">
        <v>56</v>
      </c>
      <c r="B57" s="352" t="s">
        <v>102</v>
      </c>
      <c r="C57" s="18" t="s">
        <v>660</v>
      </c>
      <c r="D57" s="17" t="s">
        <v>103</v>
      </c>
      <c r="E57" s="362" t="s">
        <v>104</v>
      </c>
      <c r="I57" s="18" t="s">
        <v>53</v>
      </c>
      <c r="J57" s="193"/>
      <c r="K57" s="14"/>
      <c r="L57" s="140" t="s">
        <v>2</v>
      </c>
      <c r="M57" s="14"/>
      <c r="N57" s="14"/>
      <c r="O57" s="143">
        <v>0</v>
      </c>
      <c r="P57" s="143">
        <v>0</v>
      </c>
      <c r="Q57" s="153">
        <f t="shared" si="1"/>
        <v>0</v>
      </c>
    </row>
    <row r="58" spans="1:17" ht="16.5" hidden="1" x14ac:dyDescent="0.35">
      <c r="A58" s="53">
        <v>57</v>
      </c>
      <c r="B58" s="18" t="s">
        <v>115</v>
      </c>
      <c r="C58" s="18" t="s">
        <v>660</v>
      </c>
      <c r="D58" s="17" t="s">
        <v>139</v>
      </c>
      <c r="E58" s="17" t="s">
        <v>140</v>
      </c>
      <c r="I58" s="18" t="s">
        <v>53</v>
      </c>
      <c r="J58" s="23" t="s">
        <v>105</v>
      </c>
      <c r="K58" s="4"/>
      <c r="L58" s="15" t="s">
        <v>2</v>
      </c>
      <c r="M58" s="5"/>
      <c r="N58" s="5"/>
      <c r="O58" s="147">
        <v>1</v>
      </c>
      <c r="P58" s="15">
        <v>0</v>
      </c>
      <c r="Q58" s="148">
        <f>SUM(O58:P58)</f>
        <v>1</v>
      </c>
    </row>
    <row r="59" spans="1:17" ht="16.5" hidden="1" x14ac:dyDescent="0.35">
      <c r="A59" s="53">
        <v>58</v>
      </c>
      <c r="B59" s="18" t="s">
        <v>116</v>
      </c>
      <c r="C59" s="18" t="s">
        <v>660</v>
      </c>
      <c r="D59" s="17" t="s">
        <v>139</v>
      </c>
      <c r="E59" s="17" t="s">
        <v>140</v>
      </c>
      <c r="I59" s="18" t="s">
        <v>53</v>
      </c>
      <c r="J59" s="23" t="s">
        <v>106</v>
      </c>
      <c r="K59" s="4"/>
      <c r="L59" s="15" t="s">
        <v>2</v>
      </c>
      <c r="M59" s="5"/>
      <c r="N59" s="5"/>
      <c r="O59" s="147">
        <v>1</v>
      </c>
      <c r="P59" s="15">
        <v>1</v>
      </c>
      <c r="Q59" s="148">
        <f t="shared" ref="Q59:Q81" si="2">SUM(O59:P59)</f>
        <v>2</v>
      </c>
    </row>
    <row r="60" spans="1:17" ht="16.5" hidden="1" x14ac:dyDescent="0.35">
      <c r="A60" s="53">
        <v>59</v>
      </c>
      <c r="B60" s="18" t="s">
        <v>117</v>
      </c>
      <c r="C60" s="18" t="s">
        <v>660</v>
      </c>
      <c r="D60" s="17" t="s">
        <v>139</v>
      </c>
      <c r="E60" s="17" t="s">
        <v>140</v>
      </c>
      <c r="I60" s="18" t="s">
        <v>53</v>
      </c>
      <c r="J60" s="23"/>
      <c r="K60" s="4"/>
      <c r="L60" s="15" t="s">
        <v>2</v>
      </c>
      <c r="M60" s="5"/>
      <c r="N60" s="5"/>
      <c r="O60" s="147">
        <v>2</v>
      </c>
      <c r="P60" s="15">
        <v>4</v>
      </c>
      <c r="Q60" s="148">
        <f t="shared" si="2"/>
        <v>6</v>
      </c>
    </row>
    <row r="61" spans="1:17" ht="16.5" hidden="1" x14ac:dyDescent="0.35">
      <c r="A61" s="53">
        <v>60</v>
      </c>
      <c r="B61" s="18" t="s">
        <v>118</v>
      </c>
      <c r="C61" s="18" t="s">
        <v>660</v>
      </c>
      <c r="D61" s="17" t="s">
        <v>139</v>
      </c>
      <c r="E61" s="17" t="s">
        <v>140</v>
      </c>
      <c r="I61" s="18" t="s">
        <v>53</v>
      </c>
      <c r="J61" s="23"/>
      <c r="K61" s="4"/>
      <c r="L61" s="15" t="s">
        <v>2</v>
      </c>
      <c r="M61" s="5"/>
      <c r="N61" s="5"/>
      <c r="O61" s="147">
        <v>2</v>
      </c>
      <c r="P61" s="15">
        <v>1</v>
      </c>
      <c r="Q61" s="148">
        <f t="shared" si="2"/>
        <v>3</v>
      </c>
    </row>
    <row r="62" spans="1:17" ht="16.5" hidden="1" x14ac:dyDescent="0.35">
      <c r="A62" s="53">
        <v>61</v>
      </c>
      <c r="B62" s="18" t="s">
        <v>119</v>
      </c>
      <c r="C62" s="18" t="s">
        <v>660</v>
      </c>
      <c r="D62" s="17" t="s">
        <v>139</v>
      </c>
      <c r="E62" s="17" t="s">
        <v>140</v>
      </c>
      <c r="I62" s="18" t="s">
        <v>53</v>
      </c>
      <c r="J62" s="23"/>
      <c r="K62" s="4"/>
      <c r="L62" s="15" t="s">
        <v>2</v>
      </c>
      <c r="M62" s="3"/>
      <c r="N62" s="5"/>
      <c r="O62" s="147">
        <v>1</v>
      </c>
      <c r="P62" s="15">
        <v>2</v>
      </c>
      <c r="Q62" s="148">
        <f t="shared" si="2"/>
        <v>3</v>
      </c>
    </row>
    <row r="63" spans="1:17" ht="16.5" hidden="1" x14ac:dyDescent="0.35">
      <c r="A63" s="53">
        <v>62</v>
      </c>
      <c r="B63" s="18" t="s">
        <v>120</v>
      </c>
      <c r="C63" s="18" t="s">
        <v>660</v>
      </c>
      <c r="D63" s="17" t="s">
        <v>139</v>
      </c>
      <c r="E63" s="17" t="s">
        <v>140</v>
      </c>
      <c r="I63" s="18" t="s">
        <v>53</v>
      </c>
      <c r="J63" s="23" t="s">
        <v>107</v>
      </c>
      <c r="K63" s="4"/>
      <c r="L63" s="15" t="s">
        <v>2</v>
      </c>
      <c r="M63" s="5"/>
      <c r="N63" s="5"/>
      <c r="O63" s="147">
        <v>0</v>
      </c>
      <c r="P63" s="15">
        <v>1</v>
      </c>
      <c r="Q63" s="148">
        <f t="shared" si="2"/>
        <v>1</v>
      </c>
    </row>
    <row r="64" spans="1:17" ht="16.5" hidden="1" x14ac:dyDescent="0.35">
      <c r="A64" s="53">
        <v>63</v>
      </c>
      <c r="B64" s="18" t="s">
        <v>121</v>
      </c>
      <c r="C64" s="18" t="s">
        <v>660</v>
      </c>
      <c r="D64" s="17" t="s">
        <v>139</v>
      </c>
      <c r="E64" s="17" t="s">
        <v>140</v>
      </c>
      <c r="I64" s="18" t="s">
        <v>53</v>
      </c>
      <c r="J64" s="23" t="s">
        <v>108</v>
      </c>
      <c r="K64" s="4"/>
      <c r="L64" s="15" t="s">
        <v>2</v>
      </c>
      <c r="M64" s="5"/>
      <c r="N64" s="5"/>
      <c r="O64" s="147">
        <v>3</v>
      </c>
      <c r="P64" s="15">
        <v>1</v>
      </c>
      <c r="Q64" s="148">
        <f t="shared" si="2"/>
        <v>4</v>
      </c>
    </row>
    <row r="65" spans="1:17" ht="16.5" hidden="1" x14ac:dyDescent="0.35">
      <c r="A65" s="53">
        <v>64</v>
      </c>
      <c r="B65" s="18" t="s">
        <v>122</v>
      </c>
      <c r="C65" s="18" t="s">
        <v>660</v>
      </c>
      <c r="D65" s="17" t="s">
        <v>139</v>
      </c>
      <c r="E65" s="17" t="s">
        <v>140</v>
      </c>
      <c r="I65" s="18" t="s">
        <v>53</v>
      </c>
      <c r="J65" s="23" t="s">
        <v>109</v>
      </c>
      <c r="K65" s="4"/>
      <c r="L65" s="15" t="s">
        <v>2</v>
      </c>
      <c r="M65" s="5"/>
      <c r="N65" s="5"/>
      <c r="O65" s="147">
        <v>0</v>
      </c>
      <c r="P65" s="15">
        <v>2</v>
      </c>
      <c r="Q65" s="148">
        <f t="shared" si="2"/>
        <v>2</v>
      </c>
    </row>
    <row r="66" spans="1:17" ht="16.5" hidden="1" x14ac:dyDescent="0.35">
      <c r="A66" s="53">
        <v>65</v>
      </c>
      <c r="B66" s="18" t="s">
        <v>123</v>
      </c>
      <c r="C66" s="18" t="s">
        <v>660</v>
      </c>
      <c r="D66" s="17" t="s">
        <v>139</v>
      </c>
      <c r="E66" s="17" t="s">
        <v>140</v>
      </c>
      <c r="I66" s="18" t="s">
        <v>53</v>
      </c>
      <c r="J66" s="23" t="s">
        <v>110</v>
      </c>
      <c r="K66" s="4"/>
      <c r="L66" s="15" t="s">
        <v>2</v>
      </c>
      <c r="M66" s="5"/>
      <c r="N66" s="5"/>
      <c r="O66" s="147">
        <v>1</v>
      </c>
      <c r="P66" s="15">
        <v>3</v>
      </c>
      <c r="Q66" s="148">
        <f t="shared" si="2"/>
        <v>4</v>
      </c>
    </row>
    <row r="67" spans="1:17" ht="16.5" hidden="1" x14ac:dyDescent="0.35">
      <c r="A67" s="53">
        <v>66</v>
      </c>
      <c r="B67" s="18" t="s">
        <v>124</v>
      </c>
      <c r="C67" s="18" t="s">
        <v>660</v>
      </c>
      <c r="D67" s="17" t="s">
        <v>139</v>
      </c>
      <c r="E67" s="17" t="s">
        <v>140</v>
      </c>
      <c r="I67" s="18" t="s">
        <v>53</v>
      </c>
      <c r="J67" s="23"/>
      <c r="K67" s="4"/>
      <c r="L67" s="15" t="s">
        <v>2</v>
      </c>
      <c r="M67" s="5"/>
      <c r="N67" s="5"/>
      <c r="O67" s="147">
        <v>2</v>
      </c>
      <c r="P67" s="15">
        <v>0</v>
      </c>
      <c r="Q67" s="148">
        <f t="shared" si="2"/>
        <v>2</v>
      </c>
    </row>
    <row r="68" spans="1:17" ht="16.5" hidden="1" x14ac:dyDescent="0.35">
      <c r="A68" s="53">
        <v>67</v>
      </c>
      <c r="B68" s="18" t="s">
        <v>125</v>
      </c>
      <c r="C68" s="18" t="s">
        <v>660</v>
      </c>
      <c r="D68" s="17" t="s">
        <v>139</v>
      </c>
      <c r="E68" s="17" t="s">
        <v>140</v>
      </c>
      <c r="I68" s="18" t="s">
        <v>53</v>
      </c>
      <c r="J68" s="23"/>
      <c r="K68" s="4"/>
      <c r="L68" s="15" t="s">
        <v>2</v>
      </c>
      <c r="M68" s="5"/>
      <c r="N68" s="5"/>
      <c r="O68" s="147">
        <v>4</v>
      </c>
      <c r="P68" s="15">
        <v>2</v>
      </c>
      <c r="Q68" s="148">
        <f t="shared" si="2"/>
        <v>6</v>
      </c>
    </row>
    <row r="69" spans="1:17" ht="16.5" hidden="1" x14ac:dyDescent="0.35">
      <c r="A69" s="53">
        <v>68</v>
      </c>
      <c r="B69" s="18" t="s">
        <v>126</v>
      </c>
      <c r="C69" s="18" t="s">
        <v>660</v>
      </c>
      <c r="D69" s="17" t="s">
        <v>139</v>
      </c>
      <c r="E69" s="17" t="s">
        <v>140</v>
      </c>
      <c r="I69" s="18" t="s">
        <v>53</v>
      </c>
      <c r="J69" s="23" t="s">
        <v>111</v>
      </c>
      <c r="K69" s="4"/>
      <c r="L69" s="15" t="s">
        <v>2</v>
      </c>
      <c r="M69" s="5"/>
      <c r="N69" s="5"/>
      <c r="O69" s="147">
        <v>1</v>
      </c>
      <c r="P69" s="15">
        <v>2</v>
      </c>
      <c r="Q69" s="148">
        <f t="shared" si="2"/>
        <v>3</v>
      </c>
    </row>
    <row r="70" spans="1:17" ht="16.5" hidden="1" x14ac:dyDescent="0.35">
      <c r="A70" s="53">
        <v>69</v>
      </c>
      <c r="B70" s="18" t="s">
        <v>127</v>
      </c>
      <c r="C70" s="18" t="s">
        <v>660</v>
      </c>
      <c r="D70" s="17" t="s">
        <v>139</v>
      </c>
      <c r="E70" s="17" t="s">
        <v>140</v>
      </c>
      <c r="I70" s="18" t="s">
        <v>53</v>
      </c>
      <c r="J70" s="23" t="s">
        <v>112</v>
      </c>
      <c r="K70" s="4"/>
      <c r="L70" s="15" t="s">
        <v>2</v>
      </c>
      <c r="M70" s="5"/>
      <c r="N70" s="5"/>
      <c r="O70" s="147">
        <v>1</v>
      </c>
      <c r="P70" s="15">
        <v>1</v>
      </c>
      <c r="Q70" s="148">
        <f t="shared" si="2"/>
        <v>2</v>
      </c>
    </row>
    <row r="71" spans="1:17" ht="16.5" hidden="1" x14ac:dyDescent="0.35">
      <c r="A71" s="53">
        <v>70</v>
      </c>
      <c r="B71" s="18" t="s">
        <v>128</v>
      </c>
      <c r="C71" s="18" t="s">
        <v>660</v>
      </c>
      <c r="D71" s="17" t="s">
        <v>139</v>
      </c>
      <c r="E71" s="17" t="s">
        <v>140</v>
      </c>
      <c r="I71" s="18" t="s">
        <v>53</v>
      </c>
      <c r="J71" s="23" t="s">
        <v>113</v>
      </c>
      <c r="K71" s="4"/>
      <c r="L71" s="15" t="s">
        <v>2</v>
      </c>
      <c r="M71" s="5"/>
      <c r="N71" s="5"/>
      <c r="O71" s="147">
        <v>1</v>
      </c>
      <c r="P71" s="15">
        <v>1</v>
      </c>
      <c r="Q71" s="148">
        <f t="shared" si="2"/>
        <v>2</v>
      </c>
    </row>
    <row r="72" spans="1:17" ht="16.5" hidden="1" x14ac:dyDescent="0.35">
      <c r="A72" s="53">
        <v>71</v>
      </c>
      <c r="B72" s="18" t="s">
        <v>129</v>
      </c>
      <c r="C72" s="18" t="s">
        <v>660</v>
      </c>
      <c r="D72" s="17" t="s">
        <v>139</v>
      </c>
      <c r="E72" s="17" t="s">
        <v>140</v>
      </c>
      <c r="I72" s="18" t="s">
        <v>53</v>
      </c>
      <c r="J72" s="23"/>
      <c r="K72" s="4"/>
      <c r="L72" s="15" t="s">
        <v>2</v>
      </c>
      <c r="M72" s="5"/>
      <c r="N72" s="5"/>
      <c r="O72" s="147">
        <v>0</v>
      </c>
      <c r="P72" s="15">
        <v>0</v>
      </c>
      <c r="Q72" s="148">
        <f t="shared" si="2"/>
        <v>0</v>
      </c>
    </row>
    <row r="73" spans="1:17" ht="16.5" hidden="1" x14ac:dyDescent="0.35">
      <c r="A73" s="53">
        <v>72</v>
      </c>
      <c r="B73" s="18" t="s">
        <v>130</v>
      </c>
      <c r="C73" s="18" t="s">
        <v>660</v>
      </c>
      <c r="D73" s="17" t="s">
        <v>139</v>
      </c>
      <c r="E73" s="17" t="s">
        <v>140</v>
      </c>
      <c r="I73" s="18" t="s">
        <v>53</v>
      </c>
      <c r="J73" s="23"/>
      <c r="K73" s="4"/>
      <c r="L73" s="15" t="s">
        <v>2</v>
      </c>
      <c r="M73" s="5"/>
      <c r="N73" s="5"/>
      <c r="O73" s="147">
        <v>1</v>
      </c>
      <c r="P73" s="15">
        <v>2</v>
      </c>
      <c r="Q73" s="148">
        <f t="shared" si="2"/>
        <v>3</v>
      </c>
    </row>
    <row r="74" spans="1:17" ht="16.5" hidden="1" x14ac:dyDescent="0.35">
      <c r="A74" s="53">
        <v>73</v>
      </c>
      <c r="B74" s="18" t="s">
        <v>131</v>
      </c>
      <c r="C74" s="18" t="s">
        <v>660</v>
      </c>
      <c r="D74" s="17" t="s">
        <v>139</v>
      </c>
      <c r="E74" s="17" t="s">
        <v>140</v>
      </c>
      <c r="I74" s="18" t="s">
        <v>53</v>
      </c>
      <c r="J74" s="23"/>
      <c r="K74" s="4"/>
      <c r="L74" s="15" t="s">
        <v>2</v>
      </c>
      <c r="M74" s="5"/>
      <c r="N74" s="5"/>
      <c r="O74" s="147">
        <v>2</v>
      </c>
      <c r="P74" s="15">
        <v>1</v>
      </c>
      <c r="Q74" s="148">
        <f t="shared" si="2"/>
        <v>3</v>
      </c>
    </row>
    <row r="75" spans="1:17" ht="16.5" hidden="1" x14ac:dyDescent="0.35">
      <c r="A75" s="53">
        <v>74</v>
      </c>
      <c r="B75" s="18" t="s">
        <v>132</v>
      </c>
      <c r="C75" s="18" t="s">
        <v>660</v>
      </c>
      <c r="D75" s="17" t="s">
        <v>139</v>
      </c>
      <c r="E75" s="17" t="s">
        <v>140</v>
      </c>
      <c r="I75" s="18" t="s">
        <v>53</v>
      </c>
      <c r="J75" s="23"/>
      <c r="K75" s="4"/>
      <c r="L75" s="15" t="s">
        <v>2</v>
      </c>
      <c r="M75" s="5"/>
      <c r="N75" s="5"/>
      <c r="O75" s="147">
        <v>0</v>
      </c>
      <c r="P75" s="15">
        <v>2</v>
      </c>
      <c r="Q75" s="148">
        <f t="shared" si="2"/>
        <v>2</v>
      </c>
    </row>
    <row r="76" spans="1:17" ht="16.5" hidden="1" x14ac:dyDescent="0.35">
      <c r="A76" s="53">
        <v>75</v>
      </c>
      <c r="B76" s="18" t="s">
        <v>133</v>
      </c>
      <c r="C76" s="18" t="s">
        <v>660</v>
      </c>
      <c r="D76" s="17" t="s">
        <v>139</v>
      </c>
      <c r="E76" s="17" t="s">
        <v>140</v>
      </c>
      <c r="I76" s="18" t="s">
        <v>53</v>
      </c>
      <c r="J76" s="23"/>
      <c r="K76" s="4"/>
      <c r="L76" s="15" t="s">
        <v>2</v>
      </c>
      <c r="M76" s="5"/>
      <c r="N76" s="5"/>
      <c r="O76" s="147">
        <v>1</v>
      </c>
      <c r="P76" s="15">
        <v>2</v>
      </c>
      <c r="Q76" s="148">
        <f t="shared" si="2"/>
        <v>3</v>
      </c>
    </row>
    <row r="77" spans="1:17" ht="16.5" hidden="1" x14ac:dyDescent="0.35">
      <c r="A77" s="53">
        <v>76</v>
      </c>
      <c r="B77" s="18" t="s">
        <v>134</v>
      </c>
      <c r="C77" s="18" t="s">
        <v>660</v>
      </c>
      <c r="D77" s="17" t="s">
        <v>139</v>
      </c>
      <c r="E77" s="17" t="s">
        <v>140</v>
      </c>
      <c r="I77" s="18" t="s">
        <v>53</v>
      </c>
      <c r="J77" s="23"/>
      <c r="K77" s="4"/>
      <c r="L77" s="15" t="s">
        <v>2</v>
      </c>
      <c r="M77" s="5"/>
      <c r="N77" s="5"/>
      <c r="O77" s="147">
        <v>2</v>
      </c>
      <c r="P77" s="15">
        <v>1</v>
      </c>
      <c r="Q77" s="148">
        <f t="shared" si="2"/>
        <v>3</v>
      </c>
    </row>
    <row r="78" spans="1:17" ht="16.5" hidden="1" x14ac:dyDescent="0.35">
      <c r="A78" s="53">
        <v>77</v>
      </c>
      <c r="B78" s="18" t="s">
        <v>135</v>
      </c>
      <c r="C78" s="18" t="s">
        <v>660</v>
      </c>
      <c r="D78" s="17" t="s">
        <v>139</v>
      </c>
      <c r="E78" s="17" t="s">
        <v>140</v>
      </c>
      <c r="I78" s="18" t="s">
        <v>53</v>
      </c>
      <c r="J78" s="23"/>
      <c r="K78" s="4"/>
      <c r="L78" s="15" t="s">
        <v>2</v>
      </c>
      <c r="M78" s="5"/>
      <c r="N78" s="5"/>
      <c r="O78" s="147">
        <v>1</v>
      </c>
      <c r="P78" s="15">
        <v>1</v>
      </c>
      <c r="Q78" s="148">
        <f t="shared" si="2"/>
        <v>2</v>
      </c>
    </row>
    <row r="79" spans="1:17" ht="16.5" hidden="1" x14ac:dyDescent="0.35">
      <c r="A79" s="53">
        <v>78</v>
      </c>
      <c r="B79" s="18" t="s">
        <v>136</v>
      </c>
      <c r="C79" s="18" t="s">
        <v>660</v>
      </c>
      <c r="D79" s="17" t="s">
        <v>139</v>
      </c>
      <c r="E79" s="17" t="s">
        <v>140</v>
      </c>
      <c r="I79" s="18" t="s">
        <v>53</v>
      </c>
      <c r="J79" s="23"/>
      <c r="K79" s="4"/>
      <c r="L79" s="15" t="s">
        <v>2</v>
      </c>
      <c r="M79" s="5"/>
      <c r="N79" s="5"/>
      <c r="O79" s="147">
        <v>1</v>
      </c>
      <c r="P79" s="15">
        <v>1</v>
      </c>
      <c r="Q79" s="148">
        <f t="shared" si="2"/>
        <v>2</v>
      </c>
    </row>
    <row r="80" spans="1:17" ht="16.5" hidden="1" x14ac:dyDescent="0.35">
      <c r="A80" s="53">
        <v>79</v>
      </c>
      <c r="B80" s="18" t="s">
        <v>137</v>
      </c>
      <c r="C80" s="18" t="s">
        <v>660</v>
      </c>
      <c r="D80" s="17" t="s">
        <v>139</v>
      </c>
      <c r="E80" s="17" t="s">
        <v>140</v>
      </c>
      <c r="I80" s="18" t="s">
        <v>53</v>
      </c>
      <c r="J80" s="23"/>
      <c r="K80" s="4"/>
      <c r="L80" s="15" t="s">
        <v>2</v>
      </c>
      <c r="M80" s="5"/>
      <c r="N80" s="5"/>
      <c r="O80" s="147">
        <v>2</v>
      </c>
      <c r="P80" s="15">
        <v>0</v>
      </c>
      <c r="Q80" s="148">
        <f t="shared" si="2"/>
        <v>2</v>
      </c>
    </row>
    <row r="81" spans="1:17" ht="16.5" hidden="1" x14ac:dyDescent="0.35">
      <c r="A81" s="53">
        <v>80</v>
      </c>
      <c r="B81" s="18" t="s">
        <v>138</v>
      </c>
      <c r="C81" s="18" t="s">
        <v>660</v>
      </c>
      <c r="D81" s="17" t="s">
        <v>139</v>
      </c>
      <c r="E81" s="17" t="s">
        <v>140</v>
      </c>
      <c r="I81" s="18" t="s">
        <v>53</v>
      </c>
      <c r="J81" s="23"/>
      <c r="K81" s="4"/>
      <c r="L81" s="15" t="s">
        <v>9</v>
      </c>
      <c r="M81" s="5"/>
      <c r="N81" s="5"/>
      <c r="O81" s="147">
        <v>1</v>
      </c>
      <c r="P81" s="15">
        <v>1</v>
      </c>
      <c r="Q81" s="148">
        <f t="shared" si="2"/>
        <v>2</v>
      </c>
    </row>
    <row r="82" spans="1:17" ht="16.5" hidden="1" x14ac:dyDescent="0.5">
      <c r="A82" s="53">
        <v>81</v>
      </c>
      <c r="B82" s="147" t="s">
        <v>141</v>
      </c>
      <c r="C82" s="18" t="s">
        <v>660</v>
      </c>
      <c r="D82" s="17" t="s">
        <v>161</v>
      </c>
      <c r="E82" s="17" t="s">
        <v>162</v>
      </c>
      <c r="I82" s="18" t="s">
        <v>53</v>
      </c>
      <c r="J82" s="23"/>
      <c r="K82" s="6"/>
      <c r="L82" s="15" t="s">
        <v>9</v>
      </c>
      <c r="M82" s="6"/>
      <c r="N82" s="6"/>
      <c r="O82" s="147">
        <v>0</v>
      </c>
      <c r="P82" s="15">
        <v>2</v>
      </c>
      <c r="Q82" s="148">
        <f>SUM(O82:P82)</f>
        <v>2</v>
      </c>
    </row>
    <row r="83" spans="1:17" ht="16.5" hidden="1" x14ac:dyDescent="0.35">
      <c r="A83" s="53">
        <v>82</v>
      </c>
      <c r="B83" s="147" t="s">
        <v>142</v>
      </c>
      <c r="C83" s="18" t="s">
        <v>660</v>
      </c>
      <c r="D83" s="17" t="s">
        <v>161</v>
      </c>
      <c r="E83" s="17" t="s">
        <v>162</v>
      </c>
      <c r="I83" s="18" t="s">
        <v>53</v>
      </c>
      <c r="J83" s="24"/>
      <c r="K83" s="8"/>
      <c r="L83" s="15" t="s">
        <v>2</v>
      </c>
      <c r="M83" s="8"/>
      <c r="N83" s="8"/>
      <c r="O83" s="147">
        <v>2</v>
      </c>
      <c r="P83" s="15">
        <v>3</v>
      </c>
      <c r="Q83" s="148">
        <f t="shared" ref="Q83:Q101" si="3">SUM(O83:P83)</f>
        <v>5</v>
      </c>
    </row>
    <row r="84" spans="1:17" ht="16.5" hidden="1" x14ac:dyDescent="0.35">
      <c r="A84" s="53">
        <v>83</v>
      </c>
      <c r="B84" s="147" t="s">
        <v>143</v>
      </c>
      <c r="C84" s="18" t="s">
        <v>660</v>
      </c>
      <c r="D84" s="17" t="s">
        <v>161</v>
      </c>
      <c r="E84" s="17" t="s">
        <v>162</v>
      </c>
      <c r="I84" s="18" t="s">
        <v>53</v>
      </c>
      <c r="J84" s="25"/>
      <c r="K84" s="11"/>
      <c r="L84" s="15" t="s">
        <v>2</v>
      </c>
      <c r="M84" s="11"/>
      <c r="N84" s="11"/>
      <c r="O84" s="147">
        <v>2</v>
      </c>
      <c r="P84" s="15">
        <v>1</v>
      </c>
      <c r="Q84" s="148">
        <f t="shared" si="3"/>
        <v>3</v>
      </c>
    </row>
    <row r="85" spans="1:17" ht="17" hidden="1" thickBot="1" x14ac:dyDescent="0.4">
      <c r="A85" s="53">
        <v>84</v>
      </c>
      <c r="B85" s="147" t="s">
        <v>144</v>
      </c>
      <c r="C85" s="18" t="s">
        <v>660</v>
      </c>
      <c r="D85" s="17" t="s">
        <v>161</v>
      </c>
      <c r="E85" s="17" t="s">
        <v>162</v>
      </c>
      <c r="I85" s="18" t="s">
        <v>53</v>
      </c>
      <c r="J85" s="193"/>
      <c r="K85" s="14"/>
      <c r="L85" s="15" t="s">
        <v>2</v>
      </c>
      <c r="M85" s="14"/>
      <c r="N85" s="14"/>
      <c r="O85" s="147">
        <v>3</v>
      </c>
      <c r="P85" s="15">
        <v>1</v>
      </c>
      <c r="Q85" s="148">
        <f t="shared" si="3"/>
        <v>4</v>
      </c>
    </row>
    <row r="86" spans="1:17" ht="16.5" hidden="1" x14ac:dyDescent="0.35">
      <c r="A86" s="53">
        <v>85</v>
      </c>
      <c r="B86" s="147" t="s">
        <v>145</v>
      </c>
      <c r="C86" s="18" t="s">
        <v>660</v>
      </c>
      <c r="D86" s="17" t="s">
        <v>161</v>
      </c>
      <c r="E86" s="17" t="s">
        <v>162</v>
      </c>
      <c r="I86" s="18" t="s">
        <v>53</v>
      </c>
      <c r="L86" s="15" t="s">
        <v>9</v>
      </c>
      <c r="O86" s="147">
        <v>1</v>
      </c>
      <c r="P86" s="15">
        <v>4</v>
      </c>
      <c r="Q86" s="148">
        <f t="shared" si="3"/>
        <v>5</v>
      </c>
    </row>
    <row r="87" spans="1:17" ht="16.5" hidden="1" x14ac:dyDescent="0.35">
      <c r="A87" s="53">
        <v>86</v>
      </c>
      <c r="B87" s="147" t="s">
        <v>146</v>
      </c>
      <c r="C87" s="18" t="s">
        <v>660</v>
      </c>
      <c r="D87" s="17" t="s">
        <v>161</v>
      </c>
      <c r="E87" s="17" t="s">
        <v>162</v>
      </c>
      <c r="I87" s="18" t="s">
        <v>53</v>
      </c>
      <c r="L87" s="15" t="s">
        <v>2</v>
      </c>
      <c r="O87" s="147">
        <v>1</v>
      </c>
      <c r="P87" s="15">
        <v>1</v>
      </c>
      <c r="Q87" s="148">
        <f t="shared" si="3"/>
        <v>2</v>
      </c>
    </row>
    <row r="88" spans="1:17" ht="16.5" hidden="1" x14ac:dyDescent="0.35">
      <c r="A88" s="53">
        <v>87</v>
      </c>
      <c r="B88" s="147" t="s">
        <v>147</v>
      </c>
      <c r="C88" s="18" t="s">
        <v>660</v>
      </c>
      <c r="D88" s="17" t="s">
        <v>161</v>
      </c>
      <c r="E88" s="17" t="s">
        <v>162</v>
      </c>
      <c r="I88" s="18" t="s">
        <v>53</v>
      </c>
      <c r="L88" s="15" t="s">
        <v>2</v>
      </c>
      <c r="O88" s="147">
        <v>2</v>
      </c>
      <c r="P88" s="15">
        <v>1</v>
      </c>
      <c r="Q88" s="148">
        <f t="shared" si="3"/>
        <v>3</v>
      </c>
    </row>
    <row r="89" spans="1:17" ht="16.5" hidden="1" x14ac:dyDescent="0.35">
      <c r="A89" s="53">
        <v>88</v>
      </c>
      <c r="B89" s="147" t="s">
        <v>148</v>
      </c>
      <c r="C89" s="18" t="s">
        <v>660</v>
      </c>
      <c r="D89" s="17" t="s">
        <v>161</v>
      </c>
      <c r="E89" s="17" t="s">
        <v>162</v>
      </c>
      <c r="I89" s="18" t="s">
        <v>53</v>
      </c>
      <c r="L89" s="15" t="s">
        <v>2</v>
      </c>
      <c r="O89" s="147">
        <v>1</v>
      </c>
      <c r="P89" s="15">
        <v>1</v>
      </c>
      <c r="Q89" s="148">
        <f t="shared" si="3"/>
        <v>2</v>
      </c>
    </row>
    <row r="90" spans="1:17" ht="16.5" hidden="1" x14ac:dyDescent="0.35">
      <c r="A90" s="53">
        <v>89</v>
      </c>
      <c r="B90" s="147" t="s">
        <v>149</v>
      </c>
      <c r="C90" s="18" t="s">
        <v>660</v>
      </c>
      <c r="D90" s="17" t="s">
        <v>161</v>
      </c>
      <c r="E90" s="17" t="s">
        <v>162</v>
      </c>
      <c r="I90" s="18" t="s">
        <v>53</v>
      </c>
      <c r="L90" s="15" t="s">
        <v>2</v>
      </c>
      <c r="O90" s="147">
        <v>1</v>
      </c>
      <c r="P90" s="15">
        <v>0</v>
      </c>
      <c r="Q90" s="148">
        <f t="shared" si="3"/>
        <v>1</v>
      </c>
    </row>
    <row r="91" spans="1:17" ht="16.5" hidden="1" x14ac:dyDescent="0.35">
      <c r="A91" s="53">
        <v>90</v>
      </c>
      <c r="B91" s="147" t="s">
        <v>150</v>
      </c>
      <c r="C91" s="18" t="s">
        <v>660</v>
      </c>
      <c r="D91" s="17" t="s">
        <v>161</v>
      </c>
      <c r="E91" s="17" t="s">
        <v>162</v>
      </c>
      <c r="I91" s="18" t="s">
        <v>53</v>
      </c>
      <c r="L91" s="15" t="s">
        <v>2</v>
      </c>
      <c r="O91" s="147">
        <v>1</v>
      </c>
      <c r="P91" s="15">
        <v>0</v>
      </c>
      <c r="Q91" s="148">
        <f t="shared" si="3"/>
        <v>1</v>
      </c>
    </row>
    <row r="92" spans="1:17" ht="16.5" hidden="1" x14ac:dyDescent="0.35">
      <c r="A92" s="53">
        <v>91</v>
      </c>
      <c r="B92" s="147" t="s">
        <v>151</v>
      </c>
      <c r="C92" s="18" t="s">
        <v>660</v>
      </c>
      <c r="D92" s="17" t="s">
        <v>161</v>
      </c>
      <c r="E92" s="17" t="s">
        <v>162</v>
      </c>
      <c r="I92" s="18" t="s">
        <v>53</v>
      </c>
      <c r="L92" s="15" t="s">
        <v>9</v>
      </c>
      <c r="O92" s="147">
        <v>1</v>
      </c>
      <c r="P92" s="15">
        <v>1</v>
      </c>
      <c r="Q92" s="148">
        <f t="shared" si="3"/>
        <v>2</v>
      </c>
    </row>
    <row r="93" spans="1:17" ht="16.5" hidden="1" x14ac:dyDescent="0.35">
      <c r="A93" s="53">
        <v>92</v>
      </c>
      <c r="B93" s="147" t="s">
        <v>152</v>
      </c>
      <c r="C93" s="18" t="s">
        <v>660</v>
      </c>
      <c r="D93" s="17" t="s">
        <v>161</v>
      </c>
      <c r="E93" s="17" t="s">
        <v>162</v>
      </c>
      <c r="I93" s="18" t="s">
        <v>53</v>
      </c>
      <c r="L93" s="15" t="s">
        <v>2</v>
      </c>
      <c r="O93" s="147">
        <v>1</v>
      </c>
      <c r="P93" s="15">
        <v>1</v>
      </c>
      <c r="Q93" s="148">
        <f t="shared" si="3"/>
        <v>2</v>
      </c>
    </row>
    <row r="94" spans="1:17" ht="16.5" hidden="1" x14ac:dyDescent="0.35">
      <c r="A94" s="53">
        <v>93</v>
      </c>
      <c r="B94" s="147" t="s">
        <v>153</v>
      </c>
      <c r="C94" s="18" t="s">
        <v>660</v>
      </c>
      <c r="D94" s="17" t="s">
        <v>161</v>
      </c>
      <c r="E94" s="17" t="s">
        <v>162</v>
      </c>
      <c r="I94" s="18" t="s">
        <v>53</v>
      </c>
      <c r="L94" s="15" t="s">
        <v>2</v>
      </c>
      <c r="O94" s="147">
        <v>1</v>
      </c>
      <c r="P94" s="15">
        <v>1</v>
      </c>
      <c r="Q94" s="148">
        <f t="shared" si="3"/>
        <v>2</v>
      </c>
    </row>
    <row r="95" spans="1:17" ht="16.5" hidden="1" x14ac:dyDescent="0.35">
      <c r="A95" s="53">
        <v>94</v>
      </c>
      <c r="B95" s="147" t="s">
        <v>154</v>
      </c>
      <c r="C95" s="18" t="s">
        <v>660</v>
      </c>
      <c r="D95" s="17" t="s">
        <v>161</v>
      </c>
      <c r="E95" s="17" t="s">
        <v>162</v>
      </c>
      <c r="I95" s="18" t="s">
        <v>53</v>
      </c>
      <c r="L95" s="15" t="s">
        <v>2</v>
      </c>
      <c r="O95" s="147">
        <v>1</v>
      </c>
      <c r="P95" s="15">
        <v>2</v>
      </c>
      <c r="Q95" s="148">
        <f t="shared" si="3"/>
        <v>3</v>
      </c>
    </row>
    <row r="96" spans="1:17" ht="16.5" hidden="1" x14ac:dyDescent="0.35">
      <c r="A96" s="53">
        <v>95</v>
      </c>
      <c r="B96" s="147" t="s">
        <v>155</v>
      </c>
      <c r="C96" s="18" t="s">
        <v>660</v>
      </c>
      <c r="D96" s="17" t="s">
        <v>161</v>
      </c>
      <c r="E96" s="17" t="s">
        <v>162</v>
      </c>
      <c r="I96" s="18" t="s">
        <v>53</v>
      </c>
      <c r="L96" s="15" t="s">
        <v>2</v>
      </c>
      <c r="O96" s="147">
        <v>1</v>
      </c>
      <c r="P96" s="15">
        <v>3</v>
      </c>
      <c r="Q96" s="148">
        <f t="shared" si="3"/>
        <v>4</v>
      </c>
    </row>
    <row r="97" spans="1:17" ht="16.5" hidden="1" x14ac:dyDescent="0.35">
      <c r="A97" s="53">
        <v>96</v>
      </c>
      <c r="B97" s="147" t="s">
        <v>156</v>
      </c>
      <c r="C97" s="18" t="s">
        <v>660</v>
      </c>
      <c r="D97" s="17" t="s">
        <v>161</v>
      </c>
      <c r="E97" s="17" t="s">
        <v>162</v>
      </c>
      <c r="I97" s="18" t="s">
        <v>53</v>
      </c>
      <c r="L97" s="15" t="s">
        <v>9</v>
      </c>
      <c r="O97" s="147">
        <v>3</v>
      </c>
      <c r="P97" s="15">
        <v>0</v>
      </c>
      <c r="Q97" s="148">
        <f t="shared" si="3"/>
        <v>3</v>
      </c>
    </row>
    <row r="98" spans="1:17" ht="16.5" hidden="1" x14ac:dyDescent="0.35">
      <c r="A98" s="53">
        <v>97</v>
      </c>
      <c r="B98" s="147" t="s">
        <v>157</v>
      </c>
      <c r="C98" s="18" t="s">
        <v>660</v>
      </c>
      <c r="D98" s="17" t="s">
        <v>161</v>
      </c>
      <c r="E98" s="17" t="s">
        <v>162</v>
      </c>
      <c r="I98" s="18" t="s">
        <v>53</v>
      </c>
      <c r="L98" s="15" t="s">
        <v>2</v>
      </c>
      <c r="O98" s="147">
        <v>3</v>
      </c>
      <c r="P98" s="15">
        <v>0</v>
      </c>
      <c r="Q98" s="148">
        <f t="shared" si="3"/>
        <v>3</v>
      </c>
    </row>
    <row r="99" spans="1:17" ht="16.5" hidden="1" x14ac:dyDescent="0.35">
      <c r="A99" s="53">
        <v>98</v>
      </c>
      <c r="B99" s="147" t="s">
        <v>158</v>
      </c>
      <c r="C99" s="18" t="s">
        <v>660</v>
      </c>
      <c r="D99" s="17" t="s">
        <v>161</v>
      </c>
      <c r="E99" s="17" t="s">
        <v>162</v>
      </c>
      <c r="I99" s="18" t="s">
        <v>53</v>
      </c>
      <c r="L99" s="15" t="s">
        <v>2</v>
      </c>
      <c r="O99" s="147">
        <v>4</v>
      </c>
      <c r="P99" s="15">
        <v>1</v>
      </c>
      <c r="Q99" s="148">
        <f t="shared" si="3"/>
        <v>5</v>
      </c>
    </row>
    <row r="100" spans="1:17" ht="16.5" hidden="1" x14ac:dyDescent="0.35">
      <c r="A100" s="53">
        <v>99</v>
      </c>
      <c r="B100" s="147" t="s">
        <v>159</v>
      </c>
      <c r="C100" s="18" t="s">
        <v>660</v>
      </c>
      <c r="D100" s="17" t="s">
        <v>161</v>
      </c>
      <c r="E100" s="17" t="s">
        <v>162</v>
      </c>
      <c r="I100" s="18" t="s">
        <v>53</v>
      </c>
      <c r="L100" s="15" t="s">
        <v>2</v>
      </c>
      <c r="O100" s="147">
        <v>2</v>
      </c>
      <c r="P100" s="15">
        <v>2</v>
      </c>
      <c r="Q100" s="148">
        <f t="shared" si="3"/>
        <v>4</v>
      </c>
    </row>
    <row r="101" spans="1:17" ht="16.5" hidden="1" x14ac:dyDescent="0.35">
      <c r="A101" s="53">
        <v>100</v>
      </c>
      <c r="B101" s="147" t="s">
        <v>160</v>
      </c>
      <c r="C101" s="18" t="s">
        <v>660</v>
      </c>
      <c r="D101" s="17" t="s">
        <v>161</v>
      </c>
      <c r="E101" s="17" t="s">
        <v>162</v>
      </c>
      <c r="I101" s="18" t="s">
        <v>53</v>
      </c>
      <c r="L101" s="15" t="s">
        <v>2</v>
      </c>
      <c r="O101" s="147">
        <v>4</v>
      </c>
      <c r="P101" s="15">
        <v>1</v>
      </c>
      <c r="Q101" s="148">
        <f t="shared" si="3"/>
        <v>5</v>
      </c>
    </row>
    <row r="102" spans="1:17" ht="16.5" hidden="1" x14ac:dyDescent="0.35">
      <c r="A102" s="53">
        <v>101</v>
      </c>
      <c r="B102" s="18" t="s">
        <v>163</v>
      </c>
      <c r="C102" s="18" t="s">
        <v>660</v>
      </c>
      <c r="D102" s="17" t="s">
        <v>191</v>
      </c>
      <c r="E102" s="17" t="s">
        <v>190</v>
      </c>
      <c r="H102" s="23"/>
      <c r="I102" s="18" t="s">
        <v>53</v>
      </c>
      <c r="L102" s="15" t="s">
        <v>2</v>
      </c>
      <c r="O102" s="147">
        <v>2</v>
      </c>
      <c r="P102" s="15">
        <v>1</v>
      </c>
      <c r="Q102" s="148">
        <f>SUM(O102:P102)</f>
        <v>3</v>
      </c>
    </row>
    <row r="103" spans="1:17" ht="16.5" hidden="1" x14ac:dyDescent="0.35">
      <c r="A103" s="53">
        <v>102</v>
      </c>
      <c r="B103" s="18" t="s">
        <v>164</v>
      </c>
      <c r="C103" s="18" t="s">
        <v>660</v>
      </c>
      <c r="D103" s="17" t="s">
        <v>191</v>
      </c>
      <c r="E103" s="17" t="s">
        <v>190</v>
      </c>
      <c r="H103" s="23"/>
      <c r="I103" s="18" t="s">
        <v>53</v>
      </c>
      <c r="L103" s="15" t="s">
        <v>9</v>
      </c>
      <c r="O103" s="147">
        <v>0</v>
      </c>
      <c r="P103" s="15">
        <v>2</v>
      </c>
      <c r="Q103" s="148">
        <f t="shared" ref="Q103:Q127" si="4">SUM(O103:P103)</f>
        <v>2</v>
      </c>
    </row>
    <row r="104" spans="1:17" ht="16.5" hidden="1" x14ac:dyDescent="0.35">
      <c r="A104" s="53">
        <v>103</v>
      </c>
      <c r="B104" s="18" t="s">
        <v>165</v>
      </c>
      <c r="C104" s="18" t="s">
        <v>660</v>
      </c>
      <c r="D104" s="17" t="s">
        <v>191</v>
      </c>
      <c r="E104" s="17" t="s">
        <v>190</v>
      </c>
      <c r="H104" s="23"/>
      <c r="I104" s="18" t="s">
        <v>53</v>
      </c>
      <c r="L104" s="15" t="s">
        <v>2</v>
      </c>
      <c r="O104" s="147">
        <v>1</v>
      </c>
      <c r="P104" s="15">
        <v>3</v>
      </c>
      <c r="Q104" s="148">
        <f t="shared" si="4"/>
        <v>4</v>
      </c>
    </row>
    <row r="105" spans="1:17" ht="16.5" hidden="1" x14ac:dyDescent="0.35">
      <c r="A105" s="53">
        <v>104</v>
      </c>
      <c r="B105" s="18" t="s">
        <v>166</v>
      </c>
      <c r="C105" s="18" t="s">
        <v>660</v>
      </c>
      <c r="D105" s="17" t="s">
        <v>191</v>
      </c>
      <c r="E105" s="17" t="s">
        <v>190</v>
      </c>
      <c r="H105" s="23"/>
      <c r="I105" s="18" t="s">
        <v>53</v>
      </c>
      <c r="L105" s="15" t="s">
        <v>2</v>
      </c>
      <c r="O105" s="147">
        <v>2</v>
      </c>
      <c r="P105" s="15">
        <v>1</v>
      </c>
      <c r="Q105" s="148">
        <f t="shared" si="4"/>
        <v>3</v>
      </c>
    </row>
    <row r="106" spans="1:17" ht="16.5" hidden="1" x14ac:dyDescent="0.35">
      <c r="A106" s="53">
        <v>105</v>
      </c>
      <c r="B106" s="18" t="s">
        <v>167</v>
      </c>
      <c r="C106" s="18" t="s">
        <v>660</v>
      </c>
      <c r="D106" s="17" t="s">
        <v>191</v>
      </c>
      <c r="E106" s="17" t="s">
        <v>190</v>
      </c>
      <c r="H106" s="23"/>
      <c r="I106" s="18" t="s">
        <v>53</v>
      </c>
      <c r="L106" s="15" t="s">
        <v>2</v>
      </c>
      <c r="O106" s="147">
        <v>1</v>
      </c>
      <c r="P106" s="15">
        <v>3</v>
      </c>
      <c r="Q106" s="148">
        <f t="shared" si="4"/>
        <v>4</v>
      </c>
    </row>
    <row r="107" spans="1:17" ht="16.5" hidden="1" x14ac:dyDescent="0.35">
      <c r="A107" s="53">
        <v>106</v>
      </c>
      <c r="B107" s="18" t="s">
        <v>168</v>
      </c>
      <c r="C107" s="18" t="s">
        <v>660</v>
      </c>
      <c r="D107" s="17" t="s">
        <v>191</v>
      </c>
      <c r="E107" s="17" t="s">
        <v>190</v>
      </c>
      <c r="H107" s="23"/>
      <c r="I107" s="18" t="s">
        <v>53</v>
      </c>
      <c r="L107" s="15" t="s">
        <v>2</v>
      </c>
      <c r="O107" s="147">
        <v>1</v>
      </c>
      <c r="P107" s="15">
        <v>2</v>
      </c>
      <c r="Q107" s="148">
        <f t="shared" si="4"/>
        <v>3</v>
      </c>
    </row>
    <row r="108" spans="1:17" ht="16.5" hidden="1" x14ac:dyDescent="0.35">
      <c r="A108" s="53">
        <v>107</v>
      </c>
      <c r="B108" s="18" t="s">
        <v>169</v>
      </c>
      <c r="C108" s="18" t="s">
        <v>660</v>
      </c>
      <c r="D108" s="17" t="s">
        <v>191</v>
      </c>
      <c r="E108" s="17" t="s">
        <v>190</v>
      </c>
      <c r="H108" s="23"/>
      <c r="I108" s="18" t="s">
        <v>53</v>
      </c>
      <c r="L108" s="15" t="s">
        <v>2</v>
      </c>
      <c r="O108" s="147">
        <v>2</v>
      </c>
      <c r="P108" s="15">
        <v>2</v>
      </c>
      <c r="Q108" s="148">
        <f t="shared" si="4"/>
        <v>4</v>
      </c>
    </row>
    <row r="109" spans="1:17" ht="16.5" hidden="1" x14ac:dyDescent="0.35">
      <c r="A109" s="53">
        <v>108</v>
      </c>
      <c r="B109" s="18" t="s">
        <v>170</v>
      </c>
      <c r="C109" s="18" t="s">
        <v>660</v>
      </c>
      <c r="D109" s="17" t="s">
        <v>191</v>
      </c>
      <c r="E109" s="17" t="s">
        <v>190</v>
      </c>
      <c r="H109" s="23" t="s">
        <v>189</v>
      </c>
      <c r="I109" s="18" t="s">
        <v>53</v>
      </c>
      <c r="L109" s="15" t="s">
        <v>9</v>
      </c>
      <c r="O109" s="147">
        <v>1</v>
      </c>
      <c r="P109" s="15">
        <v>1</v>
      </c>
      <c r="Q109" s="148">
        <f t="shared" si="4"/>
        <v>2</v>
      </c>
    </row>
    <row r="110" spans="1:17" ht="16.5" hidden="1" x14ac:dyDescent="0.35">
      <c r="A110" s="53">
        <v>109</v>
      </c>
      <c r="B110" s="18" t="s">
        <v>171</v>
      </c>
      <c r="C110" s="18" t="s">
        <v>660</v>
      </c>
      <c r="D110" s="17" t="s">
        <v>191</v>
      </c>
      <c r="E110" s="17" t="s">
        <v>190</v>
      </c>
      <c r="H110" s="23"/>
      <c r="I110" s="18" t="s">
        <v>53</v>
      </c>
      <c r="L110" s="15" t="s">
        <v>2</v>
      </c>
      <c r="O110" s="147">
        <v>1</v>
      </c>
      <c r="P110" s="15">
        <v>1</v>
      </c>
      <c r="Q110" s="148">
        <f t="shared" si="4"/>
        <v>2</v>
      </c>
    </row>
    <row r="111" spans="1:17" ht="16.5" hidden="1" x14ac:dyDescent="0.35">
      <c r="A111" s="53">
        <v>110</v>
      </c>
      <c r="B111" s="18" t="s">
        <v>172</v>
      </c>
      <c r="C111" s="18" t="s">
        <v>660</v>
      </c>
      <c r="D111" s="17" t="s">
        <v>191</v>
      </c>
      <c r="E111" s="17" t="s">
        <v>190</v>
      </c>
      <c r="H111" s="23"/>
      <c r="I111" s="18" t="s">
        <v>53</v>
      </c>
      <c r="L111" s="15" t="s">
        <v>2</v>
      </c>
      <c r="O111" s="147">
        <v>1</v>
      </c>
      <c r="P111" s="15">
        <v>1</v>
      </c>
      <c r="Q111" s="148">
        <f t="shared" si="4"/>
        <v>2</v>
      </c>
    </row>
    <row r="112" spans="1:17" ht="16.5" hidden="1" x14ac:dyDescent="0.35">
      <c r="A112" s="53">
        <v>111</v>
      </c>
      <c r="B112" s="18" t="s">
        <v>173</v>
      </c>
      <c r="C112" s="18" t="s">
        <v>660</v>
      </c>
      <c r="D112" s="17" t="s">
        <v>191</v>
      </c>
      <c r="E112" s="17" t="s">
        <v>190</v>
      </c>
      <c r="H112" s="23"/>
      <c r="I112" s="18" t="s">
        <v>53</v>
      </c>
      <c r="L112" s="15" t="s">
        <v>9</v>
      </c>
      <c r="O112" s="147">
        <v>1</v>
      </c>
      <c r="P112" s="15">
        <v>2</v>
      </c>
      <c r="Q112" s="148">
        <f t="shared" si="4"/>
        <v>3</v>
      </c>
    </row>
    <row r="113" spans="1:17" ht="16.5" hidden="1" x14ac:dyDescent="0.35">
      <c r="A113" s="53">
        <v>112</v>
      </c>
      <c r="B113" s="18" t="s">
        <v>174</v>
      </c>
      <c r="C113" s="18" t="s">
        <v>660</v>
      </c>
      <c r="D113" s="17" t="s">
        <v>191</v>
      </c>
      <c r="E113" s="17" t="s">
        <v>190</v>
      </c>
      <c r="H113" s="23"/>
      <c r="I113" s="18" t="s">
        <v>53</v>
      </c>
      <c r="L113" s="15" t="s">
        <v>2</v>
      </c>
      <c r="O113" s="147">
        <v>1</v>
      </c>
      <c r="P113" s="15">
        <v>2</v>
      </c>
      <c r="Q113" s="148">
        <f t="shared" si="4"/>
        <v>3</v>
      </c>
    </row>
    <row r="114" spans="1:17" ht="16.5" hidden="1" x14ac:dyDescent="0.35">
      <c r="A114" s="53">
        <v>113</v>
      </c>
      <c r="B114" s="18" t="s">
        <v>175</v>
      </c>
      <c r="C114" s="18" t="s">
        <v>660</v>
      </c>
      <c r="D114" s="17" t="s">
        <v>191</v>
      </c>
      <c r="E114" s="17" t="s">
        <v>190</v>
      </c>
      <c r="H114" s="23"/>
      <c r="I114" s="18" t="s">
        <v>53</v>
      </c>
      <c r="L114" s="15" t="s">
        <v>2</v>
      </c>
      <c r="O114" s="147">
        <v>1</v>
      </c>
      <c r="P114" s="15">
        <v>0</v>
      </c>
      <c r="Q114" s="148">
        <f t="shared" si="4"/>
        <v>1</v>
      </c>
    </row>
    <row r="115" spans="1:17" ht="16.5" hidden="1" x14ac:dyDescent="0.35">
      <c r="A115" s="53">
        <v>114</v>
      </c>
      <c r="B115" s="18" t="s">
        <v>176</v>
      </c>
      <c r="C115" s="18" t="s">
        <v>660</v>
      </c>
      <c r="D115" s="17" t="s">
        <v>191</v>
      </c>
      <c r="E115" s="17" t="s">
        <v>190</v>
      </c>
      <c r="I115" s="18" t="s">
        <v>53</v>
      </c>
      <c r="L115" s="15" t="s">
        <v>2</v>
      </c>
      <c r="O115" s="147">
        <v>2</v>
      </c>
      <c r="P115" s="15">
        <v>1</v>
      </c>
      <c r="Q115" s="148">
        <f t="shared" si="4"/>
        <v>3</v>
      </c>
    </row>
    <row r="116" spans="1:17" ht="16.5" hidden="1" x14ac:dyDescent="0.35">
      <c r="A116" s="53">
        <v>115</v>
      </c>
      <c r="B116" s="18" t="s">
        <v>177</v>
      </c>
      <c r="C116" s="18" t="s">
        <v>660</v>
      </c>
      <c r="D116" s="17" t="s">
        <v>191</v>
      </c>
      <c r="E116" s="17" t="s">
        <v>190</v>
      </c>
      <c r="I116" s="18" t="s">
        <v>53</v>
      </c>
      <c r="L116" s="15" t="s">
        <v>2</v>
      </c>
      <c r="O116" s="147">
        <v>0</v>
      </c>
      <c r="P116" s="15">
        <v>0</v>
      </c>
      <c r="Q116" s="148">
        <f t="shared" si="4"/>
        <v>0</v>
      </c>
    </row>
    <row r="117" spans="1:17" ht="16.5" hidden="1" x14ac:dyDescent="0.35">
      <c r="A117" s="53">
        <v>116</v>
      </c>
      <c r="B117" s="18" t="s">
        <v>178</v>
      </c>
      <c r="C117" s="18" t="s">
        <v>660</v>
      </c>
      <c r="D117" s="17" t="s">
        <v>191</v>
      </c>
      <c r="E117" s="17" t="s">
        <v>190</v>
      </c>
      <c r="I117" s="18" t="s">
        <v>53</v>
      </c>
      <c r="L117" s="15" t="s">
        <v>2</v>
      </c>
      <c r="O117" s="147">
        <v>1</v>
      </c>
      <c r="P117" s="15">
        <v>2</v>
      </c>
      <c r="Q117" s="148">
        <f t="shared" si="4"/>
        <v>3</v>
      </c>
    </row>
    <row r="118" spans="1:17" ht="16.5" hidden="1" x14ac:dyDescent="0.35">
      <c r="A118" s="53">
        <v>117</v>
      </c>
      <c r="B118" s="18" t="s">
        <v>179</v>
      </c>
      <c r="C118" s="18" t="s">
        <v>660</v>
      </c>
      <c r="D118" s="17" t="s">
        <v>191</v>
      </c>
      <c r="E118" s="17" t="s">
        <v>190</v>
      </c>
      <c r="I118" s="18" t="s">
        <v>53</v>
      </c>
      <c r="L118" s="15" t="s">
        <v>2</v>
      </c>
      <c r="O118" s="147">
        <v>2</v>
      </c>
      <c r="P118" s="15">
        <v>1</v>
      </c>
      <c r="Q118" s="148">
        <f t="shared" si="4"/>
        <v>3</v>
      </c>
    </row>
    <row r="119" spans="1:17" ht="16.5" hidden="1" x14ac:dyDescent="0.35">
      <c r="A119" s="53">
        <v>118</v>
      </c>
      <c r="B119" s="18" t="s">
        <v>180</v>
      </c>
      <c r="C119" s="18" t="s">
        <v>660</v>
      </c>
      <c r="D119" s="17" t="s">
        <v>191</v>
      </c>
      <c r="E119" s="17" t="s">
        <v>190</v>
      </c>
      <c r="I119" s="18" t="s">
        <v>53</v>
      </c>
      <c r="L119" s="15" t="s">
        <v>2</v>
      </c>
      <c r="O119" s="147">
        <v>4</v>
      </c>
      <c r="P119" s="15">
        <v>1</v>
      </c>
      <c r="Q119" s="148">
        <f t="shared" si="4"/>
        <v>5</v>
      </c>
    </row>
    <row r="120" spans="1:17" ht="16.5" hidden="1" x14ac:dyDescent="0.35">
      <c r="A120" s="53">
        <v>119</v>
      </c>
      <c r="B120" s="18" t="s">
        <v>181</v>
      </c>
      <c r="C120" s="18" t="s">
        <v>660</v>
      </c>
      <c r="D120" s="17" t="s">
        <v>191</v>
      </c>
      <c r="E120" s="17" t="s">
        <v>190</v>
      </c>
      <c r="I120" s="18" t="s">
        <v>53</v>
      </c>
      <c r="L120" s="15" t="s">
        <v>2</v>
      </c>
      <c r="O120" s="147">
        <v>2</v>
      </c>
      <c r="P120" s="15">
        <v>1</v>
      </c>
      <c r="Q120" s="148">
        <f t="shared" si="4"/>
        <v>3</v>
      </c>
    </row>
    <row r="121" spans="1:17" ht="16.5" hidden="1" x14ac:dyDescent="0.35">
      <c r="A121" s="53">
        <v>120</v>
      </c>
      <c r="B121" s="147" t="s">
        <v>182</v>
      </c>
      <c r="C121" s="18" t="s">
        <v>660</v>
      </c>
      <c r="D121" s="17" t="s">
        <v>191</v>
      </c>
      <c r="E121" s="17" t="s">
        <v>190</v>
      </c>
      <c r="I121" s="18" t="s">
        <v>53</v>
      </c>
      <c r="L121" s="15" t="s">
        <v>9</v>
      </c>
      <c r="O121" s="147">
        <v>2</v>
      </c>
      <c r="P121" s="15">
        <v>1</v>
      </c>
      <c r="Q121" s="148">
        <f t="shared" si="4"/>
        <v>3</v>
      </c>
    </row>
    <row r="122" spans="1:17" ht="16.5" hidden="1" x14ac:dyDescent="0.35">
      <c r="A122" s="53">
        <v>121</v>
      </c>
      <c r="B122" s="147" t="s">
        <v>183</v>
      </c>
      <c r="C122" s="18" t="s">
        <v>660</v>
      </c>
      <c r="D122" s="17" t="s">
        <v>191</v>
      </c>
      <c r="E122" s="17" t="s">
        <v>190</v>
      </c>
      <c r="I122" s="18" t="s">
        <v>53</v>
      </c>
      <c r="L122" s="15" t="s">
        <v>9</v>
      </c>
      <c r="O122" s="147">
        <v>1</v>
      </c>
      <c r="P122" s="15">
        <v>1</v>
      </c>
      <c r="Q122" s="148">
        <f t="shared" si="4"/>
        <v>2</v>
      </c>
    </row>
    <row r="123" spans="1:17" ht="16.5" hidden="1" x14ac:dyDescent="0.35">
      <c r="A123" s="53">
        <v>122</v>
      </c>
      <c r="B123" s="147" t="s">
        <v>184</v>
      </c>
      <c r="C123" s="18" t="s">
        <v>660</v>
      </c>
      <c r="D123" s="17" t="s">
        <v>191</v>
      </c>
      <c r="E123" s="17" t="s">
        <v>190</v>
      </c>
      <c r="I123" s="18" t="s">
        <v>53</v>
      </c>
      <c r="L123" s="15" t="s">
        <v>2</v>
      </c>
      <c r="O123" s="147">
        <v>1</v>
      </c>
      <c r="P123" s="15">
        <v>1</v>
      </c>
      <c r="Q123" s="148">
        <f t="shared" si="4"/>
        <v>2</v>
      </c>
    </row>
    <row r="124" spans="1:17" ht="16.5" hidden="1" x14ac:dyDescent="0.35">
      <c r="A124" s="53">
        <v>123</v>
      </c>
      <c r="B124" s="147" t="s">
        <v>185</v>
      </c>
      <c r="C124" s="18" t="s">
        <v>660</v>
      </c>
      <c r="D124" s="17" t="s">
        <v>191</v>
      </c>
      <c r="E124" s="17" t="s">
        <v>190</v>
      </c>
      <c r="I124" s="18" t="s">
        <v>53</v>
      </c>
      <c r="L124" s="15" t="s">
        <v>9</v>
      </c>
      <c r="O124" s="147">
        <v>2</v>
      </c>
      <c r="P124" s="15">
        <v>0</v>
      </c>
      <c r="Q124" s="148">
        <f t="shared" si="4"/>
        <v>2</v>
      </c>
    </row>
    <row r="125" spans="1:17" ht="16.5" hidden="1" x14ac:dyDescent="0.35">
      <c r="A125" s="53">
        <v>124</v>
      </c>
      <c r="B125" s="147" t="s">
        <v>186</v>
      </c>
      <c r="C125" s="18" t="s">
        <v>660</v>
      </c>
      <c r="D125" s="17" t="s">
        <v>191</v>
      </c>
      <c r="E125" s="17" t="s">
        <v>190</v>
      </c>
      <c r="I125" s="18" t="s">
        <v>53</v>
      </c>
      <c r="L125" s="15" t="s">
        <v>2</v>
      </c>
      <c r="O125" s="147">
        <v>1</v>
      </c>
      <c r="P125" s="15">
        <v>1</v>
      </c>
      <c r="Q125" s="148">
        <f t="shared" si="4"/>
        <v>2</v>
      </c>
    </row>
    <row r="126" spans="1:17" ht="16.5" hidden="1" x14ac:dyDescent="0.35">
      <c r="A126" s="53">
        <v>125</v>
      </c>
      <c r="B126" s="147" t="s">
        <v>187</v>
      </c>
      <c r="C126" s="18" t="s">
        <v>660</v>
      </c>
      <c r="D126" s="17" t="s">
        <v>191</v>
      </c>
      <c r="E126" s="17" t="s">
        <v>190</v>
      </c>
      <c r="I126" s="18" t="s">
        <v>53</v>
      </c>
      <c r="L126" s="15" t="s">
        <v>9</v>
      </c>
      <c r="O126" s="147">
        <v>2</v>
      </c>
      <c r="P126" s="15">
        <v>0</v>
      </c>
      <c r="Q126" s="148">
        <f t="shared" si="4"/>
        <v>2</v>
      </c>
    </row>
    <row r="127" spans="1:17" ht="16.5" hidden="1" x14ac:dyDescent="0.35">
      <c r="A127" s="53">
        <v>126</v>
      </c>
      <c r="B127" s="147" t="s">
        <v>188</v>
      </c>
      <c r="C127" s="18" t="s">
        <v>660</v>
      </c>
      <c r="D127" s="17" t="s">
        <v>191</v>
      </c>
      <c r="E127" s="17" t="s">
        <v>190</v>
      </c>
      <c r="I127" s="18" t="s">
        <v>53</v>
      </c>
      <c r="L127" s="15" t="s">
        <v>2</v>
      </c>
      <c r="O127" s="147">
        <v>5</v>
      </c>
      <c r="P127" s="15">
        <v>0</v>
      </c>
      <c r="Q127" s="148">
        <f t="shared" si="4"/>
        <v>5</v>
      </c>
    </row>
    <row r="128" spans="1:17" ht="16.5" hidden="1" x14ac:dyDescent="0.35">
      <c r="A128" s="53">
        <v>127</v>
      </c>
      <c r="B128" s="147" t="s">
        <v>192</v>
      </c>
      <c r="C128" s="18" t="s">
        <v>660</v>
      </c>
      <c r="D128" s="17" t="s">
        <v>222</v>
      </c>
      <c r="E128" s="17" t="s">
        <v>221</v>
      </c>
      <c r="I128" s="18" t="s">
        <v>53</v>
      </c>
      <c r="L128" s="15" t="s">
        <v>2</v>
      </c>
      <c r="O128" s="147">
        <v>2</v>
      </c>
      <c r="P128" s="15">
        <v>1</v>
      </c>
      <c r="Q128" s="148">
        <f>SUM(O128:P128)</f>
        <v>3</v>
      </c>
    </row>
    <row r="129" spans="1:17" ht="16.5" hidden="1" x14ac:dyDescent="0.35">
      <c r="A129" s="53">
        <v>128</v>
      </c>
      <c r="B129" s="147" t="s">
        <v>193</v>
      </c>
      <c r="C129" s="18" t="s">
        <v>660</v>
      </c>
      <c r="D129" s="17" t="s">
        <v>222</v>
      </c>
      <c r="E129" s="17" t="s">
        <v>221</v>
      </c>
      <c r="I129" s="18" t="s">
        <v>53</v>
      </c>
      <c r="L129" s="15" t="s">
        <v>2</v>
      </c>
      <c r="O129" s="147">
        <v>2</v>
      </c>
      <c r="P129" s="15">
        <v>3</v>
      </c>
      <c r="Q129" s="148">
        <f t="shared" ref="Q129:Q157" si="5">SUM(O129:P129)</f>
        <v>5</v>
      </c>
    </row>
    <row r="130" spans="1:17" ht="16.5" hidden="1" x14ac:dyDescent="0.35">
      <c r="A130" s="53">
        <v>129</v>
      </c>
      <c r="B130" s="147" t="s">
        <v>194</v>
      </c>
      <c r="C130" s="18" t="s">
        <v>660</v>
      </c>
      <c r="D130" s="17" t="s">
        <v>222</v>
      </c>
      <c r="E130" s="17" t="s">
        <v>221</v>
      </c>
      <c r="I130" s="18" t="s">
        <v>53</v>
      </c>
      <c r="L130" s="15" t="s">
        <v>2</v>
      </c>
      <c r="O130" s="147">
        <v>2</v>
      </c>
      <c r="P130" s="15">
        <v>1</v>
      </c>
      <c r="Q130" s="148">
        <f t="shared" si="5"/>
        <v>3</v>
      </c>
    </row>
    <row r="131" spans="1:17" ht="16.5" hidden="1" x14ac:dyDescent="0.35">
      <c r="A131" s="53">
        <v>130</v>
      </c>
      <c r="B131" s="147" t="s">
        <v>195</v>
      </c>
      <c r="C131" s="18" t="s">
        <v>660</v>
      </c>
      <c r="D131" s="17" t="s">
        <v>222</v>
      </c>
      <c r="E131" s="17" t="s">
        <v>221</v>
      </c>
      <c r="I131" s="18" t="s">
        <v>53</v>
      </c>
      <c r="L131" s="15" t="s">
        <v>2</v>
      </c>
      <c r="O131" s="147">
        <v>3</v>
      </c>
      <c r="P131" s="15">
        <v>1</v>
      </c>
      <c r="Q131" s="148">
        <f t="shared" si="5"/>
        <v>4</v>
      </c>
    </row>
    <row r="132" spans="1:17" ht="16.5" hidden="1" x14ac:dyDescent="0.35">
      <c r="A132" s="53">
        <v>131</v>
      </c>
      <c r="B132" s="147" t="s">
        <v>196</v>
      </c>
      <c r="C132" s="18" t="s">
        <v>660</v>
      </c>
      <c r="D132" s="17" t="s">
        <v>222</v>
      </c>
      <c r="E132" s="17" t="s">
        <v>221</v>
      </c>
      <c r="I132" s="18" t="s">
        <v>53</v>
      </c>
      <c r="L132" s="15" t="s">
        <v>2</v>
      </c>
      <c r="O132" s="147">
        <v>1</v>
      </c>
      <c r="P132" s="15">
        <v>4</v>
      </c>
      <c r="Q132" s="148">
        <f t="shared" si="5"/>
        <v>5</v>
      </c>
    </row>
    <row r="133" spans="1:17" ht="16.5" hidden="1" x14ac:dyDescent="0.35">
      <c r="A133" s="53">
        <v>132</v>
      </c>
      <c r="B133" s="147" t="s">
        <v>197</v>
      </c>
      <c r="C133" s="18" t="s">
        <v>660</v>
      </c>
      <c r="D133" s="17" t="s">
        <v>222</v>
      </c>
      <c r="E133" s="17" t="s">
        <v>221</v>
      </c>
      <c r="I133" s="18" t="s">
        <v>53</v>
      </c>
      <c r="L133" s="15" t="s">
        <v>2</v>
      </c>
      <c r="O133" s="147">
        <v>1</v>
      </c>
      <c r="P133" s="15">
        <v>1</v>
      </c>
      <c r="Q133" s="148">
        <f t="shared" si="5"/>
        <v>2</v>
      </c>
    </row>
    <row r="134" spans="1:17" ht="16.5" hidden="1" x14ac:dyDescent="0.35">
      <c r="A134" s="53">
        <v>133</v>
      </c>
      <c r="B134" s="147" t="s">
        <v>198</v>
      </c>
      <c r="C134" s="18" t="s">
        <v>660</v>
      </c>
      <c r="D134" s="17" t="s">
        <v>222</v>
      </c>
      <c r="E134" s="17" t="s">
        <v>221</v>
      </c>
      <c r="I134" s="18" t="s">
        <v>53</v>
      </c>
      <c r="L134" s="15" t="s">
        <v>2</v>
      </c>
      <c r="O134" s="147">
        <v>2</v>
      </c>
      <c r="P134" s="15">
        <v>1</v>
      </c>
      <c r="Q134" s="148">
        <f t="shared" si="5"/>
        <v>3</v>
      </c>
    </row>
    <row r="135" spans="1:17" ht="16.5" hidden="1" x14ac:dyDescent="0.35">
      <c r="A135" s="53">
        <v>134</v>
      </c>
      <c r="B135" s="147" t="s">
        <v>199</v>
      </c>
      <c r="C135" s="18" t="s">
        <v>660</v>
      </c>
      <c r="D135" s="17" t="s">
        <v>222</v>
      </c>
      <c r="E135" s="17" t="s">
        <v>221</v>
      </c>
      <c r="I135" s="18" t="s">
        <v>53</v>
      </c>
      <c r="L135" s="15" t="s">
        <v>2</v>
      </c>
      <c r="O135" s="147">
        <v>1</v>
      </c>
      <c r="P135" s="15">
        <v>1</v>
      </c>
      <c r="Q135" s="148">
        <f t="shared" si="5"/>
        <v>2</v>
      </c>
    </row>
    <row r="136" spans="1:17" ht="16.5" hidden="1" x14ac:dyDescent="0.35">
      <c r="A136" s="53">
        <v>135</v>
      </c>
      <c r="B136" s="147" t="s">
        <v>200</v>
      </c>
      <c r="C136" s="18" t="s">
        <v>660</v>
      </c>
      <c r="D136" s="17" t="s">
        <v>222</v>
      </c>
      <c r="E136" s="17" t="s">
        <v>221</v>
      </c>
      <c r="I136" s="18" t="s">
        <v>53</v>
      </c>
      <c r="L136" s="15" t="s">
        <v>2</v>
      </c>
      <c r="O136" s="147">
        <v>1</v>
      </c>
      <c r="P136" s="15">
        <v>0</v>
      </c>
      <c r="Q136" s="148">
        <f t="shared" si="5"/>
        <v>1</v>
      </c>
    </row>
    <row r="137" spans="1:17" ht="16.5" hidden="1" x14ac:dyDescent="0.35">
      <c r="A137" s="53">
        <v>136</v>
      </c>
      <c r="B137" s="147" t="s">
        <v>201</v>
      </c>
      <c r="C137" s="18" t="s">
        <v>660</v>
      </c>
      <c r="D137" s="17" t="s">
        <v>222</v>
      </c>
      <c r="E137" s="17" t="s">
        <v>221</v>
      </c>
      <c r="I137" s="18" t="s">
        <v>53</v>
      </c>
      <c r="L137" s="15" t="s">
        <v>2</v>
      </c>
      <c r="O137" s="147">
        <v>1</v>
      </c>
      <c r="P137" s="15">
        <v>0</v>
      </c>
      <c r="Q137" s="148">
        <f t="shared" si="5"/>
        <v>1</v>
      </c>
    </row>
    <row r="138" spans="1:17" ht="16.5" hidden="1" x14ac:dyDescent="0.35">
      <c r="A138" s="53">
        <v>137</v>
      </c>
      <c r="B138" s="147" t="s">
        <v>202</v>
      </c>
      <c r="C138" s="18" t="s">
        <v>660</v>
      </c>
      <c r="D138" s="17" t="s">
        <v>222</v>
      </c>
      <c r="E138" s="17" t="s">
        <v>221</v>
      </c>
      <c r="I138" s="18" t="s">
        <v>53</v>
      </c>
      <c r="L138" s="15" t="s">
        <v>2</v>
      </c>
      <c r="O138" s="147">
        <v>1</v>
      </c>
      <c r="P138" s="15">
        <v>1</v>
      </c>
      <c r="Q138" s="148">
        <f t="shared" si="5"/>
        <v>2</v>
      </c>
    </row>
    <row r="139" spans="1:17" ht="16.5" hidden="1" x14ac:dyDescent="0.35">
      <c r="A139" s="53">
        <v>138</v>
      </c>
      <c r="B139" s="147" t="s">
        <v>203</v>
      </c>
      <c r="C139" s="18" t="s">
        <v>660</v>
      </c>
      <c r="D139" s="17" t="s">
        <v>222</v>
      </c>
      <c r="E139" s="17" t="s">
        <v>221</v>
      </c>
      <c r="I139" s="18" t="s">
        <v>53</v>
      </c>
      <c r="L139" s="15" t="s">
        <v>2</v>
      </c>
      <c r="O139" s="147">
        <v>1</v>
      </c>
      <c r="P139" s="15">
        <v>1</v>
      </c>
      <c r="Q139" s="148">
        <f t="shared" si="5"/>
        <v>2</v>
      </c>
    </row>
    <row r="140" spans="1:17" ht="16.5" hidden="1" x14ac:dyDescent="0.35">
      <c r="A140" s="53">
        <v>139</v>
      </c>
      <c r="B140" s="147" t="s">
        <v>204</v>
      </c>
      <c r="C140" s="18" t="s">
        <v>660</v>
      </c>
      <c r="D140" s="17" t="s">
        <v>222</v>
      </c>
      <c r="E140" s="17" t="s">
        <v>221</v>
      </c>
      <c r="I140" s="18" t="s">
        <v>53</v>
      </c>
      <c r="L140" s="15" t="s">
        <v>2</v>
      </c>
      <c r="O140" s="147">
        <v>1</v>
      </c>
      <c r="P140" s="15">
        <v>1</v>
      </c>
      <c r="Q140" s="148">
        <f t="shared" si="5"/>
        <v>2</v>
      </c>
    </row>
    <row r="141" spans="1:17" ht="16.5" hidden="1" x14ac:dyDescent="0.35">
      <c r="A141" s="53">
        <v>140</v>
      </c>
      <c r="B141" s="147" t="s">
        <v>205</v>
      </c>
      <c r="C141" s="18" t="s">
        <v>660</v>
      </c>
      <c r="D141" s="17" t="s">
        <v>222</v>
      </c>
      <c r="E141" s="17" t="s">
        <v>221</v>
      </c>
      <c r="I141" s="18" t="s">
        <v>53</v>
      </c>
      <c r="L141" s="15" t="s">
        <v>2</v>
      </c>
      <c r="O141" s="147">
        <v>1</v>
      </c>
      <c r="P141" s="15">
        <v>2</v>
      </c>
      <c r="Q141" s="148">
        <f t="shared" si="5"/>
        <v>3</v>
      </c>
    </row>
    <row r="142" spans="1:17" ht="16.5" hidden="1" x14ac:dyDescent="0.35">
      <c r="A142" s="53">
        <v>141</v>
      </c>
      <c r="B142" s="147" t="s">
        <v>206</v>
      </c>
      <c r="C142" s="18" t="s">
        <v>660</v>
      </c>
      <c r="D142" s="17" t="s">
        <v>222</v>
      </c>
      <c r="E142" s="17" t="s">
        <v>221</v>
      </c>
      <c r="I142" s="18" t="s">
        <v>53</v>
      </c>
      <c r="L142" s="15" t="s">
        <v>2</v>
      </c>
      <c r="O142" s="147">
        <v>1</v>
      </c>
      <c r="P142" s="15">
        <v>3</v>
      </c>
      <c r="Q142" s="148">
        <f t="shared" si="5"/>
        <v>4</v>
      </c>
    </row>
    <row r="143" spans="1:17" ht="16.5" hidden="1" x14ac:dyDescent="0.35">
      <c r="A143" s="53">
        <v>142</v>
      </c>
      <c r="B143" s="147" t="s">
        <v>207</v>
      </c>
      <c r="C143" s="18" t="s">
        <v>660</v>
      </c>
      <c r="D143" s="17" t="s">
        <v>222</v>
      </c>
      <c r="E143" s="17" t="s">
        <v>221</v>
      </c>
      <c r="I143" s="18" t="s">
        <v>53</v>
      </c>
      <c r="L143" s="15" t="s">
        <v>2</v>
      </c>
      <c r="O143" s="147">
        <v>3</v>
      </c>
      <c r="P143" s="15">
        <v>0</v>
      </c>
      <c r="Q143" s="148">
        <f t="shared" si="5"/>
        <v>3</v>
      </c>
    </row>
    <row r="144" spans="1:17" ht="16.5" hidden="1" x14ac:dyDescent="0.35">
      <c r="A144" s="53">
        <v>143</v>
      </c>
      <c r="B144" s="147" t="s">
        <v>197</v>
      </c>
      <c r="C144" s="18" t="s">
        <v>660</v>
      </c>
      <c r="D144" s="17" t="s">
        <v>222</v>
      </c>
      <c r="E144" s="17" t="s">
        <v>221</v>
      </c>
      <c r="I144" s="18" t="s">
        <v>53</v>
      </c>
      <c r="L144" s="15" t="s">
        <v>2</v>
      </c>
      <c r="O144" s="147">
        <v>3</v>
      </c>
      <c r="P144" s="15">
        <v>0</v>
      </c>
      <c r="Q144" s="148">
        <f t="shared" si="5"/>
        <v>3</v>
      </c>
    </row>
    <row r="145" spans="1:17" ht="16.5" hidden="1" x14ac:dyDescent="0.35">
      <c r="A145" s="53">
        <v>144</v>
      </c>
      <c r="B145" s="147" t="s">
        <v>208</v>
      </c>
      <c r="C145" s="18" t="s">
        <v>660</v>
      </c>
      <c r="D145" s="17" t="s">
        <v>222</v>
      </c>
      <c r="E145" s="17" t="s">
        <v>221</v>
      </c>
      <c r="I145" s="18" t="s">
        <v>53</v>
      </c>
      <c r="L145" s="15" t="s">
        <v>2</v>
      </c>
      <c r="O145" s="147">
        <v>4</v>
      </c>
      <c r="P145" s="15">
        <v>1</v>
      </c>
      <c r="Q145" s="148">
        <f t="shared" si="5"/>
        <v>5</v>
      </c>
    </row>
    <row r="146" spans="1:17" ht="16.5" hidden="1" x14ac:dyDescent="0.35">
      <c r="A146" s="53">
        <v>145</v>
      </c>
      <c r="B146" s="147" t="s">
        <v>209</v>
      </c>
      <c r="C146" s="18" t="s">
        <v>660</v>
      </c>
      <c r="D146" s="17" t="s">
        <v>222</v>
      </c>
      <c r="E146" s="17" t="s">
        <v>221</v>
      </c>
      <c r="I146" s="18" t="s">
        <v>53</v>
      </c>
      <c r="L146" s="15" t="s">
        <v>2</v>
      </c>
      <c r="O146" s="147">
        <v>2</v>
      </c>
      <c r="P146" s="15">
        <v>2</v>
      </c>
      <c r="Q146" s="148">
        <f t="shared" si="5"/>
        <v>4</v>
      </c>
    </row>
    <row r="147" spans="1:17" ht="16.5" hidden="1" x14ac:dyDescent="0.35">
      <c r="A147" s="53">
        <v>146</v>
      </c>
      <c r="B147" s="147" t="s">
        <v>210</v>
      </c>
      <c r="C147" s="18" t="s">
        <v>660</v>
      </c>
      <c r="D147" s="17" t="s">
        <v>222</v>
      </c>
      <c r="E147" s="17" t="s">
        <v>221</v>
      </c>
      <c r="I147" s="18" t="s">
        <v>53</v>
      </c>
      <c r="L147" s="15" t="s">
        <v>2</v>
      </c>
      <c r="O147" s="147">
        <v>4</v>
      </c>
      <c r="P147" s="15">
        <v>1</v>
      </c>
      <c r="Q147" s="148">
        <f t="shared" si="5"/>
        <v>5</v>
      </c>
    </row>
    <row r="148" spans="1:17" ht="16.5" hidden="1" x14ac:dyDescent="0.35">
      <c r="A148" s="53">
        <v>147</v>
      </c>
      <c r="B148" s="147" t="s">
        <v>211</v>
      </c>
      <c r="C148" s="18" t="s">
        <v>660</v>
      </c>
      <c r="D148" s="17" t="s">
        <v>222</v>
      </c>
      <c r="E148" s="17" t="s">
        <v>221</v>
      </c>
      <c r="I148" s="18" t="s">
        <v>53</v>
      </c>
      <c r="L148" s="15" t="s">
        <v>2</v>
      </c>
      <c r="O148" s="147">
        <v>1</v>
      </c>
      <c r="P148" s="15">
        <v>1</v>
      </c>
      <c r="Q148" s="148">
        <f t="shared" si="5"/>
        <v>2</v>
      </c>
    </row>
    <row r="149" spans="1:17" ht="16.5" hidden="1" x14ac:dyDescent="0.35">
      <c r="A149" s="53">
        <v>148</v>
      </c>
      <c r="B149" s="147" t="s">
        <v>212</v>
      </c>
      <c r="C149" s="18" t="s">
        <v>660</v>
      </c>
      <c r="D149" s="17" t="s">
        <v>222</v>
      </c>
      <c r="E149" s="17" t="s">
        <v>221</v>
      </c>
      <c r="I149" s="18" t="s">
        <v>53</v>
      </c>
      <c r="L149" s="15" t="s">
        <v>2</v>
      </c>
      <c r="O149" s="147">
        <v>1</v>
      </c>
      <c r="P149" s="15">
        <v>1</v>
      </c>
      <c r="Q149" s="148">
        <f t="shared" si="5"/>
        <v>2</v>
      </c>
    </row>
    <row r="150" spans="1:17" ht="16.5" hidden="1" x14ac:dyDescent="0.35">
      <c r="A150" s="53">
        <v>149</v>
      </c>
      <c r="B150" s="147" t="s">
        <v>213</v>
      </c>
      <c r="C150" s="18" t="s">
        <v>660</v>
      </c>
      <c r="D150" s="17" t="s">
        <v>222</v>
      </c>
      <c r="E150" s="17" t="s">
        <v>221</v>
      </c>
      <c r="I150" s="18" t="s">
        <v>53</v>
      </c>
      <c r="L150" s="15" t="s">
        <v>2</v>
      </c>
      <c r="O150" s="147">
        <v>2</v>
      </c>
      <c r="P150" s="15">
        <v>0</v>
      </c>
      <c r="Q150" s="148">
        <f t="shared" si="5"/>
        <v>2</v>
      </c>
    </row>
    <row r="151" spans="1:17" ht="16.5" hidden="1" x14ac:dyDescent="0.35">
      <c r="A151" s="53">
        <v>150</v>
      </c>
      <c r="B151" s="147" t="s">
        <v>214</v>
      </c>
      <c r="C151" s="18" t="s">
        <v>660</v>
      </c>
      <c r="D151" s="17" t="s">
        <v>222</v>
      </c>
      <c r="E151" s="17" t="s">
        <v>221</v>
      </c>
      <c r="I151" s="18" t="s">
        <v>53</v>
      </c>
      <c r="L151" s="15" t="s">
        <v>2</v>
      </c>
      <c r="O151" s="147">
        <v>1</v>
      </c>
      <c r="P151" s="15">
        <v>1</v>
      </c>
      <c r="Q151" s="148">
        <f t="shared" si="5"/>
        <v>2</v>
      </c>
    </row>
    <row r="152" spans="1:17" ht="16.5" hidden="1" x14ac:dyDescent="0.35">
      <c r="A152" s="53">
        <v>151</v>
      </c>
      <c r="B152" s="147" t="s">
        <v>215</v>
      </c>
      <c r="C152" s="18" t="s">
        <v>660</v>
      </c>
      <c r="D152" s="17" t="s">
        <v>222</v>
      </c>
      <c r="E152" s="17" t="s">
        <v>221</v>
      </c>
      <c r="I152" s="18" t="s">
        <v>53</v>
      </c>
      <c r="L152" s="15" t="s">
        <v>2</v>
      </c>
      <c r="O152" s="147">
        <v>2</v>
      </c>
      <c r="P152" s="15">
        <v>0</v>
      </c>
      <c r="Q152" s="148">
        <f t="shared" si="5"/>
        <v>2</v>
      </c>
    </row>
    <row r="153" spans="1:17" ht="16.5" hidden="1" x14ac:dyDescent="0.35">
      <c r="A153" s="53">
        <v>152</v>
      </c>
      <c r="B153" s="147" t="s">
        <v>216</v>
      </c>
      <c r="C153" s="18" t="s">
        <v>660</v>
      </c>
      <c r="D153" s="17" t="s">
        <v>222</v>
      </c>
      <c r="E153" s="17" t="s">
        <v>221</v>
      </c>
      <c r="I153" s="18" t="s">
        <v>53</v>
      </c>
      <c r="L153" s="15" t="s">
        <v>2</v>
      </c>
      <c r="O153" s="147">
        <v>5</v>
      </c>
      <c r="P153" s="15">
        <v>0</v>
      </c>
      <c r="Q153" s="148">
        <f t="shared" si="5"/>
        <v>5</v>
      </c>
    </row>
    <row r="154" spans="1:17" ht="16.5" hidden="1" x14ac:dyDescent="0.5">
      <c r="A154" s="53">
        <v>153</v>
      </c>
      <c r="B154" s="147" t="s">
        <v>217</v>
      </c>
      <c r="C154" s="18" t="s">
        <v>660</v>
      </c>
      <c r="D154" s="17" t="s">
        <v>222</v>
      </c>
      <c r="E154" s="17" t="s">
        <v>221</v>
      </c>
      <c r="I154" s="18" t="s">
        <v>53</v>
      </c>
      <c r="L154" s="15" t="s">
        <v>2</v>
      </c>
      <c r="O154" s="149">
        <v>2</v>
      </c>
      <c r="P154" s="149">
        <v>0</v>
      </c>
      <c r="Q154" s="148">
        <f t="shared" si="5"/>
        <v>2</v>
      </c>
    </row>
    <row r="155" spans="1:17" ht="16.5" hidden="1" x14ac:dyDescent="0.35">
      <c r="A155" s="53">
        <v>154</v>
      </c>
      <c r="B155" s="147" t="s">
        <v>218</v>
      </c>
      <c r="C155" s="18" t="s">
        <v>660</v>
      </c>
      <c r="D155" s="17" t="s">
        <v>222</v>
      </c>
      <c r="E155" s="17" t="s">
        <v>221</v>
      </c>
      <c r="I155" s="18" t="s">
        <v>53</v>
      </c>
      <c r="L155" s="15" t="s">
        <v>2</v>
      </c>
      <c r="O155" s="151">
        <v>5</v>
      </c>
      <c r="P155" s="151">
        <v>0</v>
      </c>
      <c r="Q155" s="148">
        <f t="shared" si="5"/>
        <v>5</v>
      </c>
    </row>
    <row r="156" spans="1:17" ht="16.5" hidden="1" x14ac:dyDescent="0.35">
      <c r="A156" s="53">
        <v>155</v>
      </c>
      <c r="B156" s="177" t="s">
        <v>219</v>
      </c>
      <c r="C156" s="18" t="s">
        <v>660</v>
      </c>
      <c r="D156" s="17" t="s">
        <v>222</v>
      </c>
      <c r="E156" s="17" t="s">
        <v>221</v>
      </c>
      <c r="I156" s="18" t="s">
        <v>53</v>
      </c>
      <c r="L156" s="16" t="s">
        <v>2</v>
      </c>
      <c r="O156" s="143">
        <v>4</v>
      </c>
      <c r="P156" s="143">
        <v>2</v>
      </c>
      <c r="Q156" s="148">
        <f t="shared" si="5"/>
        <v>6</v>
      </c>
    </row>
    <row r="157" spans="1:17" ht="17" hidden="1" thickBot="1" x14ac:dyDescent="0.4">
      <c r="A157" s="53">
        <v>156</v>
      </c>
      <c r="B157" s="352" t="s">
        <v>220</v>
      </c>
      <c r="C157" s="18" t="s">
        <v>660</v>
      </c>
      <c r="D157" s="17" t="s">
        <v>222</v>
      </c>
      <c r="E157" s="17" t="s">
        <v>221</v>
      </c>
      <c r="I157" s="18" t="s">
        <v>53</v>
      </c>
      <c r="L157" s="141" t="s">
        <v>2</v>
      </c>
      <c r="O157" s="143">
        <v>2</v>
      </c>
      <c r="P157" s="143">
        <v>2</v>
      </c>
      <c r="Q157" s="182">
        <f t="shared" si="5"/>
        <v>4</v>
      </c>
    </row>
    <row r="158" spans="1:17" ht="16.5" hidden="1" x14ac:dyDescent="0.35">
      <c r="A158" s="53">
        <v>157</v>
      </c>
      <c r="B158" s="147" t="s">
        <v>223</v>
      </c>
      <c r="C158" s="18" t="s">
        <v>660</v>
      </c>
      <c r="D158" s="17" t="s">
        <v>253</v>
      </c>
      <c r="E158" s="17" t="s">
        <v>254</v>
      </c>
      <c r="H158" s="23" t="s">
        <v>285</v>
      </c>
      <c r="I158" s="18" t="s">
        <v>53</v>
      </c>
      <c r="L158" s="15" t="s">
        <v>2</v>
      </c>
      <c r="O158" s="147">
        <v>3</v>
      </c>
      <c r="P158" s="15">
        <v>1</v>
      </c>
      <c r="Q158" s="148">
        <f>SUM(O158:P158)</f>
        <v>4</v>
      </c>
    </row>
    <row r="159" spans="1:17" ht="16.5" hidden="1" x14ac:dyDescent="0.35">
      <c r="A159" s="53">
        <v>158</v>
      </c>
      <c r="B159" s="147" t="s">
        <v>224</v>
      </c>
      <c r="C159" s="18" t="s">
        <v>660</v>
      </c>
      <c r="D159" s="17" t="s">
        <v>253</v>
      </c>
      <c r="E159" s="17" t="s">
        <v>254</v>
      </c>
      <c r="H159" s="23" t="s">
        <v>286</v>
      </c>
      <c r="I159" s="18" t="s">
        <v>53</v>
      </c>
      <c r="L159" s="15" t="s">
        <v>9</v>
      </c>
      <c r="O159" s="147">
        <v>3</v>
      </c>
      <c r="P159" s="15">
        <v>3</v>
      </c>
      <c r="Q159" s="148">
        <f t="shared" ref="Q159:Q187" si="6">SUM(O159:P159)</f>
        <v>6</v>
      </c>
    </row>
    <row r="160" spans="1:17" ht="16.5" hidden="1" x14ac:dyDescent="0.35">
      <c r="A160" s="53">
        <v>159</v>
      </c>
      <c r="B160" s="147" t="s">
        <v>225</v>
      </c>
      <c r="C160" s="18" t="s">
        <v>660</v>
      </c>
      <c r="D160" s="17" t="s">
        <v>253</v>
      </c>
      <c r="E160" s="17" t="s">
        <v>254</v>
      </c>
      <c r="H160" s="23" t="s">
        <v>287</v>
      </c>
      <c r="I160" s="18" t="s">
        <v>53</v>
      </c>
      <c r="L160" s="15" t="s">
        <v>2</v>
      </c>
      <c r="O160" s="147">
        <v>4</v>
      </c>
      <c r="P160" s="15">
        <v>2</v>
      </c>
      <c r="Q160" s="148">
        <f t="shared" si="6"/>
        <v>6</v>
      </c>
    </row>
    <row r="161" spans="1:17" ht="16.5" hidden="1" x14ac:dyDescent="0.35">
      <c r="A161" s="53">
        <v>160</v>
      </c>
      <c r="B161" s="147" t="s">
        <v>226</v>
      </c>
      <c r="C161" s="18" t="s">
        <v>660</v>
      </c>
      <c r="D161" s="17" t="s">
        <v>253</v>
      </c>
      <c r="E161" s="17" t="s">
        <v>254</v>
      </c>
      <c r="H161" s="23" t="s">
        <v>288</v>
      </c>
      <c r="I161" s="18" t="s">
        <v>53</v>
      </c>
      <c r="L161" s="15" t="s">
        <v>2</v>
      </c>
      <c r="O161" s="147">
        <v>2</v>
      </c>
      <c r="P161" s="15">
        <v>4</v>
      </c>
      <c r="Q161" s="148">
        <f t="shared" si="6"/>
        <v>6</v>
      </c>
    </row>
    <row r="162" spans="1:17" ht="16.5" hidden="1" x14ac:dyDescent="0.35">
      <c r="A162" s="53">
        <v>161</v>
      </c>
      <c r="B162" s="147" t="s">
        <v>227</v>
      </c>
      <c r="C162" s="18" t="s">
        <v>660</v>
      </c>
      <c r="D162" s="17" t="s">
        <v>253</v>
      </c>
      <c r="E162" s="17" t="s">
        <v>254</v>
      </c>
      <c r="H162" s="23" t="s">
        <v>289</v>
      </c>
      <c r="I162" s="18" t="s">
        <v>53</v>
      </c>
      <c r="L162" s="15" t="s">
        <v>9</v>
      </c>
      <c r="O162" s="147">
        <v>4</v>
      </c>
      <c r="P162" s="15">
        <v>3</v>
      </c>
      <c r="Q162" s="148">
        <f t="shared" si="6"/>
        <v>7</v>
      </c>
    </row>
    <row r="163" spans="1:17" ht="16.5" hidden="1" x14ac:dyDescent="0.35">
      <c r="A163" s="53">
        <v>162</v>
      </c>
      <c r="B163" s="147" t="s">
        <v>228</v>
      </c>
      <c r="C163" s="18" t="s">
        <v>660</v>
      </c>
      <c r="D163" s="17" t="s">
        <v>253</v>
      </c>
      <c r="E163" s="17" t="s">
        <v>254</v>
      </c>
      <c r="H163" s="23" t="s">
        <v>290</v>
      </c>
      <c r="I163" s="18" t="s">
        <v>53</v>
      </c>
      <c r="L163" s="15" t="s">
        <v>9</v>
      </c>
      <c r="O163" s="147">
        <v>2</v>
      </c>
      <c r="P163" s="15">
        <v>1</v>
      </c>
      <c r="Q163" s="148">
        <f t="shared" si="6"/>
        <v>3</v>
      </c>
    </row>
    <row r="164" spans="1:17" ht="16.5" hidden="1" x14ac:dyDescent="0.35">
      <c r="A164" s="53">
        <v>163</v>
      </c>
      <c r="B164" s="147" t="s">
        <v>229</v>
      </c>
      <c r="C164" s="18" t="s">
        <v>660</v>
      </c>
      <c r="D164" s="17" t="s">
        <v>253</v>
      </c>
      <c r="E164" s="17" t="s">
        <v>254</v>
      </c>
      <c r="H164" s="23"/>
      <c r="I164" s="18" t="s">
        <v>53</v>
      </c>
      <c r="L164" s="15" t="s">
        <v>9</v>
      </c>
      <c r="O164" s="147">
        <v>1</v>
      </c>
      <c r="P164" s="15">
        <v>3</v>
      </c>
      <c r="Q164" s="148">
        <f t="shared" si="6"/>
        <v>4</v>
      </c>
    </row>
    <row r="165" spans="1:17" ht="16.5" hidden="1" x14ac:dyDescent="0.35">
      <c r="A165" s="53">
        <v>164</v>
      </c>
      <c r="B165" s="147" t="s">
        <v>230</v>
      </c>
      <c r="C165" s="18" t="s">
        <v>660</v>
      </c>
      <c r="D165" s="17" t="s">
        <v>253</v>
      </c>
      <c r="E165" s="17" t="s">
        <v>254</v>
      </c>
      <c r="H165" s="23" t="s">
        <v>291</v>
      </c>
      <c r="I165" s="18" t="s">
        <v>53</v>
      </c>
      <c r="L165" s="15" t="s">
        <v>9</v>
      </c>
      <c r="O165" s="147">
        <v>2</v>
      </c>
      <c r="P165" s="15">
        <v>2</v>
      </c>
      <c r="Q165" s="148">
        <f t="shared" si="6"/>
        <v>4</v>
      </c>
    </row>
    <row r="166" spans="1:17" ht="16.5" hidden="1" x14ac:dyDescent="0.35">
      <c r="A166" s="53">
        <v>165</v>
      </c>
      <c r="B166" s="147" t="s">
        <v>231</v>
      </c>
      <c r="C166" s="18" t="s">
        <v>660</v>
      </c>
      <c r="D166" s="17" t="s">
        <v>253</v>
      </c>
      <c r="E166" s="17" t="s">
        <v>254</v>
      </c>
      <c r="H166" s="23"/>
      <c r="I166" s="18" t="s">
        <v>53</v>
      </c>
      <c r="L166" s="15" t="s">
        <v>2</v>
      </c>
      <c r="O166" s="147">
        <v>1</v>
      </c>
      <c r="P166" s="15">
        <v>0</v>
      </c>
      <c r="Q166" s="148">
        <f t="shared" si="6"/>
        <v>1</v>
      </c>
    </row>
    <row r="167" spans="1:17" ht="16.5" hidden="1" x14ac:dyDescent="0.35">
      <c r="A167" s="53">
        <v>166</v>
      </c>
      <c r="B167" s="147" t="s">
        <v>232</v>
      </c>
      <c r="C167" s="18" t="s">
        <v>660</v>
      </c>
      <c r="D167" s="17" t="s">
        <v>253</v>
      </c>
      <c r="E167" s="17" t="s">
        <v>254</v>
      </c>
      <c r="H167" s="23"/>
      <c r="I167" s="18" t="s">
        <v>53</v>
      </c>
      <c r="L167" s="15" t="s">
        <v>2</v>
      </c>
      <c r="O167" s="147">
        <v>1</v>
      </c>
      <c r="P167" s="15">
        <v>1</v>
      </c>
      <c r="Q167" s="148">
        <f t="shared" si="6"/>
        <v>2</v>
      </c>
    </row>
    <row r="168" spans="1:17" ht="16.5" hidden="1" x14ac:dyDescent="0.35">
      <c r="A168" s="53">
        <v>167</v>
      </c>
      <c r="B168" s="147" t="s">
        <v>233</v>
      </c>
      <c r="C168" s="18" t="s">
        <v>660</v>
      </c>
      <c r="D168" s="17" t="s">
        <v>253</v>
      </c>
      <c r="E168" s="17" t="s">
        <v>254</v>
      </c>
      <c r="H168" s="23"/>
      <c r="I168" s="18" t="s">
        <v>53</v>
      </c>
      <c r="L168" s="15" t="s">
        <v>2</v>
      </c>
      <c r="O168" s="147">
        <v>0</v>
      </c>
      <c r="P168" s="15">
        <v>2</v>
      </c>
      <c r="Q168" s="148">
        <f t="shared" si="6"/>
        <v>2</v>
      </c>
    </row>
    <row r="169" spans="1:17" ht="16.5" hidden="1" x14ac:dyDescent="0.35">
      <c r="A169" s="53">
        <v>168</v>
      </c>
      <c r="B169" s="147" t="s">
        <v>234</v>
      </c>
      <c r="C169" s="18" t="s">
        <v>660</v>
      </c>
      <c r="D169" s="17" t="s">
        <v>253</v>
      </c>
      <c r="E169" s="17" t="s">
        <v>254</v>
      </c>
      <c r="H169" s="23" t="s">
        <v>292</v>
      </c>
      <c r="I169" s="18" t="s">
        <v>53</v>
      </c>
      <c r="L169" s="15" t="s">
        <v>9</v>
      </c>
      <c r="O169" s="147">
        <v>3</v>
      </c>
      <c r="P169" s="15">
        <v>1</v>
      </c>
      <c r="Q169" s="148">
        <f t="shared" si="6"/>
        <v>4</v>
      </c>
    </row>
    <row r="170" spans="1:17" ht="16.5" hidden="1" x14ac:dyDescent="0.35">
      <c r="A170" s="53">
        <v>169</v>
      </c>
      <c r="B170" s="147" t="s">
        <v>235</v>
      </c>
      <c r="C170" s="18" t="s">
        <v>660</v>
      </c>
      <c r="D170" s="17" t="s">
        <v>253</v>
      </c>
      <c r="E170" s="17" t="s">
        <v>254</v>
      </c>
      <c r="H170" s="23" t="s">
        <v>293</v>
      </c>
      <c r="I170" s="18" t="s">
        <v>53</v>
      </c>
      <c r="L170" s="15" t="s">
        <v>9</v>
      </c>
      <c r="O170" s="147">
        <v>1</v>
      </c>
      <c r="P170" s="15">
        <v>1</v>
      </c>
      <c r="Q170" s="148">
        <f t="shared" si="6"/>
        <v>2</v>
      </c>
    </row>
    <row r="171" spans="1:17" ht="16.5" hidden="1" x14ac:dyDescent="0.35">
      <c r="A171" s="53">
        <v>170</v>
      </c>
      <c r="B171" s="147" t="s">
        <v>236</v>
      </c>
      <c r="C171" s="18" t="s">
        <v>660</v>
      </c>
      <c r="D171" s="17" t="s">
        <v>253</v>
      </c>
      <c r="E171" s="17" t="s">
        <v>254</v>
      </c>
      <c r="H171" s="23"/>
      <c r="I171" s="18" t="s">
        <v>53</v>
      </c>
      <c r="L171" s="15" t="s">
        <v>2</v>
      </c>
      <c r="O171" s="147">
        <v>1</v>
      </c>
      <c r="P171" s="15">
        <v>2</v>
      </c>
      <c r="Q171" s="148">
        <f t="shared" si="6"/>
        <v>3</v>
      </c>
    </row>
    <row r="172" spans="1:17" ht="16.5" hidden="1" x14ac:dyDescent="0.35">
      <c r="A172" s="53">
        <v>171</v>
      </c>
      <c r="B172" s="147" t="s">
        <v>237</v>
      </c>
      <c r="C172" s="18" t="s">
        <v>660</v>
      </c>
      <c r="D172" s="17" t="s">
        <v>253</v>
      </c>
      <c r="E172" s="17" t="s">
        <v>254</v>
      </c>
      <c r="H172" s="23"/>
      <c r="I172" s="18" t="s">
        <v>53</v>
      </c>
      <c r="L172" s="15" t="s">
        <v>2</v>
      </c>
      <c r="O172" s="147">
        <v>3</v>
      </c>
      <c r="P172" s="15">
        <v>2</v>
      </c>
      <c r="Q172" s="148">
        <f t="shared" si="6"/>
        <v>5</v>
      </c>
    </row>
    <row r="173" spans="1:17" ht="16.5" hidden="1" x14ac:dyDescent="0.35">
      <c r="A173" s="53">
        <v>172</v>
      </c>
      <c r="B173" s="147" t="s">
        <v>238</v>
      </c>
      <c r="C173" s="18" t="s">
        <v>660</v>
      </c>
      <c r="D173" s="17" t="s">
        <v>253</v>
      </c>
      <c r="E173" s="17" t="s">
        <v>254</v>
      </c>
      <c r="H173" s="23" t="s">
        <v>294</v>
      </c>
      <c r="I173" s="18" t="s">
        <v>53</v>
      </c>
      <c r="L173" s="15" t="s">
        <v>9</v>
      </c>
      <c r="O173" s="147">
        <v>2</v>
      </c>
      <c r="P173" s="15">
        <v>3</v>
      </c>
      <c r="Q173" s="148">
        <f t="shared" si="6"/>
        <v>5</v>
      </c>
    </row>
    <row r="174" spans="1:17" ht="16.5" hidden="1" x14ac:dyDescent="0.35">
      <c r="A174" s="53">
        <v>173</v>
      </c>
      <c r="B174" s="147" t="s">
        <v>239</v>
      </c>
      <c r="C174" s="18" t="s">
        <v>660</v>
      </c>
      <c r="D174" s="17" t="s">
        <v>253</v>
      </c>
      <c r="E174" s="17" t="s">
        <v>254</v>
      </c>
      <c r="H174" s="23"/>
      <c r="I174" s="18" t="s">
        <v>53</v>
      </c>
      <c r="L174" s="15" t="s">
        <v>2</v>
      </c>
      <c r="O174" s="147">
        <v>1</v>
      </c>
      <c r="P174" s="15">
        <v>3</v>
      </c>
      <c r="Q174" s="148">
        <f t="shared" si="6"/>
        <v>4</v>
      </c>
    </row>
    <row r="175" spans="1:17" ht="16.5" hidden="1" x14ac:dyDescent="0.35">
      <c r="A175" s="53">
        <v>174</v>
      </c>
      <c r="B175" s="147" t="s">
        <v>240</v>
      </c>
      <c r="C175" s="18" t="s">
        <v>660</v>
      </c>
      <c r="D175" s="17" t="s">
        <v>253</v>
      </c>
      <c r="E175" s="17" t="s">
        <v>254</v>
      </c>
      <c r="H175" s="23"/>
      <c r="I175" s="18" t="s">
        <v>53</v>
      </c>
      <c r="L175" s="15" t="s">
        <v>2</v>
      </c>
      <c r="O175" s="147">
        <v>2</v>
      </c>
      <c r="P175" s="15">
        <v>1</v>
      </c>
      <c r="Q175" s="148">
        <f t="shared" si="6"/>
        <v>3</v>
      </c>
    </row>
    <row r="176" spans="1:17" ht="16.5" hidden="1" x14ac:dyDescent="0.35">
      <c r="A176" s="53">
        <v>175</v>
      </c>
      <c r="B176" s="147" t="s">
        <v>241</v>
      </c>
      <c r="C176" s="18" t="s">
        <v>660</v>
      </c>
      <c r="D176" s="17" t="s">
        <v>253</v>
      </c>
      <c r="E176" s="17" t="s">
        <v>254</v>
      </c>
      <c r="H176" s="23"/>
      <c r="I176" s="18" t="s">
        <v>53</v>
      </c>
      <c r="L176" s="15" t="s">
        <v>2</v>
      </c>
      <c r="O176" s="147">
        <v>1</v>
      </c>
      <c r="P176" s="15">
        <v>2</v>
      </c>
      <c r="Q176" s="148">
        <f t="shared" si="6"/>
        <v>3</v>
      </c>
    </row>
    <row r="177" spans="1:17" ht="16.5" hidden="1" x14ac:dyDescent="0.35">
      <c r="A177" s="53">
        <v>176</v>
      </c>
      <c r="B177" s="147" t="s">
        <v>242</v>
      </c>
      <c r="C177" s="18" t="s">
        <v>660</v>
      </c>
      <c r="D177" s="17" t="s">
        <v>253</v>
      </c>
      <c r="E177" s="17" t="s">
        <v>254</v>
      </c>
      <c r="H177" s="23"/>
      <c r="I177" s="18" t="s">
        <v>53</v>
      </c>
      <c r="L177" s="15" t="s">
        <v>2</v>
      </c>
      <c r="O177" s="147">
        <v>1</v>
      </c>
      <c r="P177" s="15">
        <v>4</v>
      </c>
      <c r="Q177" s="148">
        <f t="shared" si="6"/>
        <v>5</v>
      </c>
    </row>
    <row r="178" spans="1:17" ht="16.5" hidden="1" x14ac:dyDescent="0.35">
      <c r="A178" s="53">
        <v>177</v>
      </c>
      <c r="B178" s="147" t="s">
        <v>243</v>
      </c>
      <c r="C178" s="18" t="s">
        <v>660</v>
      </c>
      <c r="D178" s="17" t="s">
        <v>253</v>
      </c>
      <c r="E178" s="17" t="s">
        <v>254</v>
      </c>
      <c r="H178" s="23" t="s">
        <v>295</v>
      </c>
      <c r="I178" s="18" t="s">
        <v>53</v>
      </c>
      <c r="L178" s="15" t="s">
        <v>9</v>
      </c>
      <c r="O178" s="147">
        <v>2</v>
      </c>
      <c r="P178" s="15">
        <v>2</v>
      </c>
      <c r="Q178" s="148">
        <f t="shared" si="6"/>
        <v>4</v>
      </c>
    </row>
    <row r="179" spans="1:17" ht="16.5" hidden="1" x14ac:dyDescent="0.35">
      <c r="A179" s="53">
        <v>178</v>
      </c>
      <c r="B179" s="147" t="s">
        <v>244</v>
      </c>
      <c r="C179" s="18" t="s">
        <v>660</v>
      </c>
      <c r="D179" s="17" t="s">
        <v>253</v>
      </c>
      <c r="E179" s="17" t="s">
        <v>254</v>
      </c>
      <c r="H179" s="23"/>
      <c r="I179" s="18" t="s">
        <v>53</v>
      </c>
      <c r="L179" s="15" t="s">
        <v>2</v>
      </c>
      <c r="O179" s="147">
        <v>1</v>
      </c>
      <c r="P179" s="15">
        <v>2</v>
      </c>
      <c r="Q179" s="148">
        <f t="shared" si="6"/>
        <v>3</v>
      </c>
    </row>
    <row r="180" spans="1:17" ht="16.5" hidden="1" x14ac:dyDescent="0.35">
      <c r="A180" s="53">
        <v>179</v>
      </c>
      <c r="B180" s="147" t="s">
        <v>245</v>
      </c>
      <c r="C180" s="18" t="s">
        <v>660</v>
      </c>
      <c r="D180" s="17" t="s">
        <v>253</v>
      </c>
      <c r="E180" s="17" t="s">
        <v>254</v>
      </c>
      <c r="H180" s="23"/>
      <c r="I180" s="18" t="s">
        <v>53</v>
      </c>
      <c r="L180" s="15" t="s">
        <v>9</v>
      </c>
      <c r="O180" s="147">
        <v>1</v>
      </c>
      <c r="P180" s="15">
        <v>1</v>
      </c>
      <c r="Q180" s="148">
        <f t="shared" si="6"/>
        <v>2</v>
      </c>
    </row>
    <row r="181" spans="1:17" ht="16.5" hidden="1" x14ac:dyDescent="0.35">
      <c r="A181" s="53">
        <v>180</v>
      </c>
      <c r="B181" s="147" t="s">
        <v>246</v>
      </c>
      <c r="C181" s="18" t="s">
        <v>660</v>
      </c>
      <c r="D181" s="17" t="s">
        <v>253</v>
      </c>
      <c r="E181" s="17" t="s">
        <v>254</v>
      </c>
      <c r="H181" s="23"/>
      <c r="I181" s="18" t="s">
        <v>53</v>
      </c>
      <c r="L181" s="15" t="s">
        <v>2</v>
      </c>
      <c r="O181" s="147">
        <v>1</v>
      </c>
      <c r="P181" s="15">
        <v>1</v>
      </c>
      <c r="Q181" s="148">
        <f t="shared" si="6"/>
        <v>2</v>
      </c>
    </row>
    <row r="182" spans="1:17" ht="16.5" hidden="1" x14ac:dyDescent="0.35">
      <c r="A182" s="53">
        <v>181</v>
      </c>
      <c r="B182" s="147" t="s">
        <v>247</v>
      </c>
      <c r="C182" s="18" t="s">
        <v>660</v>
      </c>
      <c r="D182" s="17" t="s">
        <v>253</v>
      </c>
      <c r="E182" s="17" t="s">
        <v>254</v>
      </c>
      <c r="H182" s="23"/>
      <c r="I182" s="18" t="s">
        <v>53</v>
      </c>
      <c r="L182" s="15" t="s">
        <v>2</v>
      </c>
      <c r="O182" s="147">
        <v>2</v>
      </c>
      <c r="P182" s="15">
        <v>3</v>
      </c>
      <c r="Q182" s="148">
        <f t="shared" si="6"/>
        <v>5</v>
      </c>
    </row>
    <row r="183" spans="1:17" ht="16.5" hidden="1" x14ac:dyDescent="0.35">
      <c r="A183" s="53">
        <v>182</v>
      </c>
      <c r="B183" s="147" t="s">
        <v>248</v>
      </c>
      <c r="C183" s="18" t="s">
        <v>660</v>
      </c>
      <c r="D183" s="17" t="s">
        <v>253</v>
      </c>
      <c r="E183" s="17" t="s">
        <v>254</v>
      </c>
      <c r="H183" s="23"/>
      <c r="I183" s="18" t="s">
        <v>53</v>
      </c>
      <c r="L183" s="15" t="s">
        <v>9</v>
      </c>
      <c r="O183" s="147">
        <v>0</v>
      </c>
      <c r="P183" s="15">
        <v>1</v>
      </c>
      <c r="Q183" s="148">
        <f t="shared" si="6"/>
        <v>1</v>
      </c>
    </row>
    <row r="184" spans="1:17" ht="16.5" hidden="1" x14ac:dyDescent="0.5">
      <c r="A184" s="53">
        <v>183</v>
      </c>
      <c r="B184" s="147" t="s">
        <v>249</v>
      </c>
      <c r="C184" s="18" t="s">
        <v>660</v>
      </c>
      <c r="D184" s="17" t="s">
        <v>253</v>
      </c>
      <c r="E184" s="17" t="s">
        <v>254</v>
      </c>
      <c r="H184" s="23"/>
      <c r="I184" s="18" t="s">
        <v>53</v>
      </c>
      <c r="L184" s="15" t="s">
        <v>2</v>
      </c>
      <c r="O184" s="149">
        <v>0</v>
      </c>
      <c r="P184" s="149">
        <v>2</v>
      </c>
      <c r="Q184" s="148">
        <f t="shared" si="6"/>
        <v>2</v>
      </c>
    </row>
    <row r="185" spans="1:17" ht="16.5" hidden="1" x14ac:dyDescent="0.35">
      <c r="A185" s="53">
        <v>184</v>
      </c>
      <c r="B185" s="147" t="s">
        <v>250</v>
      </c>
      <c r="C185" s="18" t="s">
        <v>660</v>
      </c>
      <c r="D185" s="17" t="s">
        <v>253</v>
      </c>
      <c r="E185" s="17" t="s">
        <v>254</v>
      </c>
      <c r="H185" s="24" t="s">
        <v>296</v>
      </c>
      <c r="I185" s="18" t="s">
        <v>53</v>
      </c>
      <c r="L185" s="15" t="s">
        <v>9</v>
      </c>
      <c r="O185" s="151">
        <v>1</v>
      </c>
      <c r="P185" s="151">
        <v>2</v>
      </c>
      <c r="Q185" s="148">
        <f t="shared" si="6"/>
        <v>3</v>
      </c>
    </row>
    <row r="186" spans="1:17" ht="16.5" hidden="1" x14ac:dyDescent="0.35">
      <c r="A186" s="53">
        <v>185</v>
      </c>
      <c r="B186" s="177" t="s">
        <v>251</v>
      </c>
      <c r="C186" s="18" t="s">
        <v>660</v>
      </c>
      <c r="D186" s="17" t="s">
        <v>253</v>
      </c>
      <c r="E186" s="17" t="s">
        <v>254</v>
      </c>
      <c r="H186" s="25"/>
      <c r="I186" s="18" t="s">
        <v>53</v>
      </c>
      <c r="L186" s="16" t="s">
        <v>2</v>
      </c>
      <c r="O186" s="143">
        <v>1</v>
      </c>
      <c r="P186" s="143">
        <v>0</v>
      </c>
      <c r="Q186" s="148">
        <f t="shared" si="6"/>
        <v>1</v>
      </c>
    </row>
    <row r="187" spans="1:17" ht="17" hidden="1" thickBot="1" x14ac:dyDescent="0.4">
      <c r="A187" s="53">
        <v>186</v>
      </c>
      <c r="B187" s="352" t="s">
        <v>252</v>
      </c>
      <c r="C187" s="18" t="s">
        <v>660</v>
      </c>
      <c r="D187" s="17" t="s">
        <v>253</v>
      </c>
      <c r="E187" s="17" t="s">
        <v>254</v>
      </c>
      <c r="H187" s="193" t="s">
        <v>297</v>
      </c>
      <c r="I187" s="18" t="s">
        <v>53</v>
      </c>
      <c r="L187" s="141" t="s">
        <v>2</v>
      </c>
      <c r="O187" s="143">
        <v>2</v>
      </c>
      <c r="P187" s="143">
        <v>1</v>
      </c>
      <c r="Q187" s="182">
        <f t="shared" si="6"/>
        <v>3</v>
      </c>
    </row>
    <row r="188" spans="1:17" ht="16.5" hidden="1" x14ac:dyDescent="0.35">
      <c r="A188" s="53">
        <v>187</v>
      </c>
      <c r="B188" s="147" t="s">
        <v>255</v>
      </c>
      <c r="C188" s="18" t="s">
        <v>660</v>
      </c>
      <c r="D188" s="17" t="s">
        <v>312</v>
      </c>
      <c r="E188" s="17" t="s">
        <v>313</v>
      </c>
      <c r="H188" s="23" t="s">
        <v>298</v>
      </c>
      <c r="I188" s="18" t="s">
        <v>53</v>
      </c>
      <c r="L188" s="15" t="s">
        <v>2</v>
      </c>
      <c r="O188" s="147">
        <v>1</v>
      </c>
      <c r="P188" s="15">
        <v>1</v>
      </c>
      <c r="Q188" s="148">
        <f>SUM(O188:P188)</f>
        <v>2</v>
      </c>
    </row>
    <row r="189" spans="1:17" ht="16.5" hidden="1" x14ac:dyDescent="0.35">
      <c r="A189" s="53">
        <v>188</v>
      </c>
      <c r="B189" s="147" t="s">
        <v>256</v>
      </c>
      <c r="C189" s="18" t="s">
        <v>660</v>
      </c>
      <c r="D189" s="17" t="s">
        <v>312</v>
      </c>
      <c r="E189" s="17" t="s">
        <v>313</v>
      </c>
      <c r="H189" s="23" t="s">
        <v>299</v>
      </c>
      <c r="I189" s="18" t="s">
        <v>53</v>
      </c>
      <c r="L189" s="15" t="s">
        <v>9</v>
      </c>
      <c r="O189" s="147">
        <v>3</v>
      </c>
      <c r="P189" s="15">
        <v>4</v>
      </c>
      <c r="Q189" s="148">
        <f t="shared" ref="Q189:Q217" si="7">SUM(O189:P189)</f>
        <v>7</v>
      </c>
    </row>
    <row r="190" spans="1:17" ht="16.5" hidden="1" x14ac:dyDescent="0.35">
      <c r="A190" s="53">
        <v>189</v>
      </c>
      <c r="B190" s="147" t="s">
        <v>257</v>
      </c>
      <c r="C190" s="18" t="s">
        <v>660</v>
      </c>
      <c r="D190" s="17" t="s">
        <v>312</v>
      </c>
      <c r="E190" s="17" t="s">
        <v>313</v>
      </c>
      <c r="H190" s="23" t="s">
        <v>300</v>
      </c>
      <c r="I190" s="18" t="s">
        <v>53</v>
      </c>
      <c r="L190" s="15" t="s">
        <v>2</v>
      </c>
      <c r="O190" s="147">
        <v>4</v>
      </c>
      <c r="P190" s="15">
        <v>2</v>
      </c>
      <c r="Q190" s="148">
        <f t="shared" si="7"/>
        <v>6</v>
      </c>
    </row>
    <row r="191" spans="1:17" ht="16.5" hidden="1" x14ac:dyDescent="0.35">
      <c r="A191" s="53">
        <v>190</v>
      </c>
      <c r="B191" s="147" t="s">
        <v>258</v>
      </c>
      <c r="C191" s="18" t="s">
        <v>660</v>
      </c>
      <c r="D191" s="17" t="s">
        <v>312</v>
      </c>
      <c r="E191" s="17" t="s">
        <v>313</v>
      </c>
      <c r="H191" s="23"/>
      <c r="I191" s="18" t="s">
        <v>53</v>
      </c>
      <c r="L191" s="15" t="s">
        <v>2</v>
      </c>
      <c r="O191" s="147">
        <v>4</v>
      </c>
      <c r="P191" s="15">
        <v>3</v>
      </c>
      <c r="Q191" s="148">
        <f t="shared" si="7"/>
        <v>7</v>
      </c>
    </row>
    <row r="192" spans="1:17" ht="16.5" hidden="1" x14ac:dyDescent="0.35">
      <c r="A192" s="53">
        <v>191</v>
      </c>
      <c r="B192" s="147" t="s">
        <v>259</v>
      </c>
      <c r="C192" s="18" t="s">
        <v>660</v>
      </c>
      <c r="D192" s="17" t="s">
        <v>312</v>
      </c>
      <c r="E192" s="17" t="s">
        <v>313</v>
      </c>
      <c r="H192" s="23" t="s">
        <v>301</v>
      </c>
      <c r="I192" s="18" t="s">
        <v>53</v>
      </c>
      <c r="L192" s="15" t="s">
        <v>9</v>
      </c>
      <c r="O192" s="147">
        <v>4</v>
      </c>
      <c r="P192" s="15">
        <v>3</v>
      </c>
      <c r="Q192" s="148">
        <f t="shared" si="7"/>
        <v>7</v>
      </c>
    </row>
    <row r="193" spans="1:17" ht="16.5" hidden="1" x14ac:dyDescent="0.35">
      <c r="A193" s="53">
        <v>192</v>
      </c>
      <c r="B193" s="147" t="s">
        <v>260</v>
      </c>
      <c r="C193" s="18" t="s">
        <v>660</v>
      </c>
      <c r="D193" s="17" t="s">
        <v>312</v>
      </c>
      <c r="E193" s="17" t="s">
        <v>313</v>
      </c>
      <c r="H193" s="23"/>
      <c r="I193" s="18" t="s">
        <v>53</v>
      </c>
      <c r="L193" s="15" t="s">
        <v>2</v>
      </c>
      <c r="O193" s="147">
        <v>2</v>
      </c>
      <c r="P193" s="15">
        <v>1</v>
      </c>
      <c r="Q193" s="148">
        <f t="shared" si="7"/>
        <v>3</v>
      </c>
    </row>
    <row r="194" spans="1:17" ht="16.5" hidden="1" x14ac:dyDescent="0.35">
      <c r="A194" s="53">
        <v>193</v>
      </c>
      <c r="B194" s="147" t="s">
        <v>261</v>
      </c>
      <c r="C194" s="18" t="s">
        <v>660</v>
      </c>
      <c r="D194" s="17" t="s">
        <v>312</v>
      </c>
      <c r="E194" s="17" t="s">
        <v>313</v>
      </c>
      <c r="H194" s="23"/>
      <c r="I194" s="18" t="s">
        <v>53</v>
      </c>
      <c r="L194" s="15" t="s">
        <v>2</v>
      </c>
      <c r="O194" s="147">
        <v>1</v>
      </c>
      <c r="P194" s="15">
        <v>3</v>
      </c>
      <c r="Q194" s="148">
        <f t="shared" si="7"/>
        <v>4</v>
      </c>
    </row>
    <row r="195" spans="1:17" ht="16.5" hidden="1" x14ac:dyDescent="0.35">
      <c r="A195" s="53">
        <v>194</v>
      </c>
      <c r="B195" s="147" t="s">
        <v>262</v>
      </c>
      <c r="C195" s="18" t="s">
        <v>660</v>
      </c>
      <c r="D195" s="17" t="s">
        <v>312</v>
      </c>
      <c r="E195" s="17" t="s">
        <v>313</v>
      </c>
      <c r="H195" s="23" t="s">
        <v>302</v>
      </c>
      <c r="I195" s="18" t="s">
        <v>53</v>
      </c>
      <c r="L195" s="15" t="s">
        <v>2</v>
      </c>
      <c r="O195" s="147">
        <v>2</v>
      </c>
      <c r="P195" s="15">
        <v>2</v>
      </c>
      <c r="Q195" s="148">
        <f t="shared" si="7"/>
        <v>4</v>
      </c>
    </row>
    <row r="196" spans="1:17" ht="16.5" hidden="1" x14ac:dyDescent="0.35">
      <c r="A196" s="53">
        <v>195</v>
      </c>
      <c r="B196" s="147" t="s">
        <v>263</v>
      </c>
      <c r="C196" s="18" t="s">
        <v>660</v>
      </c>
      <c r="D196" s="17" t="s">
        <v>312</v>
      </c>
      <c r="E196" s="17" t="s">
        <v>313</v>
      </c>
      <c r="H196" s="23"/>
      <c r="I196" s="18" t="s">
        <v>53</v>
      </c>
      <c r="L196" s="15" t="s">
        <v>2</v>
      </c>
      <c r="O196" s="147">
        <v>1</v>
      </c>
      <c r="P196" s="15">
        <v>0</v>
      </c>
      <c r="Q196" s="148">
        <f t="shared" si="7"/>
        <v>1</v>
      </c>
    </row>
    <row r="197" spans="1:17" ht="16.5" hidden="1" x14ac:dyDescent="0.35">
      <c r="A197" s="53">
        <v>196</v>
      </c>
      <c r="B197" s="147" t="s">
        <v>264</v>
      </c>
      <c r="C197" s="18" t="s">
        <v>660</v>
      </c>
      <c r="D197" s="17" t="s">
        <v>312</v>
      </c>
      <c r="E197" s="17" t="s">
        <v>313</v>
      </c>
      <c r="H197" s="23"/>
      <c r="I197" s="18" t="s">
        <v>53</v>
      </c>
      <c r="L197" s="15" t="s">
        <v>9</v>
      </c>
      <c r="O197" s="147">
        <v>0</v>
      </c>
      <c r="P197" s="15">
        <v>0</v>
      </c>
      <c r="Q197" s="148">
        <f t="shared" si="7"/>
        <v>0</v>
      </c>
    </row>
    <row r="198" spans="1:17" ht="16.5" hidden="1" x14ac:dyDescent="0.35">
      <c r="A198" s="53">
        <v>197</v>
      </c>
      <c r="B198" s="147" t="s">
        <v>265</v>
      </c>
      <c r="C198" s="18" t="s">
        <v>660</v>
      </c>
      <c r="D198" s="17" t="s">
        <v>312</v>
      </c>
      <c r="E198" s="17" t="s">
        <v>313</v>
      </c>
      <c r="H198" s="23" t="s">
        <v>303</v>
      </c>
      <c r="I198" s="18" t="s">
        <v>53</v>
      </c>
      <c r="L198" s="15" t="s">
        <v>9</v>
      </c>
      <c r="O198" s="147">
        <v>0</v>
      </c>
      <c r="P198" s="15">
        <v>0</v>
      </c>
      <c r="Q198" s="148">
        <f t="shared" si="7"/>
        <v>0</v>
      </c>
    </row>
    <row r="199" spans="1:17" ht="16.5" hidden="1" x14ac:dyDescent="0.35">
      <c r="A199" s="53">
        <v>198</v>
      </c>
      <c r="B199" s="147" t="s">
        <v>266</v>
      </c>
      <c r="C199" s="18" t="s">
        <v>660</v>
      </c>
      <c r="D199" s="17" t="s">
        <v>312</v>
      </c>
      <c r="E199" s="17" t="s">
        <v>313</v>
      </c>
      <c r="H199" s="23"/>
      <c r="I199" s="18" t="s">
        <v>53</v>
      </c>
      <c r="L199" s="15" t="s">
        <v>9</v>
      </c>
      <c r="O199" s="147">
        <v>3</v>
      </c>
      <c r="P199" s="15">
        <v>1</v>
      </c>
      <c r="Q199" s="148">
        <f t="shared" si="7"/>
        <v>4</v>
      </c>
    </row>
    <row r="200" spans="1:17" ht="16.5" hidden="1" x14ac:dyDescent="0.35">
      <c r="A200" s="53">
        <v>199</v>
      </c>
      <c r="B200" s="147" t="s">
        <v>267</v>
      </c>
      <c r="C200" s="18" t="s">
        <v>660</v>
      </c>
      <c r="D200" s="17" t="s">
        <v>312</v>
      </c>
      <c r="E200" s="17" t="s">
        <v>313</v>
      </c>
      <c r="H200" s="23" t="s">
        <v>304</v>
      </c>
      <c r="I200" s="18" t="s">
        <v>53</v>
      </c>
      <c r="L200" s="15" t="s">
        <v>9</v>
      </c>
      <c r="O200" s="147">
        <v>1</v>
      </c>
      <c r="P200" s="15">
        <v>1</v>
      </c>
      <c r="Q200" s="148">
        <f t="shared" si="7"/>
        <v>2</v>
      </c>
    </row>
    <row r="201" spans="1:17" ht="16.5" hidden="1" x14ac:dyDescent="0.35">
      <c r="A201" s="53">
        <v>200</v>
      </c>
      <c r="B201" s="147" t="s">
        <v>268</v>
      </c>
      <c r="C201" s="18" t="s">
        <v>660</v>
      </c>
      <c r="D201" s="17" t="s">
        <v>312</v>
      </c>
      <c r="E201" s="17" t="s">
        <v>313</v>
      </c>
      <c r="H201" s="23"/>
      <c r="I201" s="18" t="s">
        <v>53</v>
      </c>
      <c r="L201" s="15" t="s">
        <v>2</v>
      </c>
      <c r="O201" s="147">
        <v>1</v>
      </c>
      <c r="P201" s="15">
        <v>1</v>
      </c>
      <c r="Q201" s="148">
        <f t="shared" si="7"/>
        <v>2</v>
      </c>
    </row>
    <row r="202" spans="1:17" ht="16.5" hidden="1" x14ac:dyDescent="0.35">
      <c r="A202" s="53">
        <v>201</v>
      </c>
      <c r="B202" s="147" t="s">
        <v>269</v>
      </c>
      <c r="C202" s="18" t="s">
        <v>660</v>
      </c>
      <c r="D202" s="17" t="s">
        <v>312</v>
      </c>
      <c r="E202" s="17" t="s">
        <v>313</v>
      </c>
      <c r="H202" s="23"/>
      <c r="I202" s="18" t="s">
        <v>53</v>
      </c>
      <c r="L202" s="15" t="s">
        <v>2</v>
      </c>
      <c r="O202" s="147">
        <v>3</v>
      </c>
      <c r="P202" s="15">
        <v>3</v>
      </c>
      <c r="Q202" s="148">
        <f t="shared" si="7"/>
        <v>6</v>
      </c>
    </row>
    <row r="203" spans="1:17" ht="16.5" hidden="1" x14ac:dyDescent="0.35">
      <c r="A203" s="53">
        <v>202</v>
      </c>
      <c r="B203" s="147" t="s">
        <v>270</v>
      </c>
      <c r="C203" s="18" t="s">
        <v>660</v>
      </c>
      <c r="D203" s="17" t="s">
        <v>312</v>
      </c>
      <c r="E203" s="17" t="s">
        <v>313</v>
      </c>
      <c r="H203" s="23"/>
      <c r="I203" s="18" t="s">
        <v>53</v>
      </c>
      <c r="L203" s="15" t="s">
        <v>2</v>
      </c>
      <c r="O203" s="147">
        <v>2</v>
      </c>
      <c r="P203" s="15">
        <v>2</v>
      </c>
      <c r="Q203" s="148">
        <f t="shared" si="7"/>
        <v>4</v>
      </c>
    </row>
    <row r="204" spans="1:17" ht="16.5" hidden="1" x14ac:dyDescent="0.35">
      <c r="A204" s="53">
        <v>203</v>
      </c>
      <c r="B204" s="147" t="s">
        <v>271</v>
      </c>
      <c r="C204" s="18" t="s">
        <v>660</v>
      </c>
      <c r="D204" s="17" t="s">
        <v>312</v>
      </c>
      <c r="E204" s="17" t="s">
        <v>313</v>
      </c>
      <c r="H204" s="23" t="s">
        <v>305</v>
      </c>
      <c r="I204" s="18" t="s">
        <v>53</v>
      </c>
      <c r="L204" s="15" t="s">
        <v>2</v>
      </c>
      <c r="O204" s="147">
        <v>1</v>
      </c>
      <c r="P204" s="15">
        <v>3</v>
      </c>
      <c r="Q204" s="148">
        <f t="shared" si="7"/>
        <v>4</v>
      </c>
    </row>
    <row r="205" spans="1:17" ht="16.5" hidden="1" x14ac:dyDescent="0.35">
      <c r="A205" s="53">
        <v>204</v>
      </c>
      <c r="B205" s="147" t="s">
        <v>272</v>
      </c>
      <c r="C205" s="18" t="s">
        <v>660</v>
      </c>
      <c r="D205" s="17" t="s">
        <v>312</v>
      </c>
      <c r="E205" s="17" t="s">
        <v>313</v>
      </c>
      <c r="H205" s="23" t="s">
        <v>306</v>
      </c>
      <c r="I205" s="18" t="s">
        <v>53</v>
      </c>
      <c r="L205" s="15" t="s">
        <v>9</v>
      </c>
      <c r="O205" s="147">
        <v>2</v>
      </c>
      <c r="P205" s="15">
        <v>2</v>
      </c>
      <c r="Q205" s="148">
        <f t="shared" si="7"/>
        <v>4</v>
      </c>
    </row>
    <row r="206" spans="1:17" ht="16.5" hidden="1" x14ac:dyDescent="0.35">
      <c r="A206" s="53">
        <v>205</v>
      </c>
      <c r="B206" s="147" t="s">
        <v>273</v>
      </c>
      <c r="C206" s="18" t="s">
        <v>660</v>
      </c>
      <c r="D206" s="17" t="s">
        <v>312</v>
      </c>
      <c r="E206" s="17" t="s">
        <v>313</v>
      </c>
      <c r="H206" s="23" t="s">
        <v>307</v>
      </c>
      <c r="I206" s="18" t="s">
        <v>53</v>
      </c>
      <c r="L206" s="15" t="s">
        <v>9</v>
      </c>
      <c r="O206" s="147">
        <v>1</v>
      </c>
      <c r="P206" s="15">
        <v>2</v>
      </c>
      <c r="Q206" s="148">
        <f t="shared" si="7"/>
        <v>3</v>
      </c>
    </row>
    <row r="207" spans="1:17" ht="16.5" hidden="1" x14ac:dyDescent="0.35">
      <c r="A207" s="53">
        <v>206</v>
      </c>
      <c r="B207" s="147" t="s">
        <v>274</v>
      </c>
      <c r="C207" s="18" t="s">
        <v>660</v>
      </c>
      <c r="D207" s="17" t="s">
        <v>312</v>
      </c>
      <c r="E207" s="17" t="s">
        <v>313</v>
      </c>
      <c r="H207" s="23"/>
      <c r="I207" s="18" t="s">
        <v>53</v>
      </c>
      <c r="L207" s="15" t="s">
        <v>2</v>
      </c>
      <c r="O207" s="147">
        <v>1</v>
      </c>
      <c r="P207" s="15">
        <v>1</v>
      </c>
      <c r="Q207" s="148">
        <f t="shared" si="7"/>
        <v>2</v>
      </c>
    </row>
    <row r="208" spans="1:17" ht="16.5" hidden="1" x14ac:dyDescent="0.35">
      <c r="A208" s="53">
        <v>207</v>
      </c>
      <c r="B208" s="147" t="s">
        <v>275</v>
      </c>
      <c r="C208" s="18" t="s">
        <v>660</v>
      </c>
      <c r="D208" s="17" t="s">
        <v>312</v>
      </c>
      <c r="E208" s="17" t="s">
        <v>313</v>
      </c>
      <c r="H208" s="23"/>
      <c r="I208" s="18" t="s">
        <v>53</v>
      </c>
      <c r="L208" s="15" t="s">
        <v>2</v>
      </c>
      <c r="O208" s="147">
        <v>2</v>
      </c>
      <c r="P208" s="15">
        <v>2</v>
      </c>
      <c r="Q208" s="148">
        <f t="shared" si="7"/>
        <v>4</v>
      </c>
    </row>
    <row r="209" spans="1:17" ht="16.5" hidden="1" x14ac:dyDescent="0.35">
      <c r="A209" s="53">
        <v>208</v>
      </c>
      <c r="B209" s="147" t="s">
        <v>276</v>
      </c>
      <c r="C209" s="18" t="s">
        <v>660</v>
      </c>
      <c r="D209" s="17" t="s">
        <v>312</v>
      </c>
      <c r="E209" s="17" t="s">
        <v>313</v>
      </c>
      <c r="H209" s="23"/>
      <c r="I209" s="18" t="s">
        <v>53</v>
      </c>
      <c r="L209" s="15" t="s">
        <v>2</v>
      </c>
      <c r="O209" s="147">
        <v>1</v>
      </c>
      <c r="P209" s="15">
        <v>2</v>
      </c>
      <c r="Q209" s="148">
        <f t="shared" si="7"/>
        <v>3</v>
      </c>
    </row>
    <row r="210" spans="1:17" ht="16.5" hidden="1" x14ac:dyDescent="0.35">
      <c r="A210" s="53">
        <v>209</v>
      </c>
      <c r="B210" s="147" t="s">
        <v>277</v>
      </c>
      <c r="C210" s="18" t="s">
        <v>660</v>
      </c>
      <c r="D210" s="17" t="s">
        <v>312</v>
      </c>
      <c r="E210" s="17" t="s">
        <v>313</v>
      </c>
      <c r="H210" s="23" t="s">
        <v>308</v>
      </c>
      <c r="I210" s="18" t="s">
        <v>53</v>
      </c>
      <c r="L210" s="15" t="s">
        <v>9</v>
      </c>
      <c r="O210" s="147">
        <v>1</v>
      </c>
      <c r="P210" s="15">
        <v>1</v>
      </c>
      <c r="Q210" s="148">
        <f t="shared" si="7"/>
        <v>2</v>
      </c>
    </row>
    <row r="211" spans="1:17" ht="16.5" hidden="1" x14ac:dyDescent="0.35">
      <c r="A211" s="53">
        <v>210</v>
      </c>
      <c r="B211" s="147" t="s">
        <v>278</v>
      </c>
      <c r="C211" s="18" t="s">
        <v>660</v>
      </c>
      <c r="D211" s="17" t="s">
        <v>312</v>
      </c>
      <c r="E211" s="17" t="s">
        <v>313</v>
      </c>
      <c r="H211" s="23" t="s">
        <v>309</v>
      </c>
      <c r="I211" s="18" t="s">
        <v>53</v>
      </c>
      <c r="L211" s="15" t="s">
        <v>9</v>
      </c>
      <c r="O211" s="147">
        <v>1</v>
      </c>
      <c r="P211" s="15">
        <v>1</v>
      </c>
      <c r="Q211" s="148">
        <f t="shared" si="7"/>
        <v>2</v>
      </c>
    </row>
    <row r="212" spans="1:17" ht="16.5" hidden="1" x14ac:dyDescent="0.35">
      <c r="A212" s="53">
        <v>211</v>
      </c>
      <c r="B212" s="147" t="s">
        <v>279</v>
      </c>
      <c r="C212" s="18" t="s">
        <v>660</v>
      </c>
      <c r="D212" s="17" t="s">
        <v>312</v>
      </c>
      <c r="E212" s="17" t="s">
        <v>313</v>
      </c>
      <c r="H212" s="23" t="s">
        <v>310</v>
      </c>
      <c r="I212" s="18" t="s">
        <v>53</v>
      </c>
      <c r="L212" s="15" t="s">
        <v>9</v>
      </c>
      <c r="O212" s="147">
        <v>2</v>
      </c>
      <c r="P212" s="15">
        <v>0</v>
      </c>
      <c r="Q212" s="148">
        <f t="shared" si="7"/>
        <v>2</v>
      </c>
    </row>
    <row r="213" spans="1:17" ht="16.5" hidden="1" x14ac:dyDescent="0.35">
      <c r="A213" s="53">
        <v>212</v>
      </c>
      <c r="B213" s="147" t="s">
        <v>280</v>
      </c>
      <c r="C213" s="18" t="s">
        <v>660</v>
      </c>
      <c r="D213" s="17" t="s">
        <v>312</v>
      </c>
      <c r="E213" s="17" t="s">
        <v>313</v>
      </c>
      <c r="H213" s="23" t="s">
        <v>311</v>
      </c>
      <c r="I213" s="18" t="s">
        <v>53</v>
      </c>
      <c r="L213" s="15" t="s">
        <v>9</v>
      </c>
      <c r="O213" s="147">
        <v>0</v>
      </c>
      <c r="P213" s="15">
        <v>0</v>
      </c>
      <c r="Q213" s="148">
        <f t="shared" si="7"/>
        <v>0</v>
      </c>
    </row>
    <row r="214" spans="1:17" ht="16.5" hidden="1" x14ac:dyDescent="0.35">
      <c r="A214" s="53">
        <v>213</v>
      </c>
      <c r="B214" s="147" t="s">
        <v>281</v>
      </c>
      <c r="C214" s="18" t="s">
        <v>660</v>
      </c>
      <c r="D214" s="17" t="s">
        <v>312</v>
      </c>
      <c r="E214" s="17" t="s">
        <v>313</v>
      </c>
      <c r="H214" s="23"/>
      <c r="I214" s="18" t="s">
        <v>53</v>
      </c>
      <c r="L214" s="15" t="s">
        <v>9</v>
      </c>
      <c r="O214" s="147">
        <v>0</v>
      </c>
      <c r="P214" s="15">
        <v>0</v>
      </c>
      <c r="Q214" s="148">
        <f t="shared" si="7"/>
        <v>0</v>
      </c>
    </row>
    <row r="215" spans="1:17" ht="16.5" hidden="1" x14ac:dyDescent="0.5">
      <c r="A215" s="53">
        <v>214</v>
      </c>
      <c r="B215" s="147" t="s">
        <v>282</v>
      </c>
      <c r="C215" s="18" t="s">
        <v>660</v>
      </c>
      <c r="D215" s="17" t="s">
        <v>312</v>
      </c>
      <c r="E215" s="17" t="s">
        <v>313</v>
      </c>
      <c r="H215" s="23"/>
      <c r="I215" s="18" t="s">
        <v>53</v>
      </c>
      <c r="L215" s="15" t="s">
        <v>2</v>
      </c>
      <c r="O215" s="149">
        <v>1</v>
      </c>
      <c r="P215" s="149">
        <v>2</v>
      </c>
      <c r="Q215" s="148">
        <f t="shared" si="7"/>
        <v>3</v>
      </c>
    </row>
    <row r="216" spans="1:17" ht="16.5" hidden="1" x14ac:dyDescent="0.35">
      <c r="A216" s="53">
        <v>215</v>
      </c>
      <c r="B216" s="147" t="s">
        <v>283</v>
      </c>
      <c r="C216" s="18" t="s">
        <v>660</v>
      </c>
      <c r="D216" s="17" t="s">
        <v>312</v>
      </c>
      <c r="E216" s="17" t="s">
        <v>313</v>
      </c>
      <c r="H216" s="24"/>
      <c r="I216" s="18" t="s">
        <v>53</v>
      </c>
      <c r="L216" s="15" t="s">
        <v>2</v>
      </c>
      <c r="O216" s="151">
        <v>0</v>
      </c>
      <c r="P216" s="151">
        <v>0</v>
      </c>
      <c r="Q216" s="148">
        <f t="shared" si="7"/>
        <v>0</v>
      </c>
    </row>
    <row r="217" spans="1:17" ht="17" hidden="1" thickBot="1" x14ac:dyDescent="0.4">
      <c r="A217" s="53">
        <v>216</v>
      </c>
      <c r="B217" s="352" t="s">
        <v>284</v>
      </c>
      <c r="C217" s="18" t="s">
        <v>660</v>
      </c>
      <c r="D217" s="17" t="s">
        <v>312</v>
      </c>
      <c r="E217" s="17" t="s">
        <v>313</v>
      </c>
      <c r="I217" s="18" t="s">
        <v>53</v>
      </c>
      <c r="L217" s="142" t="s">
        <v>2</v>
      </c>
      <c r="O217" s="143">
        <v>1</v>
      </c>
      <c r="P217" s="143">
        <v>1</v>
      </c>
      <c r="Q217" s="182">
        <f t="shared" si="7"/>
        <v>2</v>
      </c>
    </row>
    <row r="218" spans="1:17" ht="16.5" hidden="1" x14ac:dyDescent="0.35">
      <c r="A218" s="53">
        <v>217</v>
      </c>
      <c r="B218" s="147" t="s">
        <v>314</v>
      </c>
      <c r="C218" s="18" t="s">
        <v>660</v>
      </c>
      <c r="D218" s="17" t="s">
        <v>354</v>
      </c>
      <c r="E218" s="17" t="s">
        <v>355</v>
      </c>
      <c r="H218" s="23" t="s">
        <v>344</v>
      </c>
      <c r="I218" s="18" t="s">
        <v>53</v>
      </c>
      <c r="L218" s="15" t="s">
        <v>2</v>
      </c>
      <c r="O218" s="147">
        <v>0</v>
      </c>
      <c r="P218" s="15">
        <v>0</v>
      </c>
      <c r="Q218" s="148">
        <f>SUM(O218:P218)</f>
        <v>0</v>
      </c>
    </row>
    <row r="219" spans="1:17" ht="16.5" hidden="1" x14ac:dyDescent="0.35">
      <c r="A219" s="53">
        <v>218</v>
      </c>
      <c r="B219" s="147" t="s">
        <v>315</v>
      </c>
      <c r="C219" s="18" t="s">
        <v>660</v>
      </c>
      <c r="D219" s="17" t="s">
        <v>354</v>
      </c>
      <c r="E219" s="17" t="s">
        <v>355</v>
      </c>
      <c r="H219" s="23"/>
      <c r="I219" s="18" t="s">
        <v>53</v>
      </c>
      <c r="L219" s="15" t="s">
        <v>2</v>
      </c>
      <c r="O219" s="147">
        <v>2</v>
      </c>
      <c r="P219" s="15">
        <v>2</v>
      </c>
      <c r="Q219" s="148">
        <f t="shared" ref="Q219:Q247" si="8">SUM(O219:P219)</f>
        <v>4</v>
      </c>
    </row>
    <row r="220" spans="1:17" ht="16.5" hidden="1" x14ac:dyDescent="0.35">
      <c r="A220" s="53">
        <v>219</v>
      </c>
      <c r="B220" s="147" t="s">
        <v>316</v>
      </c>
      <c r="C220" s="18" t="s">
        <v>660</v>
      </c>
      <c r="D220" s="17" t="s">
        <v>354</v>
      </c>
      <c r="E220" s="17" t="s">
        <v>355</v>
      </c>
      <c r="H220" s="23" t="s">
        <v>345</v>
      </c>
      <c r="I220" s="18" t="s">
        <v>53</v>
      </c>
      <c r="L220" s="15" t="s">
        <v>2</v>
      </c>
      <c r="O220" s="147">
        <v>2</v>
      </c>
      <c r="P220" s="15">
        <v>2</v>
      </c>
      <c r="Q220" s="148">
        <f t="shared" si="8"/>
        <v>4</v>
      </c>
    </row>
    <row r="221" spans="1:17" ht="16.5" hidden="1" x14ac:dyDescent="0.35">
      <c r="A221" s="53">
        <v>220</v>
      </c>
      <c r="B221" s="147" t="s">
        <v>317</v>
      </c>
      <c r="C221" s="18" t="s">
        <v>660</v>
      </c>
      <c r="D221" s="17" t="s">
        <v>354</v>
      </c>
      <c r="E221" s="17" t="s">
        <v>355</v>
      </c>
      <c r="H221" s="23"/>
      <c r="I221" s="18" t="s">
        <v>53</v>
      </c>
      <c r="L221" s="15" t="s">
        <v>2</v>
      </c>
      <c r="O221" s="147">
        <v>3</v>
      </c>
      <c r="P221" s="15">
        <v>1</v>
      </c>
      <c r="Q221" s="148">
        <f t="shared" si="8"/>
        <v>4</v>
      </c>
    </row>
    <row r="222" spans="1:17" ht="16.5" hidden="1" x14ac:dyDescent="0.35">
      <c r="A222" s="53">
        <v>221</v>
      </c>
      <c r="B222" s="147" t="s">
        <v>318</v>
      </c>
      <c r="C222" s="18" t="s">
        <v>660</v>
      </c>
      <c r="D222" s="17" t="s">
        <v>354</v>
      </c>
      <c r="E222" s="17" t="s">
        <v>355</v>
      </c>
      <c r="H222" s="23"/>
      <c r="I222" s="18" t="s">
        <v>53</v>
      </c>
      <c r="L222" s="15" t="s">
        <v>2</v>
      </c>
      <c r="O222" s="147">
        <v>2</v>
      </c>
      <c r="P222" s="15">
        <v>1</v>
      </c>
      <c r="Q222" s="148">
        <f t="shared" si="8"/>
        <v>3</v>
      </c>
    </row>
    <row r="223" spans="1:17" ht="16.5" hidden="1" x14ac:dyDescent="0.35">
      <c r="A223" s="53">
        <v>222</v>
      </c>
      <c r="B223" s="147" t="s">
        <v>319</v>
      </c>
      <c r="C223" s="18" t="s">
        <v>660</v>
      </c>
      <c r="D223" s="17" t="s">
        <v>354</v>
      </c>
      <c r="E223" s="17" t="s">
        <v>355</v>
      </c>
      <c r="H223" s="23"/>
      <c r="I223" s="18" t="s">
        <v>53</v>
      </c>
      <c r="L223" s="15" t="s">
        <v>2</v>
      </c>
      <c r="O223" s="147">
        <v>2</v>
      </c>
      <c r="P223" s="15">
        <v>1</v>
      </c>
      <c r="Q223" s="148">
        <f t="shared" si="8"/>
        <v>3</v>
      </c>
    </row>
    <row r="224" spans="1:17" ht="16.5" hidden="1" x14ac:dyDescent="0.35">
      <c r="A224" s="53">
        <v>223</v>
      </c>
      <c r="B224" s="147" t="s">
        <v>320</v>
      </c>
      <c r="C224" s="18" t="s">
        <v>660</v>
      </c>
      <c r="D224" s="17" t="s">
        <v>354</v>
      </c>
      <c r="E224" s="17" t="s">
        <v>355</v>
      </c>
      <c r="H224" s="23"/>
      <c r="I224" s="18" t="s">
        <v>53</v>
      </c>
      <c r="L224" s="15" t="s">
        <v>2</v>
      </c>
      <c r="O224" s="147">
        <v>1</v>
      </c>
      <c r="P224" s="15">
        <v>3</v>
      </c>
      <c r="Q224" s="148">
        <f t="shared" si="8"/>
        <v>4</v>
      </c>
    </row>
    <row r="225" spans="1:17" ht="16.5" hidden="1" x14ac:dyDescent="0.35">
      <c r="A225" s="53">
        <v>224</v>
      </c>
      <c r="B225" s="147" t="s">
        <v>321</v>
      </c>
      <c r="C225" s="18" t="s">
        <v>660</v>
      </c>
      <c r="D225" s="17" t="s">
        <v>354</v>
      </c>
      <c r="E225" s="17" t="s">
        <v>355</v>
      </c>
      <c r="H225" s="23"/>
      <c r="I225" s="18" t="s">
        <v>53</v>
      </c>
      <c r="L225" s="15" t="s">
        <v>2</v>
      </c>
      <c r="O225" s="147">
        <v>2</v>
      </c>
      <c r="P225" s="15">
        <v>2</v>
      </c>
      <c r="Q225" s="148">
        <f t="shared" si="8"/>
        <v>4</v>
      </c>
    </row>
    <row r="226" spans="1:17" ht="16.5" hidden="1" x14ac:dyDescent="0.35">
      <c r="A226" s="53">
        <v>225</v>
      </c>
      <c r="B226" s="147" t="s">
        <v>322</v>
      </c>
      <c r="C226" s="18" t="s">
        <v>660</v>
      </c>
      <c r="D226" s="17" t="s">
        <v>354</v>
      </c>
      <c r="E226" s="17" t="s">
        <v>355</v>
      </c>
      <c r="H226" s="23"/>
      <c r="I226" s="18" t="s">
        <v>53</v>
      </c>
      <c r="L226" s="15" t="s">
        <v>2</v>
      </c>
      <c r="O226" s="147">
        <v>1</v>
      </c>
      <c r="P226" s="15">
        <v>0</v>
      </c>
      <c r="Q226" s="148">
        <f t="shared" si="8"/>
        <v>1</v>
      </c>
    </row>
    <row r="227" spans="1:17" ht="16.5" hidden="1" x14ac:dyDescent="0.35">
      <c r="A227" s="53">
        <v>226</v>
      </c>
      <c r="B227" s="147" t="s">
        <v>323</v>
      </c>
      <c r="C227" s="18" t="s">
        <v>660</v>
      </c>
      <c r="D227" s="17" t="s">
        <v>354</v>
      </c>
      <c r="E227" s="17" t="s">
        <v>355</v>
      </c>
      <c r="H227" s="23"/>
      <c r="I227" s="18" t="s">
        <v>53</v>
      </c>
      <c r="L227" s="15" t="s">
        <v>2</v>
      </c>
      <c r="O227" s="147">
        <v>0</v>
      </c>
      <c r="P227" s="15">
        <v>0</v>
      </c>
      <c r="Q227" s="148">
        <f t="shared" si="8"/>
        <v>0</v>
      </c>
    </row>
    <row r="228" spans="1:17" ht="16.5" hidden="1" x14ac:dyDescent="0.35">
      <c r="A228" s="53">
        <v>227</v>
      </c>
      <c r="B228" s="147" t="s">
        <v>324</v>
      </c>
      <c r="C228" s="18" t="s">
        <v>660</v>
      </c>
      <c r="D228" s="17" t="s">
        <v>354</v>
      </c>
      <c r="E228" s="17" t="s">
        <v>355</v>
      </c>
      <c r="H228" s="23"/>
      <c r="I228" s="18" t="s">
        <v>53</v>
      </c>
      <c r="L228" s="15" t="s">
        <v>2</v>
      </c>
      <c r="O228" s="147">
        <v>0</v>
      </c>
      <c r="P228" s="15">
        <v>0</v>
      </c>
      <c r="Q228" s="148">
        <f t="shared" si="8"/>
        <v>0</v>
      </c>
    </row>
    <row r="229" spans="1:17" ht="16.5" hidden="1" x14ac:dyDescent="0.35">
      <c r="A229" s="53">
        <v>228</v>
      </c>
      <c r="B229" s="147" t="s">
        <v>325</v>
      </c>
      <c r="C229" s="18" t="s">
        <v>660</v>
      </c>
      <c r="D229" s="17" t="s">
        <v>354</v>
      </c>
      <c r="E229" s="17" t="s">
        <v>355</v>
      </c>
      <c r="H229" s="23"/>
      <c r="I229" s="18" t="s">
        <v>53</v>
      </c>
      <c r="L229" s="15" t="s">
        <v>2</v>
      </c>
      <c r="O229" s="147">
        <v>3</v>
      </c>
      <c r="P229" s="15">
        <v>1</v>
      </c>
      <c r="Q229" s="148">
        <f t="shared" si="8"/>
        <v>4</v>
      </c>
    </row>
    <row r="230" spans="1:17" ht="16.5" hidden="1" x14ac:dyDescent="0.35">
      <c r="A230" s="53">
        <v>229</v>
      </c>
      <c r="B230" s="147" t="s">
        <v>326</v>
      </c>
      <c r="C230" s="18" t="s">
        <v>660</v>
      </c>
      <c r="D230" s="17" t="s">
        <v>354</v>
      </c>
      <c r="E230" s="17" t="s">
        <v>355</v>
      </c>
      <c r="H230" s="23"/>
      <c r="I230" s="18" t="s">
        <v>53</v>
      </c>
      <c r="L230" s="15" t="s">
        <v>2</v>
      </c>
      <c r="O230" s="147">
        <v>1</v>
      </c>
      <c r="P230" s="15">
        <v>1</v>
      </c>
      <c r="Q230" s="148">
        <f t="shared" si="8"/>
        <v>2</v>
      </c>
    </row>
    <row r="231" spans="1:17" ht="16.5" hidden="1" x14ac:dyDescent="0.35">
      <c r="A231" s="53">
        <v>230</v>
      </c>
      <c r="B231" s="147" t="s">
        <v>327</v>
      </c>
      <c r="C231" s="18" t="s">
        <v>660</v>
      </c>
      <c r="D231" s="17" t="s">
        <v>354</v>
      </c>
      <c r="E231" s="17" t="s">
        <v>355</v>
      </c>
      <c r="H231" s="23"/>
      <c r="I231" s="18" t="s">
        <v>53</v>
      </c>
      <c r="L231" s="15" t="s">
        <v>2</v>
      </c>
      <c r="O231" s="147">
        <v>1</v>
      </c>
      <c r="P231" s="15">
        <v>1</v>
      </c>
      <c r="Q231" s="148">
        <f t="shared" si="8"/>
        <v>2</v>
      </c>
    </row>
    <row r="232" spans="1:17" ht="16.5" hidden="1" x14ac:dyDescent="0.35">
      <c r="A232" s="53">
        <v>231</v>
      </c>
      <c r="B232" s="147" t="s">
        <v>328</v>
      </c>
      <c r="C232" s="18" t="s">
        <v>660</v>
      </c>
      <c r="D232" s="17" t="s">
        <v>354</v>
      </c>
      <c r="E232" s="17" t="s">
        <v>355</v>
      </c>
      <c r="H232" s="23"/>
      <c r="I232" s="18" t="s">
        <v>53</v>
      </c>
      <c r="L232" s="15" t="s">
        <v>2</v>
      </c>
      <c r="O232" s="147">
        <v>3</v>
      </c>
      <c r="P232" s="15">
        <v>3</v>
      </c>
      <c r="Q232" s="148">
        <f t="shared" si="8"/>
        <v>6</v>
      </c>
    </row>
    <row r="233" spans="1:17" ht="16.5" hidden="1" x14ac:dyDescent="0.35">
      <c r="A233" s="53">
        <v>232</v>
      </c>
      <c r="B233" s="147" t="s">
        <v>329</v>
      </c>
      <c r="C233" s="18" t="s">
        <v>660</v>
      </c>
      <c r="D233" s="17" t="s">
        <v>354</v>
      </c>
      <c r="E233" s="17" t="s">
        <v>355</v>
      </c>
      <c r="H233" s="23" t="s">
        <v>346</v>
      </c>
      <c r="I233" s="18" t="s">
        <v>53</v>
      </c>
      <c r="L233" s="15" t="s">
        <v>9</v>
      </c>
      <c r="O233" s="147">
        <v>2</v>
      </c>
      <c r="P233" s="15">
        <v>2</v>
      </c>
      <c r="Q233" s="148">
        <f t="shared" si="8"/>
        <v>4</v>
      </c>
    </row>
    <row r="234" spans="1:17" ht="16.5" hidden="1" x14ac:dyDescent="0.35">
      <c r="A234" s="53">
        <v>233</v>
      </c>
      <c r="B234" s="147" t="s">
        <v>330</v>
      </c>
      <c r="C234" s="18" t="s">
        <v>660</v>
      </c>
      <c r="D234" s="17" t="s">
        <v>354</v>
      </c>
      <c r="E234" s="17" t="s">
        <v>355</v>
      </c>
      <c r="H234" s="23" t="s">
        <v>347</v>
      </c>
      <c r="I234" s="18" t="s">
        <v>53</v>
      </c>
      <c r="L234" s="15" t="s">
        <v>9</v>
      </c>
      <c r="O234" s="147">
        <v>1</v>
      </c>
      <c r="P234" s="15">
        <v>3</v>
      </c>
      <c r="Q234" s="148">
        <f t="shared" si="8"/>
        <v>4</v>
      </c>
    </row>
    <row r="235" spans="1:17" ht="16.5" hidden="1" x14ac:dyDescent="0.35">
      <c r="A235" s="53">
        <v>234</v>
      </c>
      <c r="B235" s="147" t="s">
        <v>331</v>
      </c>
      <c r="C235" s="18" t="s">
        <v>660</v>
      </c>
      <c r="D235" s="17" t="s">
        <v>354</v>
      </c>
      <c r="E235" s="17" t="s">
        <v>355</v>
      </c>
      <c r="H235" s="23" t="s">
        <v>348</v>
      </c>
      <c r="I235" s="18" t="s">
        <v>53</v>
      </c>
      <c r="L235" s="15" t="s">
        <v>9</v>
      </c>
      <c r="O235" s="147">
        <v>2</v>
      </c>
      <c r="P235" s="15">
        <v>2</v>
      </c>
      <c r="Q235" s="148">
        <f t="shared" si="8"/>
        <v>4</v>
      </c>
    </row>
    <row r="236" spans="1:17" ht="16.5" hidden="1" x14ac:dyDescent="0.35">
      <c r="A236" s="53">
        <v>235</v>
      </c>
      <c r="B236" s="147" t="s">
        <v>332</v>
      </c>
      <c r="C236" s="18" t="s">
        <v>660</v>
      </c>
      <c r="D236" s="17" t="s">
        <v>354</v>
      </c>
      <c r="E236" s="17" t="s">
        <v>355</v>
      </c>
      <c r="H236" s="23" t="s">
        <v>349</v>
      </c>
      <c r="I236" s="18" t="s">
        <v>53</v>
      </c>
      <c r="L236" s="15" t="s">
        <v>9</v>
      </c>
      <c r="O236" s="147">
        <v>1</v>
      </c>
      <c r="P236" s="15">
        <v>2</v>
      </c>
      <c r="Q236" s="148">
        <f t="shared" si="8"/>
        <v>3</v>
      </c>
    </row>
    <row r="237" spans="1:17" ht="16.5" hidden="1" x14ac:dyDescent="0.35">
      <c r="A237" s="53">
        <v>236</v>
      </c>
      <c r="B237" s="147" t="s">
        <v>333</v>
      </c>
      <c r="C237" s="18" t="s">
        <v>660</v>
      </c>
      <c r="D237" s="17" t="s">
        <v>354</v>
      </c>
      <c r="E237" s="17" t="s">
        <v>355</v>
      </c>
      <c r="H237" s="23"/>
      <c r="I237" s="18" t="s">
        <v>53</v>
      </c>
      <c r="L237" s="15" t="s">
        <v>2</v>
      </c>
      <c r="O237" s="147">
        <v>1</v>
      </c>
      <c r="P237" s="15">
        <v>1</v>
      </c>
      <c r="Q237" s="148">
        <f t="shared" si="8"/>
        <v>2</v>
      </c>
    </row>
    <row r="238" spans="1:17" ht="16.5" hidden="1" x14ac:dyDescent="0.35">
      <c r="A238" s="53">
        <v>237</v>
      </c>
      <c r="B238" s="147" t="s">
        <v>334</v>
      </c>
      <c r="C238" s="18" t="s">
        <v>660</v>
      </c>
      <c r="D238" s="17" t="s">
        <v>354</v>
      </c>
      <c r="E238" s="17" t="s">
        <v>355</v>
      </c>
      <c r="H238" s="23"/>
      <c r="I238" s="18" t="s">
        <v>53</v>
      </c>
      <c r="L238" s="15" t="s">
        <v>2</v>
      </c>
      <c r="O238" s="147">
        <v>1</v>
      </c>
      <c r="P238" s="15">
        <v>1</v>
      </c>
      <c r="Q238" s="148">
        <f t="shared" si="8"/>
        <v>2</v>
      </c>
    </row>
    <row r="239" spans="1:17" ht="16.5" hidden="1" x14ac:dyDescent="0.35">
      <c r="A239" s="53">
        <v>238</v>
      </c>
      <c r="B239" s="147" t="s">
        <v>335</v>
      </c>
      <c r="C239" s="18" t="s">
        <v>660</v>
      </c>
      <c r="D239" s="17" t="s">
        <v>354</v>
      </c>
      <c r="E239" s="17" t="s">
        <v>355</v>
      </c>
      <c r="H239" s="23"/>
      <c r="I239" s="18" t="s">
        <v>53</v>
      </c>
      <c r="L239" s="15" t="s">
        <v>2</v>
      </c>
      <c r="O239" s="147">
        <v>2</v>
      </c>
      <c r="P239" s="15">
        <v>2</v>
      </c>
      <c r="Q239" s="148">
        <f t="shared" si="8"/>
        <v>4</v>
      </c>
    </row>
    <row r="240" spans="1:17" ht="16.5" hidden="1" x14ac:dyDescent="0.35">
      <c r="A240" s="53">
        <v>239</v>
      </c>
      <c r="B240" s="147" t="s">
        <v>336</v>
      </c>
      <c r="C240" s="18" t="s">
        <v>660</v>
      </c>
      <c r="D240" s="17" t="s">
        <v>354</v>
      </c>
      <c r="E240" s="17" t="s">
        <v>355</v>
      </c>
      <c r="H240" s="23" t="s">
        <v>350</v>
      </c>
      <c r="I240" s="18" t="s">
        <v>53</v>
      </c>
      <c r="L240" s="15" t="s">
        <v>2</v>
      </c>
      <c r="O240" s="147">
        <v>0</v>
      </c>
      <c r="P240" s="15">
        <v>4</v>
      </c>
      <c r="Q240" s="148">
        <f t="shared" si="8"/>
        <v>4</v>
      </c>
    </row>
    <row r="241" spans="1:17" ht="16.5" hidden="1" x14ac:dyDescent="0.35">
      <c r="A241" s="53">
        <v>240</v>
      </c>
      <c r="B241" s="147" t="s">
        <v>337</v>
      </c>
      <c r="C241" s="18" t="s">
        <v>660</v>
      </c>
      <c r="D241" s="17" t="s">
        <v>354</v>
      </c>
      <c r="E241" s="17" t="s">
        <v>355</v>
      </c>
      <c r="H241" s="23" t="s">
        <v>351</v>
      </c>
      <c r="I241" s="18" t="s">
        <v>53</v>
      </c>
      <c r="L241" s="15" t="s">
        <v>9</v>
      </c>
      <c r="O241" s="147">
        <v>1</v>
      </c>
      <c r="P241" s="15">
        <v>1</v>
      </c>
      <c r="Q241" s="148">
        <f t="shared" si="8"/>
        <v>2</v>
      </c>
    </row>
    <row r="242" spans="1:17" ht="16.5" hidden="1" x14ac:dyDescent="0.35">
      <c r="A242" s="53">
        <v>241</v>
      </c>
      <c r="B242" s="147" t="s">
        <v>338</v>
      </c>
      <c r="C242" s="18" t="s">
        <v>660</v>
      </c>
      <c r="D242" s="17" t="s">
        <v>354</v>
      </c>
      <c r="E242" s="17" t="s">
        <v>355</v>
      </c>
      <c r="H242" s="23"/>
      <c r="I242" s="18" t="s">
        <v>53</v>
      </c>
      <c r="L242" s="15" t="s">
        <v>2</v>
      </c>
      <c r="O242" s="147">
        <v>1</v>
      </c>
      <c r="P242" s="15">
        <v>3</v>
      </c>
      <c r="Q242" s="148">
        <f t="shared" si="8"/>
        <v>4</v>
      </c>
    </row>
    <row r="243" spans="1:17" ht="16.5" hidden="1" x14ac:dyDescent="0.35">
      <c r="A243" s="53">
        <v>242</v>
      </c>
      <c r="B243" s="147" t="s">
        <v>339</v>
      </c>
      <c r="C243" s="18" t="s">
        <v>660</v>
      </c>
      <c r="D243" s="17" t="s">
        <v>354</v>
      </c>
      <c r="E243" s="17" t="s">
        <v>355</v>
      </c>
      <c r="H243" s="23"/>
      <c r="I243" s="18" t="s">
        <v>53</v>
      </c>
      <c r="L243" s="15" t="s">
        <v>2</v>
      </c>
      <c r="O243" s="147">
        <v>0</v>
      </c>
      <c r="P243" s="15">
        <v>0</v>
      </c>
      <c r="Q243" s="148">
        <f t="shared" si="8"/>
        <v>0</v>
      </c>
    </row>
    <row r="244" spans="1:17" ht="16.5" hidden="1" x14ac:dyDescent="0.5">
      <c r="A244" s="53">
        <v>243</v>
      </c>
      <c r="B244" s="147" t="s">
        <v>340</v>
      </c>
      <c r="C244" s="18" t="s">
        <v>660</v>
      </c>
      <c r="D244" s="17" t="s">
        <v>354</v>
      </c>
      <c r="E244" s="17" t="s">
        <v>355</v>
      </c>
      <c r="H244" s="23" t="s">
        <v>352</v>
      </c>
      <c r="I244" s="18" t="s">
        <v>53</v>
      </c>
      <c r="L244" s="15" t="s">
        <v>9</v>
      </c>
      <c r="O244" s="149">
        <v>1</v>
      </c>
      <c r="P244" s="149">
        <v>3</v>
      </c>
      <c r="Q244" s="148">
        <f t="shared" si="8"/>
        <v>4</v>
      </c>
    </row>
    <row r="245" spans="1:17" ht="16.5" hidden="1" x14ac:dyDescent="0.35">
      <c r="A245" s="53">
        <v>244</v>
      </c>
      <c r="B245" s="147" t="s">
        <v>341</v>
      </c>
      <c r="C245" s="18" t="s">
        <v>660</v>
      </c>
      <c r="D245" s="17" t="s">
        <v>354</v>
      </c>
      <c r="E245" s="17" t="s">
        <v>355</v>
      </c>
      <c r="H245" s="24" t="s">
        <v>353</v>
      </c>
      <c r="I245" s="18" t="s">
        <v>53</v>
      </c>
      <c r="L245" s="15" t="s">
        <v>9</v>
      </c>
      <c r="O245" s="151">
        <v>2</v>
      </c>
      <c r="P245" s="151">
        <v>3</v>
      </c>
      <c r="Q245" s="148">
        <f t="shared" si="8"/>
        <v>5</v>
      </c>
    </row>
    <row r="246" spans="1:17" ht="16.5" hidden="1" x14ac:dyDescent="0.35">
      <c r="A246" s="53">
        <v>245</v>
      </c>
      <c r="B246" s="177" t="s">
        <v>342</v>
      </c>
      <c r="C246" s="18" t="s">
        <v>660</v>
      </c>
      <c r="D246" s="17" t="s">
        <v>354</v>
      </c>
      <c r="E246" s="17" t="s">
        <v>355</v>
      </c>
      <c r="H246" s="25"/>
      <c r="I246" s="18" t="s">
        <v>53</v>
      </c>
      <c r="L246" s="16" t="s">
        <v>2</v>
      </c>
      <c r="O246" s="143">
        <v>0</v>
      </c>
      <c r="P246" s="143">
        <v>0</v>
      </c>
      <c r="Q246" s="148">
        <f t="shared" si="8"/>
        <v>0</v>
      </c>
    </row>
    <row r="247" spans="1:17" ht="17" hidden="1" thickBot="1" x14ac:dyDescent="0.4">
      <c r="A247" s="53">
        <v>246</v>
      </c>
      <c r="B247" s="352" t="s">
        <v>343</v>
      </c>
      <c r="C247" s="18" t="s">
        <v>660</v>
      </c>
      <c r="D247" s="17" t="s">
        <v>354</v>
      </c>
      <c r="E247" s="17" t="s">
        <v>355</v>
      </c>
      <c r="H247" s="193"/>
      <c r="I247" s="18" t="s">
        <v>53</v>
      </c>
      <c r="L247" s="141" t="s">
        <v>9</v>
      </c>
      <c r="O247" s="143">
        <v>0</v>
      </c>
      <c r="P247" s="143">
        <v>0</v>
      </c>
      <c r="Q247" s="182">
        <f t="shared" si="8"/>
        <v>0</v>
      </c>
    </row>
    <row r="248" spans="1:17" ht="16.5" hidden="1" x14ac:dyDescent="0.35">
      <c r="A248" s="53">
        <v>247</v>
      </c>
      <c r="B248" s="147" t="s">
        <v>356</v>
      </c>
      <c r="C248" s="18" t="s">
        <v>660</v>
      </c>
      <c r="D248" s="17" t="s">
        <v>389</v>
      </c>
      <c r="E248" s="17" t="s">
        <v>390</v>
      </c>
      <c r="H248" s="23" t="s">
        <v>376</v>
      </c>
      <c r="I248" s="18" t="s">
        <v>53</v>
      </c>
      <c r="L248" s="15" t="s">
        <v>2</v>
      </c>
      <c r="M248" s="5" t="s">
        <v>388</v>
      </c>
      <c r="O248" s="147">
        <v>2</v>
      </c>
      <c r="P248" s="15">
        <v>3</v>
      </c>
      <c r="Q248" s="148">
        <f t="shared" ref="Q248:Q311" si="9">SUM(M248:P248)</f>
        <v>5</v>
      </c>
    </row>
    <row r="249" spans="1:17" ht="16.5" hidden="1" x14ac:dyDescent="0.35">
      <c r="A249" s="53">
        <v>248</v>
      </c>
      <c r="B249" s="147" t="s">
        <v>357</v>
      </c>
      <c r="C249" s="18" t="s">
        <v>660</v>
      </c>
      <c r="D249" s="17" t="s">
        <v>389</v>
      </c>
      <c r="E249" s="17" t="s">
        <v>390</v>
      </c>
      <c r="H249" s="23" t="s">
        <v>377</v>
      </c>
      <c r="I249" s="18" t="s">
        <v>53</v>
      </c>
      <c r="L249" s="15" t="s">
        <v>9</v>
      </c>
      <c r="M249" s="5" t="s">
        <v>388</v>
      </c>
      <c r="O249" s="147">
        <v>1</v>
      </c>
      <c r="P249" s="15">
        <v>1</v>
      </c>
      <c r="Q249" s="148">
        <f t="shared" si="9"/>
        <v>2</v>
      </c>
    </row>
    <row r="250" spans="1:17" ht="16.5" hidden="1" x14ac:dyDescent="0.35">
      <c r="A250" s="53">
        <v>249</v>
      </c>
      <c r="B250" s="147" t="s">
        <v>358</v>
      </c>
      <c r="C250" s="18" t="s">
        <v>660</v>
      </c>
      <c r="D250" s="17" t="s">
        <v>389</v>
      </c>
      <c r="E250" s="17" t="s">
        <v>390</v>
      </c>
      <c r="H250" s="23" t="s">
        <v>378</v>
      </c>
      <c r="I250" s="18" t="s">
        <v>53</v>
      </c>
      <c r="L250" s="15" t="s">
        <v>2</v>
      </c>
      <c r="M250" s="5" t="s">
        <v>388</v>
      </c>
      <c r="O250" s="147">
        <v>1</v>
      </c>
      <c r="P250" s="15">
        <v>1</v>
      </c>
      <c r="Q250" s="148">
        <f t="shared" si="9"/>
        <v>2</v>
      </c>
    </row>
    <row r="251" spans="1:17" ht="16.5" hidden="1" x14ac:dyDescent="0.35">
      <c r="A251" s="53">
        <v>250</v>
      </c>
      <c r="B251" s="147" t="s">
        <v>359</v>
      </c>
      <c r="C251" s="18" t="s">
        <v>660</v>
      </c>
      <c r="D251" s="17" t="s">
        <v>389</v>
      </c>
      <c r="E251" s="17" t="s">
        <v>390</v>
      </c>
      <c r="H251" s="23" t="s">
        <v>379</v>
      </c>
      <c r="I251" s="18" t="s">
        <v>53</v>
      </c>
      <c r="L251" s="15" t="s">
        <v>2</v>
      </c>
      <c r="M251" s="5" t="s">
        <v>388</v>
      </c>
      <c r="O251" s="147">
        <v>2</v>
      </c>
      <c r="P251" s="15">
        <v>3</v>
      </c>
      <c r="Q251" s="148">
        <f t="shared" si="9"/>
        <v>5</v>
      </c>
    </row>
    <row r="252" spans="1:17" ht="16.5" hidden="1" x14ac:dyDescent="0.35">
      <c r="A252" s="53">
        <v>251</v>
      </c>
      <c r="B252" s="147" t="s">
        <v>360</v>
      </c>
      <c r="C252" s="18" t="s">
        <v>660</v>
      </c>
      <c r="D252" s="17" t="s">
        <v>389</v>
      </c>
      <c r="E252" s="17" t="s">
        <v>390</v>
      </c>
      <c r="H252" s="23" t="s">
        <v>380</v>
      </c>
      <c r="I252" s="18" t="s">
        <v>53</v>
      </c>
      <c r="L252" s="15" t="s">
        <v>2</v>
      </c>
      <c r="M252" s="5" t="s">
        <v>388</v>
      </c>
      <c r="O252" s="147">
        <v>1</v>
      </c>
      <c r="P252" s="15">
        <v>4</v>
      </c>
      <c r="Q252" s="148">
        <f t="shared" si="9"/>
        <v>5</v>
      </c>
    </row>
    <row r="253" spans="1:17" ht="16.5" hidden="1" x14ac:dyDescent="0.35">
      <c r="A253" s="53">
        <v>252</v>
      </c>
      <c r="B253" s="147" t="s">
        <v>361</v>
      </c>
      <c r="C253" s="18" t="s">
        <v>660</v>
      </c>
      <c r="D253" s="17" t="s">
        <v>389</v>
      </c>
      <c r="E253" s="17" t="s">
        <v>390</v>
      </c>
      <c r="H253" s="23" t="s">
        <v>381</v>
      </c>
      <c r="I253" s="18" t="s">
        <v>53</v>
      </c>
      <c r="L253" s="15" t="s">
        <v>2</v>
      </c>
      <c r="M253" s="5" t="s">
        <v>388</v>
      </c>
      <c r="O253" s="147">
        <v>2</v>
      </c>
      <c r="P253" s="15">
        <v>1</v>
      </c>
      <c r="Q253" s="148">
        <f t="shared" si="9"/>
        <v>3</v>
      </c>
    </row>
    <row r="254" spans="1:17" ht="16.5" hidden="1" x14ac:dyDescent="0.35">
      <c r="A254" s="53">
        <v>253</v>
      </c>
      <c r="B254" s="147" t="s">
        <v>362</v>
      </c>
      <c r="C254" s="18" t="s">
        <v>660</v>
      </c>
      <c r="D254" s="17" t="s">
        <v>389</v>
      </c>
      <c r="E254" s="17" t="s">
        <v>390</v>
      </c>
      <c r="H254" s="23"/>
      <c r="I254" s="18" t="s">
        <v>53</v>
      </c>
      <c r="L254" s="15" t="s">
        <v>2</v>
      </c>
      <c r="M254" s="5" t="s">
        <v>388</v>
      </c>
      <c r="O254" s="147">
        <v>1</v>
      </c>
      <c r="P254" s="15">
        <v>2</v>
      </c>
      <c r="Q254" s="148">
        <f t="shared" si="9"/>
        <v>3</v>
      </c>
    </row>
    <row r="255" spans="1:17" ht="16.5" hidden="1" x14ac:dyDescent="0.35">
      <c r="A255" s="53">
        <v>254</v>
      </c>
      <c r="B255" s="147" t="s">
        <v>363</v>
      </c>
      <c r="C255" s="18" t="s">
        <v>660</v>
      </c>
      <c r="D255" s="17" t="s">
        <v>389</v>
      </c>
      <c r="E255" s="17" t="s">
        <v>390</v>
      </c>
      <c r="H255" s="23"/>
      <c r="I255" s="18" t="s">
        <v>53</v>
      </c>
      <c r="L255" s="15" t="s">
        <v>2</v>
      </c>
      <c r="M255" s="5" t="s">
        <v>388</v>
      </c>
      <c r="O255" s="147">
        <v>2</v>
      </c>
      <c r="P255" s="15">
        <v>2</v>
      </c>
      <c r="Q255" s="148">
        <f t="shared" si="9"/>
        <v>4</v>
      </c>
    </row>
    <row r="256" spans="1:17" ht="16.5" hidden="1" x14ac:dyDescent="0.35">
      <c r="A256" s="53">
        <v>255</v>
      </c>
      <c r="B256" s="147" t="s">
        <v>364</v>
      </c>
      <c r="C256" s="18" t="s">
        <v>660</v>
      </c>
      <c r="D256" s="17" t="s">
        <v>389</v>
      </c>
      <c r="E256" s="17" t="s">
        <v>390</v>
      </c>
      <c r="H256" s="23"/>
      <c r="I256" s="18" t="s">
        <v>53</v>
      </c>
      <c r="L256" s="15" t="s">
        <v>2</v>
      </c>
      <c r="M256" s="5" t="s">
        <v>388</v>
      </c>
      <c r="O256" s="147">
        <v>3</v>
      </c>
      <c r="P256" s="15">
        <v>2</v>
      </c>
      <c r="Q256" s="148">
        <f t="shared" si="9"/>
        <v>5</v>
      </c>
    </row>
    <row r="257" spans="1:17" ht="16.5" hidden="1" x14ac:dyDescent="0.35">
      <c r="A257" s="53">
        <v>256</v>
      </c>
      <c r="B257" s="147" t="s">
        <v>365</v>
      </c>
      <c r="C257" s="18" t="s">
        <v>660</v>
      </c>
      <c r="D257" s="17" t="s">
        <v>389</v>
      </c>
      <c r="E257" s="17" t="s">
        <v>390</v>
      </c>
      <c r="H257" s="23" t="s">
        <v>382</v>
      </c>
      <c r="I257" s="18" t="s">
        <v>53</v>
      </c>
      <c r="L257" s="15" t="s">
        <v>2</v>
      </c>
      <c r="M257" s="5" t="s">
        <v>388</v>
      </c>
      <c r="O257" s="147">
        <v>2</v>
      </c>
      <c r="P257" s="15">
        <v>3</v>
      </c>
      <c r="Q257" s="148">
        <f t="shared" si="9"/>
        <v>5</v>
      </c>
    </row>
    <row r="258" spans="1:17" ht="16.5" hidden="1" x14ac:dyDescent="0.35">
      <c r="A258" s="53">
        <v>257</v>
      </c>
      <c r="B258" s="147" t="s">
        <v>366</v>
      </c>
      <c r="C258" s="18" t="s">
        <v>660</v>
      </c>
      <c r="D258" s="17" t="s">
        <v>389</v>
      </c>
      <c r="E258" s="17" t="s">
        <v>390</v>
      </c>
      <c r="H258" s="23"/>
      <c r="I258" s="18" t="s">
        <v>53</v>
      </c>
      <c r="L258" s="15" t="s">
        <v>2</v>
      </c>
      <c r="M258" s="5" t="s">
        <v>388</v>
      </c>
      <c r="O258" s="147">
        <v>6</v>
      </c>
      <c r="P258" s="15">
        <v>3</v>
      </c>
      <c r="Q258" s="148">
        <f t="shared" si="9"/>
        <v>9</v>
      </c>
    </row>
    <row r="259" spans="1:17" ht="16.5" hidden="1" x14ac:dyDescent="0.35">
      <c r="A259" s="53">
        <v>258</v>
      </c>
      <c r="B259" s="147" t="s">
        <v>367</v>
      </c>
      <c r="C259" s="18" t="s">
        <v>660</v>
      </c>
      <c r="D259" s="17" t="s">
        <v>389</v>
      </c>
      <c r="E259" s="17" t="s">
        <v>390</v>
      </c>
      <c r="H259" s="23" t="s">
        <v>383</v>
      </c>
      <c r="I259" s="18" t="s">
        <v>53</v>
      </c>
      <c r="L259" s="15" t="s">
        <v>9</v>
      </c>
      <c r="M259" s="5" t="s">
        <v>388</v>
      </c>
      <c r="O259" s="147">
        <v>5</v>
      </c>
      <c r="P259" s="15">
        <v>4</v>
      </c>
      <c r="Q259" s="148">
        <f t="shared" si="9"/>
        <v>9</v>
      </c>
    </row>
    <row r="260" spans="1:17" ht="16.5" hidden="1" x14ac:dyDescent="0.35">
      <c r="A260" s="53">
        <v>259</v>
      </c>
      <c r="B260" s="147" t="s">
        <v>368</v>
      </c>
      <c r="C260" s="18" t="s">
        <v>660</v>
      </c>
      <c r="D260" s="17" t="s">
        <v>389</v>
      </c>
      <c r="E260" s="17" t="s">
        <v>390</v>
      </c>
      <c r="H260" s="23" t="s">
        <v>384</v>
      </c>
      <c r="I260" s="18" t="s">
        <v>53</v>
      </c>
      <c r="L260" s="15" t="s">
        <v>9</v>
      </c>
      <c r="M260" s="5" t="s">
        <v>388</v>
      </c>
      <c r="O260" s="147">
        <v>3</v>
      </c>
      <c r="P260" s="15">
        <v>2</v>
      </c>
      <c r="Q260" s="148">
        <f t="shared" si="9"/>
        <v>5</v>
      </c>
    </row>
    <row r="261" spans="1:17" ht="16.5" hidden="1" x14ac:dyDescent="0.35">
      <c r="A261" s="53">
        <v>260</v>
      </c>
      <c r="B261" s="147" t="s">
        <v>369</v>
      </c>
      <c r="C261" s="18" t="s">
        <v>660</v>
      </c>
      <c r="D261" s="17" t="s">
        <v>389</v>
      </c>
      <c r="E261" s="17" t="s">
        <v>390</v>
      </c>
      <c r="H261" s="23" t="s">
        <v>385</v>
      </c>
      <c r="I261" s="18" t="s">
        <v>53</v>
      </c>
      <c r="L261" s="15" t="s">
        <v>9</v>
      </c>
      <c r="M261" s="5" t="s">
        <v>388</v>
      </c>
      <c r="O261" s="147">
        <v>2</v>
      </c>
      <c r="P261" s="15">
        <v>1</v>
      </c>
      <c r="Q261" s="148">
        <f t="shared" si="9"/>
        <v>3</v>
      </c>
    </row>
    <row r="262" spans="1:17" ht="16.5" hidden="1" x14ac:dyDescent="0.35">
      <c r="A262" s="53">
        <v>261</v>
      </c>
      <c r="B262" s="147" t="s">
        <v>370</v>
      </c>
      <c r="C262" s="18" t="s">
        <v>660</v>
      </c>
      <c r="D262" s="17" t="s">
        <v>389</v>
      </c>
      <c r="E262" s="17" t="s">
        <v>390</v>
      </c>
      <c r="H262" s="23" t="s">
        <v>386</v>
      </c>
      <c r="I262" s="18" t="s">
        <v>53</v>
      </c>
      <c r="L262" s="15" t="s">
        <v>9</v>
      </c>
      <c r="M262" s="5" t="s">
        <v>388</v>
      </c>
      <c r="O262" s="147">
        <v>2</v>
      </c>
      <c r="P262" s="15">
        <v>1</v>
      </c>
      <c r="Q262" s="148">
        <f t="shared" si="9"/>
        <v>3</v>
      </c>
    </row>
    <row r="263" spans="1:17" ht="16.5" hidden="1" x14ac:dyDescent="0.35">
      <c r="A263" s="53">
        <v>262</v>
      </c>
      <c r="B263" s="147" t="s">
        <v>371</v>
      </c>
      <c r="C263" s="18" t="s">
        <v>660</v>
      </c>
      <c r="D263" s="17" t="s">
        <v>389</v>
      </c>
      <c r="E263" s="17" t="s">
        <v>390</v>
      </c>
      <c r="H263" s="23"/>
      <c r="I263" s="18" t="s">
        <v>53</v>
      </c>
      <c r="L263" s="15" t="s">
        <v>9</v>
      </c>
      <c r="M263" s="5" t="s">
        <v>388</v>
      </c>
      <c r="O263" s="147">
        <v>2</v>
      </c>
      <c r="P263" s="15">
        <v>4</v>
      </c>
      <c r="Q263" s="148">
        <f t="shared" si="9"/>
        <v>6</v>
      </c>
    </row>
    <row r="264" spans="1:17" ht="16.5" hidden="1" x14ac:dyDescent="0.35">
      <c r="A264" s="53">
        <v>263</v>
      </c>
      <c r="B264" s="147" t="s">
        <v>372</v>
      </c>
      <c r="C264" s="18" t="s">
        <v>660</v>
      </c>
      <c r="D264" s="17" t="s">
        <v>389</v>
      </c>
      <c r="E264" s="17" t="s">
        <v>390</v>
      </c>
      <c r="H264" s="23" t="s">
        <v>387</v>
      </c>
      <c r="I264" s="18" t="s">
        <v>53</v>
      </c>
      <c r="L264" s="15" t="s">
        <v>9</v>
      </c>
      <c r="M264" s="5" t="s">
        <v>388</v>
      </c>
      <c r="O264" s="147">
        <v>2</v>
      </c>
      <c r="P264" s="15">
        <v>4</v>
      </c>
      <c r="Q264" s="148">
        <f t="shared" si="9"/>
        <v>6</v>
      </c>
    </row>
    <row r="265" spans="1:17" ht="16.5" hidden="1" x14ac:dyDescent="0.35">
      <c r="A265" s="53">
        <v>264</v>
      </c>
      <c r="B265" s="147" t="s">
        <v>373</v>
      </c>
      <c r="C265" s="18" t="s">
        <v>660</v>
      </c>
      <c r="D265" s="17" t="s">
        <v>389</v>
      </c>
      <c r="E265" s="17" t="s">
        <v>390</v>
      </c>
      <c r="H265" s="368"/>
      <c r="I265" s="18" t="s">
        <v>53</v>
      </c>
      <c r="L265" s="15" t="s">
        <v>2</v>
      </c>
      <c r="M265" s="5" t="s">
        <v>388</v>
      </c>
      <c r="O265" s="147">
        <v>2</v>
      </c>
      <c r="P265" s="15">
        <v>1</v>
      </c>
      <c r="Q265" s="148">
        <f t="shared" si="9"/>
        <v>3</v>
      </c>
    </row>
    <row r="266" spans="1:17" ht="17" hidden="1" thickBot="1" x14ac:dyDescent="0.4">
      <c r="A266" s="53">
        <v>265</v>
      </c>
      <c r="B266" s="353" t="s">
        <v>374</v>
      </c>
      <c r="C266" s="18" t="s">
        <v>660</v>
      </c>
      <c r="D266" s="17" t="s">
        <v>389</v>
      </c>
      <c r="E266" s="17" t="s">
        <v>390</v>
      </c>
      <c r="H266" s="369"/>
      <c r="I266" s="18" t="s">
        <v>53</v>
      </c>
      <c r="L266" s="15" t="s">
        <v>2</v>
      </c>
      <c r="M266" s="5" t="s">
        <v>388</v>
      </c>
      <c r="O266" s="147">
        <v>2</v>
      </c>
      <c r="P266" s="15">
        <v>1</v>
      </c>
      <c r="Q266" s="148">
        <f t="shared" si="9"/>
        <v>3</v>
      </c>
    </row>
    <row r="267" spans="1:17" ht="16.5" hidden="1" x14ac:dyDescent="0.35">
      <c r="A267" s="53">
        <v>266</v>
      </c>
      <c r="B267" s="147" t="s">
        <v>375</v>
      </c>
      <c r="C267" s="18" t="s">
        <v>660</v>
      </c>
      <c r="D267" s="17" t="s">
        <v>389</v>
      </c>
      <c r="E267" s="17" t="s">
        <v>390</v>
      </c>
      <c r="H267" s="370"/>
      <c r="I267" s="18" t="s">
        <v>53</v>
      </c>
      <c r="L267" s="15" t="s">
        <v>9</v>
      </c>
      <c r="M267" s="5" t="s">
        <v>388</v>
      </c>
      <c r="O267" s="147">
        <v>0</v>
      </c>
      <c r="P267" s="15">
        <v>0</v>
      </c>
      <c r="Q267" s="148">
        <f t="shared" si="9"/>
        <v>0</v>
      </c>
    </row>
    <row r="268" spans="1:17" ht="16.5" hidden="1" x14ac:dyDescent="0.35">
      <c r="A268" s="53">
        <v>267</v>
      </c>
      <c r="B268" s="147" t="s">
        <v>391</v>
      </c>
      <c r="C268" s="18" t="s">
        <v>660</v>
      </c>
      <c r="D268" s="17" t="s">
        <v>443</v>
      </c>
      <c r="E268" s="17" t="s">
        <v>444</v>
      </c>
      <c r="H268" s="23" t="s">
        <v>420</v>
      </c>
      <c r="I268" s="18" t="s">
        <v>53</v>
      </c>
      <c r="L268" s="15" t="s">
        <v>9</v>
      </c>
      <c r="M268" s="5" t="s">
        <v>442</v>
      </c>
      <c r="O268" s="147">
        <v>2</v>
      </c>
      <c r="P268" s="15">
        <v>2</v>
      </c>
      <c r="Q268" s="148">
        <f t="shared" si="9"/>
        <v>4</v>
      </c>
    </row>
    <row r="269" spans="1:17" ht="16.5" hidden="1" x14ac:dyDescent="0.35">
      <c r="A269" s="53">
        <v>268</v>
      </c>
      <c r="B269" s="147" t="s">
        <v>392</v>
      </c>
      <c r="C269" s="18" t="s">
        <v>660</v>
      </c>
      <c r="D269" s="17" t="s">
        <v>443</v>
      </c>
      <c r="E269" s="17" t="s">
        <v>444</v>
      </c>
      <c r="H269" s="23" t="s">
        <v>421</v>
      </c>
      <c r="I269" s="18" t="s">
        <v>53</v>
      </c>
      <c r="L269" s="15" t="s">
        <v>2</v>
      </c>
      <c r="M269" s="5" t="s">
        <v>442</v>
      </c>
      <c r="O269" s="147">
        <v>2</v>
      </c>
      <c r="P269" s="15">
        <v>1</v>
      </c>
      <c r="Q269" s="148">
        <f t="shared" si="9"/>
        <v>3</v>
      </c>
    </row>
    <row r="270" spans="1:17" ht="16.5" hidden="1" x14ac:dyDescent="0.35">
      <c r="A270" s="53">
        <v>269</v>
      </c>
      <c r="B270" s="147" t="s">
        <v>393</v>
      </c>
      <c r="C270" s="18" t="s">
        <v>660</v>
      </c>
      <c r="D270" s="17" t="s">
        <v>443</v>
      </c>
      <c r="E270" s="17" t="s">
        <v>444</v>
      </c>
      <c r="H270" s="23" t="s">
        <v>422</v>
      </c>
      <c r="I270" s="18" t="s">
        <v>53</v>
      </c>
      <c r="L270" s="15" t="s">
        <v>2</v>
      </c>
      <c r="M270" s="5" t="s">
        <v>442</v>
      </c>
      <c r="O270" s="147">
        <v>2</v>
      </c>
      <c r="P270" s="15">
        <v>0</v>
      </c>
      <c r="Q270" s="148">
        <f t="shared" si="9"/>
        <v>2</v>
      </c>
    </row>
    <row r="271" spans="1:17" ht="16.5" hidden="1" x14ac:dyDescent="0.35">
      <c r="A271" s="53">
        <v>270</v>
      </c>
      <c r="B271" s="147" t="s">
        <v>394</v>
      </c>
      <c r="C271" s="18" t="s">
        <v>660</v>
      </c>
      <c r="D271" s="17" t="s">
        <v>443</v>
      </c>
      <c r="E271" s="17" t="s">
        <v>444</v>
      </c>
      <c r="H271" s="23"/>
      <c r="I271" s="18" t="s">
        <v>53</v>
      </c>
      <c r="L271" s="15" t="s">
        <v>2</v>
      </c>
      <c r="M271" s="5" t="s">
        <v>442</v>
      </c>
      <c r="O271" s="147">
        <v>0</v>
      </c>
      <c r="P271" s="15">
        <v>0</v>
      </c>
      <c r="Q271" s="148">
        <f t="shared" si="9"/>
        <v>0</v>
      </c>
    </row>
    <row r="272" spans="1:17" ht="16.5" hidden="1" x14ac:dyDescent="0.35">
      <c r="A272" s="53">
        <v>271</v>
      </c>
      <c r="B272" s="147" t="s">
        <v>395</v>
      </c>
      <c r="C272" s="18" t="s">
        <v>660</v>
      </c>
      <c r="D272" s="17" t="s">
        <v>443</v>
      </c>
      <c r="E272" s="17" t="s">
        <v>444</v>
      </c>
      <c r="H272" s="23"/>
      <c r="I272" s="18" t="s">
        <v>53</v>
      </c>
      <c r="L272" s="15" t="s">
        <v>2</v>
      </c>
      <c r="M272" s="5" t="s">
        <v>442</v>
      </c>
      <c r="O272" s="147">
        <v>0</v>
      </c>
      <c r="P272" s="15">
        <v>2</v>
      </c>
      <c r="Q272" s="148">
        <f t="shared" si="9"/>
        <v>2</v>
      </c>
    </row>
    <row r="273" spans="1:17" ht="16.5" hidden="1" x14ac:dyDescent="0.35">
      <c r="A273" s="53">
        <v>272</v>
      </c>
      <c r="B273" s="147" t="s">
        <v>396</v>
      </c>
      <c r="C273" s="18" t="s">
        <v>660</v>
      </c>
      <c r="D273" s="17" t="s">
        <v>443</v>
      </c>
      <c r="E273" s="17" t="s">
        <v>444</v>
      </c>
      <c r="H273" s="23" t="s">
        <v>423</v>
      </c>
      <c r="I273" s="18" t="s">
        <v>53</v>
      </c>
      <c r="L273" s="15" t="s">
        <v>2</v>
      </c>
      <c r="M273" s="5" t="s">
        <v>442</v>
      </c>
      <c r="O273" s="147">
        <v>0</v>
      </c>
      <c r="P273" s="15">
        <v>0</v>
      </c>
      <c r="Q273" s="148">
        <f t="shared" si="9"/>
        <v>0</v>
      </c>
    </row>
    <row r="274" spans="1:17" ht="16.5" hidden="1" x14ac:dyDescent="0.35">
      <c r="A274" s="53">
        <v>273</v>
      </c>
      <c r="B274" s="147" t="s">
        <v>397</v>
      </c>
      <c r="C274" s="18" t="s">
        <v>660</v>
      </c>
      <c r="D274" s="17" t="s">
        <v>443</v>
      </c>
      <c r="E274" s="17" t="s">
        <v>444</v>
      </c>
      <c r="H274" s="23" t="s">
        <v>424</v>
      </c>
      <c r="I274" s="18" t="s">
        <v>53</v>
      </c>
      <c r="L274" s="15" t="s">
        <v>2</v>
      </c>
      <c r="M274" s="5" t="s">
        <v>442</v>
      </c>
      <c r="O274" s="147">
        <v>0</v>
      </c>
      <c r="P274" s="15">
        <v>0</v>
      </c>
      <c r="Q274" s="148">
        <f t="shared" si="9"/>
        <v>0</v>
      </c>
    </row>
    <row r="275" spans="1:17" ht="16.5" hidden="1" x14ac:dyDescent="0.35">
      <c r="A275" s="53">
        <v>274</v>
      </c>
      <c r="B275" s="147" t="s">
        <v>398</v>
      </c>
      <c r="C275" s="18" t="s">
        <v>660</v>
      </c>
      <c r="D275" s="17" t="s">
        <v>443</v>
      </c>
      <c r="E275" s="17" t="s">
        <v>444</v>
      </c>
      <c r="H275" s="23" t="s">
        <v>425</v>
      </c>
      <c r="I275" s="18" t="s">
        <v>53</v>
      </c>
      <c r="L275" s="15" t="s">
        <v>2</v>
      </c>
      <c r="M275" s="5" t="s">
        <v>442</v>
      </c>
      <c r="O275" s="147">
        <v>0</v>
      </c>
      <c r="P275" s="15">
        <v>0</v>
      </c>
      <c r="Q275" s="148">
        <f t="shared" si="9"/>
        <v>0</v>
      </c>
    </row>
    <row r="276" spans="1:17" ht="16.5" hidden="1" x14ac:dyDescent="0.35">
      <c r="A276" s="53">
        <v>275</v>
      </c>
      <c r="B276" s="147" t="s">
        <v>399</v>
      </c>
      <c r="C276" s="18" t="s">
        <v>660</v>
      </c>
      <c r="D276" s="17" t="s">
        <v>443</v>
      </c>
      <c r="E276" s="17" t="s">
        <v>444</v>
      </c>
      <c r="H276" s="23" t="s">
        <v>426</v>
      </c>
      <c r="I276" s="18" t="s">
        <v>53</v>
      </c>
      <c r="L276" s="15" t="s">
        <v>2</v>
      </c>
      <c r="M276" s="5" t="s">
        <v>442</v>
      </c>
      <c r="O276" s="147">
        <v>2</v>
      </c>
      <c r="P276" s="15">
        <v>0</v>
      </c>
      <c r="Q276" s="148">
        <f t="shared" si="9"/>
        <v>2</v>
      </c>
    </row>
    <row r="277" spans="1:17" ht="16.5" hidden="1" x14ac:dyDescent="0.35">
      <c r="A277" s="53">
        <v>276</v>
      </c>
      <c r="B277" s="147" t="s">
        <v>400</v>
      </c>
      <c r="C277" s="18" t="s">
        <v>660</v>
      </c>
      <c r="D277" s="17" t="s">
        <v>443</v>
      </c>
      <c r="E277" s="17" t="s">
        <v>444</v>
      </c>
      <c r="H277" s="23"/>
      <c r="I277" s="18" t="s">
        <v>53</v>
      </c>
      <c r="L277" s="15" t="s">
        <v>2</v>
      </c>
      <c r="M277" s="5" t="s">
        <v>442</v>
      </c>
      <c r="O277" s="147">
        <v>2</v>
      </c>
      <c r="P277" s="15">
        <v>1</v>
      </c>
      <c r="Q277" s="148">
        <f t="shared" si="9"/>
        <v>3</v>
      </c>
    </row>
    <row r="278" spans="1:17" ht="16.5" hidden="1" x14ac:dyDescent="0.35">
      <c r="A278" s="53">
        <v>277</v>
      </c>
      <c r="B278" s="147" t="s">
        <v>401</v>
      </c>
      <c r="C278" s="18" t="s">
        <v>660</v>
      </c>
      <c r="D278" s="17" t="s">
        <v>443</v>
      </c>
      <c r="E278" s="17" t="s">
        <v>444</v>
      </c>
      <c r="H278" s="23"/>
      <c r="I278" s="18" t="s">
        <v>53</v>
      </c>
      <c r="L278" s="15" t="s">
        <v>2</v>
      </c>
      <c r="M278" s="5" t="s">
        <v>442</v>
      </c>
      <c r="O278" s="147">
        <v>2</v>
      </c>
      <c r="P278" s="15">
        <v>2</v>
      </c>
      <c r="Q278" s="148">
        <f t="shared" si="9"/>
        <v>4</v>
      </c>
    </row>
    <row r="279" spans="1:17" ht="16.5" hidden="1" x14ac:dyDescent="0.35">
      <c r="A279" s="53">
        <v>278</v>
      </c>
      <c r="B279" s="147" t="s">
        <v>402</v>
      </c>
      <c r="C279" s="18" t="s">
        <v>660</v>
      </c>
      <c r="D279" s="17" t="s">
        <v>443</v>
      </c>
      <c r="E279" s="17" t="s">
        <v>444</v>
      </c>
      <c r="H279" s="23" t="s">
        <v>427</v>
      </c>
      <c r="I279" s="18" t="s">
        <v>53</v>
      </c>
      <c r="L279" s="15" t="s">
        <v>9</v>
      </c>
      <c r="M279" s="5" t="s">
        <v>442</v>
      </c>
      <c r="O279" s="147">
        <v>1</v>
      </c>
      <c r="P279" s="15">
        <v>0</v>
      </c>
      <c r="Q279" s="148">
        <f t="shared" si="9"/>
        <v>1</v>
      </c>
    </row>
    <row r="280" spans="1:17" ht="16.5" hidden="1" x14ac:dyDescent="0.35">
      <c r="A280" s="53">
        <v>279</v>
      </c>
      <c r="B280" s="147" t="s">
        <v>403</v>
      </c>
      <c r="C280" s="18" t="s">
        <v>660</v>
      </c>
      <c r="D280" s="17" t="s">
        <v>443</v>
      </c>
      <c r="E280" s="17" t="s">
        <v>444</v>
      </c>
      <c r="H280" s="23" t="s">
        <v>428</v>
      </c>
      <c r="I280" s="18" t="s">
        <v>53</v>
      </c>
      <c r="L280" s="15" t="s">
        <v>2</v>
      </c>
      <c r="M280" s="5" t="s">
        <v>442</v>
      </c>
      <c r="O280" s="147">
        <v>0</v>
      </c>
      <c r="P280" s="15">
        <v>0</v>
      </c>
      <c r="Q280" s="148">
        <f t="shared" si="9"/>
        <v>0</v>
      </c>
    </row>
    <row r="281" spans="1:17" ht="16.5" hidden="1" x14ac:dyDescent="0.35">
      <c r="A281" s="53">
        <v>280</v>
      </c>
      <c r="B281" s="147" t="s">
        <v>404</v>
      </c>
      <c r="C281" s="18" t="s">
        <v>660</v>
      </c>
      <c r="D281" s="17" t="s">
        <v>443</v>
      </c>
      <c r="E281" s="17" t="s">
        <v>444</v>
      </c>
      <c r="H281" s="23" t="s">
        <v>429</v>
      </c>
      <c r="I281" s="18" t="s">
        <v>53</v>
      </c>
      <c r="L281" s="15" t="s">
        <v>2</v>
      </c>
      <c r="M281" s="5" t="s">
        <v>442</v>
      </c>
      <c r="O281" s="147">
        <v>1</v>
      </c>
      <c r="P281" s="15">
        <v>2</v>
      </c>
      <c r="Q281" s="148">
        <f t="shared" si="9"/>
        <v>3</v>
      </c>
    </row>
    <row r="282" spans="1:17" ht="16.5" hidden="1" x14ac:dyDescent="0.35">
      <c r="A282" s="53">
        <v>281</v>
      </c>
      <c r="B282" s="147" t="s">
        <v>405</v>
      </c>
      <c r="C282" s="18" t="s">
        <v>660</v>
      </c>
      <c r="D282" s="17" t="s">
        <v>443</v>
      </c>
      <c r="E282" s="17" t="s">
        <v>444</v>
      </c>
      <c r="H282" s="23"/>
      <c r="I282" s="18" t="s">
        <v>53</v>
      </c>
      <c r="L282" s="15" t="s">
        <v>2</v>
      </c>
      <c r="M282" s="5" t="s">
        <v>442</v>
      </c>
      <c r="O282" s="147">
        <v>2</v>
      </c>
      <c r="P282" s="15">
        <v>0</v>
      </c>
      <c r="Q282" s="148">
        <f t="shared" si="9"/>
        <v>2</v>
      </c>
    </row>
    <row r="283" spans="1:17" ht="16.5" hidden="1" x14ac:dyDescent="0.35">
      <c r="A283" s="53">
        <v>282</v>
      </c>
      <c r="B283" s="147" t="s">
        <v>406</v>
      </c>
      <c r="C283" s="18" t="s">
        <v>660</v>
      </c>
      <c r="D283" s="17" t="s">
        <v>443</v>
      </c>
      <c r="E283" s="17" t="s">
        <v>444</v>
      </c>
      <c r="H283" s="23" t="s">
        <v>430</v>
      </c>
      <c r="I283" s="18" t="s">
        <v>53</v>
      </c>
      <c r="L283" s="15" t="s">
        <v>2</v>
      </c>
      <c r="M283" s="5" t="s">
        <v>442</v>
      </c>
      <c r="O283" s="147">
        <v>1</v>
      </c>
      <c r="P283" s="15">
        <v>1</v>
      </c>
      <c r="Q283" s="148">
        <f t="shared" si="9"/>
        <v>2</v>
      </c>
    </row>
    <row r="284" spans="1:17" ht="16.5" hidden="1" x14ac:dyDescent="0.35">
      <c r="A284" s="53">
        <v>283</v>
      </c>
      <c r="B284" s="147" t="s">
        <v>407</v>
      </c>
      <c r="C284" s="18" t="s">
        <v>660</v>
      </c>
      <c r="D284" s="17" t="s">
        <v>443</v>
      </c>
      <c r="E284" s="17" t="s">
        <v>444</v>
      </c>
      <c r="H284" s="23" t="s">
        <v>431</v>
      </c>
      <c r="I284" s="18" t="s">
        <v>53</v>
      </c>
      <c r="L284" s="15" t="s">
        <v>2</v>
      </c>
      <c r="M284" s="5" t="s">
        <v>442</v>
      </c>
      <c r="O284" s="147">
        <v>1</v>
      </c>
      <c r="P284" s="15">
        <v>2</v>
      </c>
      <c r="Q284" s="148">
        <f t="shared" si="9"/>
        <v>3</v>
      </c>
    </row>
    <row r="285" spans="1:17" ht="16.5" hidden="1" x14ac:dyDescent="0.35">
      <c r="A285" s="53">
        <v>284</v>
      </c>
      <c r="B285" s="147" t="s">
        <v>408</v>
      </c>
      <c r="C285" s="18" t="s">
        <v>660</v>
      </c>
      <c r="D285" s="17" t="s">
        <v>443</v>
      </c>
      <c r="E285" s="17" t="s">
        <v>444</v>
      </c>
      <c r="H285" s="23" t="s">
        <v>432</v>
      </c>
      <c r="I285" s="18" t="s">
        <v>53</v>
      </c>
      <c r="L285" s="15" t="s">
        <v>2</v>
      </c>
      <c r="M285" s="5" t="s">
        <v>442</v>
      </c>
      <c r="O285" s="147">
        <v>0</v>
      </c>
      <c r="P285" s="15">
        <v>0</v>
      </c>
      <c r="Q285" s="148">
        <f t="shared" si="9"/>
        <v>0</v>
      </c>
    </row>
    <row r="286" spans="1:17" ht="16.5" hidden="1" x14ac:dyDescent="0.35">
      <c r="A286" s="53">
        <v>285</v>
      </c>
      <c r="B286" s="147" t="s">
        <v>409</v>
      </c>
      <c r="C286" s="18" t="s">
        <v>660</v>
      </c>
      <c r="D286" s="17" t="s">
        <v>443</v>
      </c>
      <c r="E286" s="17" t="s">
        <v>444</v>
      </c>
      <c r="H286" s="23" t="s">
        <v>433</v>
      </c>
      <c r="I286" s="18" t="s">
        <v>53</v>
      </c>
      <c r="L286" s="15" t="s">
        <v>2</v>
      </c>
      <c r="M286" s="5" t="s">
        <v>442</v>
      </c>
      <c r="O286" s="147">
        <v>1</v>
      </c>
      <c r="P286" s="15">
        <v>1</v>
      </c>
      <c r="Q286" s="148">
        <f t="shared" si="9"/>
        <v>2</v>
      </c>
    </row>
    <row r="287" spans="1:17" ht="16.5" hidden="1" x14ac:dyDescent="0.35">
      <c r="A287" s="53">
        <v>286</v>
      </c>
      <c r="B287" s="147" t="s">
        <v>410</v>
      </c>
      <c r="C287" s="18" t="s">
        <v>660</v>
      </c>
      <c r="D287" s="17" t="s">
        <v>443</v>
      </c>
      <c r="E287" s="17" t="s">
        <v>444</v>
      </c>
      <c r="H287" s="23"/>
      <c r="I287" s="18" t="s">
        <v>53</v>
      </c>
      <c r="L287" s="15" t="s">
        <v>2</v>
      </c>
      <c r="M287" s="5" t="s">
        <v>442</v>
      </c>
      <c r="O287" s="147">
        <v>1</v>
      </c>
      <c r="P287" s="15">
        <v>2</v>
      </c>
      <c r="Q287" s="148">
        <f t="shared" si="9"/>
        <v>3</v>
      </c>
    </row>
    <row r="288" spans="1:17" ht="16.5" hidden="1" x14ac:dyDescent="0.35">
      <c r="A288" s="53">
        <v>287</v>
      </c>
      <c r="B288" s="147" t="s">
        <v>411</v>
      </c>
      <c r="C288" s="18" t="s">
        <v>660</v>
      </c>
      <c r="D288" s="17" t="s">
        <v>443</v>
      </c>
      <c r="E288" s="17" t="s">
        <v>444</v>
      </c>
      <c r="H288" s="23" t="s">
        <v>434</v>
      </c>
      <c r="I288" s="18" t="s">
        <v>53</v>
      </c>
      <c r="L288" s="15" t="s">
        <v>2</v>
      </c>
      <c r="M288" s="5" t="s">
        <v>442</v>
      </c>
      <c r="O288" s="147">
        <v>2</v>
      </c>
      <c r="P288" s="15">
        <v>2</v>
      </c>
      <c r="Q288" s="148">
        <f t="shared" si="9"/>
        <v>4</v>
      </c>
    </row>
    <row r="289" spans="1:17" ht="16.5" hidden="1" x14ac:dyDescent="0.35">
      <c r="A289" s="53">
        <v>288</v>
      </c>
      <c r="B289" s="147" t="s">
        <v>412</v>
      </c>
      <c r="C289" s="18" t="s">
        <v>660</v>
      </c>
      <c r="D289" s="17" t="s">
        <v>443</v>
      </c>
      <c r="E289" s="17" t="s">
        <v>444</v>
      </c>
      <c r="H289" s="23" t="s">
        <v>435</v>
      </c>
      <c r="I289" s="18" t="s">
        <v>53</v>
      </c>
      <c r="L289" s="15" t="s">
        <v>2</v>
      </c>
      <c r="M289" s="5" t="s">
        <v>442</v>
      </c>
      <c r="O289" s="147">
        <v>1</v>
      </c>
      <c r="P289" s="15">
        <v>1</v>
      </c>
      <c r="Q289" s="148">
        <f t="shared" si="9"/>
        <v>2</v>
      </c>
    </row>
    <row r="290" spans="1:17" ht="16.5" hidden="1" x14ac:dyDescent="0.35">
      <c r="A290" s="53">
        <v>289</v>
      </c>
      <c r="B290" s="147" t="s">
        <v>413</v>
      </c>
      <c r="C290" s="18" t="s">
        <v>660</v>
      </c>
      <c r="D290" s="17" t="s">
        <v>443</v>
      </c>
      <c r="E290" s="17" t="s">
        <v>444</v>
      </c>
      <c r="H290" s="23"/>
      <c r="I290" s="18" t="s">
        <v>53</v>
      </c>
      <c r="L290" s="15" t="s">
        <v>2</v>
      </c>
      <c r="M290" s="5" t="s">
        <v>442</v>
      </c>
      <c r="O290" s="147">
        <v>2</v>
      </c>
      <c r="P290" s="15">
        <v>2</v>
      </c>
      <c r="Q290" s="148">
        <f t="shared" si="9"/>
        <v>4</v>
      </c>
    </row>
    <row r="291" spans="1:17" ht="16.5" hidden="1" x14ac:dyDescent="0.35">
      <c r="A291" s="53">
        <v>290</v>
      </c>
      <c r="B291" s="147" t="s">
        <v>414</v>
      </c>
      <c r="C291" s="18" t="s">
        <v>660</v>
      </c>
      <c r="D291" s="17" t="s">
        <v>443</v>
      </c>
      <c r="E291" s="17" t="s">
        <v>444</v>
      </c>
      <c r="H291" s="23" t="s">
        <v>436</v>
      </c>
      <c r="I291" s="18" t="s">
        <v>53</v>
      </c>
      <c r="L291" s="15" t="s">
        <v>2</v>
      </c>
      <c r="M291" s="5" t="s">
        <v>442</v>
      </c>
      <c r="O291" s="147">
        <v>0</v>
      </c>
      <c r="P291" s="15">
        <v>0</v>
      </c>
      <c r="Q291" s="148">
        <f t="shared" si="9"/>
        <v>0</v>
      </c>
    </row>
    <row r="292" spans="1:17" ht="16.5" hidden="1" x14ac:dyDescent="0.35">
      <c r="A292" s="53">
        <v>291</v>
      </c>
      <c r="B292" s="147" t="s">
        <v>415</v>
      </c>
      <c r="C292" s="18" t="s">
        <v>660</v>
      </c>
      <c r="D292" s="17" t="s">
        <v>443</v>
      </c>
      <c r="E292" s="17" t="s">
        <v>444</v>
      </c>
      <c r="H292" s="23" t="s">
        <v>437</v>
      </c>
      <c r="I292" s="18" t="s">
        <v>53</v>
      </c>
      <c r="L292" s="15" t="s">
        <v>2</v>
      </c>
      <c r="M292" s="5" t="s">
        <v>442</v>
      </c>
      <c r="O292" s="147">
        <v>1</v>
      </c>
      <c r="P292" s="15">
        <v>2</v>
      </c>
      <c r="Q292" s="148">
        <f t="shared" si="9"/>
        <v>3</v>
      </c>
    </row>
    <row r="293" spans="1:17" ht="16.5" hidden="1" x14ac:dyDescent="0.35">
      <c r="A293" s="53">
        <v>292</v>
      </c>
      <c r="B293" s="147" t="s">
        <v>416</v>
      </c>
      <c r="C293" s="18" t="s">
        <v>660</v>
      </c>
      <c r="D293" s="17" t="s">
        <v>443</v>
      </c>
      <c r="E293" s="17" t="s">
        <v>444</v>
      </c>
      <c r="H293" s="23" t="s">
        <v>438</v>
      </c>
      <c r="I293" s="18" t="s">
        <v>53</v>
      </c>
      <c r="L293" s="15" t="s">
        <v>2</v>
      </c>
      <c r="M293" s="5" t="s">
        <v>442</v>
      </c>
      <c r="O293" s="147">
        <v>0</v>
      </c>
      <c r="P293" s="15">
        <v>1</v>
      </c>
      <c r="Q293" s="148">
        <f t="shared" si="9"/>
        <v>1</v>
      </c>
    </row>
    <row r="294" spans="1:17" ht="16.5" hidden="1" x14ac:dyDescent="0.5">
      <c r="A294" s="53">
        <v>293</v>
      </c>
      <c r="B294" s="147" t="s">
        <v>417</v>
      </c>
      <c r="C294" s="18" t="s">
        <v>660</v>
      </c>
      <c r="D294" s="17" t="s">
        <v>443</v>
      </c>
      <c r="E294" s="17" t="s">
        <v>444</v>
      </c>
      <c r="H294" s="23" t="s">
        <v>439</v>
      </c>
      <c r="I294" s="18" t="s">
        <v>53</v>
      </c>
      <c r="L294" s="15" t="s">
        <v>2</v>
      </c>
      <c r="M294" s="5" t="s">
        <v>442</v>
      </c>
      <c r="O294" s="149">
        <v>0</v>
      </c>
      <c r="P294" s="149">
        <v>1</v>
      </c>
      <c r="Q294" s="150">
        <f t="shared" si="9"/>
        <v>1</v>
      </c>
    </row>
    <row r="295" spans="1:17" ht="16.5" hidden="1" x14ac:dyDescent="0.35">
      <c r="A295" s="53">
        <v>294</v>
      </c>
      <c r="B295" s="147" t="s">
        <v>418</v>
      </c>
      <c r="C295" s="18" t="s">
        <v>660</v>
      </c>
      <c r="D295" s="17" t="s">
        <v>443</v>
      </c>
      <c r="E295" s="17" t="s">
        <v>444</v>
      </c>
      <c r="H295" s="24" t="s">
        <v>440</v>
      </c>
      <c r="I295" s="18" t="s">
        <v>53</v>
      </c>
      <c r="L295" s="15" t="s">
        <v>2</v>
      </c>
      <c r="M295" s="5" t="s">
        <v>442</v>
      </c>
      <c r="O295" s="151">
        <v>0</v>
      </c>
      <c r="P295" s="151">
        <v>1</v>
      </c>
      <c r="Q295" s="152">
        <f t="shared" si="9"/>
        <v>1</v>
      </c>
    </row>
    <row r="296" spans="1:17" ht="16.5" hidden="1" x14ac:dyDescent="0.35">
      <c r="A296" s="53">
        <v>295</v>
      </c>
      <c r="B296" s="177" t="s">
        <v>419</v>
      </c>
      <c r="C296" s="18" t="s">
        <v>660</v>
      </c>
      <c r="D296" s="17" t="s">
        <v>443</v>
      </c>
      <c r="E296" s="17" t="s">
        <v>444</v>
      </c>
      <c r="H296" s="25" t="s">
        <v>441</v>
      </c>
      <c r="I296" s="18" t="s">
        <v>53</v>
      </c>
      <c r="L296" s="16" t="s">
        <v>2</v>
      </c>
      <c r="M296" s="5" t="s">
        <v>442</v>
      </c>
      <c r="O296" s="143">
        <v>0</v>
      </c>
      <c r="P296" s="143">
        <v>1</v>
      </c>
      <c r="Q296" s="153">
        <f t="shared" si="9"/>
        <v>1</v>
      </c>
    </row>
    <row r="297" spans="1:17" ht="16.5" hidden="1" x14ac:dyDescent="0.35">
      <c r="A297" s="53">
        <v>296</v>
      </c>
      <c r="B297" s="177" t="s">
        <v>407</v>
      </c>
      <c r="C297" s="18" t="s">
        <v>660</v>
      </c>
      <c r="D297" s="17" t="s">
        <v>443</v>
      </c>
      <c r="E297" s="17" t="s">
        <v>444</v>
      </c>
      <c r="H297" s="25" t="s">
        <v>431</v>
      </c>
      <c r="I297" s="18" t="s">
        <v>53</v>
      </c>
      <c r="L297" s="143" t="s">
        <v>2</v>
      </c>
      <c r="M297" s="27" t="s">
        <v>442</v>
      </c>
      <c r="O297" s="143">
        <v>2</v>
      </c>
      <c r="P297" s="143">
        <v>0</v>
      </c>
      <c r="Q297" s="153">
        <f t="shared" si="9"/>
        <v>2</v>
      </c>
    </row>
    <row r="298" spans="1:17" ht="16.5" hidden="1" x14ac:dyDescent="0.35">
      <c r="A298" s="53">
        <v>297</v>
      </c>
      <c r="B298" s="147" t="s">
        <v>445</v>
      </c>
      <c r="C298" s="18" t="s">
        <v>660</v>
      </c>
      <c r="D298" s="17" t="s">
        <v>191</v>
      </c>
      <c r="E298" s="17" t="s">
        <v>190</v>
      </c>
      <c r="H298" s="23" t="s">
        <v>475</v>
      </c>
      <c r="I298" s="18" t="s">
        <v>53</v>
      </c>
      <c r="L298" s="15" t="s">
        <v>2</v>
      </c>
      <c r="M298" s="5" t="s">
        <v>499</v>
      </c>
      <c r="O298" s="147">
        <v>5</v>
      </c>
      <c r="P298" s="15">
        <v>2</v>
      </c>
      <c r="Q298" s="148">
        <f t="shared" si="9"/>
        <v>7</v>
      </c>
    </row>
    <row r="299" spans="1:17" ht="16.5" hidden="1" x14ac:dyDescent="0.35">
      <c r="A299" s="53">
        <v>298</v>
      </c>
      <c r="B299" s="147" t="s">
        <v>446</v>
      </c>
      <c r="C299" s="18" t="s">
        <v>660</v>
      </c>
      <c r="D299" s="17" t="s">
        <v>191</v>
      </c>
      <c r="E299" s="17" t="s">
        <v>190</v>
      </c>
      <c r="H299" s="23" t="s">
        <v>476</v>
      </c>
      <c r="I299" s="18" t="s">
        <v>53</v>
      </c>
      <c r="L299" s="15" t="s">
        <v>2</v>
      </c>
      <c r="M299" s="5" t="s">
        <v>499</v>
      </c>
      <c r="O299" s="147">
        <v>1</v>
      </c>
      <c r="P299" s="15">
        <v>1</v>
      </c>
      <c r="Q299" s="148">
        <f t="shared" si="9"/>
        <v>2</v>
      </c>
    </row>
    <row r="300" spans="1:17" ht="16.5" hidden="1" x14ac:dyDescent="0.35">
      <c r="A300" s="53">
        <v>299</v>
      </c>
      <c r="B300" s="147" t="s">
        <v>447</v>
      </c>
      <c r="C300" s="18" t="s">
        <v>660</v>
      </c>
      <c r="D300" s="17" t="s">
        <v>191</v>
      </c>
      <c r="E300" s="17" t="s">
        <v>190</v>
      </c>
      <c r="H300" s="23" t="s">
        <v>477</v>
      </c>
      <c r="I300" s="18" t="s">
        <v>53</v>
      </c>
      <c r="L300" s="15" t="s">
        <v>2</v>
      </c>
      <c r="M300" s="5" t="s">
        <v>499</v>
      </c>
      <c r="O300" s="147">
        <v>1</v>
      </c>
      <c r="P300" s="15">
        <v>5</v>
      </c>
      <c r="Q300" s="148">
        <f t="shared" si="9"/>
        <v>6</v>
      </c>
    </row>
    <row r="301" spans="1:17" ht="16.5" hidden="1" x14ac:dyDescent="0.35">
      <c r="A301" s="53">
        <v>300</v>
      </c>
      <c r="B301" s="147" t="s">
        <v>448</v>
      </c>
      <c r="C301" s="18" t="s">
        <v>660</v>
      </c>
      <c r="D301" s="17" t="s">
        <v>191</v>
      </c>
      <c r="E301" s="17" t="s">
        <v>190</v>
      </c>
      <c r="H301" s="23" t="s">
        <v>478</v>
      </c>
      <c r="I301" s="18" t="s">
        <v>53</v>
      </c>
      <c r="L301" s="15" t="s">
        <v>2</v>
      </c>
      <c r="M301" s="5" t="s">
        <v>499</v>
      </c>
      <c r="O301" s="147">
        <v>5</v>
      </c>
      <c r="P301" s="15">
        <v>2</v>
      </c>
      <c r="Q301" s="148">
        <f t="shared" si="9"/>
        <v>7</v>
      </c>
    </row>
    <row r="302" spans="1:17" ht="16.5" hidden="1" x14ac:dyDescent="0.35">
      <c r="A302" s="53">
        <v>301</v>
      </c>
      <c r="B302" s="147" t="s">
        <v>449</v>
      </c>
      <c r="C302" s="18" t="s">
        <v>660</v>
      </c>
      <c r="D302" s="17" t="s">
        <v>191</v>
      </c>
      <c r="E302" s="17" t="s">
        <v>190</v>
      </c>
      <c r="H302" s="23" t="s">
        <v>479</v>
      </c>
      <c r="I302" s="18" t="s">
        <v>53</v>
      </c>
      <c r="L302" s="15" t="s">
        <v>2</v>
      </c>
      <c r="M302" s="5" t="s">
        <v>499</v>
      </c>
      <c r="O302" s="147">
        <v>2</v>
      </c>
      <c r="P302" s="15">
        <v>2</v>
      </c>
      <c r="Q302" s="148">
        <f t="shared" si="9"/>
        <v>4</v>
      </c>
    </row>
    <row r="303" spans="1:17" ht="16.5" hidden="1" x14ac:dyDescent="0.35">
      <c r="A303" s="53">
        <v>302</v>
      </c>
      <c r="B303" s="147" t="s">
        <v>450</v>
      </c>
      <c r="C303" s="18" t="s">
        <v>660</v>
      </c>
      <c r="D303" s="17" t="s">
        <v>191</v>
      </c>
      <c r="E303" s="17" t="s">
        <v>190</v>
      </c>
      <c r="H303" s="23" t="s">
        <v>480</v>
      </c>
      <c r="I303" s="18" t="s">
        <v>53</v>
      </c>
      <c r="L303" s="15" t="s">
        <v>2</v>
      </c>
      <c r="M303" s="5" t="s">
        <v>499</v>
      </c>
      <c r="O303" s="147">
        <v>3</v>
      </c>
      <c r="P303" s="15">
        <v>2</v>
      </c>
      <c r="Q303" s="148">
        <f t="shared" si="9"/>
        <v>5</v>
      </c>
    </row>
    <row r="304" spans="1:17" ht="16.5" hidden="1" x14ac:dyDescent="0.35">
      <c r="A304" s="53">
        <v>303</v>
      </c>
      <c r="B304" s="147" t="s">
        <v>451</v>
      </c>
      <c r="C304" s="18" t="s">
        <v>660</v>
      </c>
      <c r="D304" s="17" t="s">
        <v>191</v>
      </c>
      <c r="E304" s="17" t="s">
        <v>190</v>
      </c>
      <c r="H304" s="23" t="s">
        <v>481</v>
      </c>
      <c r="I304" s="18" t="s">
        <v>53</v>
      </c>
      <c r="L304" s="15" t="s">
        <v>2</v>
      </c>
      <c r="M304" s="5" t="s">
        <v>499</v>
      </c>
      <c r="O304" s="147">
        <v>3</v>
      </c>
      <c r="P304" s="15">
        <v>1</v>
      </c>
      <c r="Q304" s="148">
        <f t="shared" si="9"/>
        <v>4</v>
      </c>
    </row>
    <row r="305" spans="1:17" ht="16.5" hidden="1" x14ac:dyDescent="0.35">
      <c r="A305" s="53">
        <v>304</v>
      </c>
      <c r="B305" s="147" t="s">
        <v>452</v>
      </c>
      <c r="C305" s="18" t="s">
        <v>660</v>
      </c>
      <c r="D305" s="17" t="s">
        <v>191</v>
      </c>
      <c r="E305" s="17" t="s">
        <v>190</v>
      </c>
      <c r="H305" s="23" t="s">
        <v>482</v>
      </c>
      <c r="I305" s="18" t="s">
        <v>53</v>
      </c>
      <c r="L305" s="15" t="s">
        <v>2</v>
      </c>
      <c r="M305" s="5" t="s">
        <v>499</v>
      </c>
      <c r="O305" s="147">
        <v>0</v>
      </c>
      <c r="P305" s="15">
        <v>1</v>
      </c>
      <c r="Q305" s="148">
        <f t="shared" si="9"/>
        <v>1</v>
      </c>
    </row>
    <row r="306" spans="1:17" ht="16.5" hidden="1" x14ac:dyDescent="0.35">
      <c r="A306" s="53">
        <v>305</v>
      </c>
      <c r="B306" s="147" t="s">
        <v>453</v>
      </c>
      <c r="C306" s="18" t="s">
        <v>660</v>
      </c>
      <c r="D306" s="17" t="s">
        <v>191</v>
      </c>
      <c r="E306" s="17" t="s">
        <v>190</v>
      </c>
      <c r="H306" s="23" t="s">
        <v>483</v>
      </c>
      <c r="I306" s="18" t="s">
        <v>53</v>
      </c>
      <c r="L306" s="15" t="s">
        <v>2</v>
      </c>
      <c r="M306" s="5" t="s">
        <v>499</v>
      </c>
      <c r="O306" s="147">
        <v>0</v>
      </c>
      <c r="P306" s="15">
        <v>3</v>
      </c>
      <c r="Q306" s="148">
        <f t="shared" si="9"/>
        <v>3</v>
      </c>
    </row>
    <row r="307" spans="1:17" ht="16.5" hidden="1" x14ac:dyDescent="0.35">
      <c r="A307" s="53">
        <v>306</v>
      </c>
      <c r="B307" s="147" t="s">
        <v>454</v>
      </c>
      <c r="C307" s="18" t="s">
        <v>660</v>
      </c>
      <c r="D307" s="17" t="s">
        <v>191</v>
      </c>
      <c r="E307" s="17" t="s">
        <v>190</v>
      </c>
      <c r="H307" s="23" t="s">
        <v>484</v>
      </c>
      <c r="I307" s="18" t="s">
        <v>53</v>
      </c>
      <c r="L307" s="15" t="s">
        <v>2</v>
      </c>
      <c r="M307" s="5" t="s">
        <v>499</v>
      </c>
      <c r="O307" s="147">
        <v>2</v>
      </c>
      <c r="P307" s="15">
        <v>1</v>
      </c>
      <c r="Q307" s="148">
        <f t="shared" si="9"/>
        <v>3</v>
      </c>
    </row>
    <row r="308" spans="1:17" ht="16.5" hidden="1" x14ac:dyDescent="0.35">
      <c r="A308" s="53">
        <v>307</v>
      </c>
      <c r="B308" s="147" t="s">
        <v>455</v>
      </c>
      <c r="C308" s="18" t="s">
        <v>660</v>
      </c>
      <c r="D308" s="17" t="s">
        <v>191</v>
      </c>
      <c r="E308" s="17" t="s">
        <v>190</v>
      </c>
      <c r="H308" s="23" t="s">
        <v>485</v>
      </c>
      <c r="I308" s="18" t="s">
        <v>53</v>
      </c>
      <c r="L308" s="15" t="s">
        <v>2</v>
      </c>
      <c r="M308" s="5" t="s">
        <v>499</v>
      </c>
      <c r="O308" s="147">
        <v>1</v>
      </c>
      <c r="P308" s="15">
        <v>3</v>
      </c>
      <c r="Q308" s="148">
        <f t="shared" si="9"/>
        <v>4</v>
      </c>
    </row>
    <row r="309" spans="1:17" ht="16.5" hidden="1" x14ac:dyDescent="0.35">
      <c r="A309" s="53">
        <v>308</v>
      </c>
      <c r="B309" s="147" t="s">
        <v>456</v>
      </c>
      <c r="C309" s="18" t="s">
        <v>660</v>
      </c>
      <c r="D309" s="17" t="s">
        <v>191</v>
      </c>
      <c r="E309" s="17" t="s">
        <v>190</v>
      </c>
      <c r="H309" s="23" t="s">
        <v>486</v>
      </c>
      <c r="I309" s="18" t="s">
        <v>53</v>
      </c>
      <c r="L309" s="15" t="s">
        <v>2</v>
      </c>
      <c r="M309" s="5" t="s">
        <v>499</v>
      </c>
      <c r="O309" s="147">
        <v>3</v>
      </c>
      <c r="P309" s="15">
        <v>4</v>
      </c>
      <c r="Q309" s="148">
        <f t="shared" si="9"/>
        <v>7</v>
      </c>
    </row>
    <row r="310" spans="1:17" ht="16.5" hidden="1" x14ac:dyDescent="0.35">
      <c r="A310" s="53">
        <v>309</v>
      </c>
      <c r="B310" s="147" t="s">
        <v>457</v>
      </c>
      <c r="C310" s="18" t="s">
        <v>660</v>
      </c>
      <c r="D310" s="17" t="s">
        <v>191</v>
      </c>
      <c r="E310" s="17" t="s">
        <v>190</v>
      </c>
      <c r="H310" s="23" t="s">
        <v>487</v>
      </c>
      <c r="I310" s="18" t="s">
        <v>53</v>
      </c>
      <c r="L310" s="15" t="s">
        <v>2</v>
      </c>
      <c r="M310" s="5" t="s">
        <v>499</v>
      </c>
      <c r="O310" s="147">
        <v>2</v>
      </c>
      <c r="P310" s="15">
        <v>4</v>
      </c>
      <c r="Q310" s="148">
        <f t="shared" si="9"/>
        <v>6</v>
      </c>
    </row>
    <row r="311" spans="1:17" ht="16.5" hidden="1" x14ac:dyDescent="0.35">
      <c r="A311" s="53">
        <v>310</v>
      </c>
      <c r="B311" s="147" t="s">
        <v>458</v>
      </c>
      <c r="C311" s="18" t="s">
        <v>660</v>
      </c>
      <c r="D311" s="17" t="s">
        <v>191</v>
      </c>
      <c r="E311" s="17" t="s">
        <v>190</v>
      </c>
      <c r="H311" s="23" t="s">
        <v>488</v>
      </c>
      <c r="I311" s="18" t="s">
        <v>53</v>
      </c>
      <c r="L311" s="15" t="s">
        <v>2</v>
      </c>
      <c r="M311" s="5" t="s">
        <v>499</v>
      </c>
      <c r="O311" s="147">
        <v>1</v>
      </c>
      <c r="P311" s="15">
        <v>2</v>
      </c>
      <c r="Q311" s="148">
        <f t="shared" si="9"/>
        <v>3</v>
      </c>
    </row>
    <row r="312" spans="1:17" ht="16.5" hidden="1" x14ac:dyDescent="0.35">
      <c r="A312" s="53">
        <v>311</v>
      </c>
      <c r="B312" s="147" t="s">
        <v>459</v>
      </c>
      <c r="C312" s="18" t="s">
        <v>660</v>
      </c>
      <c r="D312" s="17" t="s">
        <v>191</v>
      </c>
      <c r="E312" s="17" t="s">
        <v>190</v>
      </c>
      <c r="H312" s="23"/>
      <c r="I312" s="18" t="s">
        <v>53</v>
      </c>
      <c r="L312" s="15" t="s">
        <v>2</v>
      </c>
      <c r="M312" s="5" t="s">
        <v>499</v>
      </c>
      <c r="O312" s="147">
        <v>3</v>
      </c>
      <c r="P312" s="15">
        <v>4</v>
      </c>
      <c r="Q312" s="148">
        <f t="shared" ref="Q312:Q375" si="10">SUM(M312:P312)</f>
        <v>7</v>
      </c>
    </row>
    <row r="313" spans="1:17" ht="16.5" hidden="1" x14ac:dyDescent="0.35">
      <c r="A313" s="53">
        <v>312</v>
      </c>
      <c r="B313" s="147" t="s">
        <v>460</v>
      </c>
      <c r="C313" s="18" t="s">
        <v>660</v>
      </c>
      <c r="D313" s="17" t="s">
        <v>191</v>
      </c>
      <c r="E313" s="17" t="s">
        <v>190</v>
      </c>
      <c r="H313" s="23" t="s">
        <v>489</v>
      </c>
      <c r="I313" s="18" t="s">
        <v>53</v>
      </c>
      <c r="L313" s="15" t="s">
        <v>2</v>
      </c>
      <c r="M313" s="5" t="s">
        <v>499</v>
      </c>
      <c r="O313" s="147">
        <v>1</v>
      </c>
      <c r="P313" s="15">
        <v>1</v>
      </c>
      <c r="Q313" s="148">
        <f t="shared" si="10"/>
        <v>2</v>
      </c>
    </row>
    <row r="314" spans="1:17" ht="16.5" hidden="1" x14ac:dyDescent="0.35">
      <c r="A314" s="53">
        <v>313</v>
      </c>
      <c r="B314" s="147" t="s">
        <v>461</v>
      </c>
      <c r="C314" s="18" t="s">
        <v>660</v>
      </c>
      <c r="D314" s="17" t="s">
        <v>191</v>
      </c>
      <c r="E314" s="17" t="s">
        <v>190</v>
      </c>
      <c r="H314" s="23"/>
      <c r="I314" s="18" t="s">
        <v>53</v>
      </c>
      <c r="L314" s="15" t="s">
        <v>2</v>
      </c>
      <c r="M314" s="5" t="s">
        <v>499</v>
      </c>
      <c r="O314" s="147">
        <v>3</v>
      </c>
      <c r="P314" s="15">
        <v>2</v>
      </c>
      <c r="Q314" s="148">
        <f t="shared" si="10"/>
        <v>5</v>
      </c>
    </row>
    <row r="315" spans="1:17" ht="16.5" hidden="1" x14ac:dyDescent="0.35">
      <c r="A315" s="53">
        <v>314</v>
      </c>
      <c r="B315" s="147" t="s">
        <v>462</v>
      </c>
      <c r="C315" s="18" t="s">
        <v>660</v>
      </c>
      <c r="D315" s="17" t="s">
        <v>191</v>
      </c>
      <c r="E315" s="17" t="s">
        <v>190</v>
      </c>
      <c r="H315" s="23"/>
      <c r="I315" s="18" t="s">
        <v>53</v>
      </c>
      <c r="L315" s="15" t="s">
        <v>2</v>
      </c>
      <c r="M315" s="5" t="s">
        <v>499</v>
      </c>
      <c r="O315" s="147">
        <v>3</v>
      </c>
      <c r="P315" s="15">
        <v>4</v>
      </c>
      <c r="Q315" s="148">
        <f t="shared" si="10"/>
        <v>7</v>
      </c>
    </row>
    <row r="316" spans="1:17" ht="16.5" hidden="1" x14ac:dyDescent="0.35">
      <c r="A316" s="53">
        <v>315</v>
      </c>
      <c r="B316" s="147" t="s">
        <v>463</v>
      </c>
      <c r="C316" s="18" t="s">
        <v>660</v>
      </c>
      <c r="D316" s="17" t="s">
        <v>191</v>
      </c>
      <c r="E316" s="17" t="s">
        <v>190</v>
      </c>
      <c r="H316" s="23" t="s">
        <v>490</v>
      </c>
      <c r="I316" s="18" t="s">
        <v>53</v>
      </c>
      <c r="L316" s="15" t="s">
        <v>2</v>
      </c>
      <c r="M316" s="5" t="s">
        <v>499</v>
      </c>
      <c r="O316" s="147">
        <v>2</v>
      </c>
      <c r="P316" s="15">
        <v>2</v>
      </c>
      <c r="Q316" s="148">
        <f t="shared" si="10"/>
        <v>4</v>
      </c>
    </row>
    <row r="317" spans="1:17" ht="16.5" hidden="1" x14ac:dyDescent="0.35">
      <c r="A317" s="53">
        <v>316</v>
      </c>
      <c r="B317" s="147" t="s">
        <v>464</v>
      </c>
      <c r="C317" s="18" t="s">
        <v>660</v>
      </c>
      <c r="D317" s="17" t="s">
        <v>191</v>
      </c>
      <c r="E317" s="17" t="s">
        <v>190</v>
      </c>
      <c r="H317" s="23" t="s">
        <v>491</v>
      </c>
      <c r="I317" s="18" t="s">
        <v>53</v>
      </c>
      <c r="L317" s="15" t="s">
        <v>2</v>
      </c>
      <c r="M317" s="5" t="s">
        <v>499</v>
      </c>
      <c r="O317" s="147">
        <v>2</v>
      </c>
      <c r="P317" s="15">
        <v>2</v>
      </c>
      <c r="Q317" s="148">
        <f t="shared" si="10"/>
        <v>4</v>
      </c>
    </row>
    <row r="318" spans="1:17" ht="16.5" hidden="1" x14ac:dyDescent="0.35">
      <c r="A318" s="53">
        <v>317</v>
      </c>
      <c r="B318" s="147" t="s">
        <v>465</v>
      </c>
      <c r="C318" s="18" t="s">
        <v>660</v>
      </c>
      <c r="D318" s="17" t="s">
        <v>191</v>
      </c>
      <c r="E318" s="17" t="s">
        <v>190</v>
      </c>
      <c r="H318" s="23" t="s">
        <v>492</v>
      </c>
      <c r="I318" s="18" t="s">
        <v>53</v>
      </c>
      <c r="L318" s="15" t="s">
        <v>2</v>
      </c>
      <c r="M318" s="5" t="s">
        <v>499</v>
      </c>
      <c r="O318" s="147">
        <v>3</v>
      </c>
      <c r="P318" s="15">
        <v>2</v>
      </c>
      <c r="Q318" s="148">
        <f t="shared" si="10"/>
        <v>5</v>
      </c>
    </row>
    <row r="319" spans="1:17" ht="16.5" hidden="1" x14ac:dyDescent="0.35">
      <c r="A319" s="53">
        <v>318</v>
      </c>
      <c r="B319" s="147" t="s">
        <v>466</v>
      </c>
      <c r="C319" s="18" t="s">
        <v>660</v>
      </c>
      <c r="D319" s="17" t="s">
        <v>191</v>
      </c>
      <c r="E319" s="17" t="s">
        <v>190</v>
      </c>
      <c r="H319" s="23"/>
      <c r="I319" s="18" t="s">
        <v>53</v>
      </c>
      <c r="L319" s="15" t="s">
        <v>2</v>
      </c>
      <c r="M319" s="5" t="s">
        <v>499</v>
      </c>
      <c r="O319" s="147">
        <v>3</v>
      </c>
      <c r="P319" s="15">
        <v>1</v>
      </c>
      <c r="Q319" s="148">
        <f t="shared" si="10"/>
        <v>4</v>
      </c>
    </row>
    <row r="320" spans="1:17" ht="16.5" hidden="1" x14ac:dyDescent="0.35">
      <c r="A320" s="53">
        <v>319</v>
      </c>
      <c r="B320" s="147" t="s">
        <v>467</v>
      </c>
      <c r="C320" s="18" t="s">
        <v>660</v>
      </c>
      <c r="D320" s="17" t="s">
        <v>191</v>
      </c>
      <c r="E320" s="17" t="s">
        <v>190</v>
      </c>
      <c r="H320" s="23"/>
      <c r="I320" s="18" t="s">
        <v>53</v>
      </c>
      <c r="L320" s="15" t="s">
        <v>2</v>
      </c>
      <c r="M320" s="5" t="s">
        <v>499</v>
      </c>
      <c r="O320" s="147">
        <v>1</v>
      </c>
      <c r="P320" s="15">
        <v>1</v>
      </c>
      <c r="Q320" s="148">
        <f t="shared" si="10"/>
        <v>2</v>
      </c>
    </row>
    <row r="321" spans="1:17" ht="16.5" hidden="1" x14ac:dyDescent="0.35">
      <c r="A321" s="53">
        <v>320</v>
      </c>
      <c r="B321" s="147" t="s">
        <v>468</v>
      </c>
      <c r="C321" s="18" t="s">
        <v>660</v>
      </c>
      <c r="D321" s="17" t="s">
        <v>191</v>
      </c>
      <c r="E321" s="17" t="s">
        <v>190</v>
      </c>
      <c r="H321" s="23" t="s">
        <v>493</v>
      </c>
      <c r="I321" s="18" t="s">
        <v>53</v>
      </c>
      <c r="L321" s="15" t="s">
        <v>2</v>
      </c>
      <c r="M321" s="5" t="s">
        <v>499</v>
      </c>
      <c r="O321" s="147">
        <v>2</v>
      </c>
      <c r="P321" s="15">
        <v>2</v>
      </c>
      <c r="Q321" s="148">
        <f t="shared" si="10"/>
        <v>4</v>
      </c>
    </row>
    <row r="322" spans="1:17" ht="16.5" hidden="1" x14ac:dyDescent="0.35">
      <c r="A322" s="53">
        <v>321</v>
      </c>
      <c r="B322" s="147" t="s">
        <v>469</v>
      </c>
      <c r="C322" s="18" t="s">
        <v>660</v>
      </c>
      <c r="D322" s="17" t="s">
        <v>191</v>
      </c>
      <c r="E322" s="17" t="s">
        <v>190</v>
      </c>
      <c r="H322" s="23"/>
      <c r="I322" s="18" t="s">
        <v>53</v>
      </c>
      <c r="L322" s="15" t="s">
        <v>2</v>
      </c>
      <c r="M322" s="5" t="s">
        <v>499</v>
      </c>
      <c r="O322" s="147">
        <v>2</v>
      </c>
      <c r="P322" s="15">
        <v>2</v>
      </c>
      <c r="Q322" s="148">
        <f t="shared" si="10"/>
        <v>4</v>
      </c>
    </row>
    <row r="323" spans="1:17" ht="16.5" hidden="1" x14ac:dyDescent="0.35">
      <c r="A323" s="53">
        <v>322</v>
      </c>
      <c r="B323" s="147" t="s">
        <v>470</v>
      </c>
      <c r="C323" s="18" t="s">
        <v>660</v>
      </c>
      <c r="D323" s="17" t="s">
        <v>191</v>
      </c>
      <c r="E323" s="17" t="s">
        <v>190</v>
      </c>
      <c r="H323" s="23" t="s">
        <v>494</v>
      </c>
      <c r="I323" s="18" t="s">
        <v>53</v>
      </c>
      <c r="L323" s="15" t="s">
        <v>9</v>
      </c>
      <c r="M323" s="5" t="s">
        <v>499</v>
      </c>
      <c r="O323" s="147">
        <v>3</v>
      </c>
      <c r="P323" s="15">
        <v>3</v>
      </c>
      <c r="Q323" s="148">
        <f t="shared" si="10"/>
        <v>6</v>
      </c>
    </row>
    <row r="324" spans="1:17" ht="16.5" hidden="1" x14ac:dyDescent="0.5">
      <c r="A324" s="53">
        <v>323</v>
      </c>
      <c r="B324" s="147" t="s">
        <v>471</v>
      </c>
      <c r="C324" s="18" t="s">
        <v>660</v>
      </c>
      <c r="D324" s="17" t="s">
        <v>191</v>
      </c>
      <c r="E324" s="17" t="s">
        <v>190</v>
      </c>
      <c r="H324" s="23" t="s">
        <v>495</v>
      </c>
      <c r="I324" s="18" t="s">
        <v>53</v>
      </c>
      <c r="L324" s="15" t="s">
        <v>2</v>
      </c>
      <c r="M324" s="5" t="s">
        <v>499</v>
      </c>
      <c r="O324" s="149">
        <v>1</v>
      </c>
      <c r="P324" s="149">
        <v>1</v>
      </c>
      <c r="Q324" s="150">
        <f t="shared" si="10"/>
        <v>2</v>
      </c>
    </row>
    <row r="325" spans="1:17" ht="16.5" hidden="1" x14ac:dyDescent="0.35">
      <c r="A325" s="53">
        <v>324</v>
      </c>
      <c r="B325" s="147" t="s">
        <v>472</v>
      </c>
      <c r="C325" s="18" t="s">
        <v>660</v>
      </c>
      <c r="D325" s="17" t="s">
        <v>191</v>
      </c>
      <c r="E325" s="17" t="s">
        <v>190</v>
      </c>
      <c r="H325" s="24" t="s">
        <v>496</v>
      </c>
      <c r="I325" s="18" t="s">
        <v>53</v>
      </c>
      <c r="L325" s="15" t="s">
        <v>2</v>
      </c>
      <c r="M325" s="5" t="s">
        <v>499</v>
      </c>
      <c r="O325" s="151">
        <v>1</v>
      </c>
      <c r="P325" s="151">
        <v>3</v>
      </c>
      <c r="Q325" s="152">
        <f t="shared" si="10"/>
        <v>4</v>
      </c>
    </row>
    <row r="326" spans="1:17" ht="16.5" hidden="1" x14ac:dyDescent="0.35">
      <c r="A326" s="53">
        <v>325</v>
      </c>
      <c r="B326" s="177" t="s">
        <v>473</v>
      </c>
      <c r="C326" s="18" t="s">
        <v>660</v>
      </c>
      <c r="D326" s="17" t="s">
        <v>191</v>
      </c>
      <c r="E326" s="17" t="s">
        <v>190</v>
      </c>
      <c r="H326" s="25" t="s">
        <v>497</v>
      </c>
      <c r="I326" s="18" t="s">
        <v>53</v>
      </c>
      <c r="L326" s="16" t="s">
        <v>2</v>
      </c>
      <c r="M326" s="5" t="s">
        <v>499</v>
      </c>
      <c r="O326" s="143">
        <v>2</v>
      </c>
      <c r="P326" s="143">
        <v>0</v>
      </c>
      <c r="Q326" s="153">
        <f t="shared" si="10"/>
        <v>2</v>
      </c>
    </row>
    <row r="327" spans="1:17" ht="16.5" hidden="1" x14ac:dyDescent="0.35">
      <c r="A327" s="53">
        <v>326</v>
      </c>
      <c r="B327" s="177" t="s">
        <v>474</v>
      </c>
      <c r="C327" s="18" t="s">
        <v>660</v>
      </c>
      <c r="D327" s="17" t="s">
        <v>191</v>
      </c>
      <c r="E327" s="17" t="s">
        <v>190</v>
      </c>
      <c r="H327" s="25" t="s">
        <v>498</v>
      </c>
      <c r="I327" s="18" t="s">
        <v>53</v>
      </c>
      <c r="L327" s="143" t="s">
        <v>2</v>
      </c>
      <c r="M327" s="5" t="s">
        <v>499</v>
      </c>
      <c r="O327" s="143">
        <v>1</v>
      </c>
      <c r="P327" s="143">
        <v>1</v>
      </c>
      <c r="Q327" s="153">
        <f t="shared" si="10"/>
        <v>2</v>
      </c>
    </row>
    <row r="328" spans="1:17" ht="16.5" hidden="1" x14ac:dyDescent="0.35">
      <c r="A328" s="53">
        <v>327</v>
      </c>
      <c r="B328" s="147" t="s">
        <v>500</v>
      </c>
      <c r="C328" s="18" t="s">
        <v>660</v>
      </c>
      <c r="D328" s="17" t="s">
        <v>564</v>
      </c>
      <c r="E328" s="17" t="s">
        <v>565</v>
      </c>
      <c r="H328" s="23"/>
      <c r="I328" s="18" t="s">
        <v>53</v>
      </c>
      <c r="L328" s="15" t="s">
        <v>2</v>
      </c>
      <c r="M328" s="5" t="s">
        <v>522</v>
      </c>
      <c r="O328" s="147">
        <v>2</v>
      </c>
      <c r="P328" s="15">
        <v>3</v>
      </c>
      <c r="Q328" s="148">
        <f t="shared" si="10"/>
        <v>5</v>
      </c>
    </row>
    <row r="329" spans="1:17" ht="16.5" hidden="1" x14ac:dyDescent="0.35">
      <c r="A329" s="53">
        <v>328</v>
      </c>
      <c r="B329" s="147" t="s">
        <v>501</v>
      </c>
      <c r="C329" s="18" t="s">
        <v>660</v>
      </c>
      <c r="D329" s="17" t="s">
        <v>564</v>
      </c>
      <c r="E329" s="17" t="s">
        <v>565</v>
      </c>
      <c r="H329" s="23" t="s">
        <v>516</v>
      </c>
      <c r="I329" s="18" t="s">
        <v>53</v>
      </c>
      <c r="L329" s="15" t="s">
        <v>2</v>
      </c>
      <c r="M329" s="5" t="s">
        <v>522</v>
      </c>
      <c r="O329" s="147">
        <v>4</v>
      </c>
      <c r="P329" s="15">
        <v>1</v>
      </c>
      <c r="Q329" s="148">
        <f t="shared" si="10"/>
        <v>5</v>
      </c>
    </row>
    <row r="330" spans="1:17" ht="16.5" hidden="1" x14ac:dyDescent="0.35">
      <c r="A330" s="53">
        <v>329</v>
      </c>
      <c r="B330" s="147" t="s">
        <v>502</v>
      </c>
      <c r="C330" s="18" t="s">
        <v>660</v>
      </c>
      <c r="D330" s="17" t="s">
        <v>564</v>
      </c>
      <c r="E330" s="17" t="s">
        <v>565</v>
      </c>
      <c r="H330" s="23"/>
      <c r="I330" s="18" t="s">
        <v>53</v>
      </c>
      <c r="L330" s="15" t="s">
        <v>2</v>
      </c>
      <c r="M330" s="5" t="s">
        <v>522</v>
      </c>
      <c r="O330" s="147">
        <v>2</v>
      </c>
      <c r="P330" s="15">
        <v>2</v>
      </c>
      <c r="Q330" s="148">
        <f t="shared" si="10"/>
        <v>4</v>
      </c>
    </row>
    <row r="331" spans="1:17" ht="16.5" hidden="1" x14ac:dyDescent="0.35">
      <c r="A331" s="53">
        <v>330</v>
      </c>
      <c r="B331" s="147" t="s">
        <v>503</v>
      </c>
      <c r="C331" s="18" t="s">
        <v>660</v>
      </c>
      <c r="D331" s="17" t="s">
        <v>564</v>
      </c>
      <c r="E331" s="17" t="s">
        <v>565</v>
      </c>
      <c r="H331" s="23" t="s">
        <v>517</v>
      </c>
      <c r="I331" s="18" t="s">
        <v>53</v>
      </c>
      <c r="L331" s="15" t="s">
        <v>2</v>
      </c>
      <c r="M331" s="5" t="s">
        <v>522</v>
      </c>
      <c r="O331" s="147">
        <v>1</v>
      </c>
      <c r="P331" s="15">
        <v>3</v>
      </c>
      <c r="Q331" s="148">
        <f t="shared" si="10"/>
        <v>4</v>
      </c>
    </row>
    <row r="332" spans="1:17" ht="16.5" hidden="1" x14ac:dyDescent="0.35">
      <c r="A332" s="53">
        <v>331</v>
      </c>
      <c r="B332" s="147" t="s">
        <v>504</v>
      </c>
      <c r="C332" s="18" t="s">
        <v>660</v>
      </c>
      <c r="D332" s="17" t="s">
        <v>564</v>
      </c>
      <c r="E332" s="17" t="s">
        <v>565</v>
      </c>
      <c r="H332" s="23" t="s">
        <v>518</v>
      </c>
      <c r="I332" s="18" t="s">
        <v>53</v>
      </c>
      <c r="L332" s="15" t="s">
        <v>2</v>
      </c>
      <c r="M332" s="5" t="s">
        <v>522</v>
      </c>
      <c r="O332" s="147">
        <v>1</v>
      </c>
      <c r="P332" s="15">
        <v>1</v>
      </c>
      <c r="Q332" s="148">
        <f t="shared" si="10"/>
        <v>2</v>
      </c>
    </row>
    <row r="333" spans="1:17" ht="16.5" hidden="1" x14ac:dyDescent="0.35">
      <c r="A333" s="53">
        <v>332</v>
      </c>
      <c r="B333" s="147" t="s">
        <v>505</v>
      </c>
      <c r="C333" s="18" t="s">
        <v>660</v>
      </c>
      <c r="D333" s="17" t="s">
        <v>564</v>
      </c>
      <c r="E333" s="17" t="s">
        <v>565</v>
      </c>
      <c r="H333" s="23" t="s">
        <v>519</v>
      </c>
      <c r="I333" s="18" t="s">
        <v>53</v>
      </c>
      <c r="L333" s="15" t="s">
        <v>9</v>
      </c>
      <c r="M333" s="5" t="s">
        <v>522</v>
      </c>
      <c r="O333" s="147">
        <v>0</v>
      </c>
      <c r="P333" s="15">
        <v>2</v>
      </c>
      <c r="Q333" s="148">
        <f t="shared" si="10"/>
        <v>2</v>
      </c>
    </row>
    <row r="334" spans="1:17" ht="16.5" hidden="1" x14ac:dyDescent="0.35">
      <c r="A334" s="53">
        <v>333</v>
      </c>
      <c r="B334" s="147" t="s">
        <v>506</v>
      </c>
      <c r="C334" s="18" t="s">
        <v>660</v>
      </c>
      <c r="D334" s="17" t="s">
        <v>564</v>
      </c>
      <c r="E334" s="17" t="s">
        <v>565</v>
      </c>
      <c r="H334" s="23"/>
      <c r="I334" s="18" t="s">
        <v>53</v>
      </c>
      <c r="L334" s="15" t="s">
        <v>9</v>
      </c>
      <c r="M334" s="5" t="s">
        <v>522</v>
      </c>
      <c r="O334" s="147">
        <v>2</v>
      </c>
      <c r="P334" s="15">
        <v>1</v>
      </c>
      <c r="Q334" s="148">
        <f t="shared" si="10"/>
        <v>3</v>
      </c>
    </row>
    <row r="335" spans="1:17" ht="16.5" hidden="1" x14ac:dyDescent="0.35">
      <c r="A335" s="53">
        <v>334</v>
      </c>
      <c r="B335" s="147" t="s">
        <v>507</v>
      </c>
      <c r="C335" s="18" t="s">
        <v>660</v>
      </c>
      <c r="D335" s="17" t="s">
        <v>564</v>
      </c>
      <c r="E335" s="17" t="s">
        <v>565</v>
      </c>
      <c r="H335" s="23" t="s">
        <v>520</v>
      </c>
      <c r="I335" s="18" t="s">
        <v>53</v>
      </c>
      <c r="L335" s="15" t="s">
        <v>9</v>
      </c>
      <c r="M335" s="5" t="s">
        <v>522</v>
      </c>
      <c r="O335" s="147">
        <v>3</v>
      </c>
      <c r="P335" s="15">
        <v>0</v>
      </c>
      <c r="Q335" s="148">
        <f t="shared" si="10"/>
        <v>3</v>
      </c>
    </row>
    <row r="336" spans="1:17" ht="16.5" hidden="1" x14ac:dyDescent="0.35">
      <c r="A336" s="53">
        <v>335</v>
      </c>
      <c r="B336" s="147" t="s">
        <v>508</v>
      </c>
      <c r="C336" s="18" t="s">
        <v>660</v>
      </c>
      <c r="D336" s="17" t="s">
        <v>564</v>
      </c>
      <c r="E336" s="17" t="s">
        <v>565</v>
      </c>
      <c r="H336" s="23"/>
      <c r="I336" s="18" t="s">
        <v>53</v>
      </c>
      <c r="L336" s="15" t="s">
        <v>2</v>
      </c>
      <c r="M336" s="5" t="s">
        <v>522</v>
      </c>
      <c r="O336" s="147">
        <v>2</v>
      </c>
      <c r="P336" s="15">
        <v>1</v>
      </c>
      <c r="Q336" s="148">
        <f t="shared" si="10"/>
        <v>3</v>
      </c>
    </row>
    <row r="337" spans="1:17" ht="16.5" hidden="1" x14ac:dyDescent="0.35">
      <c r="A337" s="53">
        <v>336</v>
      </c>
      <c r="B337" s="147" t="s">
        <v>509</v>
      </c>
      <c r="C337" s="18" t="s">
        <v>660</v>
      </c>
      <c r="D337" s="17" t="s">
        <v>564</v>
      </c>
      <c r="E337" s="17" t="s">
        <v>565</v>
      </c>
      <c r="H337" s="23" t="s">
        <v>521</v>
      </c>
      <c r="I337" s="18" t="s">
        <v>53</v>
      </c>
      <c r="L337" s="15" t="s">
        <v>2</v>
      </c>
      <c r="M337" s="5" t="s">
        <v>522</v>
      </c>
      <c r="O337" s="147">
        <v>3</v>
      </c>
      <c r="P337" s="15">
        <v>1</v>
      </c>
      <c r="Q337" s="148">
        <f t="shared" si="10"/>
        <v>4</v>
      </c>
    </row>
    <row r="338" spans="1:17" ht="16.5" hidden="1" x14ac:dyDescent="0.35">
      <c r="A338" s="53">
        <v>337</v>
      </c>
      <c r="B338" s="147" t="s">
        <v>510</v>
      </c>
      <c r="C338" s="18" t="s">
        <v>660</v>
      </c>
      <c r="D338" s="17" t="s">
        <v>564</v>
      </c>
      <c r="E338" s="17" t="s">
        <v>565</v>
      </c>
      <c r="H338" s="23"/>
      <c r="I338" s="18" t="s">
        <v>53</v>
      </c>
      <c r="L338" s="15" t="s">
        <v>2</v>
      </c>
      <c r="M338" s="5" t="s">
        <v>522</v>
      </c>
      <c r="O338" s="147">
        <v>3</v>
      </c>
      <c r="P338" s="15">
        <v>2</v>
      </c>
      <c r="Q338" s="148">
        <f t="shared" si="10"/>
        <v>5</v>
      </c>
    </row>
    <row r="339" spans="1:17" ht="16.5" hidden="1" x14ac:dyDescent="0.35">
      <c r="A339" s="53">
        <v>338</v>
      </c>
      <c r="B339" s="147" t="s">
        <v>511</v>
      </c>
      <c r="C339" s="18" t="s">
        <v>660</v>
      </c>
      <c r="D339" s="17" t="s">
        <v>564</v>
      </c>
      <c r="E339" s="17" t="s">
        <v>565</v>
      </c>
      <c r="H339" s="23"/>
      <c r="I339" s="18" t="s">
        <v>53</v>
      </c>
      <c r="L339" s="15" t="s">
        <v>2</v>
      </c>
      <c r="M339" s="5" t="s">
        <v>522</v>
      </c>
      <c r="O339" s="147">
        <v>2</v>
      </c>
      <c r="P339" s="15">
        <v>2</v>
      </c>
      <c r="Q339" s="148">
        <f t="shared" si="10"/>
        <v>4</v>
      </c>
    </row>
    <row r="340" spans="1:17" ht="16.5" hidden="1" x14ac:dyDescent="0.35">
      <c r="A340" s="53">
        <v>339</v>
      </c>
      <c r="B340" s="147" t="s">
        <v>512</v>
      </c>
      <c r="C340" s="18" t="s">
        <v>660</v>
      </c>
      <c r="D340" s="17" t="s">
        <v>564</v>
      </c>
      <c r="E340" s="17" t="s">
        <v>565</v>
      </c>
      <c r="H340" s="23"/>
      <c r="I340" s="18" t="s">
        <v>53</v>
      </c>
      <c r="L340" s="15" t="s">
        <v>2</v>
      </c>
      <c r="M340" s="5" t="s">
        <v>522</v>
      </c>
      <c r="O340" s="147">
        <v>2</v>
      </c>
      <c r="P340" s="15">
        <v>1</v>
      </c>
      <c r="Q340" s="148">
        <f t="shared" si="10"/>
        <v>3</v>
      </c>
    </row>
    <row r="341" spans="1:17" ht="16.5" hidden="1" x14ac:dyDescent="0.35">
      <c r="A341" s="53">
        <v>340</v>
      </c>
      <c r="B341" s="147" t="s">
        <v>513</v>
      </c>
      <c r="C341" s="18" t="s">
        <v>660</v>
      </c>
      <c r="D341" s="17" t="s">
        <v>564</v>
      </c>
      <c r="E341" s="17" t="s">
        <v>565</v>
      </c>
      <c r="H341" s="23"/>
      <c r="I341" s="18" t="s">
        <v>53</v>
      </c>
      <c r="L341" s="15" t="s">
        <v>2</v>
      </c>
      <c r="M341" s="5" t="s">
        <v>522</v>
      </c>
      <c r="O341" s="147">
        <v>1</v>
      </c>
      <c r="P341" s="15">
        <v>1</v>
      </c>
      <c r="Q341" s="148">
        <f t="shared" si="10"/>
        <v>2</v>
      </c>
    </row>
    <row r="342" spans="1:17" ht="16.5" hidden="1" x14ac:dyDescent="0.35">
      <c r="A342" s="53">
        <v>341</v>
      </c>
      <c r="B342" s="147" t="s">
        <v>514</v>
      </c>
      <c r="C342" s="18" t="s">
        <v>660</v>
      </c>
      <c r="D342" s="17" t="s">
        <v>564</v>
      </c>
      <c r="E342" s="17" t="s">
        <v>565</v>
      </c>
      <c r="H342" s="23"/>
      <c r="I342" s="18" t="s">
        <v>53</v>
      </c>
      <c r="L342" s="15" t="s">
        <v>2</v>
      </c>
      <c r="M342" s="5" t="s">
        <v>522</v>
      </c>
      <c r="O342" s="147">
        <v>2</v>
      </c>
      <c r="P342" s="15">
        <v>1</v>
      </c>
      <c r="Q342" s="148">
        <f t="shared" si="10"/>
        <v>3</v>
      </c>
    </row>
    <row r="343" spans="1:17" ht="16.5" hidden="1" x14ac:dyDescent="0.35">
      <c r="A343" s="53">
        <v>342</v>
      </c>
      <c r="B343" s="147" t="s">
        <v>515</v>
      </c>
      <c r="C343" s="18" t="s">
        <v>660</v>
      </c>
      <c r="D343" s="17" t="s">
        <v>564</v>
      </c>
      <c r="E343" s="17" t="s">
        <v>565</v>
      </c>
      <c r="I343" s="18" t="s">
        <v>53</v>
      </c>
      <c r="L343" s="15" t="s">
        <v>2</v>
      </c>
      <c r="M343" s="5" t="s">
        <v>522</v>
      </c>
      <c r="O343" s="147">
        <v>2</v>
      </c>
      <c r="P343" s="15">
        <v>1</v>
      </c>
      <c r="Q343" s="148">
        <f t="shared" si="10"/>
        <v>3</v>
      </c>
    </row>
    <row r="344" spans="1:17" ht="16.5" hidden="1" x14ac:dyDescent="0.35">
      <c r="A344" s="53">
        <v>343</v>
      </c>
      <c r="B344" s="147" t="s">
        <v>523</v>
      </c>
      <c r="C344" s="18" t="s">
        <v>660</v>
      </c>
      <c r="D344" s="17" t="s">
        <v>562</v>
      </c>
      <c r="E344" s="17" t="s">
        <v>563</v>
      </c>
      <c r="H344" s="23"/>
      <c r="I344" s="18" t="s">
        <v>53</v>
      </c>
      <c r="L344" s="15" t="s">
        <v>2</v>
      </c>
      <c r="M344" s="5" t="s">
        <v>522</v>
      </c>
      <c r="O344" s="147">
        <v>3</v>
      </c>
      <c r="P344" s="15">
        <v>6</v>
      </c>
      <c r="Q344" s="148">
        <f t="shared" si="10"/>
        <v>9</v>
      </c>
    </row>
    <row r="345" spans="1:17" ht="16.5" hidden="1" x14ac:dyDescent="0.35">
      <c r="A345" s="53">
        <v>344</v>
      </c>
      <c r="B345" s="147" t="s">
        <v>524</v>
      </c>
      <c r="C345" s="18" t="s">
        <v>660</v>
      </c>
      <c r="D345" s="17" t="s">
        <v>562</v>
      </c>
      <c r="E345" s="17" t="s">
        <v>563</v>
      </c>
      <c r="H345" s="23"/>
      <c r="I345" s="18" t="s">
        <v>53</v>
      </c>
      <c r="L345" s="15" t="s">
        <v>2</v>
      </c>
      <c r="M345" s="5" t="s">
        <v>522</v>
      </c>
      <c r="O345" s="147">
        <v>1</v>
      </c>
      <c r="P345" s="15">
        <v>4</v>
      </c>
      <c r="Q345" s="148">
        <f t="shared" si="10"/>
        <v>5</v>
      </c>
    </row>
    <row r="346" spans="1:17" ht="16.5" hidden="1" x14ac:dyDescent="0.35">
      <c r="A346" s="53">
        <v>345</v>
      </c>
      <c r="B346" s="147" t="s">
        <v>525</v>
      </c>
      <c r="C346" s="18" t="s">
        <v>660</v>
      </c>
      <c r="D346" s="17" t="s">
        <v>562</v>
      </c>
      <c r="E346" s="17" t="s">
        <v>563</v>
      </c>
      <c r="H346" s="147"/>
      <c r="I346" s="18" t="s">
        <v>53</v>
      </c>
      <c r="L346" s="15" t="s">
        <v>2</v>
      </c>
      <c r="M346" s="5" t="s">
        <v>522</v>
      </c>
      <c r="O346" s="147">
        <v>3</v>
      </c>
      <c r="P346" s="15">
        <v>3</v>
      </c>
      <c r="Q346" s="148">
        <f t="shared" si="10"/>
        <v>6</v>
      </c>
    </row>
    <row r="347" spans="1:17" ht="16.5" hidden="1" x14ac:dyDescent="0.35">
      <c r="A347" s="53">
        <v>346</v>
      </c>
      <c r="B347" s="147" t="s">
        <v>526</v>
      </c>
      <c r="C347" s="18" t="s">
        <v>660</v>
      </c>
      <c r="D347" s="17" t="s">
        <v>562</v>
      </c>
      <c r="E347" s="17" t="s">
        <v>563</v>
      </c>
      <c r="H347" s="23"/>
      <c r="I347" s="18" t="s">
        <v>53</v>
      </c>
      <c r="L347" s="15" t="s">
        <v>2</v>
      </c>
      <c r="M347" s="5" t="s">
        <v>522</v>
      </c>
      <c r="O347" s="147">
        <v>3</v>
      </c>
      <c r="P347" s="15">
        <v>3</v>
      </c>
      <c r="Q347" s="148">
        <f t="shared" si="10"/>
        <v>6</v>
      </c>
    </row>
    <row r="348" spans="1:17" ht="16.5" hidden="1" x14ac:dyDescent="0.35">
      <c r="A348" s="53">
        <v>347</v>
      </c>
      <c r="B348" s="18" t="s">
        <v>527</v>
      </c>
      <c r="C348" s="18" t="s">
        <v>660</v>
      </c>
      <c r="D348" s="17" t="s">
        <v>562</v>
      </c>
      <c r="E348" s="17" t="s">
        <v>563</v>
      </c>
      <c r="H348" s="164"/>
      <c r="I348" s="18" t="s">
        <v>53</v>
      </c>
      <c r="L348" s="144" t="s">
        <v>2</v>
      </c>
      <c r="M348" s="5" t="s">
        <v>522</v>
      </c>
      <c r="O348" s="183">
        <f t="shared" ref="O348:P348" si="11">SUM(K348:N348)</f>
        <v>0</v>
      </c>
      <c r="P348" s="183">
        <f t="shared" si="11"/>
        <v>0</v>
      </c>
      <c r="Q348" s="183">
        <f t="shared" si="10"/>
        <v>0</v>
      </c>
    </row>
    <row r="349" spans="1:17" ht="16.5" hidden="1" x14ac:dyDescent="0.35">
      <c r="A349" s="53">
        <v>348</v>
      </c>
      <c r="B349" s="18" t="s">
        <v>528</v>
      </c>
      <c r="C349" s="18" t="s">
        <v>660</v>
      </c>
      <c r="D349" s="17" t="s">
        <v>562</v>
      </c>
      <c r="E349" s="17" t="s">
        <v>563</v>
      </c>
      <c r="H349" s="164"/>
      <c r="I349" s="18" t="s">
        <v>53</v>
      </c>
      <c r="L349" s="144" t="s">
        <v>2</v>
      </c>
      <c r="M349" s="5" t="s">
        <v>522</v>
      </c>
      <c r="O349" s="18">
        <v>3</v>
      </c>
      <c r="P349" s="144">
        <v>2</v>
      </c>
      <c r="Q349" s="183">
        <f t="shared" si="10"/>
        <v>5</v>
      </c>
    </row>
    <row r="350" spans="1:17" ht="16.5" hidden="1" x14ac:dyDescent="0.35">
      <c r="A350" s="53">
        <v>349</v>
      </c>
      <c r="B350" s="18" t="s">
        <v>529</v>
      </c>
      <c r="C350" s="18" t="s">
        <v>660</v>
      </c>
      <c r="D350" s="17" t="s">
        <v>562</v>
      </c>
      <c r="E350" s="17" t="s">
        <v>563</v>
      </c>
      <c r="H350" s="164"/>
      <c r="I350" s="18" t="s">
        <v>53</v>
      </c>
      <c r="L350" s="144" t="s">
        <v>2</v>
      </c>
      <c r="M350" s="5" t="s">
        <v>522</v>
      </c>
      <c r="O350" s="18">
        <v>3</v>
      </c>
      <c r="P350" s="144">
        <v>3</v>
      </c>
      <c r="Q350" s="183">
        <f t="shared" si="10"/>
        <v>6</v>
      </c>
    </row>
    <row r="351" spans="1:17" ht="16.5" hidden="1" x14ac:dyDescent="0.35">
      <c r="A351" s="53">
        <v>350</v>
      </c>
      <c r="B351" s="18" t="s">
        <v>530</v>
      </c>
      <c r="C351" s="18" t="s">
        <v>660</v>
      </c>
      <c r="D351" s="17" t="s">
        <v>562</v>
      </c>
      <c r="E351" s="17" t="s">
        <v>563</v>
      </c>
      <c r="H351" s="164"/>
      <c r="I351" s="18" t="s">
        <v>53</v>
      </c>
      <c r="L351" s="144" t="s">
        <v>2</v>
      </c>
      <c r="M351" s="5" t="s">
        <v>522</v>
      </c>
      <c r="O351" s="18">
        <v>4</v>
      </c>
      <c r="P351" s="144">
        <v>1</v>
      </c>
      <c r="Q351" s="183">
        <f t="shared" si="10"/>
        <v>5</v>
      </c>
    </row>
    <row r="352" spans="1:17" ht="16.5" hidden="1" x14ac:dyDescent="0.35">
      <c r="A352" s="53">
        <v>351</v>
      </c>
      <c r="B352" s="18" t="s">
        <v>531</v>
      </c>
      <c r="C352" s="18" t="s">
        <v>660</v>
      </c>
      <c r="D352" s="17" t="s">
        <v>562</v>
      </c>
      <c r="E352" s="17" t="s">
        <v>563</v>
      </c>
      <c r="H352" s="164"/>
      <c r="I352" s="18" t="s">
        <v>53</v>
      </c>
      <c r="L352" s="144" t="s">
        <v>2</v>
      </c>
      <c r="M352" s="5" t="s">
        <v>522</v>
      </c>
      <c r="O352" s="18">
        <v>4</v>
      </c>
      <c r="P352" s="144">
        <v>2</v>
      </c>
      <c r="Q352" s="183">
        <f t="shared" si="10"/>
        <v>6</v>
      </c>
    </row>
    <row r="353" spans="1:17" ht="16.5" hidden="1" x14ac:dyDescent="0.35">
      <c r="A353" s="53">
        <v>352</v>
      </c>
      <c r="B353" s="18" t="s">
        <v>532</v>
      </c>
      <c r="C353" s="18" t="s">
        <v>660</v>
      </c>
      <c r="D353" s="17" t="s">
        <v>562</v>
      </c>
      <c r="E353" s="17" t="s">
        <v>563</v>
      </c>
      <c r="H353" s="164" t="s">
        <v>552</v>
      </c>
      <c r="I353" s="18" t="s">
        <v>53</v>
      </c>
      <c r="L353" s="144" t="s">
        <v>9</v>
      </c>
      <c r="M353" s="5" t="s">
        <v>522</v>
      </c>
      <c r="O353" s="18">
        <v>0</v>
      </c>
      <c r="P353" s="144">
        <v>0</v>
      </c>
      <c r="Q353" s="183">
        <f t="shared" si="10"/>
        <v>0</v>
      </c>
    </row>
    <row r="354" spans="1:17" ht="16.5" hidden="1" x14ac:dyDescent="0.35">
      <c r="A354" s="53">
        <v>353</v>
      </c>
      <c r="B354" s="18" t="s">
        <v>533</v>
      </c>
      <c r="C354" s="18" t="s">
        <v>660</v>
      </c>
      <c r="D354" s="17" t="s">
        <v>562</v>
      </c>
      <c r="E354" s="17" t="s">
        <v>563</v>
      </c>
      <c r="H354" s="164"/>
      <c r="I354" s="18" t="s">
        <v>53</v>
      </c>
      <c r="L354" s="144" t="s">
        <v>9</v>
      </c>
      <c r="M354" s="5" t="s">
        <v>522</v>
      </c>
      <c r="O354" s="18">
        <v>3</v>
      </c>
      <c r="P354" s="144">
        <v>3</v>
      </c>
      <c r="Q354" s="183">
        <f t="shared" si="10"/>
        <v>6</v>
      </c>
    </row>
    <row r="355" spans="1:17" ht="16.5" hidden="1" x14ac:dyDescent="0.35">
      <c r="A355" s="53">
        <v>354</v>
      </c>
      <c r="B355" s="18" t="s">
        <v>534</v>
      </c>
      <c r="C355" s="18" t="s">
        <v>660</v>
      </c>
      <c r="D355" s="17" t="s">
        <v>562</v>
      </c>
      <c r="E355" s="17" t="s">
        <v>563</v>
      </c>
      <c r="H355" s="164" t="s">
        <v>553</v>
      </c>
      <c r="I355" s="18" t="s">
        <v>53</v>
      </c>
      <c r="L355" s="144" t="s">
        <v>9</v>
      </c>
      <c r="M355" s="5" t="s">
        <v>522</v>
      </c>
      <c r="O355" s="18">
        <v>0</v>
      </c>
      <c r="P355" s="144">
        <v>0</v>
      </c>
      <c r="Q355" s="183">
        <f t="shared" si="10"/>
        <v>0</v>
      </c>
    </row>
    <row r="356" spans="1:17" ht="16.5" hidden="1" x14ac:dyDescent="0.35">
      <c r="A356" s="53">
        <v>355</v>
      </c>
      <c r="B356" s="18" t="s">
        <v>535</v>
      </c>
      <c r="C356" s="18" t="s">
        <v>660</v>
      </c>
      <c r="D356" s="17" t="s">
        <v>562</v>
      </c>
      <c r="E356" s="17" t="s">
        <v>563</v>
      </c>
      <c r="H356" s="164" t="s">
        <v>554</v>
      </c>
      <c r="I356" s="18" t="s">
        <v>53</v>
      </c>
      <c r="L356" s="144" t="s">
        <v>2</v>
      </c>
      <c r="M356" s="5" t="s">
        <v>522</v>
      </c>
      <c r="O356" s="18">
        <v>4</v>
      </c>
      <c r="P356" s="144">
        <v>4</v>
      </c>
      <c r="Q356" s="183">
        <f t="shared" si="10"/>
        <v>8</v>
      </c>
    </row>
    <row r="357" spans="1:17" ht="16.5" hidden="1" x14ac:dyDescent="0.35">
      <c r="A357" s="53">
        <v>356</v>
      </c>
      <c r="B357" s="18" t="s">
        <v>536</v>
      </c>
      <c r="C357" s="18" t="s">
        <v>660</v>
      </c>
      <c r="D357" s="17" t="s">
        <v>562</v>
      </c>
      <c r="E357" s="17" t="s">
        <v>563</v>
      </c>
      <c r="H357" s="164"/>
      <c r="I357" s="18" t="s">
        <v>53</v>
      </c>
      <c r="L357" s="144" t="s">
        <v>2</v>
      </c>
      <c r="M357" s="5" t="s">
        <v>522</v>
      </c>
      <c r="O357" s="18">
        <v>1</v>
      </c>
      <c r="P357" s="144">
        <v>4</v>
      </c>
      <c r="Q357" s="183">
        <f t="shared" si="10"/>
        <v>5</v>
      </c>
    </row>
    <row r="358" spans="1:17" ht="16.5" hidden="1" x14ac:dyDescent="0.35">
      <c r="A358" s="53">
        <v>357</v>
      </c>
      <c r="B358" s="18" t="s">
        <v>537</v>
      </c>
      <c r="C358" s="18" t="s">
        <v>660</v>
      </c>
      <c r="D358" s="17" t="s">
        <v>562</v>
      </c>
      <c r="E358" s="17" t="s">
        <v>563</v>
      </c>
      <c r="H358" s="164"/>
      <c r="I358" s="18" t="s">
        <v>53</v>
      </c>
      <c r="L358" s="144" t="s">
        <v>2</v>
      </c>
      <c r="M358" s="5" t="s">
        <v>522</v>
      </c>
      <c r="O358" s="18">
        <v>2</v>
      </c>
      <c r="P358" s="144">
        <v>7</v>
      </c>
      <c r="Q358" s="183">
        <f t="shared" si="10"/>
        <v>9</v>
      </c>
    </row>
    <row r="359" spans="1:17" ht="16.5" hidden="1" x14ac:dyDescent="0.35">
      <c r="A359" s="53">
        <v>358</v>
      </c>
      <c r="B359" s="18" t="s">
        <v>538</v>
      </c>
      <c r="C359" s="18" t="s">
        <v>660</v>
      </c>
      <c r="D359" s="17" t="s">
        <v>562</v>
      </c>
      <c r="E359" s="17" t="s">
        <v>563</v>
      </c>
      <c r="H359" s="164" t="s">
        <v>555</v>
      </c>
      <c r="I359" s="18" t="s">
        <v>53</v>
      </c>
      <c r="L359" s="144" t="s">
        <v>2</v>
      </c>
      <c r="M359" s="5" t="s">
        <v>522</v>
      </c>
      <c r="O359" s="18">
        <v>6</v>
      </c>
      <c r="P359" s="144">
        <v>5</v>
      </c>
      <c r="Q359" s="183">
        <f t="shared" si="10"/>
        <v>11</v>
      </c>
    </row>
    <row r="360" spans="1:17" ht="16.5" hidden="1" x14ac:dyDescent="0.35">
      <c r="A360" s="53">
        <v>359</v>
      </c>
      <c r="B360" s="18" t="s">
        <v>539</v>
      </c>
      <c r="C360" s="18" t="s">
        <v>660</v>
      </c>
      <c r="D360" s="17" t="s">
        <v>562</v>
      </c>
      <c r="E360" s="17" t="s">
        <v>563</v>
      </c>
      <c r="H360" s="164"/>
      <c r="I360" s="18" t="s">
        <v>53</v>
      </c>
      <c r="L360" s="144" t="s">
        <v>2</v>
      </c>
      <c r="M360" s="5" t="s">
        <v>522</v>
      </c>
      <c r="O360" s="18">
        <v>4</v>
      </c>
      <c r="P360" s="144">
        <v>2</v>
      </c>
      <c r="Q360" s="183">
        <f t="shared" si="10"/>
        <v>6</v>
      </c>
    </row>
    <row r="361" spans="1:17" ht="16.5" hidden="1" x14ac:dyDescent="0.35">
      <c r="A361" s="53">
        <v>360</v>
      </c>
      <c r="B361" s="18" t="s">
        <v>540</v>
      </c>
      <c r="C361" s="18" t="s">
        <v>660</v>
      </c>
      <c r="D361" s="17" t="s">
        <v>562</v>
      </c>
      <c r="E361" s="17" t="s">
        <v>563</v>
      </c>
      <c r="H361" s="164"/>
      <c r="I361" s="18" t="s">
        <v>53</v>
      </c>
      <c r="L361" s="144" t="s">
        <v>2</v>
      </c>
      <c r="M361" s="5" t="s">
        <v>522</v>
      </c>
      <c r="O361" s="18">
        <v>4</v>
      </c>
      <c r="P361" s="144">
        <v>2</v>
      </c>
      <c r="Q361" s="183">
        <f t="shared" si="10"/>
        <v>6</v>
      </c>
    </row>
    <row r="362" spans="1:17" ht="16.5" hidden="1" x14ac:dyDescent="0.35">
      <c r="A362" s="53">
        <v>361</v>
      </c>
      <c r="B362" s="18" t="s">
        <v>541</v>
      </c>
      <c r="C362" s="18" t="s">
        <v>660</v>
      </c>
      <c r="D362" s="17" t="s">
        <v>562</v>
      </c>
      <c r="E362" s="17" t="s">
        <v>563</v>
      </c>
      <c r="H362" s="164" t="s">
        <v>556</v>
      </c>
      <c r="I362" s="18" t="s">
        <v>53</v>
      </c>
      <c r="L362" s="144" t="s">
        <v>2</v>
      </c>
      <c r="M362" s="5" t="s">
        <v>522</v>
      </c>
      <c r="O362" s="18">
        <v>2</v>
      </c>
      <c r="P362" s="144">
        <v>6</v>
      </c>
      <c r="Q362" s="183">
        <f t="shared" si="10"/>
        <v>8</v>
      </c>
    </row>
    <row r="363" spans="1:17" ht="16.5" hidden="1" x14ac:dyDescent="0.35">
      <c r="A363" s="53">
        <v>362</v>
      </c>
      <c r="B363" s="18" t="s">
        <v>542</v>
      </c>
      <c r="C363" s="18" t="s">
        <v>660</v>
      </c>
      <c r="D363" s="17" t="s">
        <v>562</v>
      </c>
      <c r="E363" s="17" t="s">
        <v>563</v>
      </c>
      <c r="H363" s="164"/>
      <c r="I363" s="18" t="s">
        <v>53</v>
      </c>
      <c r="L363" s="144" t="s">
        <v>2</v>
      </c>
      <c r="M363" s="5" t="s">
        <v>522</v>
      </c>
      <c r="O363" s="18">
        <v>4</v>
      </c>
      <c r="P363" s="144">
        <v>6</v>
      </c>
      <c r="Q363" s="183">
        <f t="shared" si="10"/>
        <v>10</v>
      </c>
    </row>
    <row r="364" spans="1:17" ht="16.5" hidden="1" x14ac:dyDescent="0.35">
      <c r="A364" s="53">
        <v>363</v>
      </c>
      <c r="B364" s="18" t="s">
        <v>543</v>
      </c>
      <c r="C364" s="18" t="s">
        <v>660</v>
      </c>
      <c r="D364" s="17" t="s">
        <v>562</v>
      </c>
      <c r="E364" s="17" t="s">
        <v>563</v>
      </c>
      <c r="H364" s="164" t="s">
        <v>557</v>
      </c>
      <c r="I364" s="18" t="s">
        <v>53</v>
      </c>
      <c r="L364" s="144" t="s">
        <v>2</v>
      </c>
      <c r="M364" s="5" t="s">
        <v>522</v>
      </c>
      <c r="O364" s="18">
        <v>2</v>
      </c>
      <c r="P364" s="144">
        <v>5</v>
      </c>
      <c r="Q364" s="183">
        <f t="shared" si="10"/>
        <v>7</v>
      </c>
    </row>
    <row r="365" spans="1:17" ht="16.5" hidden="1" x14ac:dyDescent="0.35">
      <c r="A365" s="53">
        <v>364</v>
      </c>
      <c r="B365" s="18" t="s">
        <v>526</v>
      </c>
      <c r="C365" s="18" t="s">
        <v>660</v>
      </c>
      <c r="D365" s="17" t="s">
        <v>562</v>
      </c>
      <c r="E365" s="17" t="s">
        <v>563</v>
      </c>
      <c r="H365" s="164"/>
      <c r="I365" s="18" t="s">
        <v>53</v>
      </c>
      <c r="L365" s="144" t="s">
        <v>2</v>
      </c>
      <c r="M365" s="5" t="s">
        <v>522</v>
      </c>
      <c r="O365" s="18">
        <v>3</v>
      </c>
      <c r="P365" s="144">
        <v>3</v>
      </c>
      <c r="Q365" s="183">
        <f t="shared" si="10"/>
        <v>6</v>
      </c>
    </row>
    <row r="366" spans="1:17" ht="16.5" hidden="1" x14ac:dyDescent="0.35">
      <c r="A366" s="53">
        <v>365</v>
      </c>
      <c r="B366" s="18" t="s">
        <v>544</v>
      </c>
      <c r="C366" s="18" t="s">
        <v>660</v>
      </c>
      <c r="D366" s="17" t="s">
        <v>562</v>
      </c>
      <c r="E366" s="17" t="s">
        <v>563</v>
      </c>
      <c r="H366" s="164"/>
      <c r="I366" s="18" t="s">
        <v>53</v>
      </c>
      <c r="L366" s="144" t="s">
        <v>2</v>
      </c>
      <c r="M366" s="5" t="s">
        <v>522</v>
      </c>
      <c r="O366" s="18">
        <v>2</v>
      </c>
      <c r="P366" s="144">
        <v>2</v>
      </c>
      <c r="Q366" s="183">
        <f t="shared" si="10"/>
        <v>4</v>
      </c>
    </row>
    <row r="367" spans="1:17" ht="16.5" hidden="1" x14ac:dyDescent="0.35">
      <c r="A367" s="53">
        <v>366</v>
      </c>
      <c r="B367" s="18" t="s">
        <v>545</v>
      </c>
      <c r="C367" s="18" t="s">
        <v>660</v>
      </c>
      <c r="D367" s="17" t="s">
        <v>562</v>
      </c>
      <c r="E367" s="17" t="s">
        <v>563</v>
      </c>
      <c r="H367" s="164" t="s">
        <v>558</v>
      </c>
      <c r="I367" s="18" t="s">
        <v>53</v>
      </c>
      <c r="L367" s="144" t="s">
        <v>2</v>
      </c>
      <c r="M367" s="5" t="s">
        <v>522</v>
      </c>
      <c r="O367" s="18">
        <v>6</v>
      </c>
      <c r="P367" s="144">
        <v>6</v>
      </c>
      <c r="Q367" s="183">
        <f t="shared" si="10"/>
        <v>12</v>
      </c>
    </row>
    <row r="368" spans="1:17" ht="16.5" hidden="1" x14ac:dyDescent="0.35">
      <c r="A368" s="53">
        <v>367</v>
      </c>
      <c r="B368" s="18" t="s">
        <v>546</v>
      </c>
      <c r="C368" s="18" t="s">
        <v>660</v>
      </c>
      <c r="D368" s="17" t="s">
        <v>562</v>
      </c>
      <c r="E368" s="17" t="s">
        <v>563</v>
      </c>
      <c r="H368" s="164"/>
      <c r="I368" s="18" t="s">
        <v>53</v>
      </c>
      <c r="L368" s="144" t="s">
        <v>2</v>
      </c>
      <c r="M368" s="5" t="s">
        <v>522</v>
      </c>
      <c r="O368" s="18">
        <v>3</v>
      </c>
      <c r="P368" s="144">
        <v>3</v>
      </c>
      <c r="Q368" s="183">
        <f t="shared" si="10"/>
        <v>6</v>
      </c>
    </row>
    <row r="369" spans="1:17" ht="16.5" hidden="1" x14ac:dyDescent="0.35">
      <c r="A369" s="53">
        <v>368</v>
      </c>
      <c r="B369" s="18" t="s">
        <v>547</v>
      </c>
      <c r="C369" s="18" t="s">
        <v>660</v>
      </c>
      <c r="D369" s="17" t="s">
        <v>562</v>
      </c>
      <c r="E369" s="17" t="s">
        <v>563</v>
      </c>
      <c r="H369" s="164" t="s">
        <v>559</v>
      </c>
      <c r="I369" s="18" t="s">
        <v>53</v>
      </c>
      <c r="L369" s="144" t="s">
        <v>2</v>
      </c>
      <c r="M369" s="5" t="s">
        <v>522</v>
      </c>
      <c r="O369" s="18">
        <v>2</v>
      </c>
      <c r="P369" s="144">
        <v>2</v>
      </c>
      <c r="Q369" s="183">
        <f t="shared" si="10"/>
        <v>4</v>
      </c>
    </row>
    <row r="370" spans="1:17" ht="16.5" hidden="1" x14ac:dyDescent="0.5">
      <c r="A370" s="53">
        <v>369</v>
      </c>
      <c r="B370" s="18" t="s">
        <v>548</v>
      </c>
      <c r="C370" s="18" t="s">
        <v>660</v>
      </c>
      <c r="D370" s="17" t="s">
        <v>562</v>
      </c>
      <c r="E370" s="17" t="s">
        <v>563</v>
      </c>
      <c r="H370" s="164" t="s">
        <v>560</v>
      </c>
      <c r="I370" s="18" t="s">
        <v>53</v>
      </c>
      <c r="L370" s="144" t="s">
        <v>9</v>
      </c>
      <c r="M370" s="5" t="s">
        <v>522</v>
      </c>
      <c r="O370" s="184">
        <v>3</v>
      </c>
      <c r="P370" s="184">
        <v>2</v>
      </c>
      <c r="Q370" s="185">
        <f t="shared" si="10"/>
        <v>5</v>
      </c>
    </row>
    <row r="371" spans="1:17" ht="16.5" hidden="1" x14ac:dyDescent="0.35">
      <c r="A371" s="53">
        <v>370</v>
      </c>
      <c r="B371" s="18" t="s">
        <v>549</v>
      </c>
      <c r="C371" s="18" t="s">
        <v>660</v>
      </c>
      <c r="D371" s="17" t="s">
        <v>562</v>
      </c>
      <c r="E371" s="17" t="s">
        <v>563</v>
      </c>
      <c r="H371" s="371" t="s">
        <v>561</v>
      </c>
      <c r="I371" s="18" t="s">
        <v>53</v>
      </c>
      <c r="L371" s="144" t="s">
        <v>2</v>
      </c>
      <c r="M371" s="5" t="s">
        <v>522</v>
      </c>
      <c r="O371" s="186">
        <v>1</v>
      </c>
      <c r="P371" s="186">
        <v>1</v>
      </c>
      <c r="Q371" s="187">
        <f t="shared" si="10"/>
        <v>2</v>
      </c>
    </row>
    <row r="372" spans="1:17" ht="16.5" hidden="1" x14ac:dyDescent="0.35">
      <c r="A372" s="53">
        <v>371</v>
      </c>
      <c r="B372" s="351" t="s">
        <v>550</v>
      </c>
      <c r="C372" s="18" t="s">
        <v>660</v>
      </c>
      <c r="D372" s="17" t="s">
        <v>562</v>
      </c>
      <c r="E372" s="17" t="s">
        <v>563</v>
      </c>
      <c r="H372" s="372"/>
      <c r="I372" s="18" t="s">
        <v>53</v>
      </c>
      <c r="L372" s="145" t="s">
        <v>9</v>
      </c>
      <c r="M372" s="5" t="s">
        <v>522</v>
      </c>
      <c r="O372" s="188">
        <v>4</v>
      </c>
      <c r="P372" s="188">
        <v>5</v>
      </c>
      <c r="Q372" s="189">
        <f t="shared" si="10"/>
        <v>9</v>
      </c>
    </row>
    <row r="373" spans="1:17" ht="17" hidden="1" thickBot="1" x14ac:dyDescent="0.4">
      <c r="A373" s="53">
        <v>372</v>
      </c>
      <c r="B373" s="354" t="s">
        <v>551</v>
      </c>
      <c r="C373" s="18" t="s">
        <v>660</v>
      </c>
      <c r="D373" s="17" t="s">
        <v>562</v>
      </c>
      <c r="E373" s="17" t="s">
        <v>563</v>
      </c>
      <c r="H373" s="373"/>
      <c r="I373" s="18" t="s">
        <v>53</v>
      </c>
      <c r="L373" s="146" t="s">
        <v>9</v>
      </c>
      <c r="M373" s="5" t="s">
        <v>522</v>
      </c>
      <c r="O373" s="188">
        <v>2</v>
      </c>
      <c r="P373" s="188">
        <v>5</v>
      </c>
      <c r="Q373" s="189">
        <f t="shared" si="10"/>
        <v>7</v>
      </c>
    </row>
    <row r="374" spans="1:17" ht="16.5" hidden="1" x14ac:dyDescent="0.35">
      <c r="A374" s="53">
        <v>373</v>
      </c>
      <c r="B374" s="18" t="s">
        <v>566</v>
      </c>
      <c r="C374" s="18" t="s">
        <v>660</v>
      </c>
      <c r="D374" s="17" t="s">
        <v>604</v>
      </c>
      <c r="E374" s="17" t="s">
        <v>563</v>
      </c>
      <c r="H374" s="23"/>
      <c r="I374" s="18" t="s">
        <v>53</v>
      </c>
      <c r="L374" s="15" t="s">
        <v>2</v>
      </c>
      <c r="M374" s="5" t="s">
        <v>522</v>
      </c>
      <c r="O374" s="147">
        <v>4</v>
      </c>
      <c r="P374" s="15">
        <v>3</v>
      </c>
      <c r="Q374" s="148">
        <f t="shared" si="10"/>
        <v>7</v>
      </c>
    </row>
    <row r="375" spans="1:17" ht="16.5" hidden="1" x14ac:dyDescent="0.35">
      <c r="A375" s="53">
        <v>374</v>
      </c>
      <c r="B375" s="18" t="s">
        <v>567</v>
      </c>
      <c r="C375" s="18" t="s">
        <v>660</v>
      </c>
      <c r="D375" s="17" t="s">
        <v>604</v>
      </c>
      <c r="E375" s="17" t="s">
        <v>563</v>
      </c>
      <c r="H375" s="23"/>
      <c r="I375" s="18" t="s">
        <v>53</v>
      </c>
      <c r="L375" s="15" t="s">
        <v>2</v>
      </c>
      <c r="M375" s="5" t="s">
        <v>522</v>
      </c>
      <c r="O375" s="147">
        <v>3</v>
      </c>
      <c r="P375" s="15">
        <v>2</v>
      </c>
      <c r="Q375" s="148">
        <f t="shared" si="10"/>
        <v>5</v>
      </c>
    </row>
    <row r="376" spans="1:17" ht="16.5" hidden="1" x14ac:dyDescent="0.35">
      <c r="A376" s="53">
        <v>375</v>
      </c>
      <c r="B376" s="18" t="s">
        <v>568</v>
      </c>
      <c r="C376" s="18" t="s">
        <v>660</v>
      </c>
      <c r="D376" s="17" t="s">
        <v>604</v>
      </c>
      <c r="E376" s="17" t="s">
        <v>563</v>
      </c>
      <c r="H376" s="147"/>
      <c r="I376" s="18" t="s">
        <v>53</v>
      </c>
      <c r="L376" s="15" t="s">
        <v>2</v>
      </c>
      <c r="M376" s="5" t="s">
        <v>522</v>
      </c>
      <c r="O376" s="147">
        <v>4</v>
      </c>
      <c r="P376" s="15">
        <v>2</v>
      </c>
      <c r="Q376" s="148">
        <f t="shared" ref="Q376:Q403" si="12">SUM(M376:P376)</f>
        <v>6</v>
      </c>
    </row>
    <row r="377" spans="1:17" ht="16.5" hidden="1" x14ac:dyDescent="0.35">
      <c r="A377" s="53">
        <v>376</v>
      </c>
      <c r="B377" s="18" t="s">
        <v>569</v>
      </c>
      <c r="C377" s="18" t="s">
        <v>660</v>
      </c>
      <c r="D377" s="17" t="s">
        <v>604</v>
      </c>
      <c r="E377" s="17" t="s">
        <v>563</v>
      </c>
      <c r="H377" s="23" t="s">
        <v>596</v>
      </c>
      <c r="I377" s="18" t="s">
        <v>53</v>
      </c>
      <c r="L377" s="15" t="s">
        <v>2</v>
      </c>
      <c r="M377" s="5" t="s">
        <v>522</v>
      </c>
      <c r="O377" s="147">
        <v>7</v>
      </c>
      <c r="P377" s="15">
        <v>0</v>
      </c>
      <c r="Q377" s="148">
        <f t="shared" si="12"/>
        <v>7</v>
      </c>
    </row>
    <row r="378" spans="1:17" ht="16.5" hidden="1" x14ac:dyDescent="0.35">
      <c r="A378" s="53">
        <v>377</v>
      </c>
      <c r="B378" s="18" t="s">
        <v>570</v>
      </c>
      <c r="C378" s="18" t="s">
        <v>660</v>
      </c>
      <c r="D378" s="17" t="s">
        <v>604</v>
      </c>
      <c r="E378" s="17" t="s">
        <v>563</v>
      </c>
      <c r="H378" s="23"/>
      <c r="I378" s="18" t="s">
        <v>53</v>
      </c>
      <c r="L378" s="15" t="s">
        <v>2</v>
      </c>
      <c r="M378" s="5" t="s">
        <v>522</v>
      </c>
      <c r="O378" s="147">
        <v>3</v>
      </c>
      <c r="P378" s="15">
        <v>6</v>
      </c>
      <c r="Q378" s="148">
        <f t="shared" si="12"/>
        <v>9</v>
      </c>
    </row>
    <row r="379" spans="1:17" ht="16.5" hidden="1" x14ac:dyDescent="0.35">
      <c r="A379" s="53">
        <v>378</v>
      </c>
      <c r="B379" s="18" t="s">
        <v>571</v>
      </c>
      <c r="C379" s="18" t="s">
        <v>660</v>
      </c>
      <c r="D379" s="17" t="s">
        <v>604</v>
      </c>
      <c r="E379" s="17" t="s">
        <v>563</v>
      </c>
      <c r="H379" s="23"/>
      <c r="I379" s="18" t="s">
        <v>53</v>
      </c>
      <c r="L379" s="15" t="s">
        <v>2</v>
      </c>
      <c r="M379" s="5" t="s">
        <v>522</v>
      </c>
      <c r="O379" s="147">
        <v>3</v>
      </c>
      <c r="P379" s="15">
        <v>4</v>
      </c>
      <c r="Q379" s="148">
        <f t="shared" si="12"/>
        <v>7</v>
      </c>
    </row>
    <row r="380" spans="1:17" ht="16.5" hidden="1" x14ac:dyDescent="0.35">
      <c r="A380" s="53">
        <v>379</v>
      </c>
      <c r="B380" s="18" t="s">
        <v>572</v>
      </c>
      <c r="C380" s="18" t="s">
        <v>660</v>
      </c>
      <c r="D380" s="17" t="s">
        <v>604</v>
      </c>
      <c r="E380" s="17" t="s">
        <v>563</v>
      </c>
      <c r="H380" s="23" t="s">
        <v>597</v>
      </c>
      <c r="I380" s="18" t="s">
        <v>53</v>
      </c>
      <c r="L380" s="15" t="s">
        <v>2</v>
      </c>
      <c r="M380" s="5" t="s">
        <v>522</v>
      </c>
      <c r="O380" s="147">
        <v>1</v>
      </c>
      <c r="P380" s="15">
        <v>2</v>
      </c>
      <c r="Q380" s="148">
        <f t="shared" si="12"/>
        <v>3</v>
      </c>
    </row>
    <row r="381" spans="1:17" ht="16.5" hidden="1" x14ac:dyDescent="0.35">
      <c r="A381" s="53">
        <v>380</v>
      </c>
      <c r="B381" s="18" t="s">
        <v>573</v>
      </c>
      <c r="C381" s="18" t="s">
        <v>660</v>
      </c>
      <c r="D381" s="17" t="s">
        <v>604</v>
      </c>
      <c r="E381" s="17" t="s">
        <v>563</v>
      </c>
      <c r="H381" s="23"/>
      <c r="I381" s="18" t="s">
        <v>53</v>
      </c>
      <c r="L381" s="15" t="s">
        <v>2</v>
      </c>
      <c r="M381" s="5" t="s">
        <v>522</v>
      </c>
      <c r="O381" s="147">
        <v>2</v>
      </c>
      <c r="P381" s="15">
        <v>10</v>
      </c>
      <c r="Q381" s="148">
        <f t="shared" si="12"/>
        <v>12</v>
      </c>
    </row>
    <row r="382" spans="1:17" ht="16.5" hidden="1" x14ac:dyDescent="0.35">
      <c r="A382" s="53">
        <v>381</v>
      </c>
      <c r="B382" s="18" t="s">
        <v>574</v>
      </c>
      <c r="C382" s="18" t="s">
        <v>660</v>
      </c>
      <c r="D382" s="17" t="s">
        <v>604</v>
      </c>
      <c r="E382" s="17" t="s">
        <v>563</v>
      </c>
      <c r="H382" s="23"/>
      <c r="I382" s="18" t="s">
        <v>53</v>
      </c>
      <c r="L382" s="15" t="s">
        <v>2</v>
      </c>
      <c r="M382" s="5" t="s">
        <v>522</v>
      </c>
      <c r="O382" s="147">
        <v>2</v>
      </c>
      <c r="P382" s="15">
        <v>3</v>
      </c>
      <c r="Q382" s="148">
        <f t="shared" si="12"/>
        <v>5</v>
      </c>
    </row>
    <row r="383" spans="1:17" ht="16.5" hidden="1" x14ac:dyDescent="0.35">
      <c r="A383" s="53">
        <v>382</v>
      </c>
      <c r="B383" s="18" t="s">
        <v>575</v>
      </c>
      <c r="C383" s="18" t="s">
        <v>660</v>
      </c>
      <c r="D383" s="17" t="s">
        <v>604</v>
      </c>
      <c r="E383" s="17" t="s">
        <v>563</v>
      </c>
      <c r="H383" s="23"/>
      <c r="I383" s="18" t="s">
        <v>53</v>
      </c>
      <c r="L383" s="15" t="s">
        <v>2</v>
      </c>
      <c r="M383" s="5" t="s">
        <v>522</v>
      </c>
      <c r="O383" s="147">
        <v>3</v>
      </c>
      <c r="P383" s="15">
        <v>2</v>
      </c>
      <c r="Q383" s="148">
        <f t="shared" si="12"/>
        <v>5</v>
      </c>
    </row>
    <row r="384" spans="1:17" ht="16.5" hidden="1" x14ac:dyDescent="0.35">
      <c r="A384" s="53">
        <v>383</v>
      </c>
      <c r="B384" s="18" t="s">
        <v>576</v>
      </c>
      <c r="C384" s="18" t="s">
        <v>660</v>
      </c>
      <c r="D384" s="17" t="s">
        <v>604</v>
      </c>
      <c r="E384" s="17" t="s">
        <v>563</v>
      </c>
      <c r="H384" s="23"/>
      <c r="I384" s="18" t="s">
        <v>53</v>
      </c>
      <c r="L384" s="15" t="s">
        <v>2</v>
      </c>
      <c r="M384" s="5" t="s">
        <v>522</v>
      </c>
      <c r="O384" s="147">
        <v>4</v>
      </c>
      <c r="P384" s="15">
        <v>5</v>
      </c>
      <c r="Q384" s="148">
        <f t="shared" si="12"/>
        <v>9</v>
      </c>
    </row>
    <row r="385" spans="1:17" ht="16.5" hidden="1" x14ac:dyDescent="0.35">
      <c r="A385" s="53">
        <v>384</v>
      </c>
      <c r="B385" s="18" t="s">
        <v>577</v>
      </c>
      <c r="C385" s="18" t="s">
        <v>660</v>
      </c>
      <c r="D385" s="17" t="s">
        <v>604</v>
      </c>
      <c r="E385" s="17" t="s">
        <v>563</v>
      </c>
      <c r="H385" s="23"/>
      <c r="I385" s="18" t="s">
        <v>53</v>
      </c>
      <c r="L385" s="15" t="s">
        <v>2</v>
      </c>
      <c r="M385" s="5" t="s">
        <v>522</v>
      </c>
      <c r="O385" s="147">
        <v>2</v>
      </c>
      <c r="P385" s="15">
        <v>2</v>
      </c>
      <c r="Q385" s="148">
        <f t="shared" si="12"/>
        <v>4</v>
      </c>
    </row>
    <row r="386" spans="1:17" ht="16.5" hidden="1" x14ac:dyDescent="0.35">
      <c r="A386" s="53">
        <v>385</v>
      </c>
      <c r="B386" s="18" t="s">
        <v>578</v>
      </c>
      <c r="C386" s="18" t="s">
        <v>660</v>
      </c>
      <c r="D386" s="17" t="s">
        <v>604</v>
      </c>
      <c r="E386" s="17" t="s">
        <v>563</v>
      </c>
      <c r="H386" s="23"/>
      <c r="I386" s="18" t="s">
        <v>53</v>
      </c>
      <c r="L386" s="15" t="s">
        <v>2</v>
      </c>
      <c r="M386" s="5" t="s">
        <v>522</v>
      </c>
      <c r="O386" s="147">
        <v>2</v>
      </c>
      <c r="P386" s="15">
        <v>2</v>
      </c>
      <c r="Q386" s="148">
        <f t="shared" si="12"/>
        <v>4</v>
      </c>
    </row>
    <row r="387" spans="1:17" ht="16.5" hidden="1" x14ac:dyDescent="0.35">
      <c r="A387" s="53">
        <v>386</v>
      </c>
      <c r="B387" s="18" t="s">
        <v>579</v>
      </c>
      <c r="C387" s="18" t="s">
        <v>660</v>
      </c>
      <c r="D387" s="17" t="s">
        <v>604</v>
      </c>
      <c r="E387" s="17" t="s">
        <v>563</v>
      </c>
      <c r="H387" s="23" t="s">
        <v>598</v>
      </c>
      <c r="I387" s="18" t="s">
        <v>53</v>
      </c>
      <c r="L387" s="15" t="s">
        <v>2</v>
      </c>
      <c r="M387" s="5" t="s">
        <v>522</v>
      </c>
      <c r="O387" s="147">
        <v>2</v>
      </c>
      <c r="P387" s="15">
        <v>1</v>
      </c>
      <c r="Q387" s="148">
        <f t="shared" si="12"/>
        <v>3</v>
      </c>
    </row>
    <row r="388" spans="1:17" ht="16.5" hidden="1" x14ac:dyDescent="0.35">
      <c r="A388" s="53">
        <v>387</v>
      </c>
      <c r="B388" s="18" t="s">
        <v>580</v>
      </c>
      <c r="C388" s="18" t="s">
        <v>660</v>
      </c>
      <c r="D388" s="17" t="s">
        <v>604</v>
      </c>
      <c r="E388" s="17" t="s">
        <v>563</v>
      </c>
      <c r="H388" s="23"/>
      <c r="I388" s="18" t="s">
        <v>53</v>
      </c>
      <c r="L388" s="15" t="s">
        <v>2</v>
      </c>
      <c r="M388" s="5" t="s">
        <v>522</v>
      </c>
      <c r="O388" s="147">
        <v>6</v>
      </c>
      <c r="P388" s="15">
        <v>4</v>
      </c>
      <c r="Q388" s="148">
        <f t="shared" si="12"/>
        <v>10</v>
      </c>
    </row>
    <row r="389" spans="1:17" ht="16.5" hidden="1" x14ac:dyDescent="0.35">
      <c r="A389" s="53">
        <v>388</v>
      </c>
      <c r="B389" s="18" t="s">
        <v>581</v>
      </c>
      <c r="C389" s="18" t="s">
        <v>660</v>
      </c>
      <c r="D389" s="17" t="s">
        <v>604</v>
      </c>
      <c r="E389" s="17" t="s">
        <v>563</v>
      </c>
      <c r="H389" s="23" t="s">
        <v>599</v>
      </c>
      <c r="I389" s="18" t="s">
        <v>53</v>
      </c>
      <c r="L389" s="15" t="s">
        <v>2</v>
      </c>
      <c r="M389" s="5" t="s">
        <v>522</v>
      </c>
      <c r="O389" s="147">
        <v>4</v>
      </c>
      <c r="P389" s="15">
        <v>0</v>
      </c>
      <c r="Q389" s="148">
        <f t="shared" si="12"/>
        <v>4</v>
      </c>
    </row>
    <row r="390" spans="1:17" ht="16.5" hidden="1" x14ac:dyDescent="0.35">
      <c r="A390" s="53">
        <v>389</v>
      </c>
      <c r="B390" s="18" t="s">
        <v>582</v>
      </c>
      <c r="C390" s="18" t="s">
        <v>660</v>
      </c>
      <c r="D390" s="17" t="s">
        <v>604</v>
      </c>
      <c r="E390" s="17" t="s">
        <v>563</v>
      </c>
      <c r="H390" s="23"/>
      <c r="I390" s="18" t="s">
        <v>53</v>
      </c>
      <c r="L390" s="15" t="s">
        <v>2</v>
      </c>
      <c r="M390" s="5" t="s">
        <v>522</v>
      </c>
      <c r="O390" s="147">
        <v>1</v>
      </c>
      <c r="P390" s="15">
        <v>1</v>
      </c>
      <c r="Q390" s="148">
        <f t="shared" si="12"/>
        <v>2</v>
      </c>
    </row>
    <row r="391" spans="1:17" ht="16.5" hidden="1" x14ac:dyDescent="0.35">
      <c r="A391" s="53">
        <v>390</v>
      </c>
      <c r="B391" s="18" t="s">
        <v>583</v>
      </c>
      <c r="C391" s="18" t="s">
        <v>660</v>
      </c>
      <c r="D391" s="17" t="s">
        <v>604</v>
      </c>
      <c r="E391" s="17" t="s">
        <v>563</v>
      </c>
      <c r="H391" s="23"/>
      <c r="I391" s="18" t="s">
        <v>53</v>
      </c>
      <c r="L391" s="15" t="s">
        <v>2</v>
      </c>
      <c r="M391" s="5" t="s">
        <v>522</v>
      </c>
      <c r="O391" s="147">
        <v>0</v>
      </c>
      <c r="P391" s="15">
        <v>3</v>
      </c>
      <c r="Q391" s="148">
        <f t="shared" si="12"/>
        <v>3</v>
      </c>
    </row>
    <row r="392" spans="1:17" ht="16.5" hidden="1" x14ac:dyDescent="0.35">
      <c r="A392" s="53">
        <v>391</v>
      </c>
      <c r="B392" s="18" t="s">
        <v>584</v>
      </c>
      <c r="C392" s="18" t="s">
        <v>660</v>
      </c>
      <c r="D392" s="17" t="s">
        <v>604</v>
      </c>
      <c r="E392" s="17" t="s">
        <v>563</v>
      </c>
      <c r="H392" s="23"/>
      <c r="I392" s="18" t="s">
        <v>53</v>
      </c>
      <c r="L392" s="15" t="s">
        <v>2</v>
      </c>
      <c r="M392" s="5" t="s">
        <v>522</v>
      </c>
      <c r="O392" s="147">
        <v>2</v>
      </c>
      <c r="P392" s="15">
        <v>5</v>
      </c>
      <c r="Q392" s="148">
        <f t="shared" si="12"/>
        <v>7</v>
      </c>
    </row>
    <row r="393" spans="1:17" ht="16.5" hidden="1" x14ac:dyDescent="0.35">
      <c r="A393" s="53">
        <v>392</v>
      </c>
      <c r="B393" s="18" t="s">
        <v>585</v>
      </c>
      <c r="C393" s="18" t="s">
        <v>660</v>
      </c>
      <c r="D393" s="17" t="s">
        <v>604</v>
      </c>
      <c r="E393" s="17" t="s">
        <v>563</v>
      </c>
      <c r="H393" s="23"/>
      <c r="I393" s="18" t="s">
        <v>53</v>
      </c>
      <c r="L393" s="15" t="s">
        <v>2</v>
      </c>
      <c r="M393" s="5" t="s">
        <v>522</v>
      </c>
      <c r="O393" s="147">
        <v>3</v>
      </c>
      <c r="P393" s="15">
        <v>3</v>
      </c>
      <c r="Q393" s="148">
        <f t="shared" si="12"/>
        <v>6</v>
      </c>
    </row>
    <row r="394" spans="1:17" ht="16.5" hidden="1" x14ac:dyDescent="0.35">
      <c r="A394" s="53">
        <v>393</v>
      </c>
      <c r="B394" s="18" t="s">
        <v>586</v>
      </c>
      <c r="C394" s="18" t="s">
        <v>660</v>
      </c>
      <c r="D394" s="17" t="s">
        <v>604</v>
      </c>
      <c r="E394" s="17" t="s">
        <v>563</v>
      </c>
      <c r="H394" s="23"/>
      <c r="I394" s="18" t="s">
        <v>53</v>
      </c>
      <c r="L394" s="15" t="s">
        <v>2</v>
      </c>
      <c r="M394" s="5" t="s">
        <v>522</v>
      </c>
      <c r="O394" s="147">
        <v>2</v>
      </c>
      <c r="P394" s="15">
        <v>4</v>
      </c>
      <c r="Q394" s="148">
        <f t="shared" si="12"/>
        <v>6</v>
      </c>
    </row>
    <row r="395" spans="1:17" ht="16.5" hidden="1" x14ac:dyDescent="0.35">
      <c r="A395" s="53">
        <v>394</v>
      </c>
      <c r="B395" s="18" t="s">
        <v>587</v>
      </c>
      <c r="C395" s="18" t="s">
        <v>660</v>
      </c>
      <c r="D395" s="17" t="s">
        <v>604</v>
      </c>
      <c r="E395" s="17" t="s">
        <v>563</v>
      </c>
      <c r="H395" s="23" t="s">
        <v>600</v>
      </c>
      <c r="I395" s="18" t="s">
        <v>53</v>
      </c>
      <c r="L395" s="15" t="s">
        <v>2</v>
      </c>
      <c r="M395" s="5" t="s">
        <v>522</v>
      </c>
      <c r="O395" s="147">
        <v>1</v>
      </c>
      <c r="P395" s="15">
        <v>1</v>
      </c>
      <c r="Q395" s="148">
        <f t="shared" si="12"/>
        <v>2</v>
      </c>
    </row>
    <row r="396" spans="1:17" ht="16.5" hidden="1" x14ac:dyDescent="0.35">
      <c r="A396" s="53">
        <v>395</v>
      </c>
      <c r="B396" s="18" t="s">
        <v>588</v>
      </c>
      <c r="C396" s="18" t="s">
        <v>660</v>
      </c>
      <c r="D396" s="17" t="s">
        <v>604</v>
      </c>
      <c r="E396" s="17" t="s">
        <v>563</v>
      </c>
      <c r="H396" s="23" t="s">
        <v>601</v>
      </c>
      <c r="I396" s="18" t="s">
        <v>53</v>
      </c>
      <c r="L396" s="15" t="s">
        <v>2</v>
      </c>
      <c r="M396" s="5" t="s">
        <v>522</v>
      </c>
      <c r="O396" s="147">
        <v>5</v>
      </c>
      <c r="P396" s="15">
        <v>2</v>
      </c>
      <c r="Q396" s="148">
        <f t="shared" si="12"/>
        <v>7</v>
      </c>
    </row>
    <row r="397" spans="1:17" ht="16.5" hidden="1" x14ac:dyDescent="0.35">
      <c r="A397" s="53">
        <v>396</v>
      </c>
      <c r="B397" s="18" t="s">
        <v>589</v>
      </c>
      <c r="C397" s="18" t="s">
        <v>660</v>
      </c>
      <c r="D397" s="17" t="s">
        <v>604</v>
      </c>
      <c r="E397" s="17" t="s">
        <v>563</v>
      </c>
      <c r="H397" s="23"/>
      <c r="I397" s="18" t="s">
        <v>53</v>
      </c>
      <c r="L397" s="15" t="s">
        <v>2</v>
      </c>
      <c r="M397" s="5" t="s">
        <v>522</v>
      </c>
      <c r="O397" s="147">
        <v>5</v>
      </c>
      <c r="P397" s="15">
        <v>1</v>
      </c>
      <c r="Q397" s="148">
        <f t="shared" si="12"/>
        <v>6</v>
      </c>
    </row>
    <row r="398" spans="1:17" ht="16.5" hidden="1" x14ac:dyDescent="0.35">
      <c r="A398" s="53">
        <v>397</v>
      </c>
      <c r="B398" s="18" t="s">
        <v>590</v>
      </c>
      <c r="C398" s="18" t="s">
        <v>660</v>
      </c>
      <c r="D398" s="17" t="s">
        <v>604</v>
      </c>
      <c r="E398" s="17" t="s">
        <v>563</v>
      </c>
      <c r="H398" s="23"/>
      <c r="I398" s="18" t="s">
        <v>53</v>
      </c>
      <c r="L398" s="15" t="s">
        <v>2</v>
      </c>
      <c r="M398" s="5" t="s">
        <v>522</v>
      </c>
      <c r="O398" s="147">
        <v>1</v>
      </c>
      <c r="P398" s="15">
        <v>2</v>
      </c>
      <c r="Q398" s="148">
        <f t="shared" si="12"/>
        <v>3</v>
      </c>
    </row>
    <row r="399" spans="1:17" ht="16.5" hidden="1" x14ac:dyDescent="0.35">
      <c r="A399" s="53">
        <v>398</v>
      </c>
      <c r="B399" s="18" t="s">
        <v>591</v>
      </c>
      <c r="C399" s="18" t="s">
        <v>660</v>
      </c>
      <c r="D399" s="17" t="s">
        <v>604</v>
      </c>
      <c r="E399" s="17" t="s">
        <v>563</v>
      </c>
      <c r="H399" s="23"/>
      <c r="I399" s="18" t="s">
        <v>53</v>
      </c>
      <c r="L399" s="15" t="s">
        <v>2</v>
      </c>
      <c r="M399" s="5" t="s">
        <v>522</v>
      </c>
      <c r="O399" s="147">
        <v>6</v>
      </c>
      <c r="P399" s="15">
        <v>4</v>
      </c>
      <c r="Q399" s="148">
        <f t="shared" si="12"/>
        <v>10</v>
      </c>
    </row>
    <row r="400" spans="1:17" ht="16.5" hidden="1" x14ac:dyDescent="0.5">
      <c r="A400" s="53">
        <v>399</v>
      </c>
      <c r="B400" s="18" t="s">
        <v>592</v>
      </c>
      <c r="C400" s="18" t="s">
        <v>660</v>
      </c>
      <c r="D400" s="17" t="s">
        <v>604</v>
      </c>
      <c r="E400" s="17" t="s">
        <v>563</v>
      </c>
      <c r="H400" s="23"/>
      <c r="I400" s="18" t="s">
        <v>53</v>
      </c>
      <c r="L400" s="15" t="s">
        <v>2</v>
      </c>
      <c r="M400" s="5" t="s">
        <v>522</v>
      </c>
      <c r="O400" s="149">
        <v>3</v>
      </c>
      <c r="P400" s="149">
        <v>3</v>
      </c>
      <c r="Q400" s="150">
        <f t="shared" si="12"/>
        <v>6</v>
      </c>
    </row>
    <row r="401" spans="1:17" ht="16.5" hidden="1" x14ac:dyDescent="0.35">
      <c r="A401" s="53">
        <v>400</v>
      </c>
      <c r="B401" s="18" t="s">
        <v>593</v>
      </c>
      <c r="C401" s="18" t="s">
        <v>660</v>
      </c>
      <c r="D401" s="17" t="s">
        <v>604</v>
      </c>
      <c r="E401" s="17" t="s">
        <v>563</v>
      </c>
      <c r="H401" s="24"/>
      <c r="I401" s="18" t="s">
        <v>53</v>
      </c>
      <c r="L401" s="15" t="s">
        <v>2</v>
      </c>
      <c r="M401" s="5" t="s">
        <v>522</v>
      </c>
      <c r="O401" s="151">
        <v>3</v>
      </c>
      <c r="P401" s="151">
        <v>7</v>
      </c>
      <c r="Q401" s="152">
        <f t="shared" si="12"/>
        <v>10</v>
      </c>
    </row>
    <row r="402" spans="1:17" ht="16.5" hidden="1" x14ac:dyDescent="0.35">
      <c r="A402" s="53">
        <v>401</v>
      </c>
      <c r="B402" s="351" t="s">
        <v>594</v>
      </c>
      <c r="C402" s="18" t="s">
        <v>660</v>
      </c>
      <c r="D402" s="17" t="s">
        <v>604</v>
      </c>
      <c r="E402" s="17" t="s">
        <v>563</v>
      </c>
      <c r="H402" s="25" t="s">
        <v>602</v>
      </c>
      <c r="I402" s="18" t="s">
        <v>53</v>
      </c>
      <c r="L402" s="16" t="s">
        <v>2</v>
      </c>
      <c r="M402" s="5" t="s">
        <v>522</v>
      </c>
      <c r="O402" s="143">
        <v>3</v>
      </c>
      <c r="P402" s="143">
        <v>3</v>
      </c>
      <c r="Q402" s="153">
        <f t="shared" si="12"/>
        <v>6</v>
      </c>
    </row>
    <row r="403" spans="1:17" ht="16.5" hidden="1" x14ac:dyDescent="0.35">
      <c r="A403" s="53">
        <v>402</v>
      </c>
      <c r="B403" s="351" t="s">
        <v>595</v>
      </c>
      <c r="C403" s="18" t="s">
        <v>660</v>
      </c>
      <c r="D403" s="17" t="s">
        <v>604</v>
      </c>
      <c r="E403" s="17" t="s">
        <v>563</v>
      </c>
      <c r="H403" s="25" t="s">
        <v>603</v>
      </c>
      <c r="I403" s="18" t="s">
        <v>53</v>
      </c>
      <c r="L403" s="143" t="s">
        <v>2</v>
      </c>
      <c r="M403" s="5" t="s">
        <v>522</v>
      </c>
      <c r="O403" s="143">
        <v>1</v>
      </c>
      <c r="P403" s="143">
        <v>1</v>
      </c>
      <c r="Q403" s="153">
        <f t="shared" si="12"/>
        <v>2</v>
      </c>
    </row>
    <row r="404" spans="1:17" ht="16.5" hidden="1" x14ac:dyDescent="0.35">
      <c r="A404" s="53">
        <v>403</v>
      </c>
      <c r="B404" s="18" t="s">
        <v>605</v>
      </c>
      <c r="C404" s="18" t="s">
        <v>660</v>
      </c>
      <c r="D404" s="17" t="s">
        <v>222</v>
      </c>
      <c r="E404" s="17" t="s">
        <v>563</v>
      </c>
      <c r="H404" s="23" t="s">
        <v>633</v>
      </c>
      <c r="I404" s="18" t="s">
        <v>53</v>
      </c>
      <c r="J404" s="23" t="s">
        <v>633</v>
      </c>
      <c r="L404" s="15" t="s">
        <v>2</v>
      </c>
      <c r="M404" s="5" t="s">
        <v>522</v>
      </c>
      <c r="O404" s="147">
        <v>2</v>
      </c>
      <c r="P404" s="15">
        <v>3</v>
      </c>
      <c r="Q404" s="148">
        <f>SUM(M404:P404)</f>
        <v>5</v>
      </c>
    </row>
    <row r="405" spans="1:17" ht="16.5" hidden="1" x14ac:dyDescent="0.35">
      <c r="A405" s="53">
        <v>404</v>
      </c>
      <c r="B405" s="18" t="s">
        <v>606</v>
      </c>
      <c r="C405" s="18" t="s">
        <v>660</v>
      </c>
      <c r="D405" s="17" t="s">
        <v>222</v>
      </c>
      <c r="E405" s="17" t="s">
        <v>563</v>
      </c>
      <c r="H405" s="23" t="s">
        <v>634</v>
      </c>
      <c r="I405" s="18" t="s">
        <v>53</v>
      </c>
      <c r="J405" s="23" t="s">
        <v>634</v>
      </c>
      <c r="L405" s="15" t="s">
        <v>2</v>
      </c>
      <c r="M405" s="5" t="s">
        <v>522</v>
      </c>
      <c r="O405" s="147">
        <v>3</v>
      </c>
      <c r="P405" s="15">
        <v>3</v>
      </c>
      <c r="Q405" s="148">
        <f t="shared" ref="Q405:Q432" si="13">SUM(M405:P405)</f>
        <v>6</v>
      </c>
    </row>
    <row r="406" spans="1:17" ht="16.5" hidden="1" x14ac:dyDescent="0.35">
      <c r="A406" s="53">
        <v>405</v>
      </c>
      <c r="B406" s="18" t="s">
        <v>607</v>
      </c>
      <c r="C406" s="18" t="s">
        <v>660</v>
      </c>
      <c r="D406" s="17" t="s">
        <v>222</v>
      </c>
      <c r="E406" s="17" t="s">
        <v>563</v>
      </c>
      <c r="H406" s="147"/>
      <c r="I406" s="18" t="s">
        <v>53</v>
      </c>
      <c r="J406" s="147"/>
      <c r="L406" s="15" t="s">
        <v>2</v>
      </c>
      <c r="M406" s="5" t="s">
        <v>522</v>
      </c>
      <c r="O406" s="147">
        <v>5</v>
      </c>
      <c r="P406" s="15">
        <v>4</v>
      </c>
      <c r="Q406" s="148">
        <f t="shared" si="13"/>
        <v>9</v>
      </c>
    </row>
    <row r="407" spans="1:17" ht="16.5" hidden="1" x14ac:dyDescent="0.35">
      <c r="A407" s="53">
        <v>406</v>
      </c>
      <c r="B407" s="18" t="s">
        <v>608</v>
      </c>
      <c r="C407" s="18" t="s">
        <v>660</v>
      </c>
      <c r="D407" s="17" t="s">
        <v>222</v>
      </c>
      <c r="E407" s="17" t="s">
        <v>563</v>
      </c>
      <c r="H407" s="23" t="s">
        <v>635</v>
      </c>
      <c r="I407" s="18" t="s">
        <v>53</v>
      </c>
      <c r="J407" s="23" t="s">
        <v>635</v>
      </c>
      <c r="L407" s="15" t="s">
        <v>2</v>
      </c>
      <c r="M407" s="5" t="s">
        <v>522</v>
      </c>
      <c r="O407" s="147">
        <v>5</v>
      </c>
      <c r="P407" s="15">
        <v>2</v>
      </c>
      <c r="Q407" s="148">
        <f t="shared" si="13"/>
        <v>7</v>
      </c>
    </row>
    <row r="408" spans="1:17" ht="16.5" hidden="1" x14ac:dyDescent="0.35">
      <c r="A408" s="53">
        <v>407</v>
      </c>
      <c r="B408" s="18" t="s">
        <v>609</v>
      </c>
      <c r="C408" s="18" t="s">
        <v>660</v>
      </c>
      <c r="D408" s="17" t="s">
        <v>222</v>
      </c>
      <c r="E408" s="17" t="s">
        <v>563</v>
      </c>
      <c r="H408" s="23" t="s">
        <v>636</v>
      </c>
      <c r="I408" s="18" t="s">
        <v>53</v>
      </c>
      <c r="J408" s="23" t="s">
        <v>636</v>
      </c>
      <c r="L408" s="15" t="s">
        <v>2</v>
      </c>
      <c r="M408" s="5" t="s">
        <v>522</v>
      </c>
      <c r="O408" s="147">
        <v>4</v>
      </c>
      <c r="P408" s="15">
        <v>3</v>
      </c>
      <c r="Q408" s="148">
        <f t="shared" si="13"/>
        <v>7</v>
      </c>
    </row>
    <row r="409" spans="1:17" ht="16.5" hidden="1" x14ac:dyDescent="0.35">
      <c r="A409" s="53">
        <v>408</v>
      </c>
      <c r="B409" s="18" t="s">
        <v>610</v>
      </c>
      <c r="C409" s="18" t="s">
        <v>660</v>
      </c>
      <c r="D409" s="17" t="s">
        <v>222</v>
      </c>
      <c r="E409" s="17" t="s">
        <v>563</v>
      </c>
      <c r="H409" s="23" t="s">
        <v>637</v>
      </c>
      <c r="I409" s="18" t="s">
        <v>53</v>
      </c>
      <c r="J409" s="23" t="s">
        <v>637</v>
      </c>
      <c r="L409" s="15" t="s">
        <v>2</v>
      </c>
      <c r="M409" s="5" t="s">
        <v>522</v>
      </c>
      <c r="O409" s="147">
        <v>2</v>
      </c>
      <c r="P409" s="15">
        <v>3</v>
      </c>
      <c r="Q409" s="148">
        <f t="shared" si="13"/>
        <v>5</v>
      </c>
    </row>
    <row r="410" spans="1:17" ht="16.5" hidden="1" x14ac:dyDescent="0.35">
      <c r="A410" s="53">
        <v>409</v>
      </c>
      <c r="B410" s="18" t="s">
        <v>75</v>
      </c>
      <c r="C410" s="18" t="s">
        <v>660</v>
      </c>
      <c r="D410" s="17" t="s">
        <v>222</v>
      </c>
      <c r="E410" s="17" t="s">
        <v>563</v>
      </c>
      <c r="H410" s="23" t="s">
        <v>638</v>
      </c>
      <c r="I410" s="18" t="s">
        <v>53</v>
      </c>
      <c r="J410" s="23" t="s">
        <v>638</v>
      </c>
      <c r="L410" s="15" t="s">
        <v>2</v>
      </c>
      <c r="M410" s="5" t="s">
        <v>522</v>
      </c>
      <c r="O410" s="147">
        <v>2</v>
      </c>
      <c r="P410" s="15">
        <v>2</v>
      </c>
      <c r="Q410" s="148">
        <f t="shared" si="13"/>
        <v>4</v>
      </c>
    </row>
    <row r="411" spans="1:17" ht="16.5" hidden="1" x14ac:dyDescent="0.35">
      <c r="A411" s="53">
        <v>410</v>
      </c>
      <c r="B411" s="18" t="s">
        <v>611</v>
      </c>
      <c r="C411" s="18" t="s">
        <v>660</v>
      </c>
      <c r="D411" s="17" t="s">
        <v>222</v>
      </c>
      <c r="E411" s="17" t="s">
        <v>563</v>
      </c>
      <c r="H411" s="23" t="s">
        <v>639</v>
      </c>
      <c r="I411" s="18" t="s">
        <v>53</v>
      </c>
      <c r="J411" s="23" t="s">
        <v>639</v>
      </c>
      <c r="L411" s="15" t="s">
        <v>2</v>
      </c>
      <c r="M411" s="5" t="s">
        <v>522</v>
      </c>
      <c r="O411" s="147">
        <v>2</v>
      </c>
      <c r="P411" s="15">
        <v>0</v>
      </c>
      <c r="Q411" s="148">
        <f t="shared" si="13"/>
        <v>2</v>
      </c>
    </row>
    <row r="412" spans="1:17" ht="16.5" hidden="1" x14ac:dyDescent="0.35">
      <c r="A412" s="53">
        <v>411</v>
      </c>
      <c r="B412" s="18" t="s">
        <v>612</v>
      </c>
      <c r="C412" s="18" t="s">
        <v>660</v>
      </c>
      <c r="D412" s="17" t="s">
        <v>222</v>
      </c>
      <c r="E412" s="17" t="s">
        <v>563</v>
      </c>
      <c r="H412" s="23" t="s">
        <v>640</v>
      </c>
      <c r="I412" s="18" t="s">
        <v>53</v>
      </c>
      <c r="J412" s="23" t="s">
        <v>640</v>
      </c>
      <c r="L412" s="15" t="s">
        <v>2</v>
      </c>
      <c r="M412" s="5" t="s">
        <v>522</v>
      </c>
      <c r="O412" s="147">
        <v>4</v>
      </c>
      <c r="P412" s="15">
        <v>0</v>
      </c>
      <c r="Q412" s="148">
        <f t="shared" si="13"/>
        <v>4</v>
      </c>
    </row>
    <row r="413" spans="1:17" ht="16.5" hidden="1" x14ac:dyDescent="0.35">
      <c r="A413" s="53">
        <v>412</v>
      </c>
      <c r="B413" s="18" t="s">
        <v>613</v>
      </c>
      <c r="C413" s="18" t="s">
        <v>660</v>
      </c>
      <c r="D413" s="17" t="s">
        <v>222</v>
      </c>
      <c r="E413" s="17" t="s">
        <v>563</v>
      </c>
      <c r="H413" s="23"/>
      <c r="I413" s="18" t="s">
        <v>53</v>
      </c>
      <c r="J413" s="23"/>
      <c r="L413" s="15" t="s">
        <v>2</v>
      </c>
      <c r="M413" s="5" t="s">
        <v>522</v>
      </c>
      <c r="O413" s="147">
        <v>3</v>
      </c>
      <c r="P413" s="15">
        <v>0</v>
      </c>
      <c r="Q413" s="148">
        <f t="shared" si="13"/>
        <v>3</v>
      </c>
    </row>
    <row r="414" spans="1:17" ht="16.5" hidden="1" x14ac:dyDescent="0.35">
      <c r="A414" s="53">
        <v>413</v>
      </c>
      <c r="B414" s="18" t="s">
        <v>614</v>
      </c>
      <c r="C414" s="18" t="s">
        <v>660</v>
      </c>
      <c r="D414" s="17" t="s">
        <v>222</v>
      </c>
      <c r="E414" s="17" t="s">
        <v>563</v>
      </c>
      <c r="H414" s="23"/>
      <c r="I414" s="18" t="s">
        <v>53</v>
      </c>
      <c r="J414" s="23"/>
      <c r="L414" s="15" t="s">
        <v>2</v>
      </c>
      <c r="M414" s="5" t="s">
        <v>522</v>
      </c>
      <c r="O414" s="147">
        <v>1</v>
      </c>
      <c r="P414" s="15">
        <v>3</v>
      </c>
      <c r="Q414" s="148">
        <f t="shared" si="13"/>
        <v>4</v>
      </c>
    </row>
    <row r="415" spans="1:17" ht="16.5" hidden="1" x14ac:dyDescent="0.35">
      <c r="A415" s="53">
        <v>414</v>
      </c>
      <c r="B415" s="18" t="s">
        <v>615</v>
      </c>
      <c r="C415" s="18" t="s">
        <v>660</v>
      </c>
      <c r="D415" s="17" t="s">
        <v>222</v>
      </c>
      <c r="E415" s="17" t="s">
        <v>563</v>
      </c>
      <c r="H415" s="23" t="s">
        <v>641</v>
      </c>
      <c r="I415" s="18" t="s">
        <v>53</v>
      </c>
      <c r="J415" s="23" t="s">
        <v>641</v>
      </c>
      <c r="L415" s="15" t="s">
        <v>2</v>
      </c>
      <c r="M415" s="5" t="s">
        <v>522</v>
      </c>
      <c r="O415" s="147">
        <v>3</v>
      </c>
      <c r="P415" s="15">
        <v>0</v>
      </c>
      <c r="Q415" s="148">
        <f t="shared" si="13"/>
        <v>3</v>
      </c>
    </row>
    <row r="416" spans="1:17" ht="16.5" hidden="1" x14ac:dyDescent="0.35">
      <c r="A416" s="53">
        <v>415</v>
      </c>
      <c r="B416" s="18" t="s">
        <v>616</v>
      </c>
      <c r="C416" s="18" t="s">
        <v>660</v>
      </c>
      <c r="D416" s="17" t="s">
        <v>222</v>
      </c>
      <c r="E416" s="17" t="s">
        <v>563</v>
      </c>
      <c r="H416" s="23" t="s">
        <v>642</v>
      </c>
      <c r="I416" s="18" t="s">
        <v>53</v>
      </c>
      <c r="J416" s="23" t="s">
        <v>642</v>
      </c>
      <c r="L416" s="15" t="s">
        <v>2</v>
      </c>
      <c r="M416" s="5" t="s">
        <v>522</v>
      </c>
      <c r="O416" s="147">
        <v>2</v>
      </c>
      <c r="P416" s="15">
        <v>2</v>
      </c>
      <c r="Q416" s="148">
        <f t="shared" si="13"/>
        <v>4</v>
      </c>
    </row>
    <row r="417" spans="1:17" ht="16.5" hidden="1" x14ac:dyDescent="0.35">
      <c r="A417" s="53">
        <v>416</v>
      </c>
      <c r="B417" s="18" t="s">
        <v>617</v>
      </c>
      <c r="C417" s="18" t="s">
        <v>660</v>
      </c>
      <c r="D417" s="17" t="s">
        <v>222</v>
      </c>
      <c r="E417" s="17" t="s">
        <v>563</v>
      </c>
      <c r="H417" s="23" t="s">
        <v>643</v>
      </c>
      <c r="I417" s="18" t="s">
        <v>53</v>
      </c>
      <c r="J417" s="23" t="s">
        <v>643</v>
      </c>
      <c r="L417" s="15" t="s">
        <v>2</v>
      </c>
      <c r="M417" s="5" t="s">
        <v>522</v>
      </c>
      <c r="O417" s="147">
        <v>1</v>
      </c>
      <c r="P417" s="15">
        <v>1</v>
      </c>
      <c r="Q417" s="148">
        <f t="shared" si="13"/>
        <v>2</v>
      </c>
    </row>
    <row r="418" spans="1:17" ht="16.5" hidden="1" x14ac:dyDescent="0.35">
      <c r="A418" s="53">
        <v>417</v>
      </c>
      <c r="B418" s="18" t="s">
        <v>618</v>
      </c>
      <c r="C418" s="18" t="s">
        <v>660</v>
      </c>
      <c r="D418" s="17" t="s">
        <v>222</v>
      </c>
      <c r="E418" s="17" t="s">
        <v>563</v>
      </c>
      <c r="H418" s="23"/>
      <c r="I418" s="18" t="s">
        <v>53</v>
      </c>
      <c r="J418" s="23"/>
      <c r="L418" s="15" t="s">
        <v>9</v>
      </c>
      <c r="M418" s="5" t="s">
        <v>522</v>
      </c>
      <c r="O418" s="147">
        <v>5</v>
      </c>
      <c r="P418" s="15">
        <v>3</v>
      </c>
      <c r="Q418" s="148">
        <f t="shared" si="13"/>
        <v>8</v>
      </c>
    </row>
    <row r="419" spans="1:17" ht="16.5" hidden="1" x14ac:dyDescent="0.35">
      <c r="A419" s="53">
        <v>418</v>
      </c>
      <c r="B419" s="18" t="s">
        <v>619</v>
      </c>
      <c r="C419" s="18" t="s">
        <v>660</v>
      </c>
      <c r="D419" s="17" t="s">
        <v>222</v>
      </c>
      <c r="E419" s="17" t="s">
        <v>563</v>
      </c>
      <c r="H419" s="23" t="s">
        <v>644</v>
      </c>
      <c r="I419" s="18" t="s">
        <v>53</v>
      </c>
      <c r="J419" s="23" t="s">
        <v>644</v>
      </c>
      <c r="L419" s="15" t="s">
        <v>2</v>
      </c>
      <c r="M419" s="5" t="s">
        <v>522</v>
      </c>
      <c r="O419" s="147">
        <v>2</v>
      </c>
      <c r="P419" s="15">
        <v>2</v>
      </c>
      <c r="Q419" s="148">
        <f t="shared" si="13"/>
        <v>4</v>
      </c>
    </row>
    <row r="420" spans="1:17" ht="16.5" hidden="1" x14ac:dyDescent="0.35">
      <c r="A420" s="53">
        <v>419</v>
      </c>
      <c r="B420" s="18" t="s">
        <v>620</v>
      </c>
      <c r="C420" s="18" t="s">
        <v>660</v>
      </c>
      <c r="D420" s="17" t="s">
        <v>222</v>
      </c>
      <c r="E420" s="17" t="s">
        <v>563</v>
      </c>
      <c r="H420" s="23"/>
      <c r="I420" s="18" t="s">
        <v>53</v>
      </c>
      <c r="J420" s="23"/>
      <c r="L420" s="15" t="s">
        <v>2</v>
      </c>
      <c r="M420" s="5" t="s">
        <v>522</v>
      </c>
      <c r="O420" s="147">
        <v>4</v>
      </c>
      <c r="P420" s="15">
        <v>2</v>
      </c>
      <c r="Q420" s="148">
        <f t="shared" si="13"/>
        <v>6</v>
      </c>
    </row>
    <row r="421" spans="1:17" ht="16.5" hidden="1" x14ac:dyDescent="0.35">
      <c r="A421" s="53">
        <v>420</v>
      </c>
      <c r="B421" s="18" t="s">
        <v>621</v>
      </c>
      <c r="C421" s="18" t="s">
        <v>660</v>
      </c>
      <c r="D421" s="17" t="s">
        <v>222</v>
      </c>
      <c r="E421" s="17" t="s">
        <v>563</v>
      </c>
      <c r="H421" s="23" t="s">
        <v>645</v>
      </c>
      <c r="I421" s="18" t="s">
        <v>53</v>
      </c>
      <c r="J421" s="23" t="s">
        <v>645</v>
      </c>
      <c r="L421" s="15" t="s">
        <v>2</v>
      </c>
      <c r="M421" s="5" t="s">
        <v>522</v>
      </c>
      <c r="O421" s="147">
        <v>1</v>
      </c>
      <c r="P421" s="15">
        <v>1</v>
      </c>
      <c r="Q421" s="148">
        <f t="shared" si="13"/>
        <v>2</v>
      </c>
    </row>
    <row r="422" spans="1:17" ht="16.5" hidden="1" x14ac:dyDescent="0.35">
      <c r="A422" s="53">
        <v>421</v>
      </c>
      <c r="B422" s="18" t="s">
        <v>622</v>
      </c>
      <c r="C422" s="18" t="s">
        <v>660</v>
      </c>
      <c r="D422" s="17" t="s">
        <v>222</v>
      </c>
      <c r="E422" s="17" t="s">
        <v>563</v>
      </c>
      <c r="H422" s="23" t="s">
        <v>646</v>
      </c>
      <c r="I422" s="18" t="s">
        <v>53</v>
      </c>
      <c r="J422" s="23" t="s">
        <v>646</v>
      </c>
      <c r="L422" s="15" t="s">
        <v>2</v>
      </c>
      <c r="M422" s="5" t="s">
        <v>522</v>
      </c>
      <c r="O422" s="147">
        <v>1</v>
      </c>
      <c r="P422" s="15">
        <v>0</v>
      </c>
      <c r="Q422" s="148">
        <f t="shared" si="13"/>
        <v>1</v>
      </c>
    </row>
    <row r="423" spans="1:17" ht="16.5" hidden="1" x14ac:dyDescent="0.35">
      <c r="A423" s="53">
        <v>422</v>
      </c>
      <c r="B423" s="18" t="s">
        <v>623</v>
      </c>
      <c r="C423" s="18" t="s">
        <v>660</v>
      </c>
      <c r="D423" s="17" t="s">
        <v>222</v>
      </c>
      <c r="E423" s="17" t="s">
        <v>563</v>
      </c>
      <c r="H423" s="23"/>
      <c r="I423" s="18" t="s">
        <v>53</v>
      </c>
      <c r="J423" s="23"/>
      <c r="L423" s="15" t="s">
        <v>2</v>
      </c>
      <c r="M423" s="5" t="s">
        <v>522</v>
      </c>
      <c r="O423" s="147">
        <v>1</v>
      </c>
      <c r="P423" s="15">
        <v>0</v>
      </c>
      <c r="Q423" s="148">
        <f t="shared" si="13"/>
        <v>1</v>
      </c>
    </row>
    <row r="424" spans="1:17" ht="16.5" hidden="1" x14ac:dyDescent="0.35">
      <c r="A424" s="53">
        <v>423</v>
      </c>
      <c r="B424" s="18" t="s">
        <v>624</v>
      </c>
      <c r="C424" s="18" t="s">
        <v>660</v>
      </c>
      <c r="D424" s="17" t="s">
        <v>222</v>
      </c>
      <c r="E424" s="17" t="s">
        <v>563</v>
      </c>
      <c r="H424" s="23" t="s">
        <v>647</v>
      </c>
      <c r="I424" s="18" t="s">
        <v>53</v>
      </c>
      <c r="J424" s="23" t="s">
        <v>647</v>
      </c>
      <c r="L424" s="15" t="s">
        <v>2</v>
      </c>
      <c r="M424" s="5" t="s">
        <v>522</v>
      </c>
      <c r="O424" s="147">
        <v>1</v>
      </c>
      <c r="P424" s="15">
        <v>0</v>
      </c>
      <c r="Q424" s="148">
        <f t="shared" si="13"/>
        <v>1</v>
      </c>
    </row>
    <row r="425" spans="1:17" ht="16.5" hidden="1" x14ac:dyDescent="0.35">
      <c r="A425" s="53">
        <v>424</v>
      </c>
      <c r="B425" s="18" t="s">
        <v>625</v>
      </c>
      <c r="C425" s="18" t="s">
        <v>660</v>
      </c>
      <c r="D425" s="17" t="s">
        <v>222</v>
      </c>
      <c r="E425" s="17" t="s">
        <v>563</v>
      </c>
      <c r="H425" s="23" t="s">
        <v>648</v>
      </c>
      <c r="I425" s="18" t="s">
        <v>53</v>
      </c>
      <c r="J425" s="23" t="s">
        <v>648</v>
      </c>
      <c r="L425" s="15" t="s">
        <v>2</v>
      </c>
      <c r="M425" s="5" t="s">
        <v>522</v>
      </c>
      <c r="O425" s="147">
        <v>4</v>
      </c>
      <c r="P425" s="15">
        <v>1</v>
      </c>
      <c r="Q425" s="148">
        <f t="shared" si="13"/>
        <v>5</v>
      </c>
    </row>
    <row r="426" spans="1:17" ht="16.5" hidden="1" x14ac:dyDescent="0.35">
      <c r="A426" s="53">
        <v>425</v>
      </c>
      <c r="B426" s="18" t="s">
        <v>626</v>
      </c>
      <c r="C426" s="18" t="s">
        <v>660</v>
      </c>
      <c r="D426" s="17" t="s">
        <v>222</v>
      </c>
      <c r="E426" s="17" t="s">
        <v>563</v>
      </c>
      <c r="H426" s="23" t="s">
        <v>649</v>
      </c>
      <c r="I426" s="18" t="s">
        <v>53</v>
      </c>
      <c r="J426" s="23" t="s">
        <v>649</v>
      </c>
      <c r="L426" s="15" t="s">
        <v>2</v>
      </c>
      <c r="M426" s="5" t="s">
        <v>522</v>
      </c>
      <c r="O426" s="147">
        <v>2</v>
      </c>
      <c r="P426" s="15">
        <v>6</v>
      </c>
      <c r="Q426" s="148">
        <f t="shared" si="13"/>
        <v>8</v>
      </c>
    </row>
    <row r="427" spans="1:17" ht="16.5" hidden="1" x14ac:dyDescent="0.35">
      <c r="A427" s="53">
        <v>426</v>
      </c>
      <c r="B427" s="18" t="s">
        <v>627</v>
      </c>
      <c r="C427" s="18" t="s">
        <v>660</v>
      </c>
      <c r="D427" s="17" t="s">
        <v>222</v>
      </c>
      <c r="E427" s="17" t="s">
        <v>563</v>
      </c>
      <c r="H427" s="23" t="s">
        <v>650</v>
      </c>
      <c r="I427" s="18" t="s">
        <v>53</v>
      </c>
      <c r="J427" s="23" t="s">
        <v>650</v>
      </c>
      <c r="L427" s="15" t="s">
        <v>2</v>
      </c>
      <c r="M427" s="5" t="s">
        <v>522</v>
      </c>
      <c r="O427" s="147">
        <v>1</v>
      </c>
      <c r="P427" s="15">
        <v>5</v>
      </c>
      <c r="Q427" s="148">
        <f t="shared" si="13"/>
        <v>6</v>
      </c>
    </row>
    <row r="428" spans="1:17" ht="16.5" hidden="1" x14ac:dyDescent="0.35">
      <c r="A428" s="53">
        <v>427</v>
      </c>
      <c r="B428" s="18" t="s">
        <v>628</v>
      </c>
      <c r="C428" s="18" t="s">
        <v>660</v>
      </c>
      <c r="D428" s="17" t="s">
        <v>222</v>
      </c>
      <c r="E428" s="17" t="s">
        <v>563</v>
      </c>
      <c r="H428" s="23"/>
      <c r="I428" s="18" t="s">
        <v>53</v>
      </c>
      <c r="J428" s="23"/>
      <c r="L428" s="15" t="s">
        <v>2</v>
      </c>
      <c r="M428" s="5" t="s">
        <v>522</v>
      </c>
      <c r="O428" s="147">
        <v>1</v>
      </c>
      <c r="P428" s="15">
        <v>0</v>
      </c>
      <c r="Q428" s="148">
        <f t="shared" si="13"/>
        <v>1</v>
      </c>
    </row>
    <row r="429" spans="1:17" ht="16.5" hidden="1" x14ac:dyDescent="0.35">
      <c r="A429" s="53">
        <v>428</v>
      </c>
      <c r="B429" s="18" t="s">
        <v>629</v>
      </c>
      <c r="C429" s="18" t="s">
        <v>660</v>
      </c>
      <c r="D429" s="17" t="s">
        <v>222</v>
      </c>
      <c r="E429" s="17" t="s">
        <v>563</v>
      </c>
      <c r="H429" s="23" t="s">
        <v>651</v>
      </c>
      <c r="I429" s="18" t="s">
        <v>53</v>
      </c>
      <c r="J429" s="23" t="s">
        <v>651</v>
      </c>
      <c r="L429" s="15" t="s">
        <v>2</v>
      </c>
      <c r="M429" s="5" t="s">
        <v>522</v>
      </c>
      <c r="O429" s="147">
        <v>5</v>
      </c>
      <c r="P429" s="15">
        <v>3</v>
      </c>
      <c r="Q429" s="148">
        <f t="shared" si="13"/>
        <v>8</v>
      </c>
    </row>
    <row r="430" spans="1:17" ht="16.5" hidden="1" x14ac:dyDescent="0.5">
      <c r="A430" s="53">
        <v>429</v>
      </c>
      <c r="B430" s="18" t="s">
        <v>630</v>
      </c>
      <c r="C430" s="18" t="s">
        <v>660</v>
      </c>
      <c r="D430" s="17" t="s">
        <v>222</v>
      </c>
      <c r="E430" s="17" t="s">
        <v>563</v>
      </c>
      <c r="H430" s="23" t="s">
        <v>652</v>
      </c>
      <c r="I430" s="18" t="s">
        <v>53</v>
      </c>
      <c r="J430" s="23" t="s">
        <v>652</v>
      </c>
      <c r="L430" s="15" t="s">
        <v>2</v>
      </c>
      <c r="M430" s="5" t="s">
        <v>522</v>
      </c>
      <c r="O430" s="149">
        <v>0</v>
      </c>
      <c r="P430" s="149">
        <v>3</v>
      </c>
      <c r="Q430" s="150">
        <f t="shared" si="13"/>
        <v>3</v>
      </c>
    </row>
    <row r="431" spans="1:17" ht="16" hidden="1" customHeight="1" x14ac:dyDescent="0.35">
      <c r="A431" s="53">
        <v>430</v>
      </c>
      <c r="B431" s="18" t="s">
        <v>631</v>
      </c>
      <c r="C431" s="18" t="s">
        <v>660</v>
      </c>
      <c r="D431" s="17" t="s">
        <v>222</v>
      </c>
      <c r="E431" s="17" t="s">
        <v>563</v>
      </c>
      <c r="H431" s="24" t="s">
        <v>653</v>
      </c>
      <c r="I431" s="18" t="s">
        <v>53</v>
      </c>
      <c r="J431" s="24" t="s">
        <v>653</v>
      </c>
      <c r="L431" s="15" t="s">
        <v>2</v>
      </c>
      <c r="M431" s="5" t="s">
        <v>522</v>
      </c>
      <c r="O431" s="151">
        <v>0</v>
      </c>
      <c r="P431" s="151">
        <v>2</v>
      </c>
      <c r="Q431" s="152">
        <f t="shared" si="13"/>
        <v>2</v>
      </c>
    </row>
    <row r="432" spans="1:17" ht="17" hidden="1" customHeight="1" x14ac:dyDescent="0.35">
      <c r="A432" s="53">
        <v>431</v>
      </c>
      <c r="B432" s="351" t="s">
        <v>631</v>
      </c>
      <c r="C432" s="18" t="s">
        <v>660</v>
      </c>
      <c r="D432" s="17" t="s">
        <v>222</v>
      </c>
      <c r="E432" s="17" t="s">
        <v>563</v>
      </c>
      <c r="H432" s="25" t="s">
        <v>654</v>
      </c>
      <c r="I432" s="18" t="s">
        <v>53</v>
      </c>
      <c r="J432" s="25" t="s">
        <v>654</v>
      </c>
      <c r="L432" s="16" t="s">
        <v>2</v>
      </c>
      <c r="M432" s="5" t="s">
        <v>522</v>
      </c>
      <c r="O432" s="143">
        <v>4</v>
      </c>
      <c r="P432" s="143">
        <v>2</v>
      </c>
      <c r="Q432" s="153">
        <f t="shared" si="13"/>
        <v>6</v>
      </c>
    </row>
    <row r="433" spans="1:17" ht="17" hidden="1" customHeight="1" x14ac:dyDescent="0.35">
      <c r="A433" s="53">
        <v>432</v>
      </c>
      <c r="B433" s="351" t="s">
        <v>632</v>
      </c>
      <c r="C433" s="18" t="s">
        <v>660</v>
      </c>
      <c r="D433" s="17" t="s">
        <v>222</v>
      </c>
      <c r="E433" s="17" t="s">
        <v>563</v>
      </c>
      <c r="H433" s="23"/>
      <c r="I433" s="18" t="s">
        <v>53</v>
      </c>
      <c r="J433" s="23" t="s">
        <v>898</v>
      </c>
      <c r="L433" s="143" t="s">
        <v>2</v>
      </c>
      <c r="M433" s="5" t="s">
        <v>522</v>
      </c>
      <c r="O433" s="143">
        <v>4</v>
      </c>
      <c r="P433" s="143">
        <v>5</v>
      </c>
      <c r="Q433" s="153">
        <f>SUM(M433:P433)</f>
        <v>9</v>
      </c>
    </row>
    <row r="434" spans="1:17" ht="16.5" hidden="1" x14ac:dyDescent="0.35">
      <c r="A434" s="53">
        <v>433</v>
      </c>
      <c r="B434" s="18" t="s">
        <v>877</v>
      </c>
      <c r="C434" s="18" t="s">
        <v>660</v>
      </c>
      <c r="D434" s="17" t="s">
        <v>897</v>
      </c>
      <c r="E434" s="17" t="s">
        <v>896</v>
      </c>
      <c r="H434" s="23"/>
      <c r="I434" s="18" t="s">
        <v>53</v>
      </c>
      <c r="J434" s="23" t="s">
        <v>899</v>
      </c>
      <c r="L434" s="15" t="s">
        <v>2</v>
      </c>
      <c r="M434" s="156" t="s">
        <v>917</v>
      </c>
      <c r="N434" s="147" t="s">
        <v>919</v>
      </c>
      <c r="O434" s="147">
        <v>2</v>
      </c>
      <c r="P434" s="15">
        <v>4</v>
      </c>
      <c r="Q434" s="148">
        <v>6</v>
      </c>
    </row>
    <row r="435" spans="1:17" ht="16.5" hidden="1" x14ac:dyDescent="0.35">
      <c r="A435" s="53">
        <v>434</v>
      </c>
      <c r="B435" s="18" t="s">
        <v>878</v>
      </c>
      <c r="C435" s="18" t="s">
        <v>660</v>
      </c>
      <c r="D435" s="17" t="s">
        <v>897</v>
      </c>
      <c r="E435" s="17" t="s">
        <v>896</v>
      </c>
      <c r="H435" s="23"/>
      <c r="I435" s="18" t="s">
        <v>53</v>
      </c>
      <c r="J435" s="23" t="s">
        <v>900</v>
      </c>
      <c r="L435" s="15" t="s">
        <v>2</v>
      </c>
      <c r="M435" s="156" t="s">
        <v>917</v>
      </c>
      <c r="N435" s="147" t="s">
        <v>920</v>
      </c>
      <c r="O435" s="147">
        <v>2</v>
      </c>
      <c r="P435" s="15"/>
      <c r="Q435" s="148">
        <f t="shared" ref="Q435:Q452" si="14">SUM(M435:P435)</f>
        <v>2</v>
      </c>
    </row>
    <row r="436" spans="1:17" ht="16.5" hidden="1" x14ac:dyDescent="0.35">
      <c r="A436" s="53">
        <v>435</v>
      </c>
      <c r="B436" s="18" t="s">
        <v>879</v>
      </c>
      <c r="C436" s="18" t="s">
        <v>660</v>
      </c>
      <c r="D436" s="17" t="s">
        <v>897</v>
      </c>
      <c r="E436" s="17" t="s">
        <v>896</v>
      </c>
      <c r="H436" s="23"/>
      <c r="I436" s="18" t="s">
        <v>53</v>
      </c>
      <c r="J436" s="23" t="s">
        <v>901</v>
      </c>
      <c r="L436" s="15" t="s">
        <v>2</v>
      </c>
      <c r="M436" s="156" t="s">
        <v>917</v>
      </c>
      <c r="N436" s="147" t="s">
        <v>920</v>
      </c>
      <c r="O436" s="147">
        <v>4</v>
      </c>
      <c r="P436" s="15">
        <v>5</v>
      </c>
      <c r="Q436" s="148">
        <f t="shared" si="14"/>
        <v>9</v>
      </c>
    </row>
    <row r="437" spans="1:17" ht="16.5" hidden="1" x14ac:dyDescent="0.35">
      <c r="A437" s="53">
        <v>436</v>
      </c>
      <c r="B437" s="18" t="s">
        <v>880</v>
      </c>
      <c r="C437" s="18" t="s">
        <v>660</v>
      </c>
      <c r="D437" s="17" t="s">
        <v>897</v>
      </c>
      <c r="E437" s="17" t="s">
        <v>896</v>
      </c>
      <c r="H437" s="23"/>
      <c r="I437" s="18" t="s">
        <v>53</v>
      </c>
      <c r="J437" s="23" t="s">
        <v>902</v>
      </c>
      <c r="L437" s="15" t="s">
        <v>2</v>
      </c>
      <c r="M437" s="156" t="s">
        <v>917</v>
      </c>
      <c r="N437" s="147" t="s">
        <v>920</v>
      </c>
      <c r="O437" s="147">
        <v>5</v>
      </c>
      <c r="P437" s="15">
        <v>5</v>
      </c>
      <c r="Q437" s="148">
        <f t="shared" si="14"/>
        <v>10</v>
      </c>
    </row>
    <row r="438" spans="1:17" ht="16.5" hidden="1" x14ac:dyDescent="0.35">
      <c r="A438" s="53">
        <v>437</v>
      </c>
      <c r="B438" s="18" t="s">
        <v>881</v>
      </c>
      <c r="C438" s="18" t="s">
        <v>660</v>
      </c>
      <c r="D438" s="17" t="s">
        <v>897</v>
      </c>
      <c r="E438" s="17" t="s">
        <v>896</v>
      </c>
      <c r="H438" s="23"/>
      <c r="I438" s="18" t="s">
        <v>53</v>
      </c>
      <c r="J438" s="23" t="s">
        <v>903</v>
      </c>
      <c r="L438" s="15" t="s">
        <v>2</v>
      </c>
      <c r="M438" s="155" t="s">
        <v>917</v>
      </c>
      <c r="N438" s="147" t="s">
        <v>920</v>
      </c>
      <c r="O438" s="147"/>
      <c r="P438" s="15">
        <v>6</v>
      </c>
      <c r="Q438" s="148">
        <f t="shared" si="14"/>
        <v>6</v>
      </c>
    </row>
    <row r="439" spans="1:17" ht="16.5" hidden="1" x14ac:dyDescent="0.35">
      <c r="A439" s="53">
        <v>438</v>
      </c>
      <c r="B439" s="18" t="s">
        <v>882</v>
      </c>
      <c r="C439" s="18" t="s">
        <v>660</v>
      </c>
      <c r="D439" s="17" t="s">
        <v>897</v>
      </c>
      <c r="E439" s="17" t="s">
        <v>896</v>
      </c>
      <c r="H439" s="23"/>
      <c r="I439" s="18" t="s">
        <v>53</v>
      </c>
      <c r="J439" s="23" t="s">
        <v>904</v>
      </c>
      <c r="L439" s="15" t="s">
        <v>2</v>
      </c>
      <c r="M439" s="156" t="s">
        <v>917</v>
      </c>
      <c r="N439" s="147" t="s">
        <v>921</v>
      </c>
      <c r="O439" s="147">
        <v>3</v>
      </c>
      <c r="P439" s="15">
        <v>3</v>
      </c>
      <c r="Q439" s="148">
        <f t="shared" si="14"/>
        <v>6</v>
      </c>
    </row>
    <row r="440" spans="1:17" ht="16.5" hidden="1" x14ac:dyDescent="0.35">
      <c r="A440" s="53">
        <v>439</v>
      </c>
      <c r="B440" s="18" t="s">
        <v>883</v>
      </c>
      <c r="C440" s="18" t="s">
        <v>660</v>
      </c>
      <c r="D440" s="17" t="s">
        <v>897</v>
      </c>
      <c r="E440" s="17" t="s">
        <v>896</v>
      </c>
      <c r="H440" s="23"/>
      <c r="I440" s="18" t="s">
        <v>53</v>
      </c>
      <c r="J440" s="23" t="s">
        <v>905</v>
      </c>
      <c r="L440" s="15" t="s">
        <v>2</v>
      </c>
      <c r="M440" s="156" t="s">
        <v>918</v>
      </c>
      <c r="N440" s="147" t="s">
        <v>920</v>
      </c>
      <c r="O440" s="147">
        <v>1</v>
      </c>
      <c r="P440" s="15">
        <v>3</v>
      </c>
      <c r="Q440" s="148">
        <f t="shared" si="14"/>
        <v>4</v>
      </c>
    </row>
    <row r="441" spans="1:17" ht="16.5" hidden="1" x14ac:dyDescent="0.35">
      <c r="A441" s="53">
        <v>440</v>
      </c>
      <c r="B441" s="18" t="s">
        <v>884</v>
      </c>
      <c r="C441" s="18" t="s">
        <v>660</v>
      </c>
      <c r="D441" s="17" t="s">
        <v>897</v>
      </c>
      <c r="E441" s="17" t="s">
        <v>896</v>
      </c>
      <c r="H441" s="23"/>
      <c r="I441" s="18" t="s">
        <v>53</v>
      </c>
      <c r="J441" s="23" t="s">
        <v>906</v>
      </c>
      <c r="L441" s="15" t="s">
        <v>2</v>
      </c>
      <c r="M441" s="156" t="s">
        <v>917</v>
      </c>
      <c r="N441" s="147" t="s">
        <v>920</v>
      </c>
      <c r="O441" s="147">
        <v>1</v>
      </c>
      <c r="P441" s="15">
        <v>1</v>
      </c>
      <c r="Q441" s="148">
        <f t="shared" si="14"/>
        <v>2</v>
      </c>
    </row>
    <row r="442" spans="1:17" ht="16.5" hidden="1" x14ac:dyDescent="0.35">
      <c r="A442" s="53">
        <v>441</v>
      </c>
      <c r="B442" s="18" t="s">
        <v>885</v>
      </c>
      <c r="C442" s="18" t="s">
        <v>660</v>
      </c>
      <c r="D442" s="17" t="s">
        <v>897</v>
      </c>
      <c r="E442" s="17" t="s">
        <v>896</v>
      </c>
      <c r="H442" s="23"/>
      <c r="I442" s="18" t="s">
        <v>53</v>
      </c>
      <c r="J442" s="23" t="s">
        <v>907</v>
      </c>
      <c r="L442" s="15" t="s">
        <v>2</v>
      </c>
      <c r="M442" s="156" t="s">
        <v>917</v>
      </c>
      <c r="N442" s="147" t="s">
        <v>920</v>
      </c>
      <c r="O442" s="147">
        <v>4</v>
      </c>
      <c r="P442" s="15">
        <v>4</v>
      </c>
      <c r="Q442" s="148">
        <f t="shared" si="14"/>
        <v>8</v>
      </c>
    </row>
    <row r="443" spans="1:17" ht="16.5" hidden="1" x14ac:dyDescent="0.35">
      <c r="A443" s="53">
        <v>442</v>
      </c>
      <c r="B443" s="18" t="s">
        <v>886</v>
      </c>
      <c r="C443" s="18" t="s">
        <v>660</v>
      </c>
      <c r="D443" s="17" t="s">
        <v>897</v>
      </c>
      <c r="E443" s="17" t="s">
        <v>896</v>
      </c>
      <c r="H443" s="23"/>
      <c r="I443" s="18" t="s">
        <v>53</v>
      </c>
      <c r="J443" s="23" t="s">
        <v>908</v>
      </c>
      <c r="L443" s="15" t="s">
        <v>2</v>
      </c>
      <c r="M443" s="156" t="s">
        <v>917</v>
      </c>
      <c r="N443" s="147" t="s">
        <v>920</v>
      </c>
      <c r="O443" s="147">
        <v>3</v>
      </c>
      <c r="P443" s="15">
        <v>6</v>
      </c>
      <c r="Q443" s="148">
        <f t="shared" si="14"/>
        <v>9</v>
      </c>
    </row>
    <row r="444" spans="1:17" ht="16.5" hidden="1" x14ac:dyDescent="0.35">
      <c r="A444" s="53">
        <v>443</v>
      </c>
      <c r="B444" s="18" t="s">
        <v>887</v>
      </c>
      <c r="C444" s="18" t="s">
        <v>660</v>
      </c>
      <c r="D444" s="17" t="s">
        <v>897</v>
      </c>
      <c r="E444" s="17" t="s">
        <v>896</v>
      </c>
      <c r="H444" s="23"/>
      <c r="I444" s="18" t="s">
        <v>53</v>
      </c>
      <c r="J444" s="23" t="s">
        <v>909</v>
      </c>
      <c r="L444" s="15" t="s">
        <v>2</v>
      </c>
      <c r="M444" s="156" t="s">
        <v>917</v>
      </c>
      <c r="N444" s="147" t="s">
        <v>920</v>
      </c>
      <c r="O444" s="147">
        <v>2</v>
      </c>
      <c r="P444" s="15">
        <v>3</v>
      </c>
      <c r="Q444" s="148">
        <f t="shared" si="14"/>
        <v>5</v>
      </c>
    </row>
    <row r="445" spans="1:17" ht="16.5" hidden="1" x14ac:dyDescent="0.35">
      <c r="A445" s="53">
        <v>444</v>
      </c>
      <c r="B445" s="18" t="s">
        <v>888</v>
      </c>
      <c r="C445" s="18" t="s">
        <v>660</v>
      </c>
      <c r="D445" s="17" t="s">
        <v>897</v>
      </c>
      <c r="E445" s="17" t="s">
        <v>896</v>
      </c>
      <c r="H445" s="23"/>
      <c r="I445" s="18" t="s">
        <v>53</v>
      </c>
      <c r="J445" s="23" t="s">
        <v>910</v>
      </c>
      <c r="L445" s="15" t="s">
        <v>2</v>
      </c>
      <c r="M445" s="156" t="s">
        <v>917</v>
      </c>
      <c r="N445" s="147" t="s">
        <v>920</v>
      </c>
      <c r="O445" s="147">
        <v>4</v>
      </c>
      <c r="P445" s="15">
        <v>4</v>
      </c>
      <c r="Q445" s="148">
        <f t="shared" si="14"/>
        <v>8</v>
      </c>
    </row>
    <row r="446" spans="1:17" ht="16.5" hidden="1" x14ac:dyDescent="0.35">
      <c r="A446" s="53">
        <v>445</v>
      </c>
      <c r="B446" s="18" t="s">
        <v>889</v>
      </c>
      <c r="C446" s="18" t="s">
        <v>660</v>
      </c>
      <c r="D446" s="17" t="s">
        <v>897</v>
      </c>
      <c r="E446" s="17" t="s">
        <v>896</v>
      </c>
      <c r="H446" s="23"/>
      <c r="I446" s="18" t="s">
        <v>53</v>
      </c>
      <c r="J446" s="23" t="s">
        <v>911</v>
      </c>
      <c r="L446" s="15" t="s">
        <v>2</v>
      </c>
      <c r="M446" s="156" t="s">
        <v>917</v>
      </c>
      <c r="N446" s="147" t="s">
        <v>920</v>
      </c>
      <c r="O446" s="147">
        <v>4</v>
      </c>
      <c r="P446" s="15">
        <v>4</v>
      </c>
      <c r="Q446" s="148">
        <f t="shared" si="14"/>
        <v>8</v>
      </c>
    </row>
    <row r="447" spans="1:17" ht="16.5" hidden="1" x14ac:dyDescent="0.35">
      <c r="A447" s="53">
        <v>446</v>
      </c>
      <c r="B447" s="18" t="s">
        <v>890</v>
      </c>
      <c r="C447" s="18" t="s">
        <v>660</v>
      </c>
      <c r="D447" s="17" t="s">
        <v>897</v>
      </c>
      <c r="E447" s="17" t="s">
        <v>896</v>
      </c>
      <c r="H447" s="23"/>
      <c r="I447" s="18" t="s">
        <v>53</v>
      </c>
      <c r="J447" s="23" t="s">
        <v>912</v>
      </c>
      <c r="L447" s="15" t="s">
        <v>2</v>
      </c>
      <c r="M447" s="156" t="s">
        <v>917</v>
      </c>
      <c r="N447" s="147" t="s">
        <v>920</v>
      </c>
      <c r="O447" s="147">
        <v>2</v>
      </c>
      <c r="P447" s="15">
        <v>2</v>
      </c>
      <c r="Q447" s="148">
        <f t="shared" si="14"/>
        <v>4</v>
      </c>
    </row>
    <row r="448" spans="1:17" ht="16.5" hidden="1" x14ac:dyDescent="0.35">
      <c r="A448" s="53">
        <v>447</v>
      </c>
      <c r="B448" s="18" t="s">
        <v>891</v>
      </c>
      <c r="C448" s="18" t="s">
        <v>660</v>
      </c>
      <c r="D448" s="17" t="s">
        <v>897</v>
      </c>
      <c r="E448" s="17" t="s">
        <v>896</v>
      </c>
      <c r="H448" s="23"/>
      <c r="I448" s="18" t="s">
        <v>53</v>
      </c>
      <c r="J448" s="23" t="s">
        <v>913</v>
      </c>
      <c r="L448" s="15" t="s">
        <v>9</v>
      </c>
      <c r="M448" s="156" t="s">
        <v>917</v>
      </c>
      <c r="N448" s="147" t="s">
        <v>922</v>
      </c>
      <c r="O448" s="147">
        <v>1</v>
      </c>
      <c r="P448" s="15">
        <v>2</v>
      </c>
      <c r="Q448" s="148">
        <f t="shared" si="14"/>
        <v>3</v>
      </c>
    </row>
    <row r="449" spans="1:17" ht="16.5" hidden="1" x14ac:dyDescent="0.35">
      <c r="A449" s="53">
        <v>448</v>
      </c>
      <c r="B449" s="18" t="s">
        <v>892</v>
      </c>
      <c r="C449" s="18" t="s">
        <v>660</v>
      </c>
      <c r="D449" s="17" t="s">
        <v>897</v>
      </c>
      <c r="E449" s="17" t="s">
        <v>896</v>
      </c>
      <c r="H449" s="23"/>
      <c r="I449" s="18" t="s">
        <v>53</v>
      </c>
      <c r="J449" s="23" t="s">
        <v>914</v>
      </c>
      <c r="L449" s="15" t="s">
        <v>2</v>
      </c>
      <c r="M449" s="156" t="s">
        <v>917</v>
      </c>
      <c r="N449" s="147" t="s">
        <v>923</v>
      </c>
      <c r="O449" s="147">
        <v>2</v>
      </c>
      <c r="P449" s="15">
        <v>2</v>
      </c>
      <c r="Q449" s="148">
        <f t="shared" si="14"/>
        <v>4</v>
      </c>
    </row>
    <row r="450" spans="1:17" ht="16.5" hidden="1" x14ac:dyDescent="0.35">
      <c r="A450" s="53">
        <v>449</v>
      </c>
      <c r="B450" s="18" t="s">
        <v>893</v>
      </c>
      <c r="C450" s="18" t="s">
        <v>660</v>
      </c>
      <c r="D450" s="17" t="s">
        <v>897</v>
      </c>
      <c r="E450" s="17" t="s">
        <v>896</v>
      </c>
      <c r="H450" s="23"/>
      <c r="I450" s="18" t="s">
        <v>53</v>
      </c>
      <c r="J450" s="23" t="s">
        <v>915</v>
      </c>
      <c r="L450" s="15" t="s">
        <v>2</v>
      </c>
      <c r="M450" s="156" t="s">
        <v>917</v>
      </c>
      <c r="N450" s="147" t="s">
        <v>923</v>
      </c>
      <c r="O450" s="147">
        <v>1</v>
      </c>
      <c r="P450" s="15">
        <v>1</v>
      </c>
      <c r="Q450" s="148">
        <f t="shared" si="14"/>
        <v>2</v>
      </c>
    </row>
    <row r="451" spans="1:17" ht="16.5" hidden="1" x14ac:dyDescent="0.35">
      <c r="A451" s="53">
        <v>450</v>
      </c>
      <c r="B451" s="18" t="s">
        <v>894</v>
      </c>
      <c r="C451" s="18" t="s">
        <v>660</v>
      </c>
      <c r="D451" s="17" t="s">
        <v>897</v>
      </c>
      <c r="E451" s="17" t="s">
        <v>896</v>
      </c>
      <c r="H451" s="23"/>
      <c r="I451" s="18" t="s">
        <v>53</v>
      </c>
      <c r="J451" s="23" t="s">
        <v>916</v>
      </c>
      <c r="L451" s="15" t="s">
        <v>2</v>
      </c>
      <c r="M451" s="156" t="s">
        <v>917</v>
      </c>
      <c r="N451" s="147" t="s">
        <v>923</v>
      </c>
      <c r="O451" s="147">
        <v>2</v>
      </c>
      <c r="P451" s="15">
        <v>3</v>
      </c>
      <c r="Q451" s="148">
        <f t="shared" si="14"/>
        <v>5</v>
      </c>
    </row>
    <row r="452" spans="1:17" ht="16.5" hidden="1" x14ac:dyDescent="0.35">
      <c r="A452" s="53">
        <v>451</v>
      </c>
      <c r="B452" s="351" t="s">
        <v>895</v>
      </c>
      <c r="C452" s="18" t="s">
        <v>660</v>
      </c>
      <c r="D452" s="17" t="s">
        <v>897</v>
      </c>
      <c r="E452" s="17" t="s">
        <v>896</v>
      </c>
      <c r="H452" s="194"/>
      <c r="I452" s="18" t="s">
        <v>53</v>
      </c>
      <c r="J452" s="23" t="s">
        <v>947</v>
      </c>
      <c r="L452" s="15" t="s">
        <v>9</v>
      </c>
      <c r="M452" s="156" t="s">
        <v>918</v>
      </c>
      <c r="N452" s="147" t="s">
        <v>924</v>
      </c>
      <c r="O452" s="147">
        <v>1</v>
      </c>
      <c r="P452" s="15"/>
      <c r="Q452" s="148">
        <f t="shared" si="14"/>
        <v>1</v>
      </c>
    </row>
    <row r="453" spans="1:17" ht="16.5" hidden="1" x14ac:dyDescent="0.35">
      <c r="A453" s="53">
        <v>452</v>
      </c>
      <c r="B453" s="18" t="s">
        <v>926</v>
      </c>
      <c r="C453" s="18" t="s">
        <v>660</v>
      </c>
      <c r="D453" s="17" t="s">
        <v>925</v>
      </c>
      <c r="E453" s="17" t="s">
        <v>896</v>
      </c>
      <c r="H453" s="25"/>
      <c r="I453" s="18" t="s">
        <v>53</v>
      </c>
      <c r="J453" s="23" t="s">
        <v>948</v>
      </c>
      <c r="L453" s="15" t="s">
        <v>2</v>
      </c>
      <c r="M453" s="147" t="s">
        <v>968</v>
      </c>
      <c r="N453" s="147" t="s">
        <v>923</v>
      </c>
      <c r="O453" s="147">
        <v>1</v>
      </c>
      <c r="P453" s="15">
        <v>3</v>
      </c>
      <c r="Q453" s="148">
        <v>4</v>
      </c>
    </row>
    <row r="454" spans="1:17" ht="16.5" hidden="1" x14ac:dyDescent="0.35">
      <c r="A454" s="53">
        <v>453</v>
      </c>
      <c r="B454" s="18" t="s">
        <v>927</v>
      </c>
      <c r="C454" s="18" t="s">
        <v>660</v>
      </c>
      <c r="D454" s="17" t="s">
        <v>925</v>
      </c>
      <c r="E454" s="17" t="s">
        <v>896</v>
      </c>
      <c r="H454" s="25"/>
      <c r="I454" s="18" t="s">
        <v>53</v>
      </c>
      <c r="J454" s="23" t="s">
        <v>949</v>
      </c>
      <c r="L454" s="15" t="s">
        <v>9</v>
      </c>
      <c r="M454" s="147" t="s">
        <v>968</v>
      </c>
      <c r="N454" s="147" t="s">
        <v>970</v>
      </c>
      <c r="O454" s="147">
        <v>1</v>
      </c>
      <c r="P454" s="15">
        <v>3</v>
      </c>
      <c r="Q454" s="148">
        <f t="shared" ref="Q454:Q502" si="15">SUM(M454:P454)</f>
        <v>4</v>
      </c>
    </row>
    <row r="455" spans="1:17" ht="16.5" hidden="1" x14ac:dyDescent="0.35">
      <c r="A455" s="53">
        <v>454</v>
      </c>
      <c r="B455" s="18" t="s">
        <v>928</v>
      </c>
      <c r="C455" s="18" t="s">
        <v>660</v>
      </c>
      <c r="D455" s="17" t="s">
        <v>925</v>
      </c>
      <c r="E455" s="17" t="s">
        <v>896</v>
      </c>
      <c r="H455" s="194"/>
      <c r="I455" s="18" t="s">
        <v>53</v>
      </c>
      <c r="J455" s="23" t="s">
        <v>950</v>
      </c>
      <c r="L455" s="15" t="s">
        <v>2</v>
      </c>
      <c r="M455" s="147" t="s">
        <v>968</v>
      </c>
      <c r="N455" s="147" t="s">
        <v>923</v>
      </c>
      <c r="O455" s="147">
        <v>4</v>
      </c>
      <c r="P455" s="15">
        <v>2</v>
      </c>
      <c r="Q455" s="148">
        <f t="shared" si="15"/>
        <v>6</v>
      </c>
    </row>
    <row r="456" spans="1:17" ht="16.5" hidden="1" x14ac:dyDescent="0.35">
      <c r="A456" s="53">
        <v>455</v>
      </c>
      <c r="B456" s="18" t="s">
        <v>929</v>
      </c>
      <c r="C456" s="18" t="s">
        <v>660</v>
      </c>
      <c r="D456" s="17" t="s">
        <v>925</v>
      </c>
      <c r="E456" s="17" t="s">
        <v>896</v>
      </c>
      <c r="H456" s="194"/>
      <c r="I456" s="18" t="s">
        <v>53</v>
      </c>
      <c r="J456" s="23" t="s">
        <v>951</v>
      </c>
      <c r="L456" s="15" t="s">
        <v>2</v>
      </c>
      <c r="M456" s="147" t="s">
        <v>968</v>
      </c>
      <c r="N456" s="147" t="s">
        <v>923</v>
      </c>
      <c r="O456" s="147">
        <v>4</v>
      </c>
      <c r="P456" s="15"/>
      <c r="Q456" s="148">
        <f t="shared" si="15"/>
        <v>4</v>
      </c>
    </row>
    <row r="457" spans="1:17" ht="16.5" hidden="1" x14ac:dyDescent="0.35">
      <c r="A457" s="53">
        <v>456</v>
      </c>
      <c r="B457" s="18" t="s">
        <v>930</v>
      </c>
      <c r="C457" s="18" t="s">
        <v>660</v>
      </c>
      <c r="D457" s="17" t="s">
        <v>925</v>
      </c>
      <c r="E457" s="17" t="s">
        <v>896</v>
      </c>
      <c r="H457" s="194"/>
      <c r="I457" s="18" t="s">
        <v>53</v>
      </c>
      <c r="J457" s="23" t="s">
        <v>952</v>
      </c>
      <c r="L457" s="15" t="s">
        <v>2</v>
      </c>
      <c r="M457" s="23" t="s">
        <v>968</v>
      </c>
      <c r="N457" s="147" t="s">
        <v>923</v>
      </c>
      <c r="O457" s="147"/>
      <c r="P457" s="15">
        <v>2</v>
      </c>
      <c r="Q457" s="148">
        <f t="shared" si="15"/>
        <v>2</v>
      </c>
    </row>
    <row r="458" spans="1:17" ht="16.5" hidden="1" x14ac:dyDescent="0.35">
      <c r="A458" s="53">
        <v>457</v>
      </c>
      <c r="B458" s="18" t="s">
        <v>931</v>
      </c>
      <c r="C458" s="18" t="s">
        <v>660</v>
      </c>
      <c r="D458" s="17" t="s">
        <v>925</v>
      </c>
      <c r="E458" s="17" t="s">
        <v>896</v>
      </c>
      <c r="H458" s="194"/>
      <c r="I458" s="18" t="s">
        <v>53</v>
      </c>
      <c r="J458" s="23" t="s">
        <v>953</v>
      </c>
      <c r="L458" s="15" t="s">
        <v>2</v>
      </c>
      <c r="M458" s="147" t="s">
        <v>968</v>
      </c>
      <c r="N458" s="147" t="s">
        <v>923</v>
      </c>
      <c r="O458" s="147">
        <v>2</v>
      </c>
      <c r="P458" s="15">
        <v>2</v>
      </c>
      <c r="Q458" s="148">
        <f t="shared" si="15"/>
        <v>4</v>
      </c>
    </row>
    <row r="459" spans="1:17" ht="16.5" hidden="1" x14ac:dyDescent="0.35">
      <c r="A459" s="53">
        <v>458</v>
      </c>
      <c r="B459" s="18" t="s">
        <v>932</v>
      </c>
      <c r="C459" s="18" t="s">
        <v>660</v>
      </c>
      <c r="D459" s="17" t="s">
        <v>925</v>
      </c>
      <c r="E459" s="17" t="s">
        <v>896</v>
      </c>
      <c r="H459" s="194"/>
      <c r="I459" s="18" t="s">
        <v>53</v>
      </c>
      <c r="J459" s="23" t="s">
        <v>954</v>
      </c>
      <c r="L459" s="15" t="s">
        <v>2</v>
      </c>
      <c r="M459" s="147" t="s">
        <v>968</v>
      </c>
      <c r="N459" s="147" t="s">
        <v>923</v>
      </c>
      <c r="O459" s="147">
        <v>2</v>
      </c>
      <c r="P459" s="15">
        <v>4</v>
      </c>
      <c r="Q459" s="148">
        <f t="shared" si="15"/>
        <v>6</v>
      </c>
    </row>
    <row r="460" spans="1:17" ht="16.5" hidden="1" x14ac:dyDescent="0.35">
      <c r="A460" s="53">
        <v>459</v>
      </c>
      <c r="B460" s="18" t="s">
        <v>933</v>
      </c>
      <c r="C460" s="18" t="s">
        <v>660</v>
      </c>
      <c r="D460" s="17" t="s">
        <v>925</v>
      </c>
      <c r="E460" s="17" t="s">
        <v>896</v>
      </c>
      <c r="H460" s="194"/>
      <c r="I460" s="18" t="s">
        <v>53</v>
      </c>
      <c r="J460" s="23" t="s">
        <v>955</v>
      </c>
      <c r="L460" s="15" t="s">
        <v>2</v>
      </c>
      <c r="M460" s="147" t="s">
        <v>968</v>
      </c>
      <c r="N460" s="147" t="s">
        <v>971</v>
      </c>
      <c r="O460" s="147">
        <v>1</v>
      </c>
      <c r="P460" s="15">
        <v>1</v>
      </c>
      <c r="Q460" s="148">
        <f t="shared" si="15"/>
        <v>2</v>
      </c>
    </row>
    <row r="461" spans="1:17" ht="16.5" hidden="1" x14ac:dyDescent="0.35">
      <c r="A461" s="53">
        <v>460</v>
      </c>
      <c r="B461" s="18" t="s">
        <v>934</v>
      </c>
      <c r="C461" s="18" t="s">
        <v>660</v>
      </c>
      <c r="D461" s="17" t="s">
        <v>925</v>
      </c>
      <c r="E461" s="17" t="s">
        <v>896</v>
      </c>
      <c r="H461" s="194"/>
      <c r="I461" s="18" t="s">
        <v>53</v>
      </c>
      <c r="J461" s="23" t="s">
        <v>956</v>
      </c>
      <c r="L461" s="15" t="s">
        <v>2</v>
      </c>
      <c r="M461" s="147" t="s">
        <v>968</v>
      </c>
      <c r="N461" s="147" t="s">
        <v>923</v>
      </c>
      <c r="O461" s="147">
        <v>1</v>
      </c>
      <c r="P461" s="15">
        <v>5</v>
      </c>
      <c r="Q461" s="148">
        <f t="shared" si="15"/>
        <v>6</v>
      </c>
    </row>
    <row r="462" spans="1:17" ht="16.5" hidden="1" x14ac:dyDescent="0.35">
      <c r="A462" s="53">
        <v>461</v>
      </c>
      <c r="B462" s="18" t="s">
        <v>935</v>
      </c>
      <c r="C462" s="18" t="s">
        <v>660</v>
      </c>
      <c r="D462" s="17" t="s">
        <v>925</v>
      </c>
      <c r="E462" s="17" t="s">
        <v>896</v>
      </c>
      <c r="H462" s="194"/>
      <c r="I462" s="18" t="s">
        <v>53</v>
      </c>
      <c r="J462" s="23" t="s">
        <v>957</v>
      </c>
      <c r="L462" s="15" t="s">
        <v>2</v>
      </c>
      <c r="M462" s="147" t="s">
        <v>968</v>
      </c>
      <c r="N462" s="147" t="s">
        <v>923</v>
      </c>
      <c r="O462" s="147">
        <v>2</v>
      </c>
      <c r="P462" s="15">
        <v>3</v>
      </c>
      <c r="Q462" s="148">
        <f t="shared" si="15"/>
        <v>5</v>
      </c>
    </row>
    <row r="463" spans="1:17" ht="16.5" hidden="1" x14ac:dyDescent="0.35">
      <c r="A463" s="53">
        <v>462</v>
      </c>
      <c r="B463" s="18" t="s">
        <v>936</v>
      </c>
      <c r="C463" s="18" t="s">
        <v>660</v>
      </c>
      <c r="D463" s="17" t="s">
        <v>925</v>
      </c>
      <c r="E463" s="17" t="s">
        <v>896</v>
      </c>
      <c r="H463" s="194"/>
      <c r="I463" s="18" t="s">
        <v>53</v>
      </c>
      <c r="J463" s="23" t="s">
        <v>958</v>
      </c>
      <c r="L463" s="15" t="s">
        <v>2</v>
      </c>
      <c r="M463" s="147" t="s">
        <v>968</v>
      </c>
      <c r="N463" s="147" t="s">
        <v>923</v>
      </c>
      <c r="O463" s="147">
        <v>2</v>
      </c>
      <c r="P463" s="15">
        <v>2</v>
      </c>
      <c r="Q463" s="148">
        <f t="shared" si="15"/>
        <v>4</v>
      </c>
    </row>
    <row r="464" spans="1:17" ht="16.5" hidden="1" x14ac:dyDescent="0.35">
      <c r="A464" s="53">
        <v>463</v>
      </c>
      <c r="B464" s="18" t="s">
        <v>937</v>
      </c>
      <c r="C464" s="18" t="s">
        <v>660</v>
      </c>
      <c r="D464" s="17" t="s">
        <v>925</v>
      </c>
      <c r="E464" s="17" t="s">
        <v>896</v>
      </c>
      <c r="H464" s="194"/>
      <c r="I464" s="18" t="s">
        <v>53</v>
      </c>
      <c r="J464" s="23" t="s">
        <v>959</v>
      </c>
      <c r="L464" s="15" t="s">
        <v>9</v>
      </c>
      <c r="M464" s="147" t="s">
        <v>969</v>
      </c>
      <c r="N464" s="147" t="s">
        <v>972</v>
      </c>
      <c r="O464" s="147"/>
      <c r="P464" s="15">
        <v>1</v>
      </c>
      <c r="Q464" s="148">
        <f t="shared" si="15"/>
        <v>1</v>
      </c>
    </row>
    <row r="465" spans="1:17" ht="16.5" hidden="1" x14ac:dyDescent="0.35">
      <c r="A465" s="53">
        <v>464</v>
      </c>
      <c r="B465" s="18" t="s">
        <v>938</v>
      </c>
      <c r="C465" s="18" t="s">
        <v>660</v>
      </c>
      <c r="D465" s="17" t="s">
        <v>925</v>
      </c>
      <c r="E465" s="17" t="s">
        <v>896</v>
      </c>
      <c r="H465" s="194"/>
      <c r="I465" s="18" t="s">
        <v>53</v>
      </c>
      <c r="J465" s="23" t="s">
        <v>960</v>
      </c>
      <c r="L465" s="15" t="s">
        <v>9</v>
      </c>
      <c r="M465" s="147" t="s">
        <v>969</v>
      </c>
      <c r="N465" s="147" t="s">
        <v>923</v>
      </c>
      <c r="O465" s="147">
        <v>1</v>
      </c>
      <c r="P465" s="15">
        <v>0</v>
      </c>
      <c r="Q465" s="148">
        <f t="shared" si="15"/>
        <v>1</v>
      </c>
    </row>
    <row r="466" spans="1:17" ht="16.5" hidden="1" x14ac:dyDescent="0.35">
      <c r="A466" s="53">
        <v>465</v>
      </c>
      <c r="B466" s="18" t="s">
        <v>939</v>
      </c>
      <c r="C466" s="18" t="s">
        <v>660</v>
      </c>
      <c r="D466" s="17" t="s">
        <v>925</v>
      </c>
      <c r="E466" s="17" t="s">
        <v>896</v>
      </c>
      <c r="H466" s="194"/>
      <c r="I466" s="18" t="s">
        <v>53</v>
      </c>
      <c r="J466" s="23" t="s">
        <v>961</v>
      </c>
      <c r="L466" s="15" t="s">
        <v>2</v>
      </c>
      <c r="M466" s="147" t="s">
        <v>968</v>
      </c>
      <c r="N466" s="147" t="s">
        <v>923</v>
      </c>
      <c r="O466" s="147">
        <v>5</v>
      </c>
      <c r="P466" s="15">
        <v>2</v>
      </c>
      <c r="Q466" s="148">
        <f t="shared" si="15"/>
        <v>7</v>
      </c>
    </row>
    <row r="467" spans="1:17" ht="16.5" hidden="1" x14ac:dyDescent="0.35">
      <c r="A467" s="53">
        <v>466</v>
      </c>
      <c r="B467" s="18" t="s">
        <v>940</v>
      </c>
      <c r="C467" s="18" t="s">
        <v>660</v>
      </c>
      <c r="D467" s="17" t="s">
        <v>925</v>
      </c>
      <c r="E467" s="17" t="s">
        <v>896</v>
      </c>
      <c r="H467" s="194"/>
      <c r="I467" s="18" t="s">
        <v>53</v>
      </c>
      <c r="J467" s="23" t="s">
        <v>962</v>
      </c>
      <c r="L467" s="15" t="s">
        <v>2</v>
      </c>
      <c r="M467" s="147" t="s">
        <v>968</v>
      </c>
      <c r="N467" s="147" t="s">
        <v>923</v>
      </c>
      <c r="O467" s="147">
        <v>2</v>
      </c>
      <c r="P467" s="15">
        <v>2</v>
      </c>
      <c r="Q467" s="148">
        <f t="shared" si="15"/>
        <v>4</v>
      </c>
    </row>
    <row r="468" spans="1:17" ht="16.5" hidden="1" x14ac:dyDescent="0.35">
      <c r="A468" s="53">
        <v>467</v>
      </c>
      <c r="B468" s="18" t="s">
        <v>941</v>
      </c>
      <c r="C468" s="18" t="s">
        <v>660</v>
      </c>
      <c r="D468" s="17" t="s">
        <v>925</v>
      </c>
      <c r="E468" s="17" t="s">
        <v>896</v>
      </c>
      <c r="H468" s="194"/>
      <c r="I468" s="18" t="s">
        <v>53</v>
      </c>
      <c r="J468" s="23" t="s">
        <v>963</v>
      </c>
      <c r="L468" s="15" t="s">
        <v>2</v>
      </c>
      <c r="M468" s="147" t="s">
        <v>968</v>
      </c>
      <c r="N468" s="147" t="s">
        <v>923</v>
      </c>
      <c r="O468" s="147">
        <v>1</v>
      </c>
      <c r="P468" s="15">
        <v>1</v>
      </c>
      <c r="Q468" s="148">
        <f t="shared" si="15"/>
        <v>2</v>
      </c>
    </row>
    <row r="469" spans="1:17" ht="16.5" hidden="1" x14ac:dyDescent="0.35">
      <c r="A469" s="53">
        <v>468</v>
      </c>
      <c r="B469" s="18" t="s">
        <v>942</v>
      </c>
      <c r="C469" s="18" t="s">
        <v>660</v>
      </c>
      <c r="D469" s="17" t="s">
        <v>925</v>
      </c>
      <c r="E469" s="17" t="s">
        <v>896</v>
      </c>
      <c r="H469" s="194"/>
      <c r="I469" s="18" t="s">
        <v>53</v>
      </c>
      <c r="J469" s="23" t="s">
        <v>964</v>
      </c>
      <c r="L469" s="15" t="s">
        <v>2</v>
      </c>
      <c r="M469" s="147" t="s">
        <v>968</v>
      </c>
      <c r="N469" s="147" t="s">
        <v>923</v>
      </c>
      <c r="O469" s="147">
        <v>1</v>
      </c>
      <c r="P469" s="15">
        <v>1</v>
      </c>
      <c r="Q469" s="148">
        <f t="shared" si="15"/>
        <v>2</v>
      </c>
    </row>
    <row r="470" spans="1:17" ht="16.5" hidden="1" x14ac:dyDescent="0.35">
      <c r="A470" s="53">
        <v>469</v>
      </c>
      <c r="B470" s="18" t="s">
        <v>943</v>
      </c>
      <c r="C470" s="18" t="s">
        <v>660</v>
      </c>
      <c r="D470" s="17" t="s">
        <v>925</v>
      </c>
      <c r="E470" s="17" t="s">
        <v>896</v>
      </c>
      <c r="H470" s="194"/>
      <c r="I470" s="18" t="s">
        <v>53</v>
      </c>
      <c r="J470" s="23" t="s">
        <v>965</v>
      </c>
      <c r="L470" s="15" t="s">
        <v>2</v>
      </c>
      <c r="M470" s="147" t="s">
        <v>968</v>
      </c>
      <c r="N470" s="147" t="s">
        <v>973</v>
      </c>
      <c r="O470" s="147"/>
      <c r="P470" s="15">
        <v>1</v>
      </c>
      <c r="Q470" s="148">
        <v>1</v>
      </c>
    </row>
    <row r="471" spans="1:17" ht="16.5" hidden="1" x14ac:dyDescent="0.35">
      <c r="A471" s="53">
        <v>470</v>
      </c>
      <c r="B471" s="18" t="s">
        <v>944</v>
      </c>
      <c r="C471" s="18" t="s">
        <v>660</v>
      </c>
      <c r="D471" s="17" t="s">
        <v>925</v>
      </c>
      <c r="E471" s="17" t="s">
        <v>896</v>
      </c>
      <c r="H471" s="194"/>
      <c r="I471" s="18" t="s">
        <v>53</v>
      </c>
      <c r="J471" s="23" t="s">
        <v>966</v>
      </c>
      <c r="L471" s="15" t="s">
        <v>2</v>
      </c>
      <c r="M471" s="147" t="s">
        <v>968</v>
      </c>
      <c r="N471" s="147" t="s">
        <v>923</v>
      </c>
      <c r="O471" s="147"/>
      <c r="P471" s="15">
        <v>1</v>
      </c>
      <c r="Q471" s="148">
        <f t="shared" si="15"/>
        <v>1</v>
      </c>
    </row>
    <row r="472" spans="1:17" ht="16.5" hidden="1" x14ac:dyDescent="0.35">
      <c r="A472" s="53">
        <v>471</v>
      </c>
      <c r="B472" s="18" t="s">
        <v>945</v>
      </c>
      <c r="C472" s="18" t="s">
        <v>660</v>
      </c>
      <c r="D472" s="17" t="s">
        <v>925</v>
      </c>
      <c r="E472" s="17" t="s">
        <v>896</v>
      </c>
      <c r="H472" s="194"/>
      <c r="I472" s="18" t="s">
        <v>53</v>
      </c>
      <c r="J472" s="23" t="s">
        <v>967</v>
      </c>
      <c r="L472" s="15" t="s">
        <v>9</v>
      </c>
      <c r="M472" s="147" t="s">
        <v>969</v>
      </c>
      <c r="N472" s="147" t="s">
        <v>972</v>
      </c>
      <c r="O472" s="147">
        <v>1</v>
      </c>
      <c r="P472" s="15"/>
      <c r="Q472" s="148">
        <f t="shared" si="15"/>
        <v>1</v>
      </c>
    </row>
    <row r="473" spans="1:17" ht="16.5" hidden="1" x14ac:dyDescent="0.35">
      <c r="A473" s="53">
        <v>472</v>
      </c>
      <c r="B473" s="18" t="s">
        <v>946</v>
      </c>
      <c r="C473" s="18" t="s">
        <v>660</v>
      </c>
      <c r="D473" s="17" t="s">
        <v>925</v>
      </c>
      <c r="E473" s="17" t="s">
        <v>896</v>
      </c>
      <c r="H473" s="194"/>
      <c r="I473" s="18" t="s">
        <v>53</v>
      </c>
      <c r="J473" s="194"/>
      <c r="L473" s="15" t="s">
        <v>2</v>
      </c>
      <c r="M473" s="147" t="s">
        <v>968</v>
      </c>
      <c r="N473" s="147" t="s">
        <v>923</v>
      </c>
      <c r="O473" s="147">
        <v>2</v>
      </c>
      <c r="P473" s="15">
        <v>2</v>
      </c>
      <c r="Q473" s="148">
        <f t="shared" si="15"/>
        <v>4</v>
      </c>
    </row>
    <row r="474" spans="1:17" ht="16.5" hidden="1" x14ac:dyDescent="0.35">
      <c r="A474" s="53">
        <v>473</v>
      </c>
      <c r="B474" s="18" t="s">
        <v>976</v>
      </c>
      <c r="C474" s="18" t="s">
        <v>660</v>
      </c>
      <c r="D474" s="17" t="s">
        <v>975</v>
      </c>
      <c r="E474" s="17" t="s">
        <v>974</v>
      </c>
      <c r="H474" s="25"/>
      <c r="I474" s="18" t="s">
        <v>53</v>
      </c>
      <c r="J474" s="23" t="s">
        <v>1005</v>
      </c>
      <c r="L474" s="15" t="s">
        <v>2</v>
      </c>
      <c r="M474" s="18" t="s">
        <v>969</v>
      </c>
      <c r="N474" s="147" t="s">
        <v>920</v>
      </c>
      <c r="O474" s="147">
        <v>2</v>
      </c>
      <c r="P474" s="15">
        <v>2</v>
      </c>
      <c r="Q474" s="148">
        <f t="shared" si="15"/>
        <v>4</v>
      </c>
    </row>
    <row r="475" spans="1:17" ht="16.5" hidden="1" x14ac:dyDescent="0.35">
      <c r="A475" s="53">
        <v>474</v>
      </c>
      <c r="B475" s="18" t="s">
        <v>977</v>
      </c>
      <c r="C475" s="18" t="s">
        <v>660</v>
      </c>
      <c r="D475" s="17" t="s">
        <v>975</v>
      </c>
      <c r="E475" s="17" t="s">
        <v>974</v>
      </c>
      <c r="H475" s="25"/>
      <c r="I475" s="18" t="s">
        <v>53</v>
      </c>
      <c r="J475" s="23" t="s">
        <v>1006</v>
      </c>
      <c r="L475" s="15" t="s">
        <v>2</v>
      </c>
      <c r="M475" s="18" t="s">
        <v>969</v>
      </c>
      <c r="N475" s="147" t="s">
        <v>920</v>
      </c>
      <c r="O475" s="147">
        <v>1</v>
      </c>
      <c r="P475" s="15"/>
      <c r="Q475" s="148">
        <f t="shared" si="15"/>
        <v>1</v>
      </c>
    </row>
    <row r="476" spans="1:17" ht="16.5" hidden="1" x14ac:dyDescent="0.35">
      <c r="A476" s="53">
        <v>475</v>
      </c>
      <c r="B476" s="18" t="s">
        <v>978</v>
      </c>
      <c r="C476" s="18" t="s">
        <v>660</v>
      </c>
      <c r="D476" s="17" t="s">
        <v>975</v>
      </c>
      <c r="E476" s="17" t="s">
        <v>974</v>
      </c>
      <c r="H476" s="194"/>
      <c r="I476" s="18" t="s">
        <v>53</v>
      </c>
      <c r="J476" s="23" t="s">
        <v>1007</v>
      </c>
      <c r="L476" s="15" t="s">
        <v>2</v>
      </c>
      <c r="M476" s="18" t="s">
        <v>1035</v>
      </c>
      <c r="N476" s="147" t="s">
        <v>920</v>
      </c>
      <c r="O476" s="147">
        <v>2</v>
      </c>
      <c r="P476" s="15">
        <v>3</v>
      </c>
      <c r="Q476" s="148">
        <f t="shared" si="15"/>
        <v>5</v>
      </c>
    </row>
    <row r="477" spans="1:17" ht="16.5" hidden="1" x14ac:dyDescent="0.35">
      <c r="A477" s="53">
        <v>476</v>
      </c>
      <c r="B477" s="18" t="s">
        <v>979</v>
      </c>
      <c r="C477" s="18" t="s">
        <v>660</v>
      </c>
      <c r="D477" s="17" t="s">
        <v>975</v>
      </c>
      <c r="E477" s="17" t="s">
        <v>974</v>
      </c>
      <c r="H477" s="194"/>
      <c r="I477" s="18" t="s">
        <v>53</v>
      </c>
      <c r="J477" s="23" t="s">
        <v>1008</v>
      </c>
      <c r="L477" s="15" t="s">
        <v>2</v>
      </c>
      <c r="M477" s="18" t="s">
        <v>968</v>
      </c>
      <c r="N477" s="147" t="s">
        <v>920</v>
      </c>
      <c r="O477" s="147">
        <v>3</v>
      </c>
      <c r="P477" s="15">
        <v>2</v>
      </c>
      <c r="Q477" s="148">
        <f t="shared" si="15"/>
        <v>5</v>
      </c>
    </row>
    <row r="478" spans="1:17" ht="16.5" hidden="1" x14ac:dyDescent="0.35">
      <c r="A478" s="53">
        <v>477</v>
      </c>
      <c r="B478" s="18" t="s">
        <v>980</v>
      </c>
      <c r="C478" s="18" t="s">
        <v>660</v>
      </c>
      <c r="D478" s="17" t="s">
        <v>975</v>
      </c>
      <c r="E478" s="17" t="s">
        <v>974</v>
      </c>
      <c r="H478" s="194"/>
      <c r="I478" s="18" t="s">
        <v>53</v>
      </c>
      <c r="J478" s="23" t="s">
        <v>1009</v>
      </c>
      <c r="L478" s="15" t="s">
        <v>2</v>
      </c>
      <c r="M478" s="164" t="s">
        <v>968</v>
      </c>
      <c r="N478" s="147" t="s">
        <v>920</v>
      </c>
      <c r="O478" s="147">
        <v>3</v>
      </c>
      <c r="P478" s="15">
        <v>1</v>
      </c>
      <c r="Q478" s="148">
        <f t="shared" si="15"/>
        <v>4</v>
      </c>
    </row>
    <row r="479" spans="1:17" ht="16.5" hidden="1" x14ac:dyDescent="0.35">
      <c r="A479" s="53">
        <v>478</v>
      </c>
      <c r="B479" s="18" t="s">
        <v>981</v>
      </c>
      <c r="C479" s="18" t="s">
        <v>660</v>
      </c>
      <c r="D479" s="17" t="s">
        <v>975</v>
      </c>
      <c r="E479" s="17" t="s">
        <v>974</v>
      </c>
      <c r="H479" s="194"/>
      <c r="I479" s="18" t="s">
        <v>53</v>
      </c>
      <c r="J479" s="23" t="s">
        <v>1010</v>
      </c>
      <c r="L479" s="15" t="s">
        <v>2</v>
      </c>
      <c r="M479" s="18" t="s">
        <v>1035</v>
      </c>
      <c r="N479" s="147" t="s">
        <v>920</v>
      </c>
      <c r="O479" s="147">
        <v>1</v>
      </c>
      <c r="P479" s="15"/>
      <c r="Q479" s="148">
        <f t="shared" si="15"/>
        <v>1</v>
      </c>
    </row>
    <row r="480" spans="1:17" ht="16.5" hidden="1" x14ac:dyDescent="0.35">
      <c r="A480" s="53">
        <v>479</v>
      </c>
      <c r="B480" s="18" t="s">
        <v>982</v>
      </c>
      <c r="C480" s="18" t="s">
        <v>660</v>
      </c>
      <c r="D480" s="17" t="s">
        <v>975</v>
      </c>
      <c r="E480" s="17" t="s">
        <v>974</v>
      </c>
      <c r="H480" s="194"/>
      <c r="I480" s="18" t="s">
        <v>53</v>
      </c>
      <c r="J480" s="23" t="s">
        <v>1011</v>
      </c>
      <c r="L480" s="15" t="s">
        <v>9</v>
      </c>
      <c r="M480" s="18" t="s">
        <v>969</v>
      </c>
      <c r="N480" s="147" t="s">
        <v>920</v>
      </c>
      <c r="O480" s="147">
        <v>3</v>
      </c>
      <c r="P480" s="15">
        <v>2</v>
      </c>
      <c r="Q480" s="148">
        <f t="shared" si="15"/>
        <v>5</v>
      </c>
    </row>
    <row r="481" spans="1:17" ht="16.5" hidden="1" x14ac:dyDescent="0.35">
      <c r="A481" s="53">
        <v>480</v>
      </c>
      <c r="B481" s="18" t="s">
        <v>629</v>
      </c>
      <c r="C481" s="18" t="s">
        <v>660</v>
      </c>
      <c r="D481" s="17" t="s">
        <v>975</v>
      </c>
      <c r="E481" s="17" t="s">
        <v>974</v>
      </c>
      <c r="H481" s="194"/>
      <c r="I481" s="18" t="s">
        <v>53</v>
      </c>
      <c r="J481" s="23" t="s">
        <v>1012</v>
      </c>
      <c r="L481" s="15" t="s">
        <v>2</v>
      </c>
      <c r="M481" s="18" t="s">
        <v>968</v>
      </c>
      <c r="N481" s="147" t="s">
        <v>922</v>
      </c>
      <c r="O481" s="147">
        <v>1</v>
      </c>
      <c r="P481" s="15"/>
      <c r="Q481" s="148">
        <f t="shared" si="15"/>
        <v>1</v>
      </c>
    </row>
    <row r="482" spans="1:17" ht="16.5" hidden="1" x14ac:dyDescent="0.35">
      <c r="A482" s="53">
        <v>481</v>
      </c>
      <c r="B482" s="18" t="s">
        <v>983</v>
      </c>
      <c r="C482" s="18" t="s">
        <v>660</v>
      </c>
      <c r="D482" s="17" t="s">
        <v>975</v>
      </c>
      <c r="E482" s="17" t="s">
        <v>974</v>
      </c>
      <c r="H482" s="194"/>
      <c r="I482" s="18" t="s">
        <v>53</v>
      </c>
      <c r="J482" s="23" t="s">
        <v>1013</v>
      </c>
      <c r="L482" s="15" t="s">
        <v>2</v>
      </c>
      <c r="M482" s="18" t="s">
        <v>968</v>
      </c>
      <c r="N482" s="147" t="s">
        <v>923</v>
      </c>
      <c r="O482" s="147">
        <v>1</v>
      </c>
      <c r="P482" s="15"/>
      <c r="Q482" s="148">
        <f t="shared" si="15"/>
        <v>1</v>
      </c>
    </row>
    <row r="483" spans="1:17" ht="16.5" hidden="1" x14ac:dyDescent="0.35">
      <c r="A483" s="53">
        <v>482</v>
      </c>
      <c r="B483" s="18" t="s">
        <v>984</v>
      </c>
      <c r="C483" s="18" t="s">
        <v>660</v>
      </c>
      <c r="D483" s="17" t="s">
        <v>975</v>
      </c>
      <c r="E483" s="17" t="s">
        <v>974</v>
      </c>
      <c r="H483" s="194"/>
      <c r="I483" s="18" t="s">
        <v>53</v>
      </c>
      <c r="J483" s="23" t="s">
        <v>1014</v>
      </c>
      <c r="L483" s="15" t="s">
        <v>2</v>
      </c>
      <c r="M483" s="18" t="s">
        <v>968</v>
      </c>
      <c r="N483" s="147" t="s">
        <v>923</v>
      </c>
      <c r="O483" s="147">
        <v>1</v>
      </c>
      <c r="P483" s="15">
        <v>3</v>
      </c>
      <c r="Q483" s="148">
        <f t="shared" si="15"/>
        <v>4</v>
      </c>
    </row>
    <row r="484" spans="1:17" ht="16.5" hidden="1" x14ac:dyDescent="0.35">
      <c r="A484" s="53">
        <v>483</v>
      </c>
      <c r="B484" s="18" t="s">
        <v>985</v>
      </c>
      <c r="C484" s="18" t="s">
        <v>660</v>
      </c>
      <c r="D484" s="17" t="s">
        <v>975</v>
      </c>
      <c r="E484" s="17" t="s">
        <v>974</v>
      </c>
      <c r="H484" s="194"/>
      <c r="I484" s="18" t="s">
        <v>53</v>
      </c>
      <c r="J484" s="23" t="s">
        <v>1015</v>
      </c>
      <c r="L484" s="15" t="s">
        <v>2</v>
      </c>
      <c r="M484" s="18" t="s">
        <v>969</v>
      </c>
      <c r="N484" s="147" t="s">
        <v>923</v>
      </c>
      <c r="O484" s="147">
        <v>1</v>
      </c>
      <c r="P484" s="15">
        <v>3</v>
      </c>
      <c r="Q484" s="148">
        <f t="shared" si="15"/>
        <v>4</v>
      </c>
    </row>
    <row r="485" spans="1:17" ht="16.5" hidden="1" x14ac:dyDescent="0.35">
      <c r="A485" s="53">
        <v>484</v>
      </c>
      <c r="B485" s="18" t="s">
        <v>986</v>
      </c>
      <c r="C485" s="18" t="s">
        <v>660</v>
      </c>
      <c r="D485" s="17" t="s">
        <v>975</v>
      </c>
      <c r="E485" s="17" t="s">
        <v>974</v>
      </c>
      <c r="H485" s="194"/>
      <c r="I485" s="18" t="s">
        <v>53</v>
      </c>
      <c r="J485" s="23" t="s">
        <v>1016</v>
      </c>
      <c r="L485" s="15" t="s">
        <v>2</v>
      </c>
      <c r="M485" s="18" t="s">
        <v>968</v>
      </c>
      <c r="N485" s="147" t="s">
        <v>923</v>
      </c>
      <c r="O485" s="147">
        <v>1</v>
      </c>
      <c r="P485" s="15">
        <v>1</v>
      </c>
      <c r="Q485" s="148">
        <f t="shared" si="15"/>
        <v>2</v>
      </c>
    </row>
    <row r="486" spans="1:17" ht="16.5" hidden="1" x14ac:dyDescent="0.35">
      <c r="A486" s="53">
        <v>485</v>
      </c>
      <c r="B486" s="18" t="s">
        <v>987</v>
      </c>
      <c r="C486" s="18" t="s">
        <v>660</v>
      </c>
      <c r="D486" s="17" t="s">
        <v>975</v>
      </c>
      <c r="E486" s="17" t="s">
        <v>974</v>
      </c>
      <c r="H486" s="194"/>
      <c r="I486" s="18" t="s">
        <v>53</v>
      </c>
      <c r="J486" s="23" t="s">
        <v>1017</v>
      </c>
      <c r="L486" s="15" t="s">
        <v>2</v>
      </c>
      <c r="M486" s="18" t="s">
        <v>969</v>
      </c>
      <c r="N486" s="147" t="s">
        <v>923</v>
      </c>
      <c r="O486" s="147">
        <v>2</v>
      </c>
      <c r="P486" s="15">
        <v>3</v>
      </c>
      <c r="Q486" s="148">
        <f t="shared" si="15"/>
        <v>5</v>
      </c>
    </row>
    <row r="487" spans="1:17" ht="16.5" hidden="1" x14ac:dyDescent="0.35">
      <c r="A487" s="53">
        <v>486</v>
      </c>
      <c r="B487" s="18" t="s">
        <v>988</v>
      </c>
      <c r="C487" s="18" t="s">
        <v>660</v>
      </c>
      <c r="D487" s="17" t="s">
        <v>975</v>
      </c>
      <c r="E487" s="17" t="s">
        <v>974</v>
      </c>
      <c r="H487" s="194"/>
      <c r="I487" s="18" t="s">
        <v>53</v>
      </c>
      <c r="J487" s="23" t="s">
        <v>1018</v>
      </c>
      <c r="L487" s="15" t="s">
        <v>2</v>
      </c>
      <c r="M487" s="18" t="s">
        <v>969</v>
      </c>
      <c r="N487" s="147" t="s">
        <v>923</v>
      </c>
      <c r="O487" s="147">
        <v>1</v>
      </c>
      <c r="P487" s="15"/>
      <c r="Q487" s="148">
        <f t="shared" si="15"/>
        <v>1</v>
      </c>
    </row>
    <row r="488" spans="1:17" ht="16.5" hidden="1" x14ac:dyDescent="0.35">
      <c r="A488" s="53">
        <v>487</v>
      </c>
      <c r="B488" s="18" t="s">
        <v>989</v>
      </c>
      <c r="C488" s="18" t="s">
        <v>660</v>
      </c>
      <c r="D488" s="17" t="s">
        <v>975</v>
      </c>
      <c r="E488" s="17" t="s">
        <v>974</v>
      </c>
      <c r="H488" s="194"/>
      <c r="I488" s="18" t="s">
        <v>53</v>
      </c>
      <c r="J488" s="23" t="s">
        <v>1019</v>
      </c>
      <c r="L488" s="15" t="s">
        <v>2</v>
      </c>
      <c r="M488" s="18" t="s">
        <v>969</v>
      </c>
      <c r="N488" s="147" t="s">
        <v>923</v>
      </c>
      <c r="O488" s="147"/>
      <c r="P488" s="15">
        <v>1</v>
      </c>
      <c r="Q488" s="148">
        <f t="shared" si="15"/>
        <v>1</v>
      </c>
    </row>
    <row r="489" spans="1:17" ht="16.5" hidden="1" x14ac:dyDescent="0.35">
      <c r="A489" s="53">
        <v>488</v>
      </c>
      <c r="B489" s="18" t="s">
        <v>990</v>
      </c>
      <c r="C489" s="18" t="s">
        <v>660</v>
      </c>
      <c r="D489" s="17" t="s">
        <v>975</v>
      </c>
      <c r="E489" s="17" t="s">
        <v>974</v>
      </c>
      <c r="H489" s="194"/>
      <c r="I489" s="18" t="s">
        <v>53</v>
      </c>
      <c r="J489" s="23" t="s">
        <v>1020</v>
      </c>
      <c r="L489" s="15" t="s">
        <v>2</v>
      </c>
      <c r="M489" s="18" t="s">
        <v>968</v>
      </c>
      <c r="N489" s="147" t="s">
        <v>923</v>
      </c>
      <c r="O489" s="147">
        <v>1</v>
      </c>
      <c r="P489" s="15">
        <v>5</v>
      </c>
      <c r="Q489" s="148">
        <f t="shared" si="15"/>
        <v>6</v>
      </c>
    </row>
    <row r="490" spans="1:17" ht="16.5" hidden="1" x14ac:dyDescent="0.35">
      <c r="A490" s="53">
        <v>489</v>
      </c>
      <c r="B490" s="18" t="s">
        <v>991</v>
      </c>
      <c r="C490" s="18" t="s">
        <v>660</v>
      </c>
      <c r="D490" s="17" t="s">
        <v>975</v>
      </c>
      <c r="E490" s="17" t="s">
        <v>974</v>
      </c>
      <c r="H490" s="194"/>
      <c r="I490" s="18" t="s">
        <v>53</v>
      </c>
      <c r="J490" s="23" t="s">
        <v>1021</v>
      </c>
      <c r="L490" s="15" t="s">
        <v>2</v>
      </c>
      <c r="M490" s="18" t="s">
        <v>969</v>
      </c>
      <c r="N490" s="147" t="s">
        <v>923</v>
      </c>
      <c r="O490" s="147"/>
      <c r="P490" s="15">
        <v>1</v>
      </c>
      <c r="Q490" s="148">
        <f t="shared" si="15"/>
        <v>1</v>
      </c>
    </row>
    <row r="491" spans="1:17" ht="16.5" hidden="1" x14ac:dyDescent="0.35">
      <c r="A491" s="53">
        <v>490</v>
      </c>
      <c r="B491" s="18" t="s">
        <v>992</v>
      </c>
      <c r="C491" s="18" t="s">
        <v>660</v>
      </c>
      <c r="D491" s="17" t="s">
        <v>975</v>
      </c>
      <c r="E491" s="17" t="s">
        <v>974</v>
      </c>
      <c r="H491" s="194"/>
      <c r="I491" s="18" t="s">
        <v>53</v>
      </c>
      <c r="J491" s="23" t="s">
        <v>1022</v>
      </c>
      <c r="L491" s="15" t="s">
        <v>2</v>
      </c>
      <c r="M491" s="18" t="s">
        <v>968</v>
      </c>
      <c r="N491" s="147" t="s">
        <v>923</v>
      </c>
      <c r="O491" s="147">
        <v>1</v>
      </c>
      <c r="P491" s="15">
        <v>2</v>
      </c>
      <c r="Q491" s="148">
        <f t="shared" si="15"/>
        <v>3</v>
      </c>
    </row>
    <row r="492" spans="1:17" ht="16.5" hidden="1" x14ac:dyDescent="0.35">
      <c r="A492" s="53">
        <v>491</v>
      </c>
      <c r="B492" s="18" t="s">
        <v>993</v>
      </c>
      <c r="C492" s="18" t="s">
        <v>660</v>
      </c>
      <c r="D492" s="17" t="s">
        <v>975</v>
      </c>
      <c r="E492" s="17" t="s">
        <v>974</v>
      </c>
      <c r="H492" s="194"/>
      <c r="I492" s="18" t="s">
        <v>53</v>
      </c>
      <c r="J492" s="23" t="s">
        <v>1023</v>
      </c>
      <c r="L492" s="15" t="s">
        <v>2</v>
      </c>
      <c r="M492" s="18" t="s">
        <v>968</v>
      </c>
      <c r="N492" s="147" t="s">
        <v>923</v>
      </c>
      <c r="O492" s="147">
        <v>1</v>
      </c>
      <c r="P492" s="15">
        <v>1</v>
      </c>
      <c r="Q492" s="148">
        <f t="shared" si="15"/>
        <v>2</v>
      </c>
    </row>
    <row r="493" spans="1:17" ht="16.5" hidden="1" x14ac:dyDescent="0.35">
      <c r="A493" s="53">
        <v>492</v>
      </c>
      <c r="B493" s="18" t="s">
        <v>994</v>
      </c>
      <c r="C493" s="18" t="s">
        <v>660</v>
      </c>
      <c r="D493" s="17" t="s">
        <v>975</v>
      </c>
      <c r="E493" s="17" t="s">
        <v>974</v>
      </c>
      <c r="H493" s="194"/>
      <c r="I493" s="18" t="s">
        <v>53</v>
      </c>
      <c r="J493" s="23" t="s">
        <v>1024</v>
      </c>
      <c r="L493" s="15" t="s">
        <v>2</v>
      </c>
      <c r="M493" s="18" t="s">
        <v>969</v>
      </c>
      <c r="N493" s="147" t="s">
        <v>923</v>
      </c>
      <c r="O493" s="147"/>
      <c r="P493" s="15">
        <v>1</v>
      </c>
      <c r="Q493" s="148">
        <f t="shared" si="15"/>
        <v>1</v>
      </c>
    </row>
    <row r="494" spans="1:17" ht="16.5" hidden="1" x14ac:dyDescent="0.35">
      <c r="A494" s="53">
        <v>493</v>
      </c>
      <c r="B494" s="18" t="s">
        <v>995</v>
      </c>
      <c r="C494" s="18" t="s">
        <v>660</v>
      </c>
      <c r="D494" s="17" t="s">
        <v>975</v>
      </c>
      <c r="E494" s="17" t="s">
        <v>974</v>
      </c>
      <c r="H494" s="194"/>
      <c r="I494" s="18" t="s">
        <v>53</v>
      </c>
      <c r="J494" s="23" t="s">
        <v>1025</v>
      </c>
      <c r="L494" s="15" t="s">
        <v>9</v>
      </c>
      <c r="M494" s="18" t="s">
        <v>968</v>
      </c>
      <c r="N494" s="147" t="s">
        <v>924</v>
      </c>
      <c r="O494" s="147">
        <v>3</v>
      </c>
      <c r="P494" s="15"/>
      <c r="Q494" s="148">
        <f t="shared" si="15"/>
        <v>3</v>
      </c>
    </row>
    <row r="495" spans="1:17" ht="16.5" hidden="1" x14ac:dyDescent="0.35">
      <c r="A495" s="53">
        <v>494</v>
      </c>
      <c r="B495" s="18" t="s">
        <v>996</v>
      </c>
      <c r="C495" s="18" t="s">
        <v>660</v>
      </c>
      <c r="D495" s="17" t="s">
        <v>975</v>
      </c>
      <c r="E495" s="17" t="s">
        <v>974</v>
      </c>
      <c r="H495" s="194"/>
      <c r="I495" s="18" t="s">
        <v>53</v>
      </c>
      <c r="J495" s="23" t="s">
        <v>1026</v>
      </c>
      <c r="L495" s="15" t="s">
        <v>2</v>
      </c>
      <c r="M495" s="18" t="s">
        <v>968</v>
      </c>
      <c r="N495" s="147" t="s">
        <v>923</v>
      </c>
      <c r="O495" s="147"/>
      <c r="P495" s="15">
        <v>2</v>
      </c>
      <c r="Q495" s="148">
        <f t="shared" si="15"/>
        <v>2</v>
      </c>
    </row>
    <row r="496" spans="1:17" ht="16.5" hidden="1" x14ac:dyDescent="0.35">
      <c r="A496" s="53">
        <v>495</v>
      </c>
      <c r="B496" s="18" t="s">
        <v>997</v>
      </c>
      <c r="C496" s="18" t="s">
        <v>660</v>
      </c>
      <c r="D496" s="17" t="s">
        <v>975</v>
      </c>
      <c r="E496" s="17" t="s">
        <v>974</v>
      </c>
      <c r="H496" s="194"/>
      <c r="I496" s="18" t="s">
        <v>53</v>
      </c>
      <c r="J496" s="23" t="s">
        <v>1027</v>
      </c>
      <c r="L496" s="15" t="s">
        <v>2</v>
      </c>
      <c r="M496" s="18" t="s">
        <v>968</v>
      </c>
      <c r="N496" s="147" t="s">
        <v>923</v>
      </c>
      <c r="O496" s="147">
        <v>1</v>
      </c>
      <c r="P496" s="15"/>
      <c r="Q496" s="148">
        <f t="shared" si="15"/>
        <v>1</v>
      </c>
    </row>
    <row r="497" spans="1:17" ht="18.5" hidden="1" x14ac:dyDescent="0.55000000000000004">
      <c r="A497" s="53">
        <v>496</v>
      </c>
      <c r="B497" s="18" t="s">
        <v>998</v>
      </c>
      <c r="C497" s="18" t="s">
        <v>660</v>
      </c>
      <c r="D497" s="17" t="s">
        <v>975</v>
      </c>
      <c r="E497" s="17" t="s">
        <v>974</v>
      </c>
      <c r="H497" s="194"/>
      <c r="I497" s="18" t="s">
        <v>53</v>
      </c>
      <c r="J497" s="23" t="s">
        <v>1028</v>
      </c>
      <c r="L497" s="15" t="s">
        <v>2</v>
      </c>
      <c r="M497" s="165" t="s">
        <v>968</v>
      </c>
      <c r="N497" s="149" t="s">
        <v>923</v>
      </c>
      <c r="O497" s="149">
        <v>1</v>
      </c>
      <c r="P497" s="149">
        <v>5</v>
      </c>
      <c r="Q497" s="150">
        <f t="shared" si="15"/>
        <v>6</v>
      </c>
    </row>
    <row r="498" spans="1:17" ht="16.5" hidden="1" x14ac:dyDescent="0.35">
      <c r="A498" s="53">
        <v>497</v>
      </c>
      <c r="B498" s="18" t="s">
        <v>999</v>
      </c>
      <c r="C498" s="18" t="s">
        <v>660</v>
      </c>
      <c r="D498" s="17" t="s">
        <v>975</v>
      </c>
      <c r="E498" s="17" t="s">
        <v>974</v>
      </c>
      <c r="H498" s="194"/>
      <c r="I498" s="18" t="s">
        <v>53</v>
      </c>
      <c r="J498" s="160" t="s">
        <v>1029</v>
      </c>
      <c r="L498" s="15" t="s">
        <v>2</v>
      </c>
      <c r="M498" s="166" t="s">
        <v>968</v>
      </c>
      <c r="N498" s="170" t="s">
        <v>924</v>
      </c>
      <c r="O498" s="151">
        <v>1</v>
      </c>
      <c r="P498" s="151">
        <v>1</v>
      </c>
      <c r="Q498" s="152">
        <f t="shared" si="15"/>
        <v>2</v>
      </c>
    </row>
    <row r="499" spans="1:17" ht="16.5" hidden="1" x14ac:dyDescent="0.35">
      <c r="A499" s="53">
        <v>498</v>
      </c>
      <c r="B499" s="351" t="s">
        <v>1000</v>
      </c>
      <c r="C499" s="18" t="s">
        <v>660</v>
      </c>
      <c r="D499" s="17" t="s">
        <v>975</v>
      </c>
      <c r="E499" s="17" t="s">
        <v>974</v>
      </c>
      <c r="H499" s="194"/>
      <c r="I499" s="18" t="s">
        <v>53</v>
      </c>
      <c r="J499" s="161" t="s">
        <v>1030</v>
      </c>
      <c r="L499" s="16" t="s">
        <v>2</v>
      </c>
      <c r="M499" s="167" t="s">
        <v>969</v>
      </c>
      <c r="N499" s="171" t="s">
        <v>923</v>
      </c>
      <c r="O499" s="143">
        <v>1</v>
      </c>
      <c r="P499" s="143">
        <v>1</v>
      </c>
      <c r="Q499" s="153">
        <f t="shared" si="15"/>
        <v>2</v>
      </c>
    </row>
    <row r="500" spans="1:17" ht="16.5" hidden="1" x14ac:dyDescent="0.35">
      <c r="A500" s="53">
        <v>499</v>
      </c>
      <c r="B500" s="147" t="s">
        <v>1001</v>
      </c>
      <c r="C500" s="18" t="s">
        <v>660</v>
      </c>
      <c r="D500" s="17" t="s">
        <v>975</v>
      </c>
      <c r="E500" s="17" t="s">
        <v>974</v>
      </c>
      <c r="H500" s="194"/>
      <c r="I500" s="18" t="s">
        <v>53</v>
      </c>
      <c r="J500" s="161" t="s">
        <v>1031</v>
      </c>
      <c r="L500" s="151" t="s">
        <v>2</v>
      </c>
      <c r="M500" s="166" t="s">
        <v>968</v>
      </c>
      <c r="N500" s="170" t="s">
        <v>924</v>
      </c>
      <c r="O500" s="151">
        <v>2</v>
      </c>
      <c r="P500" s="151">
        <v>2</v>
      </c>
      <c r="Q500" s="151">
        <f t="shared" si="15"/>
        <v>4</v>
      </c>
    </row>
    <row r="501" spans="1:17" ht="16.5" hidden="1" x14ac:dyDescent="0.35">
      <c r="A501" s="53">
        <v>500</v>
      </c>
      <c r="B501" s="168" t="s">
        <v>1002</v>
      </c>
      <c r="C501" s="18" t="s">
        <v>660</v>
      </c>
      <c r="D501" s="17" t="s">
        <v>975</v>
      </c>
      <c r="E501" s="17" t="s">
        <v>974</v>
      </c>
      <c r="H501" s="194"/>
      <c r="I501" s="18" t="s">
        <v>53</v>
      </c>
      <c r="J501" s="161" t="s">
        <v>1032</v>
      </c>
      <c r="L501" s="162" t="s">
        <v>2</v>
      </c>
      <c r="M501" s="168" t="s">
        <v>969</v>
      </c>
      <c r="N501" s="168" t="s">
        <v>923</v>
      </c>
      <c r="O501" s="162">
        <v>1</v>
      </c>
      <c r="P501" s="162">
        <v>1</v>
      </c>
      <c r="Q501" s="162">
        <f t="shared" si="15"/>
        <v>2</v>
      </c>
    </row>
    <row r="502" spans="1:17" ht="16.5" hidden="1" x14ac:dyDescent="0.35">
      <c r="A502" s="53">
        <v>501</v>
      </c>
      <c r="B502" s="169" t="s">
        <v>1003</v>
      </c>
      <c r="C502" s="18" t="s">
        <v>660</v>
      </c>
      <c r="D502" s="17" t="s">
        <v>975</v>
      </c>
      <c r="E502" s="17" t="s">
        <v>974</v>
      </c>
      <c r="H502" s="194"/>
      <c r="I502" s="18" t="s">
        <v>53</v>
      </c>
      <c r="J502" s="161" t="s">
        <v>1033</v>
      </c>
      <c r="L502" s="163" t="s">
        <v>9</v>
      </c>
      <c r="M502" s="169" t="s">
        <v>968</v>
      </c>
      <c r="N502" s="169" t="s">
        <v>924</v>
      </c>
      <c r="O502" s="163">
        <v>2</v>
      </c>
      <c r="P502" s="163">
        <v>2</v>
      </c>
      <c r="Q502" s="163">
        <f t="shared" si="15"/>
        <v>4</v>
      </c>
    </row>
    <row r="503" spans="1:17" ht="16.5" hidden="1" x14ac:dyDescent="0.35">
      <c r="A503" s="53">
        <v>502</v>
      </c>
      <c r="B503" s="163" t="s">
        <v>1004</v>
      </c>
      <c r="C503" s="18" t="s">
        <v>660</v>
      </c>
      <c r="D503" s="17" t="s">
        <v>975</v>
      </c>
      <c r="E503" s="17" t="s">
        <v>974</v>
      </c>
      <c r="H503" s="194"/>
      <c r="I503" s="18" t="s">
        <v>53</v>
      </c>
      <c r="J503" s="161" t="s">
        <v>1034</v>
      </c>
      <c r="L503" s="163" t="s">
        <v>9</v>
      </c>
      <c r="M503" s="163" t="s">
        <v>969</v>
      </c>
      <c r="N503" s="163" t="s">
        <v>924</v>
      </c>
      <c r="O503" s="163"/>
      <c r="P503" s="163">
        <v>1</v>
      </c>
      <c r="Q503" s="163"/>
    </row>
    <row r="504" spans="1:17" ht="16.5" hidden="1" x14ac:dyDescent="0.35">
      <c r="A504" s="53">
        <v>503</v>
      </c>
      <c r="B504" s="18" t="s">
        <v>1036</v>
      </c>
      <c r="C504" s="18" t="s">
        <v>663</v>
      </c>
      <c r="D504" s="17" t="s">
        <v>1065</v>
      </c>
      <c r="E504" s="17" t="s">
        <v>1064</v>
      </c>
      <c r="H504" s="25"/>
      <c r="I504" s="18" t="s">
        <v>1066</v>
      </c>
      <c r="J504" s="25"/>
      <c r="L504" s="15" t="s">
        <v>9</v>
      </c>
      <c r="M504" s="147" t="s">
        <v>1063</v>
      </c>
      <c r="O504" s="147">
        <v>4</v>
      </c>
      <c r="P504" s="15">
        <v>5</v>
      </c>
      <c r="Q504" s="148">
        <v>9</v>
      </c>
    </row>
    <row r="505" spans="1:17" ht="16.5" hidden="1" x14ac:dyDescent="0.35">
      <c r="A505" s="53">
        <v>504</v>
      </c>
      <c r="B505" s="18" t="s">
        <v>1037</v>
      </c>
      <c r="C505" s="18" t="s">
        <v>663</v>
      </c>
      <c r="D505" s="17" t="s">
        <v>1065</v>
      </c>
      <c r="E505" s="17" t="s">
        <v>1064</v>
      </c>
      <c r="H505" s="194"/>
      <c r="I505" s="18" t="s">
        <v>1066</v>
      </c>
      <c r="J505" s="194"/>
      <c r="L505" s="15" t="s">
        <v>9</v>
      </c>
      <c r="M505" s="147" t="s">
        <v>1063</v>
      </c>
      <c r="O505" s="147">
        <v>1</v>
      </c>
      <c r="P505" s="15">
        <v>2</v>
      </c>
      <c r="Q505" s="148">
        <v>3</v>
      </c>
    </row>
    <row r="506" spans="1:17" ht="16.5" hidden="1" x14ac:dyDescent="0.35">
      <c r="A506" s="53">
        <v>505</v>
      </c>
      <c r="B506" s="18" t="s">
        <v>1038</v>
      </c>
      <c r="C506" s="18" t="s">
        <v>663</v>
      </c>
      <c r="D506" s="17" t="s">
        <v>1065</v>
      </c>
      <c r="E506" s="17" t="s">
        <v>1064</v>
      </c>
      <c r="H506" s="194"/>
      <c r="I506" s="18" t="s">
        <v>1066</v>
      </c>
      <c r="J506" s="194"/>
      <c r="L506" s="15" t="s">
        <v>2</v>
      </c>
      <c r="M506" s="147" t="s">
        <v>969</v>
      </c>
      <c r="O506" s="147">
        <v>0</v>
      </c>
      <c r="P506" s="15">
        <v>0</v>
      </c>
      <c r="Q506" s="148">
        <v>0</v>
      </c>
    </row>
    <row r="507" spans="1:17" ht="16.5" hidden="1" x14ac:dyDescent="0.35">
      <c r="A507" s="53">
        <v>506</v>
      </c>
      <c r="B507" s="18" t="s">
        <v>1039</v>
      </c>
      <c r="C507" s="18" t="s">
        <v>663</v>
      </c>
      <c r="D507" s="17" t="s">
        <v>1065</v>
      </c>
      <c r="E507" s="17" t="s">
        <v>1064</v>
      </c>
      <c r="H507" s="194"/>
      <c r="I507" s="18" t="s">
        <v>1066</v>
      </c>
      <c r="J507" s="194"/>
      <c r="L507" s="15" t="s">
        <v>2</v>
      </c>
      <c r="M507" s="147" t="s">
        <v>1063</v>
      </c>
      <c r="O507" s="147">
        <v>2</v>
      </c>
      <c r="P507" s="15">
        <v>2</v>
      </c>
      <c r="Q507" s="148">
        <v>4</v>
      </c>
    </row>
    <row r="508" spans="1:17" ht="16.5" hidden="1" x14ac:dyDescent="0.35">
      <c r="A508" s="53">
        <v>507</v>
      </c>
      <c r="B508" s="18" t="s">
        <v>1040</v>
      </c>
      <c r="C508" s="18" t="s">
        <v>663</v>
      </c>
      <c r="D508" s="17" t="s">
        <v>1065</v>
      </c>
      <c r="E508" s="17" t="s">
        <v>1064</v>
      </c>
      <c r="H508" s="194"/>
      <c r="I508" s="18" t="s">
        <v>1066</v>
      </c>
      <c r="J508" s="194"/>
      <c r="L508" s="15" t="s">
        <v>2</v>
      </c>
      <c r="M508" s="23" t="s">
        <v>1063</v>
      </c>
      <c r="O508" s="147">
        <v>3</v>
      </c>
      <c r="P508" s="15">
        <v>3</v>
      </c>
      <c r="Q508" s="148">
        <v>6</v>
      </c>
    </row>
    <row r="509" spans="1:17" ht="16.5" hidden="1" x14ac:dyDescent="0.35">
      <c r="A509" s="53">
        <v>508</v>
      </c>
      <c r="B509" s="18" t="s">
        <v>1041</v>
      </c>
      <c r="C509" s="18" t="s">
        <v>663</v>
      </c>
      <c r="D509" s="17" t="s">
        <v>1065</v>
      </c>
      <c r="E509" s="17" t="s">
        <v>1064</v>
      </c>
      <c r="H509" s="194"/>
      <c r="I509" s="18" t="s">
        <v>1066</v>
      </c>
      <c r="J509" s="194"/>
      <c r="L509" s="15" t="s">
        <v>2</v>
      </c>
      <c r="M509" s="147" t="s">
        <v>1063</v>
      </c>
      <c r="O509" s="147">
        <v>1</v>
      </c>
      <c r="P509" s="15">
        <v>5</v>
      </c>
      <c r="Q509" s="148">
        <v>6</v>
      </c>
    </row>
    <row r="510" spans="1:17" ht="16.5" hidden="1" x14ac:dyDescent="0.35">
      <c r="A510" s="53">
        <v>509</v>
      </c>
      <c r="B510" s="18" t="s">
        <v>1042</v>
      </c>
      <c r="C510" s="18" t="s">
        <v>663</v>
      </c>
      <c r="D510" s="17" t="s">
        <v>1065</v>
      </c>
      <c r="E510" s="17" t="s">
        <v>1064</v>
      </c>
      <c r="H510" s="194"/>
      <c r="I510" s="18" t="s">
        <v>1066</v>
      </c>
      <c r="J510" s="194"/>
      <c r="L510" s="15" t="s">
        <v>9</v>
      </c>
      <c r="M510" s="147" t="s">
        <v>1063</v>
      </c>
      <c r="O510" s="147">
        <v>3</v>
      </c>
      <c r="P510" s="15">
        <v>1</v>
      </c>
      <c r="Q510" s="148">
        <v>4</v>
      </c>
    </row>
    <row r="511" spans="1:17" ht="16.5" hidden="1" x14ac:dyDescent="0.35">
      <c r="A511" s="53">
        <v>510</v>
      </c>
      <c r="B511" s="18" t="s">
        <v>1043</v>
      </c>
      <c r="C511" s="18" t="s">
        <v>663</v>
      </c>
      <c r="D511" s="17" t="s">
        <v>1065</v>
      </c>
      <c r="E511" s="17" t="s">
        <v>1064</v>
      </c>
      <c r="H511" s="194"/>
      <c r="I511" s="18" t="s">
        <v>1066</v>
      </c>
      <c r="J511" s="194"/>
      <c r="L511" s="15" t="s">
        <v>2</v>
      </c>
      <c r="M511" s="147" t="s">
        <v>1063</v>
      </c>
      <c r="O511" s="147">
        <v>4</v>
      </c>
      <c r="P511" s="15">
        <v>2</v>
      </c>
      <c r="Q511" s="148">
        <v>6</v>
      </c>
    </row>
    <row r="512" spans="1:17" ht="16.5" hidden="1" x14ac:dyDescent="0.35">
      <c r="A512" s="53">
        <v>511</v>
      </c>
      <c r="B512" s="18" t="s">
        <v>1044</v>
      </c>
      <c r="C512" s="18" t="s">
        <v>663</v>
      </c>
      <c r="D512" s="17" t="s">
        <v>1065</v>
      </c>
      <c r="E512" s="17" t="s">
        <v>1064</v>
      </c>
      <c r="H512" s="194"/>
      <c r="I512" s="18" t="s">
        <v>1066</v>
      </c>
      <c r="J512" s="194"/>
      <c r="L512" s="15" t="s">
        <v>2</v>
      </c>
      <c r="M512" s="147" t="s">
        <v>1063</v>
      </c>
      <c r="O512" s="147">
        <v>4</v>
      </c>
      <c r="P512" s="15">
        <v>0</v>
      </c>
      <c r="Q512" s="148">
        <v>4</v>
      </c>
    </row>
    <row r="513" spans="1:17" ht="16.5" hidden="1" x14ac:dyDescent="0.35">
      <c r="A513" s="53">
        <v>512</v>
      </c>
      <c r="B513" s="18" t="s">
        <v>1045</v>
      </c>
      <c r="C513" s="18" t="s">
        <v>663</v>
      </c>
      <c r="D513" s="17" t="s">
        <v>1065</v>
      </c>
      <c r="E513" s="17" t="s">
        <v>1064</v>
      </c>
      <c r="H513" s="194"/>
      <c r="I513" s="18" t="s">
        <v>1066</v>
      </c>
      <c r="J513" s="194"/>
      <c r="L513" s="15" t="s">
        <v>9</v>
      </c>
      <c r="M513" s="147" t="s">
        <v>1063</v>
      </c>
      <c r="O513" s="147">
        <v>2</v>
      </c>
      <c r="P513" s="15">
        <v>5</v>
      </c>
      <c r="Q513" s="148">
        <v>7</v>
      </c>
    </row>
    <row r="514" spans="1:17" ht="16.5" hidden="1" x14ac:dyDescent="0.35">
      <c r="A514" s="53">
        <v>513</v>
      </c>
      <c r="B514" s="18" t="s">
        <v>1046</v>
      </c>
      <c r="C514" s="18" t="s">
        <v>663</v>
      </c>
      <c r="D514" s="17" t="s">
        <v>1065</v>
      </c>
      <c r="E514" s="17" t="s">
        <v>1064</v>
      </c>
      <c r="H514" s="194"/>
      <c r="I514" s="18" t="s">
        <v>1066</v>
      </c>
      <c r="J514" s="194"/>
      <c r="L514" s="15" t="s">
        <v>2</v>
      </c>
      <c r="M514" s="147" t="s">
        <v>1063</v>
      </c>
      <c r="O514" s="147">
        <v>0</v>
      </c>
      <c r="P514" s="15">
        <v>0</v>
      </c>
      <c r="Q514" s="148">
        <v>0</v>
      </c>
    </row>
    <row r="515" spans="1:17" ht="16.5" hidden="1" x14ac:dyDescent="0.35">
      <c r="A515" s="53">
        <v>514</v>
      </c>
      <c r="B515" s="18" t="s">
        <v>1047</v>
      </c>
      <c r="C515" s="18" t="s">
        <v>663</v>
      </c>
      <c r="D515" s="17" t="s">
        <v>1065</v>
      </c>
      <c r="E515" s="17" t="s">
        <v>1064</v>
      </c>
      <c r="H515" s="194"/>
      <c r="I515" s="18" t="s">
        <v>1066</v>
      </c>
      <c r="J515" s="194"/>
      <c r="L515" s="15" t="s">
        <v>2</v>
      </c>
      <c r="M515" s="147" t="s">
        <v>1063</v>
      </c>
      <c r="O515" s="147">
        <v>4</v>
      </c>
      <c r="P515" s="15">
        <v>2</v>
      </c>
      <c r="Q515" s="148">
        <v>6</v>
      </c>
    </row>
    <row r="516" spans="1:17" ht="16.5" hidden="1" x14ac:dyDescent="0.35">
      <c r="A516" s="53">
        <v>515</v>
      </c>
      <c r="B516" s="18" t="s">
        <v>1048</v>
      </c>
      <c r="C516" s="18" t="s">
        <v>663</v>
      </c>
      <c r="D516" s="17" t="s">
        <v>1065</v>
      </c>
      <c r="E516" s="17" t="s">
        <v>1064</v>
      </c>
      <c r="H516" s="194"/>
      <c r="I516" s="18" t="s">
        <v>1066</v>
      </c>
      <c r="J516" s="194"/>
      <c r="L516" s="15" t="s">
        <v>2</v>
      </c>
      <c r="M516" s="147" t="s">
        <v>1063</v>
      </c>
      <c r="O516" s="147">
        <v>1</v>
      </c>
      <c r="P516" s="15">
        <v>2</v>
      </c>
      <c r="Q516" s="148">
        <v>3</v>
      </c>
    </row>
    <row r="517" spans="1:17" ht="16.5" hidden="1" x14ac:dyDescent="0.35">
      <c r="A517" s="53">
        <v>516</v>
      </c>
      <c r="B517" s="18" t="s">
        <v>1049</v>
      </c>
      <c r="C517" s="18" t="s">
        <v>663</v>
      </c>
      <c r="D517" s="17" t="s">
        <v>1065</v>
      </c>
      <c r="E517" s="17" t="s">
        <v>1064</v>
      </c>
      <c r="H517" s="194"/>
      <c r="I517" s="18" t="s">
        <v>1066</v>
      </c>
      <c r="J517" s="194"/>
      <c r="L517" s="15" t="s">
        <v>2</v>
      </c>
      <c r="M517" s="147" t="s">
        <v>1063</v>
      </c>
      <c r="O517" s="147">
        <v>3</v>
      </c>
      <c r="P517" s="15">
        <v>2</v>
      </c>
      <c r="Q517" s="148">
        <v>5</v>
      </c>
    </row>
    <row r="518" spans="1:17" ht="16.5" hidden="1" x14ac:dyDescent="0.35">
      <c r="A518" s="53">
        <v>517</v>
      </c>
      <c r="B518" s="18" t="s">
        <v>1050</v>
      </c>
      <c r="C518" s="18" t="s">
        <v>663</v>
      </c>
      <c r="D518" s="17" t="s">
        <v>1065</v>
      </c>
      <c r="E518" s="17" t="s">
        <v>1064</v>
      </c>
      <c r="H518" s="194"/>
      <c r="I518" s="18" t="s">
        <v>1066</v>
      </c>
      <c r="J518" s="194"/>
      <c r="L518" s="15" t="s">
        <v>2</v>
      </c>
      <c r="M518" s="147" t="s">
        <v>1063</v>
      </c>
      <c r="O518" s="147">
        <v>1</v>
      </c>
      <c r="P518" s="15">
        <v>1</v>
      </c>
      <c r="Q518" s="148">
        <v>2</v>
      </c>
    </row>
    <row r="519" spans="1:17" ht="16.5" hidden="1" x14ac:dyDescent="0.35">
      <c r="A519" s="53">
        <v>518</v>
      </c>
      <c r="B519" s="18" t="s">
        <v>1051</v>
      </c>
      <c r="C519" s="18" t="s">
        <v>663</v>
      </c>
      <c r="D519" s="17" t="s">
        <v>1065</v>
      </c>
      <c r="E519" s="17" t="s">
        <v>1064</v>
      </c>
      <c r="H519" s="194"/>
      <c r="I519" s="18" t="s">
        <v>1066</v>
      </c>
      <c r="J519" s="194"/>
      <c r="L519" s="15" t="s">
        <v>2</v>
      </c>
      <c r="M519" s="147" t="s">
        <v>1063</v>
      </c>
      <c r="O519" s="147">
        <v>3</v>
      </c>
      <c r="P519" s="15">
        <v>4</v>
      </c>
      <c r="Q519" s="148">
        <v>7</v>
      </c>
    </row>
    <row r="520" spans="1:17" ht="16.5" hidden="1" x14ac:dyDescent="0.35">
      <c r="A520" s="53">
        <v>519</v>
      </c>
      <c r="B520" s="18" t="s">
        <v>1052</v>
      </c>
      <c r="C520" s="18" t="s">
        <v>663</v>
      </c>
      <c r="D520" s="17" t="s">
        <v>1065</v>
      </c>
      <c r="E520" s="17" t="s">
        <v>1064</v>
      </c>
      <c r="H520" s="194"/>
      <c r="I520" s="18" t="s">
        <v>1066</v>
      </c>
      <c r="J520" s="194"/>
      <c r="L520" s="15" t="s">
        <v>2</v>
      </c>
      <c r="M520" s="147" t="s">
        <v>1063</v>
      </c>
      <c r="O520" s="147">
        <v>4</v>
      </c>
      <c r="P520" s="15">
        <v>4</v>
      </c>
      <c r="Q520" s="148">
        <v>8</v>
      </c>
    </row>
    <row r="521" spans="1:17" ht="16.5" hidden="1" x14ac:dyDescent="0.35">
      <c r="A521" s="53">
        <v>520</v>
      </c>
      <c r="B521" s="18" t="s">
        <v>1053</v>
      </c>
      <c r="C521" s="18" t="s">
        <v>663</v>
      </c>
      <c r="D521" s="17" t="s">
        <v>1065</v>
      </c>
      <c r="E521" s="17" t="s">
        <v>1064</v>
      </c>
      <c r="H521" s="194"/>
      <c r="I521" s="18" t="s">
        <v>1066</v>
      </c>
      <c r="J521" s="194"/>
      <c r="L521" s="15" t="s">
        <v>2</v>
      </c>
      <c r="M521" s="147" t="s">
        <v>1063</v>
      </c>
      <c r="O521" s="147">
        <v>0</v>
      </c>
      <c r="P521" s="15">
        <v>4</v>
      </c>
      <c r="Q521" s="148">
        <v>4</v>
      </c>
    </row>
    <row r="522" spans="1:17" ht="16.5" hidden="1" x14ac:dyDescent="0.35">
      <c r="A522" s="53">
        <v>521</v>
      </c>
      <c r="B522" s="18" t="s">
        <v>1054</v>
      </c>
      <c r="C522" s="18" t="s">
        <v>663</v>
      </c>
      <c r="D522" s="17" t="s">
        <v>1065</v>
      </c>
      <c r="E522" s="17" t="s">
        <v>1064</v>
      </c>
      <c r="H522" s="194"/>
      <c r="I522" s="18" t="s">
        <v>1066</v>
      </c>
      <c r="J522" s="194"/>
      <c r="L522" s="15" t="s">
        <v>2</v>
      </c>
      <c r="M522" s="147" t="s">
        <v>1063</v>
      </c>
      <c r="O522" s="147">
        <v>3</v>
      </c>
      <c r="P522" s="15">
        <v>2</v>
      </c>
      <c r="Q522" s="148">
        <v>5</v>
      </c>
    </row>
    <row r="523" spans="1:17" ht="16.5" hidden="1" x14ac:dyDescent="0.35">
      <c r="A523" s="53">
        <v>522</v>
      </c>
      <c r="B523" s="18" t="s">
        <v>1055</v>
      </c>
      <c r="C523" s="18" t="s">
        <v>663</v>
      </c>
      <c r="D523" s="17" t="s">
        <v>1065</v>
      </c>
      <c r="E523" s="17" t="s">
        <v>1064</v>
      </c>
      <c r="H523" s="194"/>
      <c r="I523" s="18" t="s">
        <v>1066</v>
      </c>
      <c r="J523" s="194"/>
      <c r="L523" s="15" t="s">
        <v>9</v>
      </c>
      <c r="M523" s="147" t="s">
        <v>1063</v>
      </c>
      <c r="O523" s="147">
        <v>1</v>
      </c>
      <c r="P523" s="15">
        <v>2</v>
      </c>
      <c r="Q523" s="148">
        <v>3</v>
      </c>
    </row>
    <row r="524" spans="1:17" ht="16.5" hidden="1" x14ac:dyDescent="0.35">
      <c r="A524" s="53">
        <v>523</v>
      </c>
      <c r="B524" s="18" t="s">
        <v>1056</v>
      </c>
      <c r="C524" s="18" t="s">
        <v>663</v>
      </c>
      <c r="D524" s="17" t="s">
        <v>1065</v>
      </c>
      <c r="E524" s="17" t="s">
        <v>1064</v>
      </c>
      <c r="H524" s="194"/>
      <c r="I524" s="18" t="s">
        <v>1066</v>
      </c>
      <c r="J524" s="194"/>
      <c r="L524" s="15" t="s">
        <v>2</v>
      </c>
      <c r="M524" s="147" t="s">
        <v>1063</v>
      </c>
      <c r="O524" s="147">
        <v>4</v>
      </c>
      <c r="P524" s="15">
        <v>2</v>
      </c>
      <c r="Q524" s="148">
        <v>6</v>
      </c>
    </row>
    <row r="525" spans="1:17" ht="16.5" hidden="1" x14ac:dyDescent="0.35">
      <c r="A525" s="53">
        <v>524</v>
      </c>
      <c r="B525" s="18" t="s">
        <v>1057</v>
      </c>
      <c r="C525" s="18" t="s">
        <v>663</v>
      </c>
      <c r="D525" s="17" t="s">
        <v>1065</v>
      </c>
      <c r="E525" s="17" t="s">
        <v>1064</v>
      </c>
      <c r="H525" s="194"/>
      <c r="I525" s="18" t="s">
        <v>1066</v>
      </c>
      <c r="J525" s="194"/>
      <c r="L525" s="15" t="s">
        <v>2</v>
      </c>
      <c r="M525" s="147" t="s">
        <v>1063</v>
      </c>
      <c r="O525" s="147">
        <v>2</v>
      </c>
      <c r="P525" s="15">
        <v>2</v>
      </c>
      <c r="Q525" s="148">
        <v>4</v>
      </c>
    </row>
    <row r="526" spans="1:17" ht="16.5" hidden="1" x14ac:dyDescent="0.35">
      <c r="A526" s="53">
        <v>525</v>
      </c>
      <c r="B526" s="18" t="s">
        <v>1058</v>
      </c>
      <c r="C526" s="18" t="s">
        <v>663</v>
      </c>
      <c r="D526" s="17" t="s">
        <v>1065</v>
      </c>
      <c r="E526" s="17" t="s">
        <v>1064</v>
      </c>
      <c r="H526" s="194"/>
      <c r="I526" s="18" t="s">
        <v>1066</v>
      </c>
      <c r="J526" s="194"/>
      <c r="L526" s="15" t="s">
        <v>2</v>
      </c>
      <c r="M526" s="147" t="s">
        <v>1063</v>
      </c>
      <c r="O526" s="147">
        <v>1</v>
      </c>
      <c r="P526" s="15">
        <v>0</v>
      </c>
      <c r="Q526" s="148">
        <v>1</v>
      </c>
    </row>
    <row r="527" spans="1:17" ht="16.5" hidden="1" x14ac:dyDescent="0.35">
      <c r="A527" s="53">
        <v>526</v>
      </c>
      <c r="B527" s="18" t="s">
        <v>1059</v>
      </c>
      <c r="C527" s="18" t="s">
        <v>663</v>
      </c>
      <c r="D527" s="17" t="s">
        <v>1065</v>
      </c>
      <c r="E527" s="17" t="s">
        <v>1064</v>
      </c>
      <c r="H527" s="194"/>
      <c r="I527" s="18" t="s">
        <v>1066</v>
      </c>
      <c r="J527" s="194"/>
      <c r="L527" s="15" t="s">
        <v>9</v>
      </c>
      <c r="M527" s="147" t="s">
        <v>1063</v>
      </c>
      <c r="O527" s="147">
        <v>1</v>
      </c>
      <c r="P527" s="15">
        <v>0</v>
      </c>
      <c r="Q527" s="148">
        <v>1</v>
      </c>
    </row>
    <row r="528" spans="1:17" ht="16.5" hidden="1" x14ac:dyDescent="0.35">
      <c r="A528" s="53">
        <v>527</v>
      </c>
      <c r="B528" s="18" t="s">
        <v>1060</v>
      </c>
      <c r="C528" s="18" t="s">
        <v>663</v>
      </c>
      <c r="D528" s="17" t="s">
        <v>1065</v>
      </c>
      <c r="E528" s="17" t="s">
        <v>1064</v>
      </c>
      <c r="H528" s="194"/>
      <c r="I528" s="18" t="s">
        <v>1066</v>
      </c>
      <c r="J528" s="194"/>
      <c r="L528" s="15" t="s">
        <v>2</v>
      </c>
      <c r="M528" s="147" t="s">
        <v>1063</v>
      </c>
      <c r="O528" s="147">
        <v>2</v>
      </c>
      <c r="P528" s="15">
        <v>2</v>
      </c>
      <c r="Q528" s="148">
        <v>4</v>
      </c>
    </row>
    <row r="529" spans="1:17" ht="16.5" hidden="1" x14ac:dyDescent="0.35">
      <c r="A529" s="53">
        <v>528</v>
      </c>
      <c r="B529" s="18" t="s">
        <v>1061</v>
      </c>
      <c r="C529" s="18" t="s">
        <v>663</v>
      </c>
      <c r="D529" s="17" t="s">
        <v>1065</v>
      </c>
      <c r="E529" s="17" t="s">
        <v>1064</v>
      </c>
      <c r="H529" s="194"/>
      <c r="I529" s="18" t="s">
        <v>1066</v>
      </c>
      <c r="J529" s="194"/>
      <c r="L529" s="15" t="s">
        <v>2</v>
      </c>
      <c r="M529" s="147" t="s">
        <v>1063</v>
      </c>
      <c r="O529" s="147">
        <v>1</v>
      </c>
      <c r="P529" s="15">
        <v>1</v>
      </c>
      <c r="Q529" s="148">
        <v>2</v>
      </c>
    </row>
    <row r="530" spans="1:17" ht="16.5" hidden="1" x14ac:dyDescent="0.5">
      <c r="A530" s="53">
        <v>529</v>
      </c>
      <c r="B530" s="351" t="s">
        <v>1062</v>
      </c>
      <c r="C530" s="18" t="s">
        <v>663</v>
      </c>
      <c r="D530" s="17" t="s">
        <v>1065</v>
      </c>
      <c r="E530" s="17" t="s">
        <v>1064</v>
      </c>
      <c r="H530" s="194"/>
      <c r="I530" s="18" t="s">
        <v>1066</v>
      </c>
      <c r="J530" s="194"/>
      <c r="L530" s="15" t="s">
        <v>2</v>
      </c>
      <c r="M530" s="149" t="s">
        <v>1063</v>
      </c>
      <c r="O530" s="149">
        <v>1</v>
      </c>
      <c r="P530" s="149">
        <v>4</v>
      </c>
      <c r="Q530" s="150">
        <v>5</v>
      </c>
    </row>
    <row r="531" spans="1:17" ht="16.5" hidden="1" x14ac:dyDescent="0.35">
      <c r="A531" s="53">
        <v>530</v>
      </c>
      <c r="B531" s="18" t="s">
        <v>1067</v>
      </c>
      <c r="C531" s="18" t="s">
        <v>663</v>
      </c>
      <c r="D531" s="17" t="s">
        <v>1094</v>
      </c>
      <c r="E531" s="17" t="s">
        <v>1064</v>
      </c>
      <c r="H531" s="25"/>
      <c r="I531" s="18" t="s">
        <v>1066</v>
      </c>
      <c r="J531" s="25"/>
      <c r="L531" s="15" t="s">
        <v>9</v>
      </c>
      <c r="M531" s="147" t="s">
        <v>1063</v>
      </c>
      <c r="O531" s="147">
        <v>3</v>
      </c>
      <c r="P531" s="15">
        <v>1</v>
      </c>
      <c r="Q531" s="148">
        <v>4</v>
      </c>
    </row>
    <row r="532" spans="1:17" ht="16.5" hidden="1" x14ac:dyDescent="0.35">
      <c r="A532" s="53">
        <v>531</v>
      </c>
      <c r="B532" s="18" t="s">
        <v>1068</v>
      </c>
      <c r="C532" s="18" t="s">
        <v>663</v>
      </c>
      <c r="D532" s="17" t="s">
        <v>1094</v>
      </c>
      <c r="E532" s="17" t="s">
        <v>1064</v>
      </c>
      <c r="H532" s="194"/>
      <c r="I532" s="18" t="s">
        <v>1066</v>
      </c>
      <c r="J532" s="194"/>
      <c r="L532" s="15" t="s">
        <v>2</v>
      </c>
      <c r="M532" s="147" t="s">
        <v>1063</v>
      </c>
      <c r="O532" s="147">
        <v>6</v>
      </c>
      <c r="P532" s="15">
        <v>4</v>
      </c>
      <c r="Q532" s="148">
        <v>10</v>
      </c>
    </row>
    <row r="533" spans="1:17" ht="16.5" hidden="1" x14ac:dyDescent="0.35">
      <c r="A533" s="53">
        <v>532</v>
      </c>
      <c r="B533" s="18" t="s">
        <v>1069</v>
      </c>
      <c r="C533" s="18" t="s">
        <v>663</v>
      </c>
      <c r="D533" s="17" t="s">
        <v>1094</v>
      </c>
      <c r="E533" s="17" t="s">
        <v>1064</v>
      </c>
      <c r="H533" s="194"/>
      <c r="I533" s="18" t="s">
        <v>1066</v>
      </c>
      <c r="J533" s="194"/>
      <c r="L533" s="15" t="s">
        <v>2</v>
      </c>
      <c r="M533" s="147" t="s">
        <v>1063</v>
      </c>
      <c r="O533" s="147">
        <v>1</v>
      </c>
      <c r="P533" s="15">
        <v>1</v>
      </c>
      <c r="Q533" s="148">
        <v>1</v>
      </c>
    </row>
    <row r="534" spans="1:17" ht="16.5" hidden="1" x14ac:dyDescent="0.35">
      <c r="A534" s="53">
        <v>533</v>
      </c>
      <c r="B534" s="18" t="s">
        <v>1070</v>
      </c>
      <c r="C534" s="18" t="s">
        <v>663</v>
      </c>
      <c r="D534" s="17" t="s">
        <v>1094</v>
      </c>
      <c r="E534" s="17" t="s">
        <v>1064</v>
      </c>
      <c r="H534" s="194"/>
      <c r="I534" s="18" t="s">
        <v>1066</v>
      </c>
      <c r="J534" s="194"/>
      <c r="L534" s="15" t="s">
        <v>2</v>
      </c>
      <c r="M534" s="147" t="s">
        <v>1063</v>
      </c>
      <c r="O534" s="147">
        <v>2</v>
      </c>
      <c r="P534" s="15">
        <v>2</v>
      </c>
      <c r="Q534" s="148">
        <v>4</v>
      </c>
    </row>
    <row r="535" spans="1:17" ht="16.5" hidden="1" x14ac:dyDescent="0.35">
      <c r="A535" s="53">
        <v>534</v>
      </c>
      <c r="B535" s="18" t="s">
        <v>1071</v>
      </c>
      <c r="C535" s="18" t="s">
        <v>663</v>
      </c>
      <c r="D535" s="17" t="s">
        <v>1094</v>
      </c>
      <c r="E535" s="17" t="s">
        <v>1064</v>
      </c>
      <c r="H535" s="194"/>
      <c r="I535" s="18" t="s">
        <v>1066</v>
      </c>
      <c r="J535" s="194"/>
      <c r="L535" s="15" t="s">
        <v>9</v>
      </c>
      <c r="M535" s="23" t="s">
        <v>969</v>
      </c>
      <c r="O535" s="147">
        <v>1</v>
      </c>
      <c r="P535" s="15">
        <v>1</v>
      </c>
      <c r="Q535" s="148">
        <v>2</v>
      </c>
    </row>
    <row r="536" spans="1:17" ht="16.5" hidden="1" x14ac:dyDescent="0.35">
      <c r="A536" s="53">
        <v>535</v>
      </c>
      <c r="B536" s="18" t="s">
        <v>1072</v>
      </c>
      <c r="C536" s="18" t="s">
        <v>663</v>
      </c>
      <c r="D536" s="17" t="s">
        <v>1094</v>
      </c>
      <c r="E536" s="17" t="s">
        <v>1064</v>
      </c>
      <c r="H536" s="194"/>
      <c r="I536" s="18" t="s">
        <v>1066</v>
      </c>
      <c r="J536" s="194"/>
      <c r="L536" s="15" t="s">
        <v>2</v>
      </c>
      <c r="M536" s="147" t="s">
        <v>969</v>
      </c>
      <c r="O536" s="147">
        <v>3</v>
      </c>
      <c r="P536" s="15">
        <v>3</v>
      </c>
      <c r="Q536" s="148">
        <v>6</v>
      </c>
    </row>
    <row r="537" spans="1:17" ht="16.5" hidden="1" x14ac:dyDescent="0.35">
      <c r="A537" s="53">
        <v>536</v>
      </c>
      <c r="B537" s="18" t="s">
        <v>1073</v>
      </c>
      <c r="C537" s="18" t="s">
        <v>663</v>
      </c>
      <c r="D537" s="17" t="s">
        <v>1094</v>
      </c>
      <c r="E537" s="17" t="s">
        <v>1064</v>
      </c>
      <c r="H537" s="194"/>
      <c r="I537" s="18" t="s">
        <v>1066</v>
      </c>
      <c r="J537" s="194"/>
      <c r="L537" s="15" t="s">
        <v>9</v>
      </c>
      <c r="M537" s="147" t="s">
        <v>1095</v>
      </c>
      <c r="O537" s="147">
        <v>2</v>
      </c>
      <c r="P537" s="15">
        <v>2</v>
      </c>
      <c r="Q537" s="148">
        <v>4</v>
      </c>
    </row>
    <row r="538" spans="1:17" ht="16.5" hidden="1" x14ac:dyDescent="0.35">
      <c r="A538" s="53">
        <v>537</v>
      </c>
      <c r="B538" s="18" t="s">
        <v>1074</v>
      </c>
      <c r="C538" s="18" t="s">
        <v>663</v>
      </c>
      <c r="D538" s="17" t="s">
        <v>1094</v>
      </c>
      <c r="E538" s="17" t="s">
        <v>1064</v>
      </c>
      <c r="H538" s="194"/>
      <c r="I538" s="18" t="s">
        <v>1066</v>
      </c>
      <c r="J538" s="194"/>
      <c r="L538" s="15" t="s">
        <v>9</v>
      </c>
      <c r="M538" s="147" t="s">
        <v>969</v>
      </c>
      <c r="O538" s="147">
        <v>1</v>
      </c>
      <c r="P538" s="15">
        <v>3</v>
      </c>
      <c r="Q538" s="148">
        <v>4</v>
      </c>
    </row>
    <row r="539" spans="1:17" ht="16.5" hidden="1" x14ac:dyDescent="0.35">
      <c r="A539" s="53">
        <v>538</v>
      </c>
      <c r="B539" s="18" t="s">
        <v>1075</v>
      </c>
      <c r="C539" s="18" t="s">
        <v>663</v>
      </c>
      <c r="D539" s="17" t="s">
        <v>1094</v>
      </c>
      <c r="E539" s="17" t="s">
        <v>1064</v>
      </c>
      <c r="H539" s="194"/>
      <c r="I539" s="18" t="s">
        <v>1066</v>
      </c>
      <c r="J539" s="194"/>
      <c r="L539" s="15" t="s">
        <v>2</v>
      </c>
      <c r="M539" s="147" t="s">
        <v>969</v>
      </c>
      <c r="O539" s="147">
        <v>2</v>
      </c>
      <c r="P539" s="15">
        <v>3</v>
      </c>
      <c r="Q539" s="148">
        <v>5</v>
      </c>
    </row>
    <row r="540" spans="1:17" ht="16.5" hidden="1" x14ac:dyDescent="0.35">
      <c r="A540" s="53">
        <v>539</v>
      </c>
      <c r="B540" s="18" t="s">
        <v>1076</v>
      </c>
      <c r="C540" s="18" t="s">
        <v>663</v>
      </c>
      <c r="D540" s="17" t="s">
        <v>1094</v>
      </c>
      <c r="E540" s="17" t="s">
        <v>1064</v>
      </c>
      <c r="H540" s="194"/>
      <c r="I540" s="18" t="s">
        <v>1066</v>
      </c>
      <c r="J540" s="194"/>
      <c r="L540" s="15" t="s">
        <v>2</v>
      </c>
      <c r="M540" s="147" t="s">
        <v>969</v>
      </c>
      <c r="O540" s="147">
        <v>4</v>
      </c>
      <c r="P540" s="15">
        <v>0</v>
      </c>
      <c r="Q540" s="148">
        <v>4</v>
      </c>
    </row>
    <row r="541" spans="1:17" ht="16.5" hidden="1" x14ac:dyDescent="0.35">
      <c r="A541" s="53">
        <v>540</v>
      </c>
      <c r="B541" s="18" t="s">
        <v>1077</v>
      </c>
      <c r="C541" s="18" t="s">
        <v>663</v>
      </c>
      <c r="D541" s="17" t="s">
        <v>1094</v>
      </c>
      <c r="E541" s="17" t="s">
        <v>1064</v>
      </c>
      <c r="H541" s="194"/>
      <c r="I541" s="18" t="s">
        <v>1066</v>
      </c>
      <c r="J541" s="194"/>
      <c r="L541" s="15" t="s">
        <v>2</v>
      </c>
      <c r="M541" s="147" t="s">
        <v>969</v>
      </c>
      <c r="O541" s="147">
        <v>3</v>
      </c>
      <c r="P541" s="15">
        <v>2</v>
      </c>
      <c r="Q541" s="148">
        <v>5</v>
      </c>
    </row>
    <row r="542" spans="1:17" ht="16.5" hidden="1" x14ac:dyDescent="0.35">
      <c r="A542" s="53">
        <v>541</v>
      </c>
      <c r="B542" s="18" t="s">
        <v>1078</v>
      </c>
      <c r="C542" s="18" t="s">
        <v>663</v>
      </c>
      <c r="D542" s="17" t="s">
        <v>1094</v>
      </c>
      <c r="E542" s="17" t="s">
        <v>1064</v>
      </c>
      <c r="H542" s="194"/>
      <c r="I542" s="18" t="s">
        <v>1066</v>
      </c>
      <c r="J542" s="194"/>
      <c r="L542" s="15" t="s">
        <v>2</v>
      </c>
      <c r="M542" s="147" t="s">
        <v>969</v>
      </c>
      <c r="O542" s="147">
        <v>0</v>
      </c>
      <c r="P542" s="15">
        <v>1</v>
      </c>
      <c r="Q542" s="148">
        <v>1</v>
      </c>
    </row>
    <row r="543" spans="1:17" ht="16.5" hidden="1" x14ac:dyDescent="0.35">
      <c r="A543" s="53">
        <v>542</v>
      </c>
      <c r="B543" s="18" t="s">
        <v>1079</v>
      </c>
      <c r="C543" s="18" t="s">
        <v>663</v>
      </c>
      <c r="D543" s="17" t="s">
        <v>1094</v>
      </c>
      <c r="E543" s="17" t="s">
        <v>1064</v>
      </c>
      <c r="H543" s="194"/>
      <c r="I543" s="18" t="s">
        <v>1066</v>
      </c>
      <c r="J543" s="194"/>
      <c r="L543" s="15" t="s">
        <v>2</v>
      </c>
      <c r="M543" s="147" t="s">
        <v>969</v>
      </c>
      <c r="O543" s="147">
        <v>2</v>
      </c>
      <c r="P543" s="15">
        <v>3</v>
      </c>
      <c r="Q543" s="148">
        <v>5</v>
      </c>
    </row>
    <row r="544" spans="1:17" ht="16.5" hidden="1" x14ac:dyDescent="0.35">
      <c r="A544" s="53">
        <v>543</v>
      </c>
      <c r="B544" s="18" t="s">
        <v>1080</v>
      </c>
      <c r="C544" s="18" t="s">
        <v>663</v>
      </c>
      <c r="D544" s="17" t="s">
        <v>1094</v>
      </c>
      <c r="E544" s="17" t="s">
        <v>1064</v>
      </c>
      <c r="H544" s="194"/>
      <c r="I544" s="18" t="s">
        <v>1066</v>
      </c>
      <c r="J544" s="194"/>
      <c r="L544" s="15" t="s">
        <v>2</v>
      </c>
      <c r="M544" s="147" t="s">
        <v>969</v>
      </c>
      <c r="O544" s="147">
        <v>0</v>
      </c>
      <c r="P544" s="15">
        <v>0</v>
      </c>
      <c r="Q544" s="148">
        <v>0</v>
      </c>
    </row>
    <row r="545" spans="1:17" ht="16.5" hidden="1" x14ac:dyDescent="0.35">
      <c r="A545" s="53">
        <v>544</v>
      </c>
      <c r="B545" s="18" t="s">
        <v>1081</v>
      </c>
      <c r="C545" s="18" t="s">
        <v>663</v>
      </c>
      <c r="D545" s="17" t="s">
        <v>1094</v>
      </c>
      <c r="E545" s="17" t="s">
        <v>1064</v>
      </c>
      <c r="H545" s="194"/>
      <c r="I545" s="18" t="s">
        <v>1066</v>
      </c>
      <c r="J545" s="194"/>
      <c r="L545" s="15" t="s">
        <v>9</v>
      </c>
      <c r="M545" s="147" t="s">
        <v>969</v>
      </c>
      <c r="O545" s="147">
        <v>3</v>
      </c>
      <c r="P545" s="15">
        <v>6</v>
      </c>
      <c r="Q545" s="148">
        <v>9</v>
      </c>
    </row>
    <row r="546" spans="1:17" ht="16.5" hidden="1" x14ac:dyDescent="0.35">
      <c r="A546" s="53">
        <v>545</v>
      </c>
      <c r="B546" s="18" t="s">
        <v>1082</v>
      </c>
      <c r="C546" s="18" t="s">
        <v>663</v>
      </c>
      <c r="D546" s="17" t="s">
        <v>1094</v>
      </c>
      <c r="E546" s="17" t="s">
        <v>1064</v>
      </c>
      <c r="H546" s="194"/>
      <c r="I546" s="18" t="s">
        <v>1066</v>
      </c>
      <c r="J546" s="194"/>
      <c r="L546" s="15" t="s">
        <v>9</v>
      </c>
      <c r="M546" s="147" t="s">
        <v>969</v>
      </c>
      <c r="O546" s="147">
        <v>3</v>
      </c>
      <c r="P546" s="15">
        <v>3</v>
      </c>
      <c r="Q546" s="148">
        <v>6</v>
      </c>
    </row>
    <row r="547" spans="1:17" ht="16.5" hidden="1" x14ac:dyDescent="0.35">
      <c r="A547" s="53">
        <v>546</v>
      </c>
      <c r="B547" s="18" t="s">
        <v>1083</v>
      </c>
      <c r="C547" s="18" t="s">
        <v>663</v>
      </c>
      <c r="D547" s="17" t="s">
        <v>1094</v>
      </c>
      <c r="E547" s="17" t="s">
        <v>1064</v>
      </c>
      <c r="H547" s="194"/>
      <c r="I547" s="18" t="s">
        <v>1066</v>
      </c>
      <c r="J547" s="194"/>
      <c r="L547" s="15" t="s">
        <v>2</v>
      </c>
      <c r="M547" s="147" t="s">
        <v>969</v>
      </c>
      <c r="O547" s="147">
        <v>1</v>
      </c>
      <c r="P547" s="15">
        <v>3</v>
      </c>
      <c r="Q547" s="148">
        <v>4</v>
      </c>
    </row>
    <row r="548" spans="1:17" ht="16.5" hidden="1" x14ac:dyDescent="0.35">
      <c r="A548" s="53">
        <v>547</v>
      </c>
      <c r="B548" s="18" t="s">
        <v>1084</v>
      </c>
      <c r="C548" s="18" t="s">
        <v>663</v>
      </c>
      <c r="D548" s="17" t="s">
        <v>1094</v>
      </c>
      <c r="E548" s="17" t="s">
        <v>1064</v>
      </c>
      <c r="H548" s="194"/>
      <c r="I548" s="18" t="s">
        <v>1066</v>
      </c>
      <c r="J548" s="194"/>
      <c r="L548" s="15" t="s">
        <v>9</v>
      </c>
      <c r="M548" s="147" t="s">
        <v>1063</v>
      </c>
      <c r="O548" s="147">
        <v>1</v>
      </c>
      <c r="P548" s="15">
        <v>3</v>
      </c>
      <c r="Q548" s="148">
        <v>4</v>
      </c>
    </row>
    <row r="549" spans="1:17" ht="16.5" hidden="1" x14ac:dyDescent="0.35">
      <c r="A549" s="53">
        <v>548</v>
      </c>
      <c r="B549" s="18" t="s">
        <v>1085</v>
      </c>
      <c r="C549" s="18" t="s">
        <v>663</v>
      </c>
      <c r="D549" s="17" t="s">
        <v>1094</v>
      </c>
      <c r="E549" s="17" t="s">
        <v>1064</v>
      </c>
      <c r="H549" s="194"/>
      <c r="I549" s="18" t="s">
        <v>1066</v>
      </c>
      <c r="J549" s="194"/>
      <c r="L549" s="15" t="s">
        <v>9</v>
      </c>
      <c r="M549" s="147" t="s">
        <v>1063</v>
      </c>
      <c r="O549" s="147">
        <v>2</v>
      </c>
      <c r="P549" s="15">
        <v>3</v>
      </c>
      <c r="Q549" s="148">
        <v>5</v>
      </c>
    </row>
    <row r="550" spans="1:17" ht="16.5" hidden="1" x14ac:dyDescent="0.35">
      <c r="A550" s="53">
        <v>549</v>
      </c>
      <c r="B550" s="18" t="s">
        <v>502</v>
      </c>
      <c r="C550" s="18" t="s">
        <v>663</v>
      </c>
      <c r="D550" s="17" t="s">
        <v>1094</v>
      </c>
      <c r="E550" s="17" t="s">
        <v>1064</v>
      </c>
      <c r="H550" s="194"/>
      <c r="I550" s="18" t="s">
        <v>1066</v>
      </c>
      <c r="J550" s="194"/>
      <c r="L550" s="15" t="s">
        <v>2</v>
      </c>
      <c r="M550" s="147" t="s">
        <v>1063</v>
      </c>
      <c r="O550" s="147">
        <v>2</v>
      </c>
      <c r="P550" s="15">
        <v>6</v>
      </c>
      <c r="Q550" s="148">
        <v>8</v>
      </c>
    </row>
    <row r="551" spans="1:17" ht="16.5" hidden="1" x14ac:dyDescent="0.35">
      <c r="A551" s="53">
        <v>550</v>
      </c>
      <c r="B551" s="18" t="s">
        <v>1086</v>
      </c>
      <c r="C551" s="18" t="s">
        <v>663</v>
      </c>
      <c r="D551" s="17" t="s">
        <v>1094</v>
      </c>
      <c r="E551" s="17" t="s">
        <v>1064</v>
      </c>
      <c r="H551" s="194"/>
      <c r="I551" s="18" t="s">
        <v>1066</v>
      </c>
      <c r="J551" s="194"/>
      <c r="L551" s="15" t="s">
        <v>9</v>
      </c>
      <c r="M551" s="147" t="s">
        <v>1063</v>
      </c>
      <c r="O551" s="147">
        <v>2</v>
      </c>
      <c r="P551" s="15">
        <v>0</v>
      </c>
      <c r="Q551" s="148">
        <v>2</v>
      </c>
    </row>
    <row r="552" spans="1:17" ht="16.5" hidden="1" x14ac:dyDescent="0.35">
      <c r="A552" s="53">
        <v>551</v>
      </c>
      <c r="B552" s="18" t="s">
        <v>1087</v>
      </c>
      <c r="C552" s="18" t="s">
        <v>663</v>
      </c>
      <c r="D552" s="17" t="s">
        <v>1094</v>
      </c>
      <c r="E552" s="17" t="s">
        <v>1064</v>
      </c>
      <c r="H552" s="194"/>
      <c r="I552" s="18" t="s">
        <v>1066</v>
      </c>
      <c r="J552" s="194"/>
      <c r="L552" s="15" t="s">
        <v>9</v>
      </c>
      <c r="M552" s="147" t="s">
        <v>1063</v>
      </c>
      <c r="O552" s="147">
        <v>2</v>
      </c>
      <c r="P552" s="15">
        <v>1</v>
      </c>
      <c r="Q552" s="148">
        <v>3</v>
      </c>
    </row>
    <row r="553" spans="1:17" ht="16.5" hidden="1" x14ac:dyDescent="0.35">
      <c r="A553" s="53">
        <v>552</v>
      </c>
      <c r="B553" s="18" t="s">
        <v>1088</v>
      </c>
      <c r="C553" s="18" t="s">
        <v>663</v>
      </c>
      <c r="D553" s="17" t="s">
        <v>1094</v>
      </c>
      <c r="E553" s="17" t="s">
        <v>1064</v>
      </c>
      <c r="H553" s="194"/>
      <c r="I553" s="18" t="s">
        <v>1066</v>
      </c>
      <c r="J553" s="194"/>
      <c r="L553" s="15" t="s">
        <v>2</v>
      </c>
      <c r="M553" s="147" t="s">
        <v>1063</v>
      </c>
      <c r="O553" s="147">
        <v>1</v>
      </c>
      <c r="P553" s="15">
        <v>3</v>
      </c>
      <c r="Q553" s="148">
        <v>4</v>
      </c>
    </row>
    <row r="554" spans="1:17" ht="16.5" hidden="1" x14ac:dyDescent="0.35">
      <c r="A554" s="53">
        <v>553</v>
      </c>
      <c r="B554" s="18" t="s">
        <v>1089</v>
      </c>
      <c r="C554" s="18" t="s">
        <v>663</v>
      </c>
      <c r="D554" s="17" t="s">
        <v>1094</v>
      </c>
      <c r="E554" s="17" t="s">
        <v>1064</v>
      </c>
      <c r="H554" s="194"/>
      <c r="I554" s="18" t="s">
        <v>1066</v>
      </c>
      <c r="J554" s="194"/>
      <c r="L554" s="15" t="s">
        <v>2</v>
      </c>
      <c r="M554" s="147" t="s">
        <v>1063</v>
      </c>
      <c r="O554" s="147">
        <v>1</v>
      </c>
      <c r="P554" s="15">
        <v>2</v>
      </c>
      <c r="Q554" s="148">
        <v>3</v>
      </c>
    </row>
    <row r="555" spans="1:17" ht="16.5" hidden="1" x14ac:dyDescent="0.35">
      <c r="A555" s="53">
        <v>554</v>
      </c>
      <c r="B555" s="18" t="s">
        <v>1090</v>
      </c>
      <c r="C555" s="18" t="s">
        <v>663</v>
      </c>
      <c r="D555" s="17" t="s">
        <v>1094</v>
      </c>
      <c r="E555" s="17" t="s">
        <v>1064</v>
      </c>
      <c r="H555" s="194"/>
      <c r="I555" s="18" t="s">
        <v>1066</v>
      </c>
      <c r="J555" s="194"/>
      <c r="L555" s="15" t="s">
        <v>2</v>
      </c>
      <c r="M555" s="147" t="s">
        <v>1063</v>
      </c>
      <c r="O555" s="147">
        <v>6</v>
      </c>
      <c r="P555" s="15">
        <v>1</v>
      </c>
      <c r="Q555" s="148">
        <v>7</v>
      </c>
    </row>
    <row r="556" spans="1:17" ht="16.5" hidden="1" x14ac:dyDescent="0.35">
      <c r="A556" s="53">
        <v>555</v>
      </c>
      <c r="B556" s="18" t="s">
        <v>1091</v>
      </c>
      <c r="C556" s="18" t="s">
        <v>663</v>
      </c>
      <c r="D556" s="17" t="s">
        <v>1094</v>
      </c>
      <c r="E556" s="17" t="s">
        <v>1064</v>
      </c>
      <c r="H556" s="194"/>
      <c r="I556" s="18" t="s">
        <v>1066</v>
      </c>
      <c r="J556" s="194"/>
      <c r="L556" s="15" t="s">
        <v>2</v>
      </c>
      <c r="M556" s="147" t="s">
        <v>1063</v>
      </c>
      <c r="O556" s="147">
        <v>5</v>
      </c>
      <c r="P556" s="15">
        <v>2</v>
      </c>
      <c r="Q556" s="148">
        <v>7</v>
      </c>
    </row>
    <row r="557" spans="1:17" ht="16.5" hidden="1" x14ac:dyDescent="0.5">
      <c r="A557" s="53">
        <v>556</v>
      </c>
      <c r="B557" s="18" t="s">
        <v>1092</v>
      </c>
      <c r="C557" s="18" t="s">
        <v>663</v>
      </c>
      <c r="D557" s="17" t="s">
        <v>1094</v>
      </c>
      <c r="E557" s="17" t="s">
        <v>1064</v>
      </c>
      <c r="H557" s="194"/>
      <c r="I557" s="18" t="s">
        <v>1066</v>
      </c>
      <c r="J557" s="194"/>
      <c r="L557" s="15" t="s">
        <v>2</v>
      </c>
      <c r="M557" s="149" t="s">
        <v>1063</v>
      </c>
      <c r="O557" s="149">
        <v>3</v>
      </c>
      <c r="P557" s="149">
        <v>4</v>
      </c>
      <c r="Q557" s="150">
        <v>7</v>
      </c>
    </row>
    <row r="558" spans="1:17" ht="16.5" hidden="1" x14ac:dyDescent="0.35">
      <c r="A558" s="53">
        <v>557</v>
      </c>
      <c r="B558" s="351" t="s">
        <v>1093</v>
      </c>
      <c r="C558" s="18" t="s">
        <v>663</v>
      </c>
      <c r="D558" s="17" t="s">
        <v>1094</v>
      </c>
      <c r="E558" s="17" t="s">
        <v>1064</v>
      </c>
      <c r="H558" s="194"/>
      <c r="I558" s="18" t="s">
        <v>1066</v>
      </c>
      <c r="J558" s="194"/>
      <c r="L558" s="15" t="s">
        <v>2</v>
      </c>
      <c r="M558" s="151" t="s">
        <v>1063</v>
      </c>
      <c r="O558" s="151">
        <v>1</v>
      </c>
      <c r="P558" s="151">
        <v>3</v>
      </c>
      <c r="Q558" s="152">
        <v>4</v>
      </c>
    </row>
    <row r="559" spans="1:17" ht="16.5" hidden="1" x14ac:dyDescent="0.35">
      <c r="A559" s="53">
        <v>558</v>
      </c>
      <c r="B559" s="18" t="s">
        <v>1096</v>
      </c>
      <c r="C559" s="18" t="s">
        <v>663</v>
      </c>
      <c r="D559" s="17" t="s">
        <v>1120</v>
      </c>
      <c r="E559" s="17" t="s">
        <v>1064</v>
      </c>
      <c r="H559" s="25"/>
      <c r="I559" s="18" t="s">
        <v>1066</v>
      </c>
      <c r="J559" s="25"/>
      <c r="L559" s="15" t="s">
        <v>9</v>
      </c>
      <c r="M559" s="147"/>
      <c r="O559" s="147">
        <v>1</v>
      </c>
      <c r="P559" s="15">
        <v>3</v>
      </c>
      <c r="Q559" s="148">
        <v>4</v>
      </c>
    </row>
    <row r="560" spans="1:17" ht="16.5" hidden="1" x14ac:dyDescent="0.35">
      <c r="A560" s="53">
        <v>559</v>
      </c>
      <c r="B560" s="18" t="s">
        <v>1097</v>
      </c>
      <c r="C560" s="18" t="s">
        <v>663</v>
      </c>
      <c r="D560" s="17" t="s">
        <v>1120</v>
      </c>
      <c r="E560" s="17" t="s">
        <v>1064</v>
      </c>
      <c r="H560" s="194"/>
      <c r="I560" s="18" t="s">
        <v>1066</v>
      </c>
      <c r="J560" s="194"/>
      <c r="L560" s="15" t="s">
        <v>2</v>
      </c>
      <c r="M560" s="147"/>
      <c r="O560" s="147">
        <v>0</v>
      </c>
      <c r="P560" s="15">
        <v>1</v>
      </c>
      <c r="Q560" s="148">
        <v>1</v>
      </c>
    </row>
    <row r="561" spans="1:17" ht="16.5" hidden="1" x14ac:dyDescent="0.35">
      <c r="A561" s="53">
        <v>560</v>
      </c>
      <c r="B561" s="18" t="s">
        <v>1098</v>
      </c>
      <c r="C561" s="18" t="s">
        <v>663</v>
      </c>
      <c r="D561" s="17" t="s">
        <v>1120</v>
      </c>
      <c r="E561" s="17" t="s">
        <v>1064</v>
      </c>
      <c r="H561" s="194"/>
      <c r="I561" s="18" t="s">
        <v>1066</v>
      </c>
      <c r="J561" s="194"/>
      <c r="L561" s="15" t="s">
        <v>2</v>
      </c>
      <c r="M561" s="147"/>
      <c r="O561" s="147">
        <v>6</v>
      </c>
      <c r="P561" s="15">
        <v>3</v>
      </c>
      <c r="Q561" s="148">
        <v>9</v>
      </c>
    </row>
    <row r="562" spans="1:17" ht="16.5" hidden="1" x14ac:dyDescent="0.35">
      <c r="A562" s="53">
        <v>561</v>
      </c>
      <c r="B562" s="18" t="s">
        <v>1099</v>
      </c>
      <c r="C562" s="18" t="s">
        <v>663</v>
      </c>
      <c r="D562" s="17" t="s">
        <v>1120</v>
      </c>
      <c r="E562" s="17" t="s">
        <v>1064</v>
      </c>
      <c r="H562" s="194"/>
      <c r="I562" s="18" t="s">
        <v>1066</v>
      </c>
      <c r="J562" s="194"/>
      <c r="L562" s="15" t="s">
        <v>9</v>
      </c>
      <c r="M562" s="147"/>
      <c r="O562" s="147">
        <v>5</v>
      </c>
      <c r="P562" s="15">
        <v>3</v>
      </c>
      <c r="Q562" s="148">
        <v>8</v>
      </c>
    </row>
    <row r="563" spans="1:17" ht="16.5" hidden="1" x14ac:dyDescent="0.35">
      <c r="A563" s="53">
        <v>562</v>
      </c>
      <c r="B563" s="18" t="s">
        <v>1100</v>
      </c>
      <c r="C563" s="18" t="s">
        <v>663</v>
      </c>
      <c r="D563" s="17" t="s">
        <v>1120</v>
      </c>
      <c r="E563" s="17" t="s">
        <v>1064</v>
      </c>
      <c r="H563" s="194"/>
      <c r="I563" s="18" t="s">
        <v>1066</v>
      </c>
      <c r="J563" s="194"/>
      <c r="L563" s="15" t="s">
        <v>2</v>
      </c>
      <c r="M563" s="147"/>
      <c r="O563" s="147">
        <v>0</v>
      </c>
      <c r="P563" s="15">
        <v>1</v>
      </c>
      <c r="Q563" s="148">
        <v>1</v>
      </c>
    </row>
    <row r="564" spans="1:17" ht="16.5" hidden="1" x14ac:dyDescent="0.35">
      <c r="A564" s="53">
        <v>563</v>
      </c>
      <c r="B564" s="18" t="s">
        <v>1101</v>
      </c>
      <c r="C564" s="18" t="s">
        <v>663</v>
      </c>
      <c r="D564" s="17" t="s">
        <v>1120</v>
      </c>
      <c r="E564" s="17" t="s">
        <v>1064</v>
      </c>
      <c r="H564" s="194"/>
      <c r="I564" s="18" t="s">
        <v>1066</v>
      </c>
      <c r="J564" s="194"/>
      <c r="L564" s="15" t="s">
        <v>2</v>
      </c>
      <c r="M564" s="147"/>
      <c r="O564" s="147">
        <v>1</v>
      </c>
      <c r="P564" s="15">
        <v>3</v>
      </c>
      <c r="Q564" s="148">
        <v>4</v>
      </c>
    </row>
    <row r="565" spans="1:17" ht="16.5" hidden="1" x14ac:dyDescent="0.35">
      <c r="A565" s="53">
        <v>564</v>
      </c>
      <c r="B565" s="18" t="s">
        <v>1102</v>
      </c>
      <c r="C565" s="18" t="s">
        <v>663</v>
      </c>
      <c r="D565" s="17" t="s">
        <v>1120</v>
      </c>
      <c r="E565" s="17" t="s">
        <v>1064</v>
      </c>
      <c r="H565" s="194"/>
      <c r="I565" s="18" t="s">
        <v>1066</v>
      </c>
      <c r="J565" s="194"/>
      <c r="L565" s="15" t="s">
        <v>9</v>
      </c>
      <c r="M565" s="147"/>
      <c r="O565" s="147">
        <v>2</v>
      </c>
      <c r="P565" s="15">
        <v>3</v>
      </c>
      <c r="Q565" s="148">
        <v>5</v>
      </c>
    </row>
    <row r="566" spans="1:17" ht="16.5" hidden="1" x14ac:dyDescent="0.35">
      <c r="A566" s="53">
        <v>565</v>
      </c>
      <c r="B566" s="18" t="s">
        <v>1103</v>
      </c>
      <c r="C566" s="18" t="s">
        <v>663</v>
      </c>
      <c r="D566" s="17" t="s">
        <v>1120</v>
      </c>
      <c r="E566" s="17" t="s">
        <v>1064</v>
      </c>
      <c r="H566" s="194"/>
      <c r="I566" s="18" t="s">
        <v>1066</v>
      </c>
      <c r="J566" s="194"/>
      <c r="L566" s="15" t="s">
        <v>9</v>
      </c>
      <c r="M566" s="147"/>
      <c r="O566" s="147">
        <v>0</v>
      </c>
      <c r="P566" s="15">
        <v>0</v>
      </c>
      <c r="Q566" s="148">
        <v>0</v>
      </c>
    </row>
    <row r="567" spans="1:17" ht="16.5" hidden="1" x14ac:dyDescent="0.35">
      <c r="A567" s="53">
        <v>566</v>
      </c>
      <c r="B567" s="18" t="s">
        <v>1104</v>
      </c>
      <c r="C567" s="18" t="s">
        <v>663</v>
      </c>
      <c r="D567" s="17" t="s">
        <v>1120</v>
      </c>
      <c r="E567" s="17" t="s">
        <v>1064</v>
      </c>
      <c r="H567" s="194"/>
      <c r="I567" s="18" t="s">
        <v>1066</v>
      </c>
      <c r="J567" s="194"/>
      <c r="L567" s="15" t="s">
        <v>2</v>
      </c>
      <c r="M567" s="147"/>
      <c r="O567" s="147">
        <v>3</v>
      </c>
      <c r="P567" s="15">
        <v>1</v>
      </c>
      <c r="Q567" s="148">
        <v>4</v>
      </c>
    </row>
    <row r="568" spans="1:17" ht="16.5" hidden="1" x14ac:dyDescent="0.35">
      <c r="A568" s="53">
        <v>567</v>
      </c>
      <c r="B568" s="18" t="s">
        <v>1105</v>
      </c>
      <c r="C568" s="18" t="s">
        <v>663</v>
      </c>
      <c r="D568" s="17" t="s">
        <v>1120</v>
      </c>
      <c r="E568" s="17" t="s">
        <v>1064</v>
      </c>
      <c r="H568" s="194"/>
      <c r="I568" s="18" t="s">
        <v>1066</v>
      </c>
      <c r="J568" s="194"/>
      <c r="L568" s="15" t="s">
        <v>2</v>
      </c>
      <c r="M568" s="147"/>
      <c r="O568" s="147">
        <v>2</v>
      </c>
      <c r="P568" s="15">
        <v>1</v>
      </c>
      <c r="Q568" s="148">
        <v>3</v>
      </c>
    </row>
    <row r="569" spans="1:17" ht="16.5" hidden="1" x14ac:dyDescent="0.35">
      <c r="A569" s="53">
        <v>568</v>
      </c>
      <c r="B569" s="18" t="s">
        <v>1106</v>
      </c>
      <c r="C569" s="18" t="s">
        <v>663</v>
      </c>
      <c r="D569" s="17" t="s">
        <v>1120</v>
      </c>
      <c r="E569" s="17" t="s">
        <v>1064</v>
      </c>
      <c r="H569" s="194"/>
      <c r="I569" s="18" t="s">
        <v>1066</v>
      </c>
      <c r="J569" s="194"/>
      <c r="L569" s="15" t="s">
        <v>2</v>
      </c>
      <c r="M569" s="147"/>
      <c r="O569" s="147">
        <v>1</v>
      </c>
      <c r="P569" s="15">
        <v>4</v>
      </c>
      <c r="Q569" s="148">
        <v>5</v>
      </c>
    </row>
    <row r="570" spans="1:17" ht="16.5" hidden="1" x14ac:dyDescent="0.35">
      <c r="A570" s="53">
        <v>569</v>
      </c>
      <c r="B570" s="18" t="s">
        <v>1107</v>
      </c>
      <c r="C570" s="18" t="s">
        <v>663</v>
      </c>
      <c r="D570" s="17" t="s">
        <v>1120</v>
      </c>
      <c r="E570" s="17" t="s">
        <v>1064</v>
      </c>
      <c r="H570" s="194"/>
      <c r="I570" s="18" t="s">
        <v>1066</v>
      </c>
      <c r="J570" s="194"/>
      <c r="L570" s="15" t="s">
        <v>2</v>
      </c>
      <c r="M570" s="147"/>
      <c r="O570" s="147">
        <v>1</v>
      </c>
      <c r="P570" s="15">
        <v>1</v>
      </c>
      <c r="Q570" s="148">
        <v>2</v>
      </c>
    </row>
    <row r="571" spans="1:17" ht="16.5" hidden="1" x14ac:dyDescent="0.35">
      <c r="A571" s="53">
        <v>570</v>
      </c>
      <c r="B571" s="18" t="s">
        <v>1108</v>
      </c>
      <c r="C571" s="18" t="s">
        <v>663</v>
      </c>
      <c r="D571" s="17" t="s">
        <v>1120</v>
      </c>
      <c r="E571" s="17" t="s">
        <v>1064</v>
      </c>
      <c r="H571" s="194"/>
      <c r="I571" s="18" t="s">
        <v>1066</v>
      </c>
      <c r="J571" s="194"/>
      <c r="L571" s="15" t="s">
        <v>2</v>
      </c>
      <c r="M571" s="147"/>
      <c r="O571" s="147">
        <v>1</v>
      </c>
      <c r="P571" s="15">
        <v>2</v>
      </c>
      <c r="Q571" s="148">
        <v>3</v>
      </c>
    </row>
    <row r="572" spans="1:17" ht="16.5" hidden="1" x14ac:dyDescent="0.35">
      <c r="A572" s="53">
        <v>571</v>
      </c>
      <c r="B572" s="18" t="s">
        <v>1109</v>
      </c>
      <c r="C572" s="18" t="s">
        <v>663</v>
      </c>
      <c r="D572" s="17" t="s">
        <v>1120</v>
      </c>
      <c r="E572" s="17" t="s">
        <v>1064</v>
      </c>
      <c r="H572" s="194"/>
      <c r="I572" s="18" t="s">
        <v>1066</v>
      </c>
      <c r="J572" s="194"/>
      <c r="L572" s="15" t="s">
        <v>9</v>
      </c>
      <c r="M572" s="147"/>
      <c r="O572" s="147">
        <v>4</v>
      </c>
      <c r="P572" s="15">
        <v>0</v>
      </c>
      <c r="Q572" s="148">
        <v>4</v>
      </c>
    </row>
    <row r="573" spans="1:17" ht="16.5" hidden="1" x14ac:dyDescent="0.35">
      <c r="A573" s="53">
        <v>572</v>
      </c>
      <c r="B573" s="18" t="s">
        <v>1110</v>
      </c>
      <c r="C573" s="18" t="s">
        <v>663</v>
      </c>
      <c r="D573" s="17" t="s">
        <v>1120</v>
      </c>
      <c r="E573" s="17" t="s">
        <v>1064</v>
      </c>
      <c r="H573" s="194"/>
      <c r="I573" s="18" t="s">
        <v>1066</v>
      </c>
      <c r="J573" s="194"/>
      <c r="L573" s="15" t="s">
        <v>9</v>
      </c>
      <c r="M573" s="147"/>
      <c r="O573" s="147">
        <v>3</v>
      </c>
      <c r="P573" s="15">
        <v>2</v>
      </c>
      <c r="Q573" s="148">
        <v>5</v>
      </c>
    </row>
    <row r="574" spans="1:17" ht="16.5" hidden="1" x14ac:dyDescent="0.35">
      <c r="A574" s="53">
        <v>573</v>
      </c>
      <c r="B574" s="18" t="s">
        <v>1111</v>
      </c>
      <c r="C574" s="18" t="s">
        <v>663</v>
      </c>
      <c r="D574" s="17" t="s">
        <v>1120</v>
      </c>
      <c r="E574" s="17" t="s">
        <v>1064</v>
      </c>
      <c r="H574" s="194"/>
      <c r="I574" s="18" t="s">
        <v>1066</v>
      </c>
      <c r="J574" s="194"/>
      <c r="L574" s="15" t="s">
        <v>9</v>
      </c>
      <c r="M574" s="147"/>
      <c r="O574" s="147">
        <v>0</v>
      </c>
      <c r="P574" s="15">
        <v>4</v>
      </c>
      <c r="Q574" s="148">
        <v>4</v>
      </c>
    </row>
    <row r="575" spans="1:17" ht="16.5" hidden="1" x14ac:dyDescent="0.35">
      <c r="A575" s="53">
        <v>574</v>
      </c>
      <c r="B575" s="18" t="s">
        <v>1112</v>
      </c>
      <c r="C575" s="18" t="s">
        <v>663</v>
      </c>
      <c r="D575" s="17" t="s">
        <v>1120</v>
      </c>
      <c r="E575" s="17" t="s">
        <v>1064</v>
      </c>
      <c r="H575" s="194"/>
      <c r="I575" s="18" t="s">
        <v>1066</v>
      </c>
      <c r="J575" s="194"/>
      <c r="L575" s="15" t="s">
        <v>2</v>
      </c>
      <c r="M575" s="147"/>
      <c r="O575" s="147">
        <v>0</v>
      </c>
      <c r="P575" s="15">
        <v>1</v>
      </c>
      <c r="Q575" s="148">
        <v>1</v>
      </c>
    </row>
    <row r="576" spans="1:17" ht="16.5" hidden="1" x14ac:dyDescent="0.35">
      <c r="A576" s="53">
        <v>575</v>
      </c>
      <c r="B576" s="18" t="s">
        <v>1113</v>
      </c>
      <c r="C576" s="18" t="s">
        <v>663</v>
      </c>
      <c r="D576" s="17" t="s">
        <v>1120</v>
      </c>
      <c r="E576" s="17" t="s">
        <v>1064</v>
      </c>
      <c r="H576" s="194"/>
      <c r="I576" s="18" t="s">
        <v>1066</v>
      </c>
      <c r="J576" s="194"/>
      <c r="L576" s="15" t="s">
        <v>2</v>
      </c>
      <c r="M576" s="147"/>
      <c r="O576" s="147">
        <v>2</v>
      </c>
      <c r="P576" s="15">
        <v>3</v>
      </c>
      <c r="Q576" s="148">
        <v>5</v>
      </c>
    </row>
    <row r="577" spans="1:17" ht="16.5" hidden="1" x14ac:dyDescent="0.35">
      <c r="A577" s="53">
        <v>576</v>
      </c>
      <c r="B577" s="18" t="s">
        <v>1114</v>
      </c>
      <c r="C577" s="18" t="s">
        <v>663</v>
      </c>
      <c r="D577" s="17" t="s">
        <v>1120</v>
      </c>
      <c r="E577" s="17" t="s">
        <v>1064</v>
      </c>
      <c r="H577" s="194"/>
      <c r="I577" s="18" t="s">
        <v>1066</v>
      </c>
      <c r="J577" s="194"/>
      <c r="L577" s="15" t="s">
        <v>9</v>
      </c>
      <c r="M577" s="147"/>
      <c r="O577" s="147">
        <v>0</v>
      </c>
      <c r="P577" s="15">
        <v>1</v>
      </c>
      <c r="Q577" s="148">
        <v>1</v>
      </c>
    </row>
    <row r="578" spans="1:17" ht="16.5" hidden="1" x14ac:dyDescent="0.35">
      <c r="A578" s="53">
        <v>577</v>
      </c>
      <c r="B578" s="18" t="s">
        <v>1115</v>
      </c>
      <c r="C578" s="18" t="s">
        <v>663</v>
      </c>
      <c r="D578" s="17" t="s">
        <v>1120</v>
      </c>
      <c r="E578" s="17" t="s">
        <v>1064</v>
      </c>
      <c r="H578" s="194"/>
      <c r="I578" s="18" t="s">
        <v>1066</v>
      </c>
      <c r="J578" s="194"/>
      <c r="L578" s="15" t="s">
        <v>9</v>
      </c>
      <c r="M578" s="147"/>
      <c r="O578" s="147">
        <v>0</v>
      </c>
      <c r="P578" s="15">
        <v>0</v>
      </c>
      <c r="Q578" s="148">
        <v>0</v>
      </c>
    </row>
    <row r="579" spans="1:17" ht="16.5" hidden="1" x14ac:dyDescent="0.35">
      <c r="A579" s="53">
        <v>578</v>
      </c>
      <c r="B579" s="18" t="s">
        <v>1069</v>
      </c>
      <c r="C579" s="18" t="s">
        <v>663</v>
      </c>
      <c r="D579" s="17" t="s">
        <v>1120</v>
      </c>
      <c r="E579" s="17" t="s">
        <v>1064</v>
      </c>
      <c r="H579" s="194"/>
      <c r="I579" s="18" t="s">
        <v>1066</v>
      </c>
      <c r="J579" s="194"/>
      <c r="L579" s="15" t="s">
        <v>2</v>
      </c>
      <c r="M579" s="147"/>
      <c r="O579" s="147">
        <v>0</v>
      </c>
      <c r="P579" s="15">
        <v>1</v>
      </c>
      <c r="Q579" s="148">
        <v>1</v>
      </c>
    </row>
    <row r="580" spans="1:17" ht="16.5" hidden="1" x14ac:dyDescent="0.35">
      <c r="A580" s="53">
        <v>579</v>
      </c>
      <c r="B580" s="18" t="s">
        <v>1116</v>
      </c>
      <c r="C580" s="18" t="s">
        <v>663</v>
      </c>
      <c r="D580" s="17" t="s">
        <v>1120</v>
      </c>
      <c r="E580" s="17" t="s">
        <v>1064</v>
      </c>
      <c r="H580" s="194"/>
      <c r="I580" s="18" t="s">
        <v>1066</v>
      </c>
      <c r="J580" s="194"/>
      <c r="L580" s="15" t="s">
        <v>9</v>
      </c>
      <c r="M580" s="147"/>
      <c r="O580" s="147">
        <v>0</v>
      </c>
      <c r="P580" s="15">
        <v>0</v>
      </c>
      <c r="Q580" s="148">
        <v>0</v>
      </c>
    </row>
    <row r="581" spans="1:17" ht="16.5" hidden="1" x14ac:dyDescent="0.35">
      <c r="A581" s="53">
        <v>580</v>
      </c>
      <c r="B581" s="18" t="s">
        <v>1117</v>
      </c>
      <c r="C581" s="18" t="s">
        <v>663</v>
      </c>
      <c r="D581" s="17" t="s">
        <v>1120</v>
      </c>
      <c r="E581" s="17" t="s">
        <v>1064</v>
      </c>
      <c r="H581" s="194"/>
      <c r="I581" s="18" t="s">
        <v>1066</v>
      </c>
      <c r="J581" s="194"/>
      <c r="L581" s="15" t="s">
        <v>9</v>
      </c>
      <c r="M581" s="147"/>
      <c r="O581" s="147">
        <v>2</v>
      </c>
      <c r="P581" s="15">
        <v>3</v>
      </c>
      <c r="Q581" s="148">
        <v>5</v>
      </c>
    </row>
    <row r="582" spans="1:17" ht="16.5" hidden="1" x14ac:dyDescent="0.35">
      <c r="A582" s="53">
        <v>581</v>
      </c>
      <c r="B582" s="18" t="s">
        <v>1118</v>
      </c>
      <c r="C582" s="18" t="s">
        <v>663</v>
      </c>
      <c r="D582" s="17" t="s">
        <v>1120</v>
      </c>
      <c r="E582" s="17" t="s">
        <v>1064</v>
      </c>
      <c r="H582" s="194"/>
      <c r="I582" s="18" t="s">
        <v>1066</v>
      </c>
      <c r="J582" s="194"/>
      <c r="L582" s="15" t="s">
        <v>9</v>
      </c>
      <c r="M582" s="147"/>
      <c r="O582" s="147">
        <v>4</v>
      </c>
      <c r="P582" s="15">
        <v>3</v>
      </c>
      <c r="Q582" s="148">
        <v>7</v>
      </c>
    </row>
    <row r="583" spans="1:17" ht="16.5" hidden="1" x14ac:dyDescent="0.35">
      <c r="A583" s="53">
        <v>582</v>
      </c>
      <c r="B583" s="18" t="s">
        <v>1109</v>
      </c>
      <c r="C583" s="18" t="s">
        <v>663</v>
      </c>
      <c r="D583" s="17" t="s">
        <v>1120</v>
      </c>
      <c r="E583" s="17" t="s">
        <v>1064</v>
      </c>
      <c r="H583" s="194"/>
      <c r="I583" s="18" t="s">
        <v>1066</v>
      </c>
      <c r="J583" s="194"/>
      <c r="L583" s="15" t="s">
        <v>9</v>
      </c>
      <c r="M583" s="147"/>
      <c r="O583" s="147">
        <v>4</v>
      </c>
      <c r="P583" s="15">
        <v>1</v>
      </c>
      <c r="Q583" s="148">
        <v>5</v>
      </c>
    </row>
    <row r="584" spans="1:17" ht="16.5" hidden="1" x14ac:dyDescent="0.35">
      <c r="A584" s="53">
        <v>583</v>
      </c>
      <c r="B584" s="351" t="s">
        <v>1119</v>
      </c>
      <c r="C584" s="18" t="s">
        <v>663</v>
      </c>
      <c r="D584" s="17" t="s">
        <v>1120</v>
      </c>
      <c r="E584" s="17" t="s">
        <v>1064</v>
      </c>
      <c r="H584" s="194"/>
      <c r="I584" s="18" t="s">
        <v>1066</v>
      </c>
      <c r="J584" s="194"/>
      <c r="L584" s="15" t="s">
        <v>9</v>
      </c>
      <c r="M584" s="177"/>
      <c r="O584" s="147">
        <v>1</v>
      </c>
      <c r="P584" s="15">
        <v>4</v>
      </c>
      <c r="Q584" s="148">
        <v>5</v>
      </c>
    </row>
    <row r="585" spans="1:17" ht="16.5" hidden="1" x14ac:dyDescent="0.35">
      <c r="A585" s="53">
        <v>584</v>
      </c>
      <c r="B585" s="18" t="s">
        <v>1121</v>
      </c>
      <c r="C585" s="18" t="s">
        <v>663</v>
      </c>
      <c r="D585" s="17" t="s">
        <v>1183</v>
      </c>
      <c r="E585" s="17" t="s">
        <v>1184</v>
      </c>
      <c r="H585" s="25"/>
      <c r="I585" s="18" t="s">
        <v>1066</v>
      </c>
      <c r="J585" s="23" t="s">
        <v>1151</v>
      </c>
      <c r="K585" s="4">
        <v>40</v>
      </c>
      <c r="L585" s="4" t="s">
        <v>2</v>
      </c>
      <c r="M585" s="5" t="s">
        <v>1179</v>
      </c>
      <c r="N585" s="5" t="s">
        <v>1182</v>
      </c>
      <c r="O585" s="147">
        <v>2</v>
      </c>
      <c r="P585" s="15">
        <v>0</v>
      </c>
      <c r="Q585" s="148">
        <f>(O585+P585)</f>
        <v>2</v>
      </c>
    </row>
    <row r="586" spans="1:17" ht="16.5" hidden="1" x14ac:dyDescent="0.35">
      <c r="A586" s="53">
        <v>585</v>
      </c>
      <c r="B586" s="18" t="s">
        <v>1122</v>
      </c>
      <c r="C586" s="18" t="s">
        <v>663</v>
      </c>
      <c r="D586" s="17" t="s">
        <v>1183</v>
      </c>
      <c r="E586" s="17" t="s">
        <v>1184</v>
      </c>
      <c r="H586" s="194"/>
      <c r="I586" s="18" t="s">
        <v>1066</v>
      </c>
      <c r="J586" s="23" t="s">
        <v>1152</v>
      </c>
      <c r="K586" s="4">
        <v>50</v>
      </c>
      <c r="L586" s="4" t="s">
        <v>9</v>
      </c>
      <c r="M586" s="5" t="s">
        <v>1179</v>
      </c>
      <c r="N586" s="5" t="s">
        <v>972</v>
      </c>
      <c r="O586" s="147">
        <v>2</v>
      </c>
      <c r="P586" s="15">
        <v>1</v>
      </c>
      <c r="Q586" s="148">
        <f t="shared" ref="Q586:Q614" si="16">(O586+P586)</f>
        <v>3</v>
      </c>
    </row>
    <row r="587" spans="1:17" ht="16.5" hidden="1" x14ac:dyDescent="0.35">
      <c r="A587" s="53">
        <v>586</v>
      </c>
      <c r="B587" s="18" t="s">
        <v>1123</v>
      </c>
      <c r="C587" s="18" t="s">
        <v>663</v>
      </c>
      <c r="D587" s="17" t="s">
        <v>1183</v>
      </c>
      <c r="E587" s="17" t="s">
        <v>1184</v>
      </c>
      <c r="H587" s="194"/>
      <c r="I587" s="18" t="s">
        <v>1066</v>
      </c>
      <c r="J587" s="23" t="s">
        <v>1153</v>
      </c>
      <c r="K587" s="4"/>
      <c r="L587" s="4" t="s">
        <v>2</v>
      </c>
      <c r="M587" s="5" t="s">
        <v>1180</v>
      </c>
      <c r="N587" s="5" t="s">
        <v>1182</v>
      </c>
      <c r="O587" s="147">
        <v>3</v>
      </c>
      <c r="P587" s="15">
        <v>1</v>
      </c>
      <c r="Q587" s="148">
        <f t="shared" si="16"/>
        <v>4</v>
      </c>
    </row>
    <row r="588" spans="1:17" ht="16.5" hidden="1" x14ac:dyDescent="0.35">
      <c r="A588" s="53">
        <v>587</v>
      </c>
      <c r="B588" s="18" t="s">
        <v>1124</v>
      </c>
      <c r="C588" s="18" t="s">
        <v>663</v>
      </c>
      <c r="D588" s="17" t="s">
        <v>1183</v>
      </c>
      <c r="E588" s="17" t="s">
        <v>1184</v>
      </c>
      <c r="H588" s="194"/>
      <c r="I588" s="18" t="s">
        <v>1066</v>
      </c>
      <c r="J588" s="23" t="s">
        <v>1154</v>
      </c>
      <c r="K588" s="4">
        <v>53</v>
      </c>
      <c r="L588" s="4" t="s">
        <v>2</v>
      </c>
      <c r="M588" s="5" t="s">
        <v>1181</v>
      </c>
      <c r="N588" s="5" t="s">
        <v>1182</v>
      </c>
      <c r="O588" s="147">
        <v>5</v>
      </c>
      <c r="P588" s="15">
        <v>4</v>
      </c>
      <c r="Q588" s="148">
        <f t="shared" si="16"/>
        <v>9</v>
      </c>
    </row>
    <row r="589" spans="1:17" ht="16.5" hidden="1" x14ac:dyDescent="0.35">
      <c r="A589" s="53">
        <v>588</v>
      </c>
      <c r="B589" s="18" t="s">
        <v>1125</v>
      </c>
      <c r="C589" s="18" t="s">
        <v>663</v>
      </c>
      <c r="D589" s="17" t="s">
        <v>1183</v>
      </c>
      <c r="E589" s="17" t="s">
        <v>1184</v>
      </c>
      <c r="H589" s="194"/>
      <c r="I589" s="18" t="s">
        <v>1066</v>
      </c>
      <c r="J589" s="23" t="s">
        <v>1155</v>
      </c>
      <c r="K589" s="4">
        <v>35</v>
      </c>
      <c r="L589" s="4" t="s">
        <v>2</v>
      </c>
      <c r="M589" s="3" t="s">
        <v>1181</v>
      </c>
      <c r="N589" s="5" t="s">
        <v>1182</v>
      </c>
      <c r="O589" s="147">
        <v>6</v>
      </c>
      <c r="P589" s="15">
        <v>2</v>
      </c>
      <c r="Q589" s="148">
        <f t="shared" si="16"/>
        <v>8</v>
      </c>
    </row>
    <row r="590" spans="1:17" ht="16.5" hidden="1" x14ac:dyDescent="0.35">
      <c r="A590" s="53">
        <v>589</v>
      </c>
      <c r="B590" s="18" t="s">
        <v>1126</v>
      </c>
      <c r="C590" s="18" t="s">
        <v>663</v>
      </c>
      <c r="D590" s="17" t="s">
        <v>1183</v>
      </c>
      <c r="E590" s="17" t="s">
        <v>1184</v>
      </c>
      <c r="H590" s="194"/>
      <c r="I590" s="18" t="s">
        <v>1066</v>
      </c>
      <c r="J590" s="23" t="s">
        <v>1156</v>
      </c>
      <c r="K590" s="4">
        <v>45</v>
      </c>
      <c r="L590" s="4" t="s">
        <v>2</v>
      </c>
      <c r="M590" s="5" t="s">
        <v>1181</v>
      </c>
      <c r="N590" s="5" t="s">
        <v>1182</v>
      </c>
      <c r="O590" s="147">
        <v>3</v>
      </c>
      <c r="P590" s="15">
        <v>2</v>
      </c>
      <c r="Q590" s="148">
        <f t="shared" si="16"/>
        <v>5</v>
      </c>
    </row>
    <row r="591" spans="1:17" ht="16.5" hidden="1" x14ac:dyDescent="0.35">
      <c r="A591" s="53">
        <v>590</v>
      </c>
      <c r="B591" s="18" t="s">
        <v>1127</v>
      </c>
      <c r="C591" s="18" t="s">
        <v>663</v>
      </c>
      <c r="D591" s="17" t="s">
        <v>1183</v>
      </c>
      <c r="E591" s="17" t="s">
        <v>1184</v>
      </c>
      <c r="H591" s="194"/>
      <c r="I591" s="18" t="s">
        <v>1066</v>
      </c>
      <c r="J591" s="23" t="s">
        <v>1157</v>
      </c>
      <c r="K591" s="4">
        <v>40</v>
      </c>
      <c r="L591" s="4" t="s">
        <v>2</v>
      </c>
      <c r="M591" s="5" t="s">
        <v>1179</v>
      </c>
      <c r="N591" s="5" t="s">
        <v>1182</v>
      </c>
      <c r="O591" s="147">
        <v>3</v>
      </c>
      <c r="P591" s="15">
        <v>2</v>
      </c>
      <c r="Q591" s="148">
        <f t="shared" si="16"/>
        <v>5</v>
      </c>
    </row>
    <row r="592" spans="1:17" ht="16.5" hidden="1" x14ac:dyDescent="0.35">
      <c r="A592" s="53">
        <v>591</v>
      </c>
      <c r="B592" s="18" t="s">
        <v>1128</v>
      </c>
      <c r="C592" s="18" t="s">
        <v>663</v>
      </c>
      <c r="D592" s="17" t="s">
        <v>1183</v>
      </c>
      <c r="E592" s="17" t="s">
        <v>1184</v>
      </c>
      <c r="H592" s="194"/>
      <c r="I592" s="18" t="s">
        <v>1066</v>
      </c>
      <c r="J592" s="23" t="s">
        <v>1158</v>
      </c>
      <c r="K592" s="4">
        <v>33</v>
      </c>
      <c r="L592" s="4" t="s">
        <v>9</v>
      </c>
      <c r="M592" s="5" t="s">
        <v>1181</v>
      </c>
      <c r="N592" s="5" t="s">
        <v>972</v>
      </c>
      <c r="O592" s="147">
        <v>2</v>
      </c>
      <c r="P592" s="15">
        <v>0</v>
      </c>
      <c r="Q592" s="148">
        <f t="shared" si="16"/>
        <v>2</v>
      </c>
    </row>
    <row r="593" spans="1:17" ht="16.5" hidden="1" x14ac:dyDescent="0.35">
      <c r="A593" s="53">
        <v>592</v>
      </c>
      <c r="B593" s="18" t="s">
        <v>1129</v>
      </c>
      <c r="C593" s="18" t="s">
        <v>663</v>
      </c>
      <c r="D593" s="17" t="s">
        <v>1183</v>
      </c>
      <c r="E593" s="17" t="s">
        <v>1184</v>
      </c>
      <c r="H593" s="194"/>
      <c r="I593" s="18" t="s">
        <v>1066</v>
      </c>
      <c r="J593" s="23" t="s">
        <v>1159</v>
      </c>
      <c r="K593" s="4">
        <v>42</v>
      </c>
      <c r="L593" s="4" t="s">
        <v>9</v>
      </c>
      <c r="M593" s="5" t="s">
        <v>1179</v>
      </c>
      <c r="N593" s="5" t="s">
        <v>972</v>
      </c>
      <c r="O593" s="147">
        <v>5</v>
      </c>
      <c r="P593" s="15">
        <v>0</v>
      </c>
      <c r="Q593" s="148">
        <f t="shared" si="16"/>
        <v>5</v>
      </c>
    </row>
    <row r="594" spans="1:17" ht="16.5" hidden="1" x14ac:dyDescent="0.35">
      <c r="A594" s="53">
        <v>593</v>
      </c>
      <c r="B594" s="18" t="s">
        <v>1130</v>
      </c>
      <c r="C594" s="18" t="s">
        <v>663</v>
      </c>
      <c r="D594" s="17" t="s">
        <v>1183</v>
      </c>
      <c r="E594" s="17" t="s">
        <v>1184</v>
      </c>
      <c r="H594" s="194"/>
      <c r="I594" s="18" t="s">
        <v>1066</v>
      </c>
      <c r="J594" s="23" t="s">
        <v>1160</v>
      </c>
      <c r="K594" s="4">
        <v>33</v>
      </c>
      <c r="L594" s="4" t="s">
        <v>9</v>
      </c>
      <c r="M594" s="5" t="s">
        <v>1179</v>
      </c>
      <c r="N594" s="5" t="s">
        <v>972</v>
      </c>
      <c r="O594" s="147">
        <v>2</v>
      </c>
      <c r="P594" s="15">
        <v>2</v>
      </c>
      <c r="Q594" s="148">
        <f t="shared" si="16"/>
        <v>4</v>
      </c>
    </row>
    <row r="595" spans="1:17" ht="16.5" hidden="1" x14ac:dyDescent="0.35">
      <c r="A595" s="53">
        <v>594</v>
      </c>
      <c r="B595" s="18" t="s">
        <v>1131</v>
      </c>
      <c r="C595" s="18" t="s">
        <v>663</v>
      </c>
      <c r="D595" s="17" t="s">
        <v>1183</v>
      </c>
      <c r="E595" s="17" t="s">
        <v>1184</v>
      </c>
      <c r="H595" s="194"/>
      <c r="I595" s="18" t="s">
        <v>1066</v>
      </c>
      <c r="J595" s="23" t="s">
        <v>1161</v>
      </c>
      <c r="K595" s="4">
        <v>40</v>
      </c>
      <c r="L595" s="4" t="s">
        <v>2</v>
      </c>
      <c r="M595" s="5" t="s">
        <v>1179</v>
      </c>
      <c r="N595" s="5" t="s">
        <v>1182</v>
      </c>
      <c r="O595" s="147">
        <v>2</v>
      </c>
      <c r="P595" s="15">
        <v>1</v>
      </c>
      <c r="Q595" s="148">
        <f t="shared" si="16"/>
        <v>3</v>
      </c>
    </row>
    <row r="596" spans="1:17" ht="16.5" hidden="1" x14ac:dyDescent="0.35">
      <c r="A596" s="53">
        <v>595</v>
      </c>
      <c r="B596" s="18" t="s">
        <v>1132</v>
      </c>
      <c r="C596" s="18" t="s">
        <v>663</v>
      </c>
      <c r="D596" s="17" t="s">
        <v>1183</v>
      </c>
      <c r="E596" s="17" t="s">
        <v>1184</v>
      </c>
      <c r="H596" s="194"/>
      <c r="I596" s="18" t="s">
        <v>1066</v>
      </c>
      <c r="J596" s="23" t="s">
        <v>1162</v>
      </c>
      <c r="K596" s="4">
        <v>50</v>
      </c>
      <c r="L596" s="4" t="s">
        <v>2</v>
      </c>
      <c r="M596" s="5" t="s">
        <v>1179</v>
      </c>
      <c r="N596" s="5" t="s">
        <v>1182</v>
      </c>
      <c r="O596" s="147">
        <v>2</v>
      </c>
      <c r="P596" s="15">
        <v>2</v>
      </c>
      <c r="Q596" s="148">
        <f t="shared" si="16"/>
        <v>4</v>
      </c>
    </row>
    <row r="597" spans="1:17" ht="16.5" hidden="1" x14ac:dyDescent="0.35">
      <c r="A597" s="53">
        <v>596</v>
      </c>
      <c r="B597" s="18" t="s">
        <v>1133</v>
      </c>
      <c r="C597" s="18" t="s">
        <v>663</v>
      </c>
      <c r="D597" s="17" t="s">
        <v>1183</v>
      </c>
      <c r="E597" s="17" t="s">
        <v>1184</v>
      </c>
      <c r="H597" s="194"/>
      <c r="I597" s="18" t="s">
        <v>1066</v>
      </c>
      <c r="J597" s="23" t="s">
        <v>1163</v>
      </c>
      <c r="K597" s="4">
        <v>50</v>
      </c>
      <c r="L597" s="4" t="s">
        <v>2</v>
      </c>
      <c r="M597" s="5" t="s">
        <v>1181</v>
      </c>
      <c r="N597" s="5" t="s">
        <v>1182</v>
      </c>
      <c r="O597" s="147">
        <v>1</v>
      </c>
      <c r="P597" s="15">
        <v>0</v>
      </c>
      <c r="Q597" s="148">
        <f t="shared" si="16"/>
        <v>1</v>
      </c>
    </row>
    <row r="598" spans="1:17" ht="16.5" hidden="1" x14ac:dyDescent="0.35">
      <c r="A598" s="53">
        <v>597</v>
      </c>
      <c r="B598" s="18" t="s">
        <v>1134</v>
      </c>
      <c r="C598" s="18" t="s">
        <v>663</v>
      </c>
      <c r="D598" s="17" t="s">
        <v>1183</v>
      </c>
      <c r="E598" s="17" t="s">
        <v>1184</v>
      </c>
      <c r="H598" s="194"/>
      <c r="I598" s="18" t="s">
        <v>1066</v>
      </c>
      <c r="J598" s="23" t="s">
        <v>1164</v>
      </c>
      <c r="K598" s="4">
        <v>35</v>
      </c>
      <c r="L598" s="4" t="s">
        <v>2</v>
      </c>
      <c r="M598" s="5" t="s">
        <v>1179</v>
      </c>
      <c r="N598" s="5" t="s">
        <v>1182</v>
      </c>
      <c r="O598" s="147">
        <v>0</v>
      </c>
      <c r="P598" s="15">
        <v>3</v>
      </c>
      <c r="Q598" s="148">
        <f t="shared" si="16"/>
        <v>3</v>
      </c>
    </row>
    <row r="599" spans="1:17" ht="16.5" hidden="1" x14ac:dyDescent="0.35">
      <c r="A599" s="53">
        <v>598</v>
      </c>
      <c r="B599" s="18" t="s">
        <v>1135</v>
      </c>
      <c r="C599" s="18" t="s">
        <v>663</v>
      </c>
      <c r="D599" s="17" t="s">
        <v>1183</v>
      </c>
      <c r="E599" s="17" t="s">
        <v>1184</v>
      </c>
      <c r="H599" s="194"/>
      <c r="I599" s="18" t="s">
        <v>1066</v>
      </c>
      <c r="J599" s="23" t="s">
        <v>1165</v>
      </c>
      <c r="K599" s="4">
        <v>34</v>
      </c>
      <c r="L599" s="4" t="s">
        <v>2</v>
      </c>
      <c r="M599" s="5" t="s">
        <v>1179</v>
      </c>
      <c r="N599" s="5" t="s">
        <v>1182</v>
      </c>
      <c r="O599" s="147">
        <v>0</v>
      </c>
      <c r="P599" s="15">
        <v>4</v>
      </c>
      <c r="Q599" s="148">
        <f t="shared" si="16"/>
        <v>4</v>
      </c>
    </row>
    <row r="600" spans="1:17" ht="16.5" hidden="1" x14ac:dyDescent="0.35">
      <c r="A600" s="53">
        <v>599</v>
      </c>
      <c r="B600" s="18" t="s">
        <v>1136</v>
      </c>
      <c r="C600" s="18" t="s">
        <v>663</v>
      </c>
      <c r="D600" s="17" t="s">
        <v>1183</v>
      </c>
      <c r="E600" s="17" t="s">
        <v>1184</v>
      </c>
      <c r="H600" s="194"/>
      <c r="I600" s="18" t="s">
        <v>1066</v>
      </c>
      <c r="J600" s="23" t="s">
        <v>1166</v>
      </c>
      <c r="K600" s="4">
        <v>32</v>
      </c>
      <c r="L600" s="4" t="s">
        <v>2</v>
      </c>
      <c r="M600" s="5" t="s">
        <v>1179</v>
      </c>
      <c r="N600" s="5" t="s">
        <v>1182</v>
      </c>
      <c r="O600" s="147">
        <v>4</v>
      </c>
      <c r="P600" s="15">
        <v>1</v>
      </c>
      <c r="Q600" s="148">
        <f t="shared" si="16"/>
        <v>5</v>
      </c>
    </row>
    <row r="601" spans="1:17" ht="16.5" hidden="1" x14ac:dyDescent="0.35">
      <c r="A601" s="53">
        <v>600</v>
      </c>
      <c r="B601" s="18" t="s">
        <v>1137</v>
      </c>
      <c r="C601" s="18" t="s">
        <v>663</v>
      </c>
      <c r="D601" s="17" t="s">
        <v>1183</v>
      </c>
      <c r="E601" s="17" t="s">
        <v>1184</v>
      </c>
      <c r="H601" s="194"/>
      <c r="I601" s="18" t="s">
        <v>1066</v>
      </c>
      <c r="J601" s="23" t="s">
        <v>1167</v>
      </c>
      <c r="K601" s="4">
        <v>31</v>
      </c>
      <c r="L601" s="4" t="s">
        <v>2</v>
      </c>
      <c r="M601" s="5" t="s">
        <v>1179</v>
      </c>
      <c r="N601" s="5" t="s">
        <v>1182</v>
      </c>
      <c r="O601" s="147">
        <v>0</v>
      </c>
      <c r="P601" s="15">
        <v>1</v>
      </c>
      <c r="Q601" s="148">
        <f t="shared" si="16"/>
        <v>1</v>
      </c>
    </row>
    <row r="602" spans="1:17" ht="16.5" hidden="1" x14ac:dyDescent="0.35">
      <c r="A602" s="53">
        <v>601</v>
      </c>
      <c r="B602" s="18" t="s">
        <v>1138</v>
      </c>
      <c r="C602" s="18" t="s">
        <v>663</v>
      </c>
      <c r="D602" s="17" t="s">
        <v>1183</v>
      </c>
      <c r="E602" s="17" t="s">
        <v>1184</v>
      </c>
      <c r="H602" s="194"/>
      <c r="I602" s="18" t="s">
        <v>1066</v>
      </c>
      <c r="J602" s="23" t="s">
        <v>1168</v>
      </c>
      <c r="K602" s="4">
        <v>28</v>
      </c>
      <c r="L602" s="4" t="s">
        <v>2</v>
      </c>
      <c r="M602" s="5" t="s">
        <v>1179</v>
      </c>
      <c r="N602" s="5" t="s">
        <v>1182</v>
      </c>
      <c r="O602" s="147">
        <v>1</v>
      </c>
      <c r="P602" s="15">
        <v>1</v>
      </c>
      <c r="Q602" s="148">
        <f t="shared" si="16"/>
        <v>2</v>
      </c>
    </row>
    <row r="603" spans="1:17" ht="16.5" hidden="1" x14ac:dyDescent="0.35">
      <c r="A603" s="53">
        <v>602</v>
      </c>
      <c r="B603" s="18" t="s">
        <v>1139</v>
      </c>
      <c r="C603" s="18" t="s">
        <v>663</v>
      </c>
      <c r="D603" s="17" t="s">
        <v>1183</v>
      </c>
      <c r="E603" s="17" t="s">
        <v>1184</v>
      </c>
      <c r="H603" s="194"/>
      <c r="I603" s="18" t="s">
        <v>1066</v>
      </c>
      <c r="J603" s="23" t="s">
        <v>1169</v>
      </c>
      <c r="K603" s="4">
        <v>32</v>
      </c>
      <c r="L603" s="4" t="s">
        <v>9</v>
      </c>
      <c r="M603" s="5" t="s">
        <v>1179</v>
      </c>
      <c r="N603" s="5" t="s">
        <v>972</v>
      </c>
      <c r="O603" s="147">
        <v>2</v>
      </c>
      <c r="P603" s="15">
        <v>1</v>
      </c>
      <c r="Q603" s="148">
        <f t="shared" si="16"/>
        <v>3</v>
      </c>
    </row>
    <row r="604" spans="1:17" ht="16.5" hidden="1" x14ac:dyDescent="0.35">
      <c r="A604" s="53">
        <v>603</v>
      </c>
      <c r="B604" s="18" t="s">
        <v>1140</v>
      </c>
      <c r="C604" s="18" t="s">
        <v>663</v>
      </c>
      <c r="D604" s="17" t="s">
        <v>1183</v>
      </c>
      <c r="E604" s="17" t="s">
        <v>1184</v>
      </c>
      <c r="H604" s="194"/>
      <c r="I604" s="18" t="s">
        <v>1066</v>
      </c>
      <c r="J604" s="23" t="s">
        <v>1170</v>
      </c>
      <c r="K604" s="4">
        <v>54</v>
      </c>
      <c r="L604" s="4" t="s">
        <v>2</v>
      </c>
      <c r="M604" s="5" t="s">
        <v>1179</v>
      </c>
      <c r="N604" s="5" t="s">
        <v>1182</v>
      </c>
      <c r="O604" s="147">
        <v>4</v>
      </c>
      <c r="P604" s="15">
        <v>3</v>
      </c>
      <c r="Q604" s="148">
        <f t="shared" si="16"/>
        <v>7</v>
      </c>
    </row>
    <row r="605" spans="1:17" ht="16.5" hidden="1" x14ac:dyDescent="0.35">
      <c r="A605" s="53">
        <v>604</v>
      </c>
      <c r="B605" s="18" t="s">
        <v>1141</v>
      </c>
      <c r="C605" s="18" t="s">
        <v>663</v>
      </c>
      <c r="D605" s="17" t="s">
        <v>1183</v>
      </c>
      <c r="E605" s="17" t="s">
        <v>1184</v>
      </c>
      <c r="H605" s="194"/>
      <c r="I605" s="18" t="s">
        <v>1066</v>
      </c>
      <c r="J605" s="23" t="s">
        <v>1171</v>
      </c>
      <c r="K605" s="4">
        <v>35</v>
      </c>
      <c r="L605" s="4" t="s">
        <v>2</v>
      </c>
      <c r="M605" s="5" t="s">
        <v>1179</v>
      </c>
      <c r="N605" s="5" t="s">
        <v>1182</v>
      </c>
      <c r="O605" s="147">
        <v>2</v>
      </c>
      <c r="P605" s="15">
        <v>4</v>
      </c>
      <c r="Q605" s="148">
        <f t="shared" si="16"/>
        <v>6</v>
      </c>
    </row>
    <row r="606" spans="1:17" ht="16.5" hidden="1" x14ac:dyDescent="0.35">
      <c r="A606" s="53">
        <v>605</v>
      </c>
      <c r="B606" s="18" t="s">
        <v>1142</v>
      </c>
      <c r="C606" s="18" t="s">
        <v>663</v>
      </c>
      <c r="D606" s="17" t="s">
        <v>1183</v>
      </c>
      <c r="E606" s="17" t="s">
        <v>1184</v>
      </c>
      <c r="H606" s="194"/>
      <c r="I606" s="18" t="s">
        <v>1066</v>
      </c>
      <c r="J606" s="23" t="s">
        <v>1172</v>
      </c>
      <c r="K606" s="4">
        <v>28</v>
      </c>
      <c r="L606" s="4" t="s">
        <v>2</v>
      </c>
      <c r="M606" s="5" t="s">
        <v>1179</v>
      </c>
      <c r="N606" s="5" t="s">
        <v>1182</v>
      </c>
      <c r="O606" s="147">
        <v>1</v>
      </c>
      <c r="P606" s="15">
        <v>0</v>
      </c>
      <c r="Q606" s="148">
        <f t="shared" si="16"/>
        <v>1</v>
      </c>
    </row>
    <row r="607" spans="1:17" ht="16.5" hidden="1" x14ac:dyDescent="0.35">
      <c r="A607" s="53">
        <v>606</v>
      </c>
      <c r="B607" s="18" t="s">
        <v>1143</v>
      </c>
      <c r="C607" s="18" t="s">
        <v>663</v>
      </c>
      <c r="D607" s="17" t="s">
        <v>1183</v>
      </c>
      <c r="E607" s="17" t="s">
        <v>1184</v>
      </c>
      <c r="H607" s="194"/>
      <c r="I607" s="18" t="s">
        <v>1066</v>
      </c>
      <c r="J607" s="23" t="s">
        <v>1173</v>
      </c>
      <c r="K607" s="4">
        <v>30</v>
      </c>
      <c r="L607" s="4" t="s">
        <v>2</v>
      </c>
      <c r="M607" s="5" t="s">
        <v>1179</v>
      </c>
      <c r="N607" s="5" t="s">
        <v>1182</v>
      </c>
      <c r="O607" s="147">
        <v>2</v>
      </c>
      <c r="P607" s="15">
        <v>1</v>
      </c>
      <c r="Q607" s="148">
        <f t="shared" si="16"/>
        <v>3</v>
      </c>
    </row>
    <row r="608" spans="1:17" ht="16.5" hidden="1" x14ac:dyDescent="0.35">
      <c r="A608" s="53">
        <v>607</v>
      </c>
      <c r="B608" s="18" t="s">
        <v>1144</v>
      </c>
      <c r="C608" s="18" t="s">
        <v>663</v>
      </c>
      <c r="D608" s="17" t="s">
        <v>1183</v>
      </c>
      <c r="E608" s="17" t="s">
        <v>1184</v>
      </c>
      <c r="H608" s="194"/>
      <c r="I608" s="18" t="s">
        <v>1066</v>
      </c>
      <c r="J608" s="23" t="s">
        <v>1174</v>
      </c>
      <c r="K608" s="4">
        <v>36</v>
      </c>
      <c r="L608" s="4" t="s">
        <v>2</v>
      </c>
      <c r="M608" s="5" t="s">
        <v>1179</v>
      </c>
      <c r="N608" s="5" t="s">
        <v>1182</v>
      </c>
      <c r="O608" s="147">
        <v>6</v>
      </c>
      <c r="P608" s="15">
        <v>1</v>
      </c>
      <c r="Q608" s="148">
        <f t="shared" si="16"/>
        <v>7</v>
      </c>
    </row>
    <row r="609" spans="1:17" ht="16.5" hidden="1" x14ac:dyDescent="0.35">
      <c r="A609" s="53">
        <v>608</v>
      </c>
      <c r="B609" s="18" t="s">
        <v>1145</v>
      </c>
      <c r="C609" s="18" t="s">
        <v>663</v>
      </c>
      <c r="D609" s="17" t="s">
        <v>1183</v>
      </c>
      <c r="E609" s="17" t="s">
        <v>1184</v>
      </c>
      <c r="H609" s="194"/>
      <c r="I609" s="18" t="s">
        <v>1066</v>
      </c>
      <c r="J609" s="23"/>
      <c r="K609" s="4">
        <v>32</v>
      </c>
      <c r="L609" s="4" t="s">
        <v>2</v>
      </c>
      <c r="M609" s="5" t="s">
        <v>1179</v>
      </c>
      <c r="N609" s="5" t="s">
        <v>1182</v>
      </c>
      <c r="O609" s="147">
        <v>1</v>
      </c>
      <c r="P609" s="15">
        <v>0</v>
      </c>
      <c r="Q609" s="148">
        <f t="shared" si="16"/>
        <v>1</v>
      </c>
    </row>
    <row r="610" spans="1:17" ht="16.5" hidden="1" x14ac:dyDescent="0.35">
      <c r="A610" s="53">
        <v>609</v>
      </c>
      <c r="B610" s="18" t="s">
        <v>1146</v>
      </c>
      <c r="C610" s="18" t="s">
        <v>663</v>
      </c>
      <c r="D610" s="17" t="s">
        <v>1183</v>
      </c>
      <c r="E610" s="17" t="s">
        <v>1184</v>
      </c>
      <c r="H610" s="194"/>
      <c r="I610" s="18" t="s">
        <v>1066</v>
      </c>
      <c r="J610" s="23" t="s">
        <v>1175</v>
      </c>
      <c r="K610" s="4">
        <v>43</v>
      </c>
      <c r="L610" s="4" t="s">
        <v>2</v>
      </c>
      <c r="M610" s="5" t="s">
        <v>1179</v>
      </c>
      <c r="N610" s="5" t="s">
        <v>1182</v>
      </c>
      <c r="O610" s="147">
        <v>3</v>
      </c>
      <c r="P610" s="15">
        <v>4</v>
      </c>
      <c r="Q610" s="148">
        <f t="shared" si="16"/>
        <v>7</v>
      </c>
    </row>
    <row r="611" spans="1:17" ht="16.5" hidden="1" x14ac:dyDescent="0.5">
      <c r="A611" s="53">
        <v>610</v>
      </c>
      <c r="B611" s="18" t="s">
        <v>1147</v>
      </c>
      <c r="C611" s="18" t="s">
        <v>663</v>
      </c>
      <c r="D611" s="17" t="s">
        <v>1183</v>
      </c>
      <c r="E611" s="17" t="s">
        <v>1184</v>
      </c>
      <c r="H611" s="194"/>
      <c r="I611" s="18" t="s">
        <v>1066</v>
      </c>
      <c r="J611" s="23" t="s">
        <v>1176</v>
      </c>
      <c r="K611" s="6">
        <v>53</v>
      </c>
      <c r="L611" s="4" t="s">
        <v>2</v>
      </c>
      <c r="M611" s="6" t="s">
        <v>1179</v>
      </c>
      <c r="N611" s="6" t="s">
        <v>1182</v>
      </c>
      <c r="O611" s="149">
        <v>0</v>
      </c>
      <c r="P611" s="149">
        <v>0</v>
      </c>
      <c r="Q611" s="148">
        <f t="shared" si="16"/>
        <v>0</v>
      </c>
    </row>
    <row r="612" spans="1:17" ht="16.5" hidden="1" x14ac:dyDescent="0.35">
      <c r="A612" s="53">
        <v>611</v>
      </c>
      <c r="B612" s="18" t="s">
        <v>1148</v>
      </c>
      <c r="C612" s="18" t="s">
        <v>663</v>
      </c>
      <c r="D612" s="17" t="s">
        <v>1183</v>
      </c>
      <c r="E612" s="17" t="s">
        <v>1184</v>
      </c>
      <c r="H612" s="194"/>
      <c r="I612" s="18" t="s">
        <v>1066</v>
      </c>
      <c r="J612" s="24"/>
      <c r="K612" s="8">
        <v>53</v>
      </c>
      <c r="L612" s="4" t="s">
        <v>2</v>
      </c>
      <c r="M612" s="8" t="s">
        <v>1179</v>
      </c>
      <c r="N612" s="8" t="s">
        <v>1182</v>
      </c>
      <c r="O612" s="151">
        <v>0</v>
      </c>
      <c r="P612" s="151">
        <v>4</v>
      </c>
      <c r="Q612" s="148">
        <f t="shared" si="16"/>
        <v>4</v>
      </c>
    </row>
    <row r="613" spans="1:17" ht="16.5" hidden="1" x14ac:dyDescent="0.35">
      <c r="A613" s="53">
        <v>612</v>
      </c>
      <c r="B613" s="351" t="s">
        <v>1149</v>
      </c>
      <c r="C613" s="18" t="s">
        <v>663</v>
      </c>
      <c r="D613" s="17" t="s">
        <v>1183</v>
      </c>
      <c r="E613" s="17" t="s">
        <v>1184</v>
      </c>
      <c r="H613" s="194"/>
      <c r="I613" s="18" t="s">
        <v>1066</v>
      </c>
      <c r="J613" s="25" t="s">
        <v>1177</v>
      </c>
      <c r="K613" s="11">
        <v>33</v>
      </c>
      <c r="L613" s="178" t="s">
        <v>2</v>
      </c>
      <c r="M613" s="11" t="s">
        <v>1181</v>
      </c>
      <c r="N613" s="11" t="s">
        <v>1182</v>
      </c>
      <c r="O613" s="143">
        <v>2</v>
      </c>
      <c r="P613" s="143">
        <v>2</v>
      </c>
      <c r="Q613" s="148">
        <f t="shared" si="16"/>
        <v>4</v>
      </c>
    </row>
    <row r="614" spans="1:17" ht="17" hidden="1" thickBot="1" x14ac:dyDescent="0.4">
      <c r="A614" s="53">
        <v>613</v>
      </c>
      <c r="B614" s="351" t="s">
        <v>1150</v>
      </c>
      <c r="C614" s="18" t="s">
        <v>663</v>
      </c>
      <c r="D614" s="17" t="s">
        <v>1183</v>
      </c>
      <c r="E614" s="17" t="s">
        <v>1184</v>
      </c>
      <c r="H614" s="194"/>
      <c r="I614" s="18" t="s">
        <v>1066</v>
      </c>
      <c r="J614" s="193" t="s">
        <v>1178</v>
      </c>
      <c r="K614" s="14">
        <v>22</v>
      </c>
      <c r="L614" s="14" t="s">
        <v>9</v>
      </c>
      <c r="M614" s="14" t="s">
        <v>1179</v>
      </c>
      <c r="N614" s="14" t="s">
        <v>972</v>
      </c>
      <c r="O614" s="141">
        <v>0</v>
      </c>
      <c r="P614" s="141">
        <v>0</v>
      </c>
      <c r="Q614" s="148">
        <f t="shared" si="16"/>
        <v>0</v>
      </c>
    </row>
    <row r="615" spans="1:17" ht="16.5" hidden="1" x14ac:dyDescent="0.35">
      <c r="A615" s="53">
        <v>614</v>
      </c>
      <c r="B615" s="18" t="s">
        <v>1185</v>
      </c>
      <c r="C615" s="18" t="s">
        <v>663</v>
      </c>
      <c r="D615" s="17" t="s">
        <v>1211</v>
      </c>
      <c r="E615" s="17" t="s">
        <v>1184</v>
      </c>
      <c r="H615" s="25"/>
      <c r="I615" s="18" t="s">
        <v>1066</v>
      </c>
      <c r="J615" s="23" t="s">
        <v>1212</v>
      </c>
      <c r="K615" s="4">
        <v>50</v>
      </c>
      <c r="L615" s="4" t="s">
        <v>9</v>
      </c>
      <c r="M615" s="5" t="s">
        <v>1095</v>
      </c>
      <c r="N615" s="5" t="s">
        <v>972</v>
      </c>
      <c r="O615" s="147">
        <v>4</v>
      </c>
      <c r="P615" s="15">
        <v>3</v>
      </c>
      <c r="Q615" s="148">
        <f>(O615+P615)</f>
        <v>7</v>
      </c>
    </row>
    <row r="616" spans="1:17" ht="16.5" hidden="1" x14ac:dyDescent="0.35">
      <c r="A616" s="53">
        <v>615</v>
      </c>
      <c r="B616" s="18" t="s">
        <v>1186</v>
      </c>
      <c r="C616" s="18" t="s">
        <v>663</v>
      </c>
      <c r="D616" s="17" t="s">
        <v>1211</v>
      </c>
      <c r="E616" s="17" t="s">
        <v>1184</v>
      </c>
      <c r="H616" s="194"/>
      <c r="I616" s="18" t="s">
        <v>1066</v>
      </c>
      <c r="J616" s="23" t="s">
        <v>1213</v>
      </c>
      <c r="K616" s="4">
        <v>34</v>
      </c>
      <c r="L616" s="4" t="s">
        <v>9</v>
      </c>
      <c r="M616" s="5" t="s">
        <v>1181</v>
      </c>
      <c r="N616" s="5" t="s">
        <v>972</v>
      </c>
      <c r="O616" s="147">
        <v>1</v>
      </c>
      <c r="P616" s="15">
        <v>4</v>
      </c>
      <c r="Q616" s="148">
        <f t="shared" ref="Q616:Q641" si="17">(O616+P616)</f>
        <v>5</v>
      </c>
    </row>
    <row r="617" spans="1:17" ht="16.5" hidden="1" x14ac:dyDescent="0.35">
      <c r="A617" s="53">
        <v>616</v>
      </c>
      <c r="B617" s="18" t="s">
        <v>1187</v>
      </c>
      <c r="C617" s="18" t="s">
        <v>663</v>
      </c>
      <c r="D617" s="17" t="s">
        <v>1211</v>
      </c>
      <c r="E617" s="17" t="s">
        <v>1184</v>
      </c>
      <c r="H617" s="194"/>
      <c r="I617" s="18" t="s">
        <v>1066</v>
      </c>
      <c r="J617" s="23" t="s">
        <v>1214</v>
      </c>
      <c r="K617" s="4">
        <v>65</v>
      </c>
      <c r="L617" s="4" t="s">
        <v>9</v>
      </c>
      <c r="M617" s="5" t="s">
        <v>1095</v>
      </c>
      <c r="N617" s="5" t="s">
        <v>972</v>
      </c>
      <c r="O617" s="147">
        <v>3</v>
      </c>
      <c r="P617" s="15">
        <v>1</v>
      </c>
      <c r="Q617" s="148">
        <f t="shared" si="17"/>
        <v>4</v>
      </c>
    </row>
    <row r="618" spans="1:17" ht="16.5" hidden="1" x14ac:dyDescent="0.35">
      <c r="A618" s="53">
        <v>617</v>
      </c>
      <c r="B618" s="18" t="s">
        <v>844</v>
      </c>
      <c r="C618" s="18" t="s">
        <v>663</v>
      </c>
      <c r="D618" s="17" t="s">
        <v>1211</v>
      </c>
      <c r="E618" s="17" t="s">
        <v>1184</v>
      </c>
      <c r="H618" s="194"/>
      <c r="I618" s="18" t="s">
        <v>1066</v>
      </c>
      <c r="J618" s="23" t="s">
        <v>1215</v>
      </c>
      <c r="K618" s="4">
        <v>47</v>
      </c>
      <c r="L618" s="4" t="s">
        <v>9</v>
      </c>
      <c r="M618" s="5" t="s">
        <v>1181</v>
      </c>
      <c r="N618" s="5" t="s">
        <v>972</v>
      </c>
      <c r="O618" s="147">
        <v>1</v>
      </c>
      <c r="P618" s="15">
        <v>2</v>
      </c>
      <c r="Q618" s="148">
        <f t="shared" si="17"/>
        <v>3</v>
      </c>
    </row>
    <row r="619" spans="1:17" ht="16.5" hidden="1" x14ac:dyDescent="0.35">
      <c r="A619" s="53">
        <v>618</v>
      </c>
      <c r="B619" s="18" t="s">
        <v>1188</v>
      </c>
      <c r="C619" s="18" t="s">
        <v>663</v>
      </c>
      <c r="D619" s="17" t="s">
        <v>1211</v>
      </c>
      <c r="E619" s="17" t="s">
        <v>1184</v>
      </c>
      <c r="H619" s="194"/>
      <c r="I619" s="18" t="s">
        <v>1066</v>
      </c>
      <c r="J619" s="23" t="s">
        <v>1216</v>
      </c>
      <c r="K619" s="4">
        <v>42</v>
      </c>
      <c r="L619" s="4" t="s">
        <v>9</v>
      </c>
      <c r="M619" s="3" t="s">
        <v>1181</v>
      </c>
      <c r="N619" s="5" t="s">
        <v>972</v>
      </c>
      <c r="O619" s="147">
        <v>5</v>
      </c>
      <c r="P619" s="15">
        <v>1</v>
      </c>
      <c r="Q619" s="148">
        <f t="shared" si="17"/>
        <v>6</v>
      </c>
    </row>
    <row r="620" spans="1:17" ht="16.5" hidden="1" x14ac:dyDescent="0.35">
      <c r="A620" s="53">
        <v>619</v>
      </c>
      <c r="B620" s="18" t="s">
        <v>1189</v>
      </c>
      <c r="C620" s="18" t="s">
        <v>663</v>
      </c>
      <c r="D620" s="17" t="s">
        <v>1211</v>
      </c>
      <c r="E620" s="17" t="s">
        <v>1184</v>
      </c>
      <c r="H620" s="194"/>
      <c r="I620" s="18" t="s">
        <v>1066</v>
      </c>
      <c r="J620" s="23" t="s">
        <v>1217</v>
      </c>
      <c r="K620" s="4">
        <v>45</v>
      </c>
      <c r="L620" s="4" t="s">
        <v>9</v>
      </c>
      <c r="M620" s="5" t="s">
        <v>1181</v>
      </c>
      <c r="N620" s="5" t="s">
        <v>972</v>
      </c>
      <c r="O620" s="147">
        <v>4</v>
      </c>
      <c r="P620" s="15">
        <v>1</v>
      </c>
      <c r="Q620" s="148">
        <f t="shared" si="17"/>
        <v>5</v>
      </c>
    </row>
    <row r="621" spans="1:17" ht="16.5" hidden="1" x14ac:dyDescent="0.35">
      <c r="A621" s="53">
        <v>620</v>
      </c>
      <c r="B621" s="18" t="s">
        <v>1190</v>
      </c>
      <c r="C621" s="18" t="s">
        <v>663</v>
      </c>
      <c r="D621" s="17" t="s">
        <v>1211</v>
      </c>
      <c r="E621" s="17" t="s">
        <v>1184</v>
      </c>
      <c r="H621" s="194"/>
      <c r="I621" s="18" t="s">
        <v>1066</v>
      </c>
      <c r="J621" s="23" t="s">
        <v>1218</v>
      </c>
      <c r="K621" s="4">
        <v>67</v>
      </c>
      <c r="L621" s="4" t="s">
        <v>9</v>
      </c>
      <c r="M621" s="5" t="s">
        <v>1181</v>
      </c>
      <c r="N621" s="5" t="s">
        <v>972</v>
      </c>
      <c r="O621" s="147">
        <v>3</v>
      </c>
      <c r="P621" s="15">
        <v>6</v>
      </c>
      <c r="Q621" s="148">
        <f t="shared" si="17"/>
        <v>9</v>
      </c>
    </row>
    <row r="622" spans="1:17" ht="16.5" hidden="1" x14ac:dyDescent="0.35">
      <c r="A622" s="53">
        <v>621</v>
      </c>
      <c r="B622" s="18" t="s">
        <v>1191</v>
      </c>
      <c r="C622" s="18" t="s">
        <v>663</v>
      </c>
      <c r="D622" s="17" t="s">
        <v>1211</v>
      </c>
      <c r="E622" s="17" t="s">
        <v>1184</v>
      </c>
      <c r="H622" s="194"/>
      <c r="I622" s="18" t="s">
        <v>1066</v>
      </c>
      <c r="J622" s="23" t="s">
        <v>1219</v>
      </c>
      <c r="K622" s="4">
        <v>43</v>
      </c>
      <c r="L622" s="4" t="s">
        <v>2</v>
      </c>
      <c r="M622" s="5" t="s">
        <v>1095</v>
      </c>
      <c r="N622" s="5" t="s">
        <v>1182</v>
      </c>
      <c r="O622" s="147">
        <v>4</v>
      </c>
      <c r="P622" s="15">
        <v>3</v>
      </c>
      <c r="Q622" s="148">
        <f t="shared" si="17"/>
        <v>7</v>
      </c>
    </row>
    <row r="623" spans="1:17" ht="16.5" hidden="1" x14ac:dyDescent="0.35">
      <c r="A623" s="53">
        <v>622</v>
      </c>
      <c r="B623" s="18" t="s">
        <v>1192</v>
      </c>
      <c r="C623" s="18" t="s">
        <v>663</v>
      </c>
      <c r="D623" s="17" t="s">
        <v>1211</v>
      </c>
      <c r="E623" s="17" t="s">
        <v>1184</v>
      </c>
      <c r="H623" s="194"/>
      <c r="I623" s="18" t="s">
        <v>1066</v>
      </c>
      <c r="J623" s="23" t="s">
        <v>1220</v>
      </c>
      <c r="K623" s="4">
        <v>68</v>
      </c>
      <c r="L623" s="4" t="s">
        <v>9</v>
      </c>
      <c r="M623" s="5" t="s">
        <v>1181</v>
      </c>
      <c r="N623" s="5" t="s">
        <v>972</v>
      </c>
      <c r="O623" s="147">
        <v>1</v>
      </c>
      <c r="P623" s="15">
        <v>4</v>
      </c>
      <c r="Q623" s="148">
        <f t="shared" si="17"/>
        <v>5</v>
      </c>
    </row>
    <row r="624" spans="1:17" ht="16.5" hidden="1" x14ac:dyDescent="0.35">
      <c r="A624" s="53">
        <v>623</v>
      </c>
      <c r="B624" s="18" t="s">
        <v>1193</v>
      </c>
      <c r="C624" s="18" t="s">
        <v>663</v>
      </c>
      <c r="D624" s="17" t="s">
        <v>1211</v>
      </c>
      <c r="E624" s="17" t="s">
        <v>1184</v>
      </c>
      <c r="H624" s="194"/>
      <c r="I624" s="18" t="s">
        <v>1066</v>
      </c>
      <c r="J624" s="23" t="s">
        <v>1221</v>
      </c>
      <c r="K624" s="4">
        <v>32</v>
      </c>
      <c r="L624" s="4" t="s">
        <v>9</v>
      </c>
      <c r="M624" s="5" t="s">
        <v>1181</v>
      </c>
      <c r="N624" s="5" t="s">
        <v>972</v>
      </c>
      <c r="O624" s="147">
        <v>4</v>
      </c>
      <c r="P624" s="15">
        <v>4</v>
      </c>
      <c r="Q624" s="148">
        <f t="shared" si="17"/>
        <v>8</v>
      </c>
    </row>
    <row r="625" spans="1:17" ht="16.5" hidden="1" x14ac:dyDescent="0.35">
      <c r="A625" s="53">
        <v>624</v>
      </c>
      <c r="B625" s="18" t="s">
        <v>1194</v>
      </c>
      <c r="C625" s="18" t="s">
        <v>663</v>
      </c>
      <c r="D625" s="17" t="s">
        <v>1211</v>
      </c>
      <c r="E625" s="17" t="s">
        <v>1184</v>
      </c>
      <c r="H625" s="194"/>
      <c r="I625" s="18" t="s">
        <v>1066</v>
      </c>
      <c r="J625" s="23" t="s">
        <v>1222</v>
      </c>
      <c r="K625" s="4">
        <v>39</v>
      </c>
      <c r="L625" s="4" t="s">
        <v>9</v>
      </c>
      <c r="M625" s="5" t="s">
        <v>1181</v>
      </c>
      <c r="N625" s="5" t="s">
        <v>972</v>
      </c>
      <c r="O625" s="147">
        <v>1</v>
      </c>
      <c r="P625" s="15">
        <v>4</v>
      </c>
      <c r="Q625" s="148">
        <f t="shared" si="17"/>
        <v>5</v>
      </c>
    </row>
    <row r="626" spans="1:17" ht="16.5" hidden="1" x14ac:dyDescent="0.35">
      <c r="A626" s="53">
        <v>625</v>
      </c>
      <c r="B626" s="18" t="s">
        <v>1195</v>
      </c>
      <c r="C626" s="18" t="s">
        <v>663</v>
      </c>
      <c r="D626" s="17" t="s">
        <v>1211</v>
      </c>
      <c r="E626" s="17" t="s">
        <v>1184</v>
      </c>
      <c r="H626" s="194"/>
      <c r="I626" s="18" t="s">
        <v>1066</v>
      </c>
      <c r="J626" s="23" t="s">
        <v>1223</v>
      </c>
      <c r="K626" s="4">
        <v>32</v>
      </c>
      <c r="L626" s="4" t="s">
        <v>2</v>
      </c>
      <c r="M626" s="5" t="s">
        <v>1181</v>
      </c>
      <c r="N626" s="5" t="s">
        <v>1182</v>
      </c>
      <c r="O626" s="147">
        <v>4</v>
      </c>
      <c r="P626" s="15">
        <v>4</v>
      </c>
      <c r="Q626" s="148">
        <f t="shared" si="17"/>
        <v>8</v>
      </c>
    </row>
    <row r="627" spans="1:17" ht="16.5" hidden="1" x14ac:dyDescent="0.35">
      <c r="A627" s="53">
        <v>626</v>
      </c>
      <c r="B627" s="18" t="s">
        <v>1196</v>
      </c>
      <c r="C627" s="18" t="s">
        <v>663</v>
      </c>
      <c r="D627" s="17" t="s">
        <v>1211</v>
      </c>
      <c r="E627" s="17" t="s">
        <v>1184</v>
      </c>
      <c r="H627" s="194"/>
      <c r="I627" s="18" t="s">
        <v>1066</v>
      </c>
      <c r="J627" s="23" t="s">
        <v>1224</v>
      </c>
      <c r="K627" s="4">
        <v>31</v>
      </c>
      <c r="L627" s="4" t="s">
        <v>2</v>
      </c>
      <c r="M627" s="5" t="s">
        <v>1181</v>
      </c>
      <c r="N627" s="5" t="s">
        <v>1182</v>
      </c>
      <c r="O627" s="147">
        <v>3</v>
      </c>
      <c r="P627" s="15">
        <v>0</v>
      </c>
      <c r="Q627" s="148">
        <f t="shared" si="17"/>
        <v>3</v>
      </c>
    </row>
    <row r="628" spans="1:17" ht="16.5" hidden="1" x14ac:dyDescent="0.35">
      <c r="A628" s="53">
        <v>627</v>
      </c>
      <c r="B628" s="18" t="s">
        <v>1197</v>
      </c>
      <c r="C628" s="18" t="s">
        <v>663</v>
      </c>
      <c r="D628" s="17" t="s">
        <v>1211</v>
      </c>
      <c r="E628" s="17" t="s">
        <v>1184</v>
      </c>
      <c r="H628" s="194"/>
      <c r="I628" s="18" t="s">
        <v>1066</v>
      </c>
      <c r="J628" s="23" t="s">
        <v>1225</v>
      </c>
      <c r="K628" s="4">
        <v>38</v>
      </c>
      <c r="L628" s="4" t="s">
        <v>2</v>
      </c>
      <c r="M628" s="5" t="s">
        <v>1181</v>
      </c>
      <c r="N628" s="5" t="s">
        <v>1182</v>
      </c>
      <c r="O628" s="147">
        <v>2</v>
      </c>
      <c r="P628" s="15">
        <v>5</v>
      </c>
      <c r="Q628" s="148">
        <f t="shared" si="17"/>
        <v>7</v>
      </c>
    </row>
    <row r="629" spans="1:17" ht="16.5" hidden="1" x14ac:dyDescent="0.35">
      <c r="A629" s="53">
        <v>628</v>
      </c>
      <c r="B629" s="18" t="s">
        <v>1198</v>
      </c>
      <c r="C629" s="18" t="s">
        <v>663</v>
      </c>
      <c r="D629" s="17" t="s">
        <v>1211</v>
      </c>
      <c r="E629" s="17" t="s">
        <v>1184</v>
      </c>
      <c r="H629" s="194"/>
      <c r="I629" s="18" t="s">
        <v>1066</v>
      </c>
      <c r="J629" s="23" t="s">
        <v>1226</v>
      </c>
      <c r="K629" s="4">
        <v>36</v>
      </c>
      <c r="L629" s="4" t="s">
        <v>2</v>
      </c>
      <c r="M629" s="5" t="s">
        <v>1181</v>
      </c>
      <c r="N629" s="5" t="s">
        <v>1182</v>
      </c>
      <c r="O629" s="147">
        <v>0</v>
      </c>
      <c r="P629" s="15">
        <v>4</v>
      </c>
      <c r="Q629" s="148">
        <f t="shared" si="17"/>
        <v>4</v>
      </c>
    </row>
    <row r="630" spans="1:17" ht="16.5" hidden="1" x14ac:dyDescent="0.35">
      <c r="A630" s="53">
        <v>629</v>
      </c>
      <c r="B630" s="18" t="s">
        <v>1199</v>
      </c>
      <c r="C630" s="18" t="s">
        <v>663</v>
      </c>
      <c r="D630" s="17" t="s">
        <v>1211</v>
      </c>
      <c r="E630" s="17" t="s">
        <v>1184</v>
      </c>
      <c r="H630" s="194"/>
      <c r="I630" s="18" t="s">
        <v>1066</v>
      </c>
      <c r="J630" s="23"/>
      <c r="K630" s="4">
        <v>42</v>
      </c>
      <c r="L630" s="4" t="s">
        <v>2</v>
      </c>
      <c r="M630" s="5" t="s">
        <v>1181</v>
      </c>
      <c r="N630" s="5" t="s">
        <v>1182</v>
      </c>
      <c r="O630" s="147">
        <v>3</v>
      </c>
      <c r="P630" s="15">
        <v>4</v>
      </c>
      <c r="Q630" s="148">
        <f t="shared" si="17"/>
        <v>7</v>
      </c>
    </row>
    <row r="631" spans="1:17" ht="16.5" hidden="1" x14ac:dyDescent="0.35">
      <c r="A631" s="53">
        <v>630</v>
      </c>
      <c r="B631" s="18" t="s">
        <v>1200</v>
      </c>
      <c r="C631" s="18" t="s">
        <v>663</v>
      </c>
      <c r="D631" s="17" t="s">
        <v>1211</v>
      </c>
      <c r="E631" s="17" t="s">
        <v>1184</v>
      </c>
      <c r="H631" s="194"/>
      <c r="I631" s="18" t="s">
        <v>1066</v>
      </c>
      <c r="J631" s="23" t="s">
        <v>1227</v>
      </c>
      <c r="K631" s="4">
        <v>55</v>
      </c>
      <c r="L631" s="4" t="s">
        <v>2</v>
      </c>
      <c r="M631" s="5" t="s">
        <v>1181</v>
      </c>
      <c r="N631" s="5" t="s">
        <v>1182</v>
      </c>
      <c r="O631" s="147">
        <v>1</v>
      </c>
      <c r="P631" s="15">
        <v>5</v>
      </c>
      <c r="Q631" s="148">
        <f t="shared" si="17"/>
        <v>6</v>
      </c>
    </row>
    <row r="632" spans="1:17" ht="16.5" hidden="1" x14ac:dyDescent="0.35">
      <c r="A632" s="53">
        <v>631</v>
      </c>
      <c r="B632" s="18" t="s">
        <v>1201</v>
      </c>
      <c r="C632" s="18" t="s">
        <v>663</v>
      </c>
      <c r="D632" s="17" t="s">
        <v>1211</v>
      </c>
      <c r="E632" s="17" t="s">
        <v>1184</v>
      </c>
      <c r="H632" s="194"/>
      <c r="I632" s="18" t="s">
        <v>1066</v>
      </c>
      <c r="J632" s="23" t="s">
        <v>1228</v>
      </c>
      <c r="K632" s="4">
        <v>45</v>
      </c>
      <c r="L632" s="4" t="s">
        <v>2</v>
      </c>
      <c r="M632" s="5" t="s">
        <v>1181</v>
      </c>
      <c r="N632" s="5" t="s">
        <v>1182</v>
      </c>
      <c r="O632" s="147">
        <v>3</v>
      </c>
      <c r="P632" s="15">
        <v>4</v>
      </c>
      <c r="Q632" s="148">
        <f t="shared" si="17"/>
        <v>7</v>
      </c>
    </row>
    <row r="633" spans="1:17" ht="16.5" hidden="1" x14ac:dyDescent="0.35">
      <c r="A633" s="53">
        <v>632</v>
      </c>
      <c r="B633" s="18" t="s">
        <v>1202</v>
      </c>
      <c r="C633" s="18" t="s">
        <v>663</v>
      </c>
      <c r="D633" s="17" t="s">
        <v>1211</v>
      </c>
      <c r="E633" s="17" t="s">
        <v>1184</v>
      </c>
      <c r="H633" s="194"/>
      <c r="I633" s="18" t="s">
        <v>1066</v>
      </c>
      <c r="J633" s="23" t="s">
        <v>1229</v>
      </c>
      <c r="K633" s="4">
        <v>53</v>
      </c>
      <c r="L633" s="4" t="s">
        <v>9</v>
      </c>
      <c r="M633" s="5" t="s">
        <v>1181</v>
      </c>
      <c r="N633" s="5" t="s">
        <v>972</v>
      </c>
      <c r="O633" s="147">
        <v>4</v>
      </c>
      <c r="P633" s="15">
        <v>5</v>
      </c>
      <c r="Q633" s="148">
        <f t="shared" si="17"/>
        <v>9</v>
      </c>
    </row>
    <row r="634" spans="1:17" ht="16.5" hidden="1" x14ac:dyDescent="0.35">
      <c r="A634" s="53">
        <v>633</v>
      </c>
      <c r="B634" s="18" t="s">
        <v>1203</v>
      </c>
      <c r="C634" s="18" t="s">
        <v>663</v>
      </c>
      <c r="D634" s="17" t="s">
        <v>1211</v>
      </c>
      <c r="E634" s="17" t="s">
        <v>1184</v>
      </c>
      <c r="H634" s="194"/>
      <c r="I634" s="18" t="s">
        <v>1066</v>
      </c>
      <c r="J634" s="23" t="s">
        <v>1230</v>
      </c>
      <c r="K634" s="4">
        <v>37</v>
      </c>
      <c r="L634" s="4" t="s">
        <v>2</v>
      </c>
      <c r="M634" s="5" t="s">
        <v>1181</v>
      </c>
      <c r="N634" s="5" t="s">
        <v>1182</v>
      </c>
      <c r="O634" s="147">
        <v>1</v>
      </c>
      <c r="P634" s="15">
        <v>1</v>
      </c>
      <c r="Q634" s="148">
        <f t="shared" si="17"/>
        <v>2</v>
      </c>
    </row>
    <row r="635" spans="1:17" ht="16.5" hidden="1" x14ac:dyDescent="0.35">
      <c r="A635" s="53">
        <v>634</v>
      </c>
      <c r="B635" s="18" t="s">
        <v>1204</v>
      </c>
      <c r="C635" s="18" t="s">
        <v>663</v>
      </c>
      <c r="D635" s="17" t="s">
        <v>1211</v>
      </c>
      <c r="E635" s="17" t="s">
        <v>1184</v>
      </c>
      <c r="H635" s="194"/>
      <c r="I635" s="18" t="s">
        <v>1066</v>
      </c>
      <c r="J635" s="23" t="s">
        <v>1231</v>
      </c>
      <c r="K635" s="4">
        <v>58</v>
      </c>
      <c r="L635" s="4" t="s">
        <v>2</v>
      </c>
      <c r="M635" s="5" t="s">
        <v>1181</v>
      </c>
      <c r="N635" s="5" t="s">
        <v>1182</v>
      </c>
      <c r="O635" s="147">
        <v>1</v>
      </c>
      <c r="P635" s="15">
        <v>2</v>
      </c>
      <c r="Q635" s="148">
        <f t="shared" si="17"/>
        <v>3</v>
      </c>
    </row>
    <row r="636" spans="1:17" ht="16.5" hidden="1" x14ac:dyDescent="0.35">
      <c r="A636" s="53">
        <v>635</v>
      </c>
      <c r="B636" s="18" t="s">
        <v>1205</v>
      </c>
      <c r="C636" s="18" t="s">
        <v>663</v>
      </c>
      <c r="D636" s="17" t="s">
        <v>1211</v>
      </c>
      <c r="E636" s="17" t="s">
        <v>1184</v>
      </c>
      <c r="H636" s="194"/>
      <c r="I636" s="18" t="s">
        <v>1066</v>
      </c>
      <c r="J636" s="23" t="s">
        <v>1232</v>
      </c>
      <c r="K636" s="4">
        <v>56</v>
      </c>
      <c r="L636" s="4" t="s">
        <v>2</v>
      </c>
      <c r="M636" s="5" t="s">
        <v>1181</v>
      </c>
      <c r="N636" s="5" t="s">
        <v>1182</v>
      </c>
      <c r="O636" s="147">
        <v>5</v>
      </c>
      <c r="P636" s="15">
        <v>4</v>
      </c>
      <c r="Q636" s="148">
        <f t="shared" si="17"/>
        <v>9</v>
      </c>
    </row>
    <row r="637" spans="1:17" ht="16.5" hidden="1" x14ac:dyDescent="0.35">
      <c r="A637" s="53">
        <v>636</v>
      </c>
      <c r="B637" s="18" t="s">
        <v>1206</v>
      </c>
      <c r="C637" s="18" t="s">
        <v>663</v>
      </c>
      <c r="D637" s="17" t="s">
        <v>1211</v>
      </c>
      <c r="E637" s="17" t="s">
        <v>1184</v>
      </c>
      <c r="H637" s="194"/>
      <c r="I637" s="18" t="s">
        <v>1066</v>
      </c>
      <c r="J637" s="23" t="s">
        <v>1233</v>
      </c>
      <c r="K637" s="4">
        <v>19</v>
      </c>
      <c r="L637" s="4" t="s">
        <v>9</v>
      </c>
      <c r="M637" s="5" t="s">
        <v>969</v>
      </c>
      <c r="N637" s="5" t="s">
        <v>972</v>
      </c>
      <c r="O637" s="147">
        <v>0</v>
      </c>
      <c r="P637" s="15">
        <v>0</v>
      </c>
      <c r="Q637" s="148">
        <f t="shared" si="17"/>
        <v>0</v>
      </c>
    </row>
    <row r="638" spans="1:17" ht="16.5" hidden="1" x14ac:dyDescent="0.35">
      <c r="A638" s="53">
        <v>637</v>
      </c>
      <c r="B638" s="18" t="s">
        <v>1207</v>
      </c>
      <c r="C638" s="18" t="s">
        <v>663</v>
      </c>
      <c r="D638" s="17" t="s">
        <v>1211</v>
      </c>
      <c r="E638" s="17" t="s">
        <v>1184</v>
      </c>
      <c r="H638" s="194"/>
      <c r="I638" s="18" t="s">
        <v>1066</v>
      </c>
      <c r="J638" s="23" t="s">
        <v>1234</v>
      </c>
      <c r="K638" s="4">
        <v>57</v>
      </c>
      <c r="L638" s="4" t="s">
        <v>2</v>
      </c>
      <c r="M638" s="5" t="s">
        <v>1181</v>
      </c>
      <c r="N638" s="5" t="s">
        <v>1182</v>
      </c>
      <c r="O638" s="147">
        <v>3</v>
      </c>
      <c r="P638" s="15">
        <v>2</v>
      </c>
      <c r="Q638" s="148">
        <f t="shared" si="17"/>
        <v>5</v>
      </c>
    </row>
    <row r="639" spans="1:17" ht="16.5" hidden="1" x14ac:dyDescent="0.35">
      <c r="A639" s="53">
        <v>638</v>
      </c>
      <c r="B639" s="18" t="s">
        <v>1208</v>
      </c>
      <c r="C639" s="18" t="s">
        <v>663</v>
      </c>
      <c r="D639" s="17" t="s">
        <v>1211</v>
      </c>
      <c r="E639" s="17" t="s">
        <v>1184</v>
      </c>
      <c r="H639" s="194"/>
      <c r="I639" s="18" t="s">
        <v>1066</v>
      </c>
      <c r="J639" s="23" t="s">
        <v>1235</v>
      </c>
      <c r="K639" s="4">
        <v>53</v>
      </c>
      <c r="L639" s="4" t="s">
        <v>9</v>
      </c>
      <c r="M639" s="5" t="s">
        <v>1181</v>
      </c>
      <c r="N639" s="5" t="s">
        <v>972</v>
      </c>
      <c r="O639" s="147">
        <v>1</v>
      </c>
      <c r="P639" s="15">
        <v>4</v>
      </c>
      <c r="Q639" s="148">
        <f t="shared" si="17"/>
        <v>5</v>
      </c>
    </row>
    <row r="640" spans="1:17" ht="16.5" hidden="1" x14ac:dyDescent="0.35">
      <c r="A640" s="53">
        <v>639</v>
      </c>
      <c r="B640" s="18" t="s">
        <v>1209</v>
      </c>
      <c r="C640" s="18" t="s">
        <v>663</v>
      </c>
      <c r="D640" s="17" t="s">
        <v>1211</v>
      </c>
      <c r="E640" s="17" t="s">
        <v>1184</v>
      </c>
      <c r="H640" s="194"/>
      <c r="I640" s="18" t="s">
        <v>1066</v>
      </c>
      <c r="J640" s="23" t="s">
        <v>1236</v>
      </c>
      <c r="K640" s="4">
        <v>47</v>
      </c>
      <c r="L640" s="4" t="s">
        <v>9</v>
      </c>
      <c r="M640" s="5" t="s">
        <v>1181</v>
      </c>
      <c r="N640" s="5" t="s">
        <v>972</v>
      </c>
      <c r="O640" s="147">
        <v>4</v>
      </c>
      <c r="P640" s="15">
        <v>3</v>
      </c>
      <c r="Q640" s="148">
        <f t="shared" si="17"/>
        <v>7</v>
      </c>
    </row>
    <row r="641" spans="1:17" ht="16.5" hidden="1" x14ac:dyDescent="0.5">
      <c r="A641" s="53">
        <v>640</v>
      </c>
      <c r="B641" s="351" t="s">
        <v>1210</v>
      </c>
      <c r="C641" s="18" t="s">
        <v>663</v>
      </c>
      <c r="D641" s="17" t="s">
        <v>1211</v>
      </c>
      <c r="E641" s="17" t="s">
        <v>1184</v>
      </c>
      <c r="H641" s="194"/>
      <c r="I641" s="18" t="s">
        <v>1066</v>
      </c>
      <c r="J641" s="23" t="s">
        <v>1237</v>
      </c>
      <c r="K641" s="6">
        <v>39</v>
      </c>
      <c r="L641" s="4" t="s">
        <v>2</v>
      </c>
      <c r="M641" s="6" t="s">
        <v>1181</v>
      </c>
      <c r="N641" s="6" t="s">
        <v>1182</v>
      </c>
      <c r="O641" s="149">
        <v>3</v>
      </c>
      <c r="P641" s="149">
        <v>2</v>
      </c>
      <c r="Q641" s="148">
        <f t="shared" si="17"/>
        <v>5</v>
      </c>
    </row>
    <row r="642" spans="1:17" ht="16.5" hidden="1" x14ac:dyDescent="0.35">
      <c r="A642" s="53">
        <v>641</v>
      </c>
      <c r="B642" s="18" t="s">
        <v>1238</v>
      </c>
      <c r="C642" s="18" t="s">
        <v>663</v>
      </c>
      <c r="D642" s="17" t="s">
        <v>1257</v>
      </c>
      <c r="E642" s="17" t="s">
        <v>1184</v>
      </c>
      <c r="H642" s="25"/>
      <c r="I642" s="18" t="s">
        <v>1066</v>
      </c>
      <c r="J642" s="23" t="s">
        <v>1258</v>
      </c>
      <c r="K642" s="4">
        <v>55</v>
      </c>
      <c r="L642" s="4" t="s">
        <v>9</v>
      </c>
      <c r="M642" s="5" t="s">
        <v>1179</v>
      </c>
      <c r="N642" s="5" t="s">
        <v>972</v>
      </c>
      <c r="O642" s="147">
        <v>6</v>
      </c>
      <c r="P642" s="15">
        <v>4</v>
      </c>
      <c r="Q642" s="148">
        <f>(O642+P642)</f>
        <v>10</v>
      </c>
    </row>
    <row r="643" spans="1:17" ht="16.5" hidden="1" x14ac:dyDescent="0.35">
      <c r="A643" s="53">
        <v>642</v>
      </c>
      <c r="B643" s="18" t="s">
        <v>1239</v>
      </c>
      <c r="C643" s="18" t="s">
        <v>663</v>
      </c>
      <c r="D643" s="17" t="s">
        <v>1257</v>
      </c>
      <c r="E643" s="17" t="s">
        <v>1184</v>
      </c>
      <c r="H643" s="194"/>
      <c r="I643" s="18" t="s">
        <v>1066</v>
      </c>
      <c r="J643" s="23" t="s">
        <v>1259</v>
      </c>
      <c r="K643" s="4">
        <v>34</v>
      </c>
      <c r="L643" s="4" t="s">
        <v>9</v>
      </c>
      <c r="M643" s="5" t="s">
        <v>1179</v>
      </c>
      <c r="N643" s="5" t="s">
        <v>972</v>
      </c>
      <c r="O643" s="147">
        <v>3</v>
      </c>
      <c r="P643" s="15">
        <v>2</v>
      </c>
      <c r="Q643" s="148">
        <f t="shared" ref="Q643:Q660" si="18">(O643+P643)</f>
        <v>5</v>
      </c>
    </row>
    <row r="644" spans="1:17" ht="16.5" hidden="1" x14ac:dyDescent="0.35">
      <c r="A644" s="53">
        <v>643</v>
      </c>
      <c r="B644" s="18" t="s">
        <v>1240</v>
      </c>
      <c r="C644" s="18" t="s">
        <v>663</v>
      </c>
      <c r="D644" s="17" t="s">
        <v>1257</v>
      </c>
      <c r="E644" s="17" t="s">
        <v>1184</v>
      </c>
      <c r="H644" s="194"/>
      <c r="I644" s="18" t="s">
        <v>1066</v>
      </c>
      <c r="J644" s="23" t="s">
        <v>1260</v>
      </c>
      <c r="K644" s="4">
        <v>44</v>
      </c>
      <c r="L644" s="4" t="s">
        <v>2</v>
      </c>
      <c r="M644" s="5" t="s">
        <v>1179</v>
      </c>
      <c r="N644" s="5" t="s">
        <v>1182</v>
      </c>
      <c r="O644" s="147">
        <v>3</v>
      </c>
      <c r="P644" s="15">
        <v>1</v>
      </c>
      <c r="Q644" s="148">
        <f t="shared" si="18"/>
        <v>4</v>
      </c>
    </row>
    <row r="645" spans="1:17" ht="16.5" hidden="1" x14ac:dyDescent="0.35">
      <c r="A645" s="53">
        <v>644</v>
      </c>
      <c r="B645" s="18" t="s">
        <v>1241</v>
      </c>
      <c r="C645" s="18" t="s">
        <v>663</v>
      </c>
      <c r="D645" s="17" t="s">
        <v>1257</v>
      </c>
      <c r="E645" s="17" t="s">
        <v>1184</v>
      </c>
      <c r="H645" s="194"/>
      <c r="I645" s="18" t="s">
        <v>1066</v>
      </c>
      <c r="J645" s="23" t="s">
        <v>1261</v>
      </c>
      <c r="K645" s="4">
        <v>51</v>
      </c>
      <c r="L645" s="4" t="s">
        <v>9</v>
      </c>
      <c r="M645" s="5" t="s">
        <v>1179</v>
      </c>
      <c r="N645" s="5" t="s">
        <v>972</v>
      </c>
      <c r="O645" s="147">
        <v>6</v>
      </c>
      <c r="P645" s="15">
        <v>4</v>
      </c>
      <c r="Q645" s="148">
        <f t="shared" si="18"/>
        <v>10</v>
      </c>
    </row>
    <row r="646" spans="1:17" ht="16.5" hidden="1" x14ac:dyDescent="0.35">
      <c r="A646" s="53">
        <v>645</v>
      </c>
      <c r="B646" s="18" t="s">
        <v>1242</v>
      </c>
      <c r="C646" s="18" t="s">
        <v>663</v>
      </c>
      <c r="D646" s="17" t="s">
        <v>1257</v>
      </c>
      <c r="E646" s="17" t="s">
        <v>1184</v>
      </c>
      <c r="H646" s="194"/>
      <c r="I646" s="18" t="s">
        <v>1066</v>
      </c>
      <c r="J646" s="23" t="s">
        <v>1262</v>
      </c>
      <c r="K646" s="4">
        <v>48</v>
      </c>
      <c r="L646" s="4" t="s">
        <v>9</v>
      </c>
      <c r="M646" s="3" t="s">
        <v>1179</v>
      </c>
      <c r="N646" s="5" t="s">
        <v>972</v>
      </c>
      <c r="O646" s="147">
        <v>4</v>
      </c>
      <c r="P646" s="15">
        <v>5</v>
      </c>
      <c r="Q646" s="148">
        <f t="shared" si="18"/>
        <v>9</v>
      </c>
    </row>
    <row r="647" spans="1:17" ht="16.5" hidden="1" x14ac:dyDescent="0.35">
      <c r="A647" s="53">
        <v>646</v>
      </c>
      <c r="B647" s="18" t="s">
        <v>1243</v>
      </c>
      <c r="C647" s="18" t="s">
        <v>663</v>
      </c>
      <c r="D647" s="17" t="s">
        <v>1257</v>
      </c>
      <c r="E647" s="17" t="s">
        <v>1184</v>
      </c>
      <c r="H647" s="194"/>
      <c r="I647" s="18" t="s">
        <v>1066</v>
      </c>
      <c r="J647" s="23" t="s">
        <v>1263</v>
      </c>
      <c r="K647" s="4">
        <v>40</v>
      </c>
      <c r="L647" s="4" t="s">
        <v>2</v>
      </c>
      <c r="M647" s="5" t="s">
        <v>1179</v>
      </c>
      <c r="N647" s="5" t="s">
        <v>1182</v>
      </c>
      <c r="O647" s="147">
        <v>4</v>
      </c>
      <c r="P647" s="15">
        <v>0</v>
      </c>
      <c r="Q647" s="148">
        <f t="shared" si="18"/>
        <v>4</v>
      </c>
    </row>
    <row r="648" spans="1:17" ht="16.5" hidden="1" x14ac:dyDescent="0.35">
      <c r="A648" s="53">
        <v>647</v>
      </c>
      <c r="B648" s="18" t="s">
        <v>1244</v>
      </c>
      <c r="C648" s="18" t="s">
        <v>663</v>
      </c>
      <c r="D648" s="17" t="s">
        <v>1257</v>
      </c>
      <c r="E648" s="17" t="s">
        <v>1184</v>
      </c>
      <c r="H648" s="194"/>
      <c r="I648" s="18" t="s">
        <v>1066</v>
      </c>
      <c r="J648" s="23" t="s">
        <v>1264</v>
      </c>
      <c r="K648" s="4">
        <v>33</v>
      </c>
      <c r="L648" s="4" t="s">
        <v>2</v>
      </c>
      <c r="M648" s="5" t="s">
        <v>1179</v>
      </c>
      <c r="N648" s="5" t="s">
        <v>1182</v>
      </c>
      <c r="O648" s="147">
        <v>3</v>
      </c>
      <c r="P648" s="15">
        <v>2</v>
      </c>
      <c r="Q648" s="148">
        <f t="shared" si="18"/>
        <v>5</v>
      </c>
    </row>
    <row r="649" spans="1:17" ht="16.5" hidden="1" x14ac:dyDescent="0.35">
      <c r="A649" s="53">
        <v>648</v>
      </c>
      <c r="B649" s="18" t="s">
        <v>1245</v>
      </c>
      <c r="C649" s="18" t="s">
        <v>663</v>
      </c>
      <c r="D649" s="17" t="s">
        <v>1257</v>
      </c>
      <c r="E649" s="17" t="s">
        <v>1184</v>
      </c>
      <c r="H649" s="194"/>
      <c r="I649" s="18" t="s">
        <v>1066</v>
      </c>
      <c r="J649" s="23" t="s">
        <v>1265</v>
      </c>
      <c r="K649" s="4">
        <v>45</v>
      </c>
      <c r="L649" s="4" t="s">
        <v>2</v>
      </c>
      <c r="M649" s="5" t="s">
        <v>1179</v>
      </c>
      <c r="N649" s="5" t="s">
        <v>1182</v>
      </c>
      <c r="O649" s="147">
        <v>6</v>
      </c>
      <c r="P649" s="15">
        <v>2</v>
      </c>
      <c r="Q649" s="148">
        <f t="shared" si="18"/>
        <v>8</v>
      </c>
    </row>
    <row r="650" spans="1:17" ht="16.5" hidden="1" x14ac:dyDescent="0.35">
      <c r="A650" s="53">
        <v>649</v>
      </c>
      <c r="B650" s="18" t="s">
        <v>1246</v>
      </c>
      <c r="C650" s="18" t="s">
        <v>663</v>
      </c>
      <c r="D650" s="17" t="s">
        <v>1257</v>
      </c>
      <c r="E650" s="17" t="s">
        <v>1184</v>
      </c>
      <c r="H650" s="194"/>
      <c r="I650" s="18" t="s">
        <v>1066</v>
      </c>
      <c r="J650" s="23" t="s">
        <v>1266</v>
      </c>
      <c r="K650" s="4">
        <v>76</v>
      </c>
      <c r="L650" s="4" t="s">
        <v>9</v>
      </c>
      <c r="M650" s="5" t="s">
        <v>1179</v>
      </c>
      <c r="N650" s="5" t="s">
        <v>972</v>
      </c>
      <c r="O650" s="147">
        <v>0</v>
      </c>
      <c r="P650" s="15">
        <v>2</v>
      </c>
      <c r="Q650" s="148">
        <f t="shared" si="18"/>
        <v>2</v>
      </c>
    </row>
    <row r="651" spans="1:17" ht="16.5" hidden="1" x14ac:dyDescent="0.35">
      <c r="A651" s="53">
        <v>650</v>
      </c>
      <c r="B651" s="18" t="s">
        <v>1247</v>
      </c>
      <c r="C651" s="18" t="s">
        <v>663</v>
      </c>
      <c r="D651" s="17" t="s">
        <v>1257</v>
      </c>
      <c r="E651" s="17" t="s">
        <v>1184</v>
      </c>
      <c r="H651" s="194"/>
      <c r="I651" s="18" t="s">
        <v>1066</v>
      </c>
      <c r="J651" s="23" t="s">
        <v>1267</v>
      </c>
      <c r="K651" s="4">
        <v>65</v>
      </c>
      <c r="L651" s="4" t="s">
        <v>9</v>
      </c>
      <c r="M651" s="5" t="s">
        <v>1181</v>
      </c>
      <c r="N651" s="5" t="s">
        <v>972</v>
      </c>
      <c r="O651" s="147">
        <v>0</v>
      </c>
      <c r="P651" s="15">
        <v>2</v>
      </c>
      <c r="Q651" s="148">
        <f t="shared" si="18"/>
        <v>2</v>
      </c>
    </row>
    <row r="652" spans="1:17" ht="16.5" hidden="1" x14ac:dyDescent="0.35">
      <c r="A652" s="53">
        <v>651</v>
      </c>
      <c r="B652" s="18" t="s">
        <v>1248</v>
      </c>
      <c r="C652" s="18" t="s">
        <v>663</v>
      </c>
      <c r="D652" s="17" t="s">
        <v>1257</v>
      </c>
      <c r="E652" s="17" t="s">
        <v>1184</v>
      </c>
      <c r="H652" s="194"/>
      <c r="I652" s="18" t="s">
        <v>1066</v>
      </c>
      <c r="J652" s="23" t="s">
        <v>1268</v>
      </c>
      <c r="K652" s="4">
        <v>30</v>
      </c>
      <c r="L652" s="4" t="s">
        <v>2</v>
      </c>
      <c r="M652" s="5" t="s">
        <v>1179</v>
      </c>
      <c r="N652" s="5" t="s">
        <v>1182</v>
      </c>
      <c r="O652" s="147">
        <v>3</v>
      </c>
      <c r="P652" s="15">
        <v>1</v>
      </c>
      <c r="Q652" s="148">
        <f t="shared" si="18"/>
        <v>4</v>
      </c>
    </row>
    <row r="653" spans="1:17" ht="16.5" hidden="1" x14ac:dyDescent="0.35">
      <c r="A653" s="53">
        <v>652</v>
      </c>
      <c r="B653" s="18" t="s">
        <v>1249</v>
      </c>
      <c r="C653" s="18" t="s">
        <v>663</v>
      </c>
      <c r="D653" s="17" t="s">
        <v>1257</v>
      </c>
      <c r="E653" s="17" t="s">
        <v>1184</v>
      </c>
      <c r="H653" s="194"/>
      <c r="I653" s="18" t="s">
        <v>1066</v>
      </c>
      <c r="J653" s="23" t="s">
        <v>1269</v>
      </c>
      <c r="K653" s="4">
        <v>37</v>
      </c>
      <c r="L653" s="4" t="s">
        <v>2</v>
      </c>
      <c r="M653" s="5" t="s">
        <v>1179</v>
      </c>
      <c r="N653" s="5" t="s">
        <v>1182</v>
      </c>
      <c r="O653" s="147">
        <v>6</v>
      </c>
      <c r="P653" s="15">
        <v>1</v>
      </c>
      <c r="Q653" s="148">
        <f t="shared" si="18"/>
        <v>7</v>
      </c>
    </row>
    <row r="654" spans="1:17" ht="16.5" hidden="1" x14ac:dyDescent="0.35">
      <c r="A654" s="53">
        <v>653</v>
      </c>
      <c r="B654" s="18" t="s">
        <v>1250</v>
      </c>
      <c r="C654" s="18" t="s">
        <v>663</v>
      </c>
      <c r="D654" s="17" t="s">
        <v>1257</v>
      </c>
      <c r="E654" s="17" t="s">
        <v>1184</v>
      </c>
      <c r="H654" s="194"/>
      <c r="I654" s="18" t="s">
        <v>1066</v>
      </c>
      <c r="J654" s="23" t="s">
        <v>1270</v>
      </c>
      <c r="K654" s="4">
        <v>32</v>
      </c>
      <c r="L654" s="4" t="s">
        <v>2</v>
      </c>
      <c r="M654" s="5" t="s">
        <v>1179</v>
      </c>
      <c r="N654" s="5" t="s">
        <v>1182</v>
      </c>
      <c r="O654" s="147">
        <v>2</v>
      </c>
      <c r="P654" s="15">
        <v>2</v>
      </c>
      <c r="Q654" s="148">
        <f t="shared" si="18"/>
        <v>4</v>
      </c>
    </row>
    <row r="655" spans="1:17" ht="16.5" hidden="1" x14ac:dyDescent="0.35">
      <c r="A655" s="53">
        <v>654</v>
      </c>
      <c r="B655" s="18" t="s">
        <v>1251</v>
      </c>
      <c r="C655" s="18" t="s">
        <v>663</v>
      </c>
      <c r="D655" s="17" t="s">
        <v>1257</v>
      </c>
      <c r="E655" s="17" t="s">
        <v>1184</v>
      </c>
      <c r="H655" s="194"/>
      <c r="I655" s="18" t="s">
        <v>1066</v>
      </c>
      <c r="J655" s="23" t="s">
        <v>1271</v>
      </c>
      <c r="K655" s="4"/>
      <c r="L655" s="4" t="s">
        <v>2</v>
      </c>
      <c r="M655" s="5" t="s">
        <v>1181</v>
      </c>
      <c r="N655" s="5" t="s">
        <v>923</v>
      </c>
      <c r="O655" s="147">
        <v>1</v>
      </c>
      <c r="P655" s="15">
        <v>2</v>
      </c>
      <c r="Q655" s="148">
        <f t="shared" si="18"/>
        <v>3</v>
      </c>
    </row>
    <row r="656" spans="1:17" ht="16.5" hidden="1" x14ac:dyDescent="0.35">
      <c r="A656" s="53">
        <v>655</v>
      </c>
      <c r="B656" s="18" t="s">
        <v>1252</v>
      </c>
      <c r="C656" s="18" t="s">
        <v>663</v>
      </c>
      <c r="D656" s="17" t="s">
        <v>1257</v>
      </c>
      <c r="E656" s="17" t="s">
        <v>1184</v>
      </c>
      <c r="H656" s="194"/>
      <c r="I656" s="18" t="s">
        <v>1066</v>
      </c>
      <c r="J656" s="23" t="s">
        <v>1272</v>
      </c>
      <c r="K656" s="4">
        <v>53</v>
      </c>
      <c r="L656" s="4" t="s">
        <v>9</v>
      </c>
      <c r="M656" s="5" t="s">
        <v>1179</v>
      </c>
      <c r="N656" s="5" t="s">
        <v>972</v>
      </c>
      <c r="O656" s="147">
        <v>4</v>
      </c>
      <c r="P656" s="15">
        <v>1</v>
      </c>
      <c r="Q656" s="148">
        <f t="shared" si="18"/>
        <v>5</v>
      </c>
    </row>
    <row r="657" spans="1:17" ht="16.5" hidden="1" x14ac:dyDescent="0.35">
      <c r="A657" s="53">
        <v>656</v>
      </c>
      <c r="B657" s="18" t="s">
        <v>1253</v>
      </c>
      <c r="C657" s="18" t="s">
        <v>663</v>
      </c>
      <c r="D657" s="17" t="s">
        <v>1257</v>
      </c>
      <c r="E657" s="17" t="s">
        <v>1184</v>
      </c>
      <c r="H657" s="194"/>
      <c r="I657" s="18" t="s">
        <v>1066</v>
      </c>
      <c r="J657" s="23" t="s">
        <v>1273</v>
      </c>
      <c r="K657" s="4">
        <v>59</v>
      </c>
      <c r="L657" s="4" t="s">
        <v>2</v>
      </c>
      <c r="M657" s="5" t="s">
        <v>1179</v>
      </c>
      <c r="N657" s="5" t="s">
        <v>1182</v>
      </c>
      <c r="O657" s="147">
        <v>4</v>
      </c>
      <c r="P657" s="15">
        <v>0</v>
      </c>
      <c r="Q657" s="148">
        <f t="shared" si="18"/>
        <v>4</v>
      </c>
    </row>
    <row r="658" spans="1:17" ht="16.5" hidden="1" x14ac:dyDescent="0.35">
      <c r="A658" s="53">
        <v>657</v>
      </c>
      <c r="B658" s="18" t="s">
        <v>1254</v>
      </c>
      <c r="C658" s="18" t="s">
        <v>663</v>
      </c>
      <c r="D658" s="17" t="s">
        <v>1257</v>
      </c>
      <c r="E658" s="17" t="s">
        <v>1184</v>
      </c>
      <c r="H658" s="194"/>
      <c r="I658" s="18" t="s">
        <v>1066</v>
      </c>
      <c r="J658" s="23" t="s">
        <v>1274</v>
      </c>
      <c r="K658" s="4">
        <v>29</v>
      </c>
      <c r="L658" s="4" t="s">
        <v>2</v>
      </c>
      <c r="M658" s="5" t="s">
        <v>1179</v>
      </c>
      <c r="N658" s="5" t="s">
        <v>1182</v>
      </c>
      <c r="O658" s="147">
        <v>2</v>
      </c>
      <c r="P658" s="15">
        <v>2</v>
      </c>
      <c r="Q658" s="148">
        <f t="shared" si="18"/>
        <v>4</v>
      </c>
    </row>
    <row r="659" spans="1:17" ht="16.5" hidden="1" x14ac:dyDescent="0.35">
      <c r="A659" s="53">
        <v>658</v>
      </c>
      <c r="B659" s="18" t="s">
        <v>1255</v>
      </c>
      <c r="C659" s="18" t="s">
        <v>663</v>
      </c>
      <c r="D659" s="17" t="s">
        <v>1257</v>
      </c>
      <c r="E659" s="17" t="s">
        <v>1184</v>
      </c>
      <c r="H659" s="194"/>
      <c r="I659" s="18" t="s">
        <v>1066</v>
      </c>
      <c r="J659" s="23" t="s">
        <v>1275</v>
      </c>
      <c r="K659" s="4">
        <v>40</v>
      </c>
      <c r="L659" s="4" t="s">
        <v>9</v>
      </c>
      <c r="M659" s="5" t="s">
        <v>1179</v>
      </c>
      <c r="N659" s="5" t="s">
        <v>972</v>
      </c>
      <c r="O659" s="147">
        <v>6</v>
      </c>
      <c r="P659" s="15">
        <v>3</v>
      </c>
      <c r="Q659" s="148">
        <f t="shared" si="18"/>
        <v>9</v>
      </c>
    </row>
    <row r="660" spans="1:17" ht="16.5" hidden="1" x14ac:dyDescent="0.35">
      <c r="A660" s="53">
        <v>659</v>
      </c>
      <c r="B660" s="18" t="s">
        <v>1256</v>
      </c>
      <c r="C660" s="18" t="s">
        <v>663</v>
      </c>
      <c r="D660" s="17" t="s">
        <v>1257</v>
      </c>
      <c r="E660" s="17" t="s">
        <v>1184</v>
      </c>
      <c r="H660" s="194"/>
      <c r="I660" s="18" t="s">
        <v>1066</v>
      </c>
      <c r="J660" s="23" t="s">
        <v>1276</v>
      </c>
      <c r="K660" s="4">
        <v>48</v>
      </c>
      <c r="L660" s="4" t="s">
        <v>9</v>
      </c>
      <c r="M660" s="5" t="s">
        <v>1181</v>
      </c>
      <c r="N660" s="5" t="s">
        <v>972</v>
      </c>
      <c r="O660" s="147">
        <v>2</v>
      </c>
      <c r="P660" s="15">
        <v>3</v>
      </c>
      <c r="Q660" s="148">
        <f t="shared" si="18"/>
        <v>5</v>
      </c>
    </row>
    <row r="661" spans="1:17" ht="16.5" hidden="1" x14ac:dyDescent="0.35">
      <c r="A661" s="53">
        <v>660</v>
      </c>
      <c r="B661" s="351" t="s">
        <v>409</v>
      </c>
      <c r="C661" s="18" t="s">
        <v>663</v>
      </c>
      <c r="D661" s="17" t="s">
        <v>1257</v>
      </c>
      <c r="E661" s="17" t="s">
        <v>1184</v>
      </c>
      <c r="H661" s="194"/>
      <c r="I661" s="18" t="s">
        <v>1066</v>
      </c>
      <c r="J661" s="23" t="s">
        <v>433</v>
      </c>
      <c r="L661" s="4" t="s">
        <v>2</v>
      </c>
      <c r="M661" s="5" t="s">
        <v>1095</v>
      </c>
      <c r="O661" s="147">
        <v>2</v>
      </c>
      <c r="P661" s="15">
        <v>1</v>
      </c>
      <c r="Q661" s="148">
        <f>(O661+P661)</f>
        <v>3</v>
      </c>
    </row>
    <row r="662" spans="1:17" ht="16.5" hidden="1" x14ac:dyDescent="0.35">
      <c r="A662" s="53">
        <v>661</v>
      </c>
      <c r="B662" s="18" t="s">
        <v>1277</v>
      </c>
      <c r="C662" s="18" t="s">
        <v>663</v>
      </c>
      <c r="D662" s="17" t="s">
        <v>1306</v>
      </c>
      <c r="E662" s="17" t="s">
        <v>1307</v>
      </c>
      <c r="H662" s="25"/>
      <c r="I662" s="18" t="s">
        <v>1066</v>
      </c>
      <c r="J662" s="23" t="s">
        <v>1308</v>
      </c>
      <c r="L662" s="4" t="s">
        <v>2</v>
      </c>
      <c r="M662" s="5"/>
      <c r="O662" s="147">
        <v>5</v>
      </c>
      <c r="P662" s="15">
        <v>1</v>
      </c>
      <c r="Q662" s="148">
        <f t="shared" ref="Q662:Q690" si="19">(O662+P662)</f>
        <v>6</v>
      </c>
    </row>
    <row r="663" spans="1:17" ht="16.5" hidden="1" x14ac:dyDescent="0.35">
      <c r="A663" s="53">
        <v>662</v>
      </c>
      <c r="B663" s="18" t="s">
        <v>1278</v>
      </c>
      <c r="C663" s="18" t="s">
        <v>663</v>
      </c>
      <c r="D663" s="17" t="s">
        <v>1306</v>
      </c>
      <c r="E663" s="17" t="s">
        <v>1307</v>
      </c>
      <c r="H663" s="194"/>
      <c r="I663" s="18" t="s">
        <v>1066</v>
      </c>
      <c r="J663" s="23" t="s">
        <v>1309</v>
      </c>
      <c r="L663" s="4" t="s">
        <v>2</v>
      </c>
      <c r="M663" s="5"/>
      <c r="O663" s="147">
        <v>3</v>
      </c>
      <c r="P663" s="15">
        <v>2</v>
      </c>
      <c r="Q663" s="148">
        <f t="shared" si="19"/>
        <v>5</v>
      </c>
    </row>
    <row r="664" spans="1:17" ht="16.5" hidden="1" x14ac:dyDescent="0.35">
      <c r="A664" s="53">
        <v>663</v>
      </c>
      <c r="B664" s="18" t="s">
        <v>1279</v>
      </c>
      <c r="C664" s="18" t="s">
        <v>663</v>
      </c>
      <c r="D664" s="17" t="s">
        <v>1306</v>
      </c>
      <c r="E664" s="17" t="s">
        <v>1307</v>
      </c>
      <c r="H664" s="194"/>
      <c r="I664" s="18" t="s">
        <v>1066</v>
      </c>
      <c r="J664" s="23" t="s">
        <v>1310</v>
      </c>
      <c r="L664" s="4" t="s">
        <v>2</v>
      </c>
      <c r="M664" s="5"/>
      <c r="O664" s="147">
        <v>3</v>
      </c>
      <c r="P664" s="15">
        <v>3</v>
      </c>
      <c r="Q664" s="148">
        <f t="shared" si="19"/>
        <v>6</v>
      </c>
    </row>
    <row r="665" spans="1:17" ht="16.5" hidden="1" x14ac:dyDescent="0.35">
      <c r="A665" s="53">
        <v>664</v>
      </c>
      <c r="B665" s="18" t="s">
        <v>1280</v>
      </c>
      <c r="C665" s="18" t="s">
        <v>663</v>
      </c>
      <c r="D665" s="17" t="s">
        <v>1306</v>
      </c>
      <c r="E665" s="17" t="s">
        <v>1307</v>
      </c>
      <c r="H665" s="194"/>
      <c r="I665" s="18" t="s">
        <v>1066</v>
      </c>
      <c r="J665" s="23" t="s">
        <v>1311</v>
      </c>
      <c r="L665" s="4" t="s">
        <v>2</v>
      </c>
      <c r="M665" s="3"/>
      <c r="O665" s="147">
        <v>1</v>
      </c>
      <c r="P665" s="15">
        <v>2</v>
      </c>
      <c r="Q665" s="148">
        <f t="shared" si="19"/>
        <v>3</v>
      </c>
    </row>
    <row r="666" spans="1:17" ht="16.5" hidden="1" x14ac:dyDescent="0.35">
      <c r="A666" s="53">
        <v>665</v>
      </c>
      <c r="B666" s="18" t="s">
        <v>1281</v>
      </c>
      <c r="C666" s="18" t="s">
        <v>663</v>
      </c>
      <c r="D666" s="17" t="s">
        <v>1306</v>
      </c>
      <c r="E666" s="17" t="s">
        <v>1307</v>
      </c>
      <c r="H666" s="194"/>
      <c r="I666" s="18" t="s">
        <v>1066</v>
      </c>
      <c r="J666" s="23" t="s">
        <v>1312</v>
      </c>
      <c r="L666" s="4" t="s">
        <v>2</v>
      </c>
      <c r="M666" s="5"/>
      <c r="O666" s="147">
        <v>2</v>
      </c>
      <c r="P666" s="15">
        <v>3</v>
      </c>
      <c r="Q666" s="148">
        <f t="shared" si="19"/>
        <v>5</v>
      </c>
    </row>
    <row r="667" spans="1:17" ht="16.5" hidden="1" x14ac:dyDescent="0.35">
      <c r="A667" s="53">
        <v>666</v>
      </c>
      <c r="B667" s="18" t="s">
        <v>1282</v>
      </c>
      <c r="C667" s="18" t="s">
        <v>663</v>
      </c>
      <c r="D667" s="17" t="s">
        <v>1306</v>
      </c>
      <c r="E667" s="17" t="s">
        <v>1307</v>
      </c>
      <c r="H667" s="194"/>
      <c r="I667" s="18" t="s">
        <v>1066</v>
      </c>
      <c r="J667" s="23" t="s">
        <v>1313</v>
      </c>
      <c r="L667" s="4" t="s">
        <v>2</v>
      </c>
      <c r="M667" s="5"/>
      <c r="O667" s="147">
        <v>1</v>
      </c>
      <c r="P667" s="15">
        <v>2</v>
      </c>
      <c r="Q667" s="148">
        <f t="shared" si="19"/>
        <v>3</v>
      </c>
    </row>
    <row r="668" spans="1:17" ht="16.5" hidden="1" x14ac:dyDescent="0.35">
      <c r="A668" s="53">
        <v>667</v>
      </c>
      <c r="B668" s="18" t="s">
        <v>1283</v>
      </c>
      <c r="C668" s="18" t="s">
        <v>663</v>
      </c>
      <c r="D668" s="17" t="s">
        <v>1306</v>
      </c>
      <c r="E668" s="17" t="s">
        <v>1307</v>
      </c>
      <c r="H668" s="194"/>
      <c r="I668" s="18" t="s">
        <v>1066</v>
      </c>
      <c r="J668" s="23" t="s">
        <v>1314</v>
      </c>
      <c r="L668" s="4" t="s">
        <v>2</v>
      </c>
      <c r="M668" s="5"/>
      <c r="O668" s="147"/>
      <c r="P668" s="15"/>
      <c r="Q668" s="148">
        <f t="shared" si="19"/>
        <v>0</v>
      </c>
    </row>
    <row r="669" spans="1:17" ht="16.5" hidden="1" x14ac:dyDescent="0.35">
      <c r="A669" s="53">
        <v>668</v>
      </c>
      <c r="B669" s="18" t="s">
        <v>1284</v>
      </c>
      <c r="C669" s="18" t="s">
        <v>663</v>
      </c>
      <c r="D669" s="17" t="s">
        <v>1306</v>
      </c>
      <c r="E669" s="17" t="s">
        <v>1307</v>
      </c>
      <c r="H669" s="194"/>
      <c r="I669" s="18" t="s">
        <v>1066</v>
      </c>
      <c r="J669" s="23"/>
      <c r="L669" s="4" t="s">
        <v>2</v>
      </c>
      <c r="M669" s="5"/>
      <c r="O669" s="147">
        <v>0</v>
      </c>
      <c r="P669" s="15">
        <v>4</v>
      </c>
      <c r="Q669" s="148">
        <f t="shared" si="19"/>
        <v>4</v>
      </c>
    </row>
    <row r="670" spans="1:17" ht="16.5" hidden="1" x14ac:dyDescent="0.35">
      <c r="A670" s="53">
        <v>669</v>
      </c>
      <c r="B670" s="18" t="s">
        <v>1285</v>
      </c>
      <c r="C670" s="18" t="s">
        <v>663</v>
      </c>
      <c r="D670" s="17" t="s">
        <v>1306</v>
      </c>
      <c r="E670" s="17" t="s">
        <v>1307</v>
      </c>
      <c r="H670" s="194"/>
      <c r="I670" s="18" t="s">
        <v>1066</v>
      </c>
      <c r="J670" s="23" t="s">
        <v>1315</v>
      </c>
      <c r="L670" s="4" t="s">
        <v>2</v>
      </c>
      <c r="M670" s="5"/>
      <c r="O670" s="147">
        <v>2</v>
      </c>
      <c r="P670" s="15">
        <v>2</v>
      </c>
      <c r="Q670" s="148">
        <f t="shared" si="19"/>
        <v>4</v>
      </c>
    </row>
    <row r="671" spans="1:17" ht="16.5" hidden="1" x14ac:dyDescent="0.35">
      <c r="A671" s="53">
        <v>670</v>
      </c>
      <c r="B671" s="18" t="s">
        <v>1286</v>
      </c>
      <c r="C671" s="18" t="s">
        <v>663</v>
      </c>
      <c r="D671" s="17" t="s">
        <v>1306</v>
      </c>
      <c r="E671" s="17" t="s">
        <v>1307</v>
      </c>
      <c r="H671" s="194"/>
      <c r="I671" s="18" t="s">
        <v>1066</v>
      </c>
      <c r="J671" s="23"/>
      <c r="L671" s="4" t="s">
        <v>2</v>
      </c>
      <c r="M671" s="5"/>
      <c r="O671" s="147">
        <v>2</v>
      </c>
      <c r="P671" s="15">
        <v>2</v>
      </c>
      <c r="Q671" s="148">
        <f t="shared" si="19"/>
        <v>4</v>
      </c>
    </row>
    <row r="672" spans="1:17" ht="16.5" hidden="1" x14ac:dyDescent="0.35">
      <c r="A672" s="53">
        <v>671</v>
      </c>
      <c r="B672" s="18" t="s">
        <v>1287</v>
      </c>
      <c r="C672" s="18" t="s">
        <v>663</v>
      </c>
      <c r="D672" s="17" t="s">
        <v>1306</v>
      </c>
      <c r="E672" s="17" t="s">
        <v>1307</v>
      </c>
      <c r="H672" s="194"/>
      <c r="I672" s="18" t="s">
        <v>1066</v>
      </c>
      <c r="J672" s="23" t="s">
        <v>1316</v>
      </c>
      <c r="L672" s="4" t="s">
        <v>2</v>
      </c>
      <c r="M672" s="5"/>
      <c r="O672" s="147">
        <v>1</v>
      </c>
      <c r="P672" s="15">
        <v>4</v>
      </c>
      <c r="Q672" s="148">
        <f t="shared" si="19"/>
        <v>5</v>
      </c>
    </row>
    <row r="673" spans="1:17" ht="16.5" hidden="1" x14ac:dyDescent="0.35">
      <c r="A673" s="53">
        <v>672</v>
      </c>
      <c r="B673" s="18" t="s">
        <v>1281</v>
      </c>
      <c r="C673" s="18" t="s">
        <v>663</v>
      </c>
      <c r="D673" s="17" t="s">
        <v>1306</v>
      </c>
      <c r="E673" s="17" t="s">
        <v>1307</v>
      </c>
      <c r="H673" s="194"/>
      <c r="I673" s="18" t="s">
        <v>1066</v>
      </c>
      <c r="J673" s="23" t="s">
        <v>1317</v>
      </c>
      <c r="L673" s="4" t="s">
        <v>2</v>
      </c>
      <c r="M673" s="5"/>
      <c r="O673" s="147">
        <v>1</v>
      </c>
      <c r="P673" s="15">
        <v>4</v>
      </c>
      <c r="Q673" s="148">
        <f t="shared" si="19"/>
        <v>5</v>
      </c>
    </row>
    <row r="674" spans="1:17" ht="16.5" hidden="1" x14ac:dyDescent="0.35">
      <c r="A674" s="53">
        <v>673</v>
      </c>
      <c r="B674" s="18" t="s">
        <v>1288</v>
      </c>
      <c r="C674" s="18" t="s">
        <v>663</v>
      </c>
      <c r="D674" s="17" t="s">
        <v>1306</v>
      </c>
      <c r="E674" s="17" t="s">
        <v>1307</v>
      </c>
      <c r="H674" s="194"/>
      <c r="I674" s="18" t="s">
        <v>1066</v>
      </c>
      <c r="J674" s="23" t="s">
        <v>1318</v>
      </c>
      <c r="L674" s="4" t="s">
        <v>9</v>
      </c>
      <c r="M674" s="5"/>
      <c r="O674" s="147">
        <v>5</v>
      </c>
      <c r="P674" s="15">
        <v>1</v>
      </c>
      <c r="Q674" s="148">
        <f t="shared" si="19"/>
        <v>6</v>
      </c>
    </row>
    <row r="675" spans="1:17" ht="16.5" hidden="1" x14ac:dyDescent="0.35">
      <c r="A675" s="53">
        <v>674</v>
      </c>
      <c r="B675" s="18" t="s">
        <v>1289</v>
      </c>
      <c r="C675" s="18" t="s">
        <v>663</v>
      </c>
      <c r="D675" s="17" t="s">
        <v>1306</v>
      </c>
      <c r="E675" s="17" t="s">
        <v>1307</v>
      </c>
      <c r="H675" s="194"/>
      <c r="I675" s="18" t="s">
        <v>1066</v>
      </c>
      <c r="J675" s="23" t="s">
        <v>1319</v>
      </c>
      <c r="L675" s="4" t="s">
        <v>2</v>
      </c>
      <c r="M675" s="5"/>
      <c r="O675" s="147">
        <v>2</v>
      </c>
      <c r="P675" s="15">
        <v>0</v>
      </c>
      <c r="Q675" s="148">
        <f t="shared" si="19"/>
        <v>2</v>
      </c>
    </row>
    <row r="676" spans="1:17" ht="16.5" hidden="1" x14ac:dyDescent="0.35">
      <c r="A676" s="53">
        <v>675</v>
      </c>
      <c r="B676" s="18" t="s">
        <v>1290</v>
      </c>
      <c r="C676" s="18" t="s">
        <v>663</v>
      </c>
      <c r="D676" s="17" t="s">
        <v>1306</v>
      </c>
      <c r="E676" s="17" t="s">
        <v>1307</v>
      </c>
      <c r="H676" s="194"/>
      <c r="I676" s="18" t="s">
        <v>1066</v>
      </c>
      <c r="J676" s="23" t="s">
        <v>1320</v>
      </c>
      <c r="L676" s="4" t="s">
        <v>2</v>
      </c>
      <c r="M676" s="5"/>
      <c r="O676" s="147">
        <v>3</v>
      </c>
      <c r="P676" s="15">
        <v>1</v>
      </c>
      <c r="Q676" s="148">
        <f t="shared" si="19"/>
        <v>4</v>
      </c>
    </row>
    <row r="677" spans="1:17" ht="16.5" hidden="1" x14ac:dyDescent="0.35">
      <c r="A677" s="53">
        <v>676</v>
      </c>
      <c r="B677" s="18" t="s">
        <v>1291</v>
      </c>
      <c r="C677" s="18" t="s">
        <v>663</v>
      </c>
      <c r="D677" s="17" t="s">
        <v>1306</v>
      </c>
      <c r="E677" s="17" t="s">
        <v>1307</v>
      </c>
      <c r="H677" s="194"/>
      <c r="I677" s="18" t="s">
        <v>1066</v>
      </c>
      <c r="J677" s="23" t="s">
        <v>1321</v>
      </c>
      <c r="L677" s="4" t="s">
        <v>2</v>
      </c>
      <c r="M677" s="5" t="s">
        <v>1095</v>
      </c>
      <c r="O677" s="147">
        <v>4</v>
      </c>
      <c r="P677" s="15">
        <v>2</v>
      </c>
      <c r="Q677" s="148">
        <f t="shared" si="19"/>
        <v>6</v>
      </c>
    </row>
    <row r="678" spans="1:17" ht="16.5" hidden="1" x14ac:dyDescent="0.35">
      <c r="A678" s="53">
        <v>677</v>
      </c>
      <c r="B678" s="18" t="s">
        <v>1292</v>
      </c>
      <c r="C678" s="18" t="s">
        <v>663</v>
      </c>
      <c r="D678" s="17" t="s">
        <v>1306</v>
      </c>
      <c r="E678" s="17" t="s">
        <v>1307</v>
      </c>
      <c r="H678" s="194"/>
      <c r="I678" s="18" t="s">
        <v>1066</v>
      </c>
      <c r="J678" s="23" t="s">
        <v>1320</v>
      </c>
      <c r="L678" s="4" t="s">
        <v>2</v>
      </c>
      <c r="M678" s="5" t="s">
        <v>1095</v>
      </c>
      <c r="O678" s="147">
        <v>2</v>
      </c>
      <c r="P678" s="15">
        <v>3</v>
      </c>
      <c r="Q678" s="148">
        <f t="shared" si="19"/>
        <v>5</v>
      </c>
    </row>
    <row r="679" spans="1:17" ht="16.5" hidden="1" x14ac:dyDescent="0.35">
      <c r="A679" s="53">
        <v>678</v>
      </c>
      <c r="B679" s="18" t="s">
        <v>1293</v>
      </c>
      <c r="C679" s="18" t="s">
        <v>663</v>
      </c>
      <c r="D679" s="17" t="s">
        <v>1306</v>
      </c>
      <c r="E679" s="17" t="s">
        <v>1307</v>
      </c>
      <c r="H679" s="194"/>
      <c r="I679" s="18" t="s">
        <v>1066</v>
      </c>
      <c r="J679" s="23" t="s">
        <v>1322</v>
      </c>
      <c r="L679" s="4" t="s">
        <v>2</v>
      </c>
      <c r="M679" s="5" t="s">
        <v>1095</v>
      </c>
      <c r="O679" s="147">
        <v>2</v>
      </c>
      <c r="P679" s="15">
        <v>4</v>
      </c>
      <c r="Q679" s="148">
        <f t="shared" si="19"/>
        <v>6</v>
      </c>
    </row>
    <row r="680" spans="1:17" ht="16.5" hidden="1" x14ac:dyDescent="0.35">
      <c r="A680" s="53">
        <v>679</v>
      </c>
      <c r="B680" s="18" t="s">
        <v>1294</v>
      </c>
      <c r="C680" s="18" t="s">
        <v>663</v>
      </c>
      <c r="D680" s="17" t="s">
        <v>1306</v>
      </c>
      <c r="E680" s="17" t="s">
        <v>1307</v>
      </c>
      <c r="H680" s="194"/>
      <c r="I680" s="18" t="s">
        <v>1066</v>
      </c>
      <c r="J680" s="23" t="s">
        <v>1323</v>
      </c>
      <c r="L680" s="4" t="s">
        <v>2</v>
      </c>
      <c r="M680" s="5"/>
      <c r="O680" s="147">
        <v>2</v>
      </c>
      <c r="P680" s="15">
        <v>2</v>
      </c>
      <c r="Q680" s="148">
        <f t="shared" si="19"/>
        <v>4</v>
      </c>
    </row>
    <row r="681" spans="1:17" ht="16.5" hidden="1" x14ac:dyDescent="0.35">
      <c r="A681" s="53">
        <v>680</v>
      </c>
      <c r="B681" s="18" t="s">
        <v>1295</v>
      </c>
      <c r="C681" s="18" t="s">
        <v>663</v>
      </c>
      <c r="D681" s="17" t="s">
        <v>1306</v>
      </c>
      <c r="E681" s="17" t="s">
        <v>1307</v>
      </c>
      <c r="H681" s="194"/>
      <c r="I681" s="18" t="s">
        <v>1066</v>
      </c>
      <c r="J681" s="23"/>
      <c r="L681" s="4" t="s">
        <v>2</v>
      </c>
      <c r="M681" s="5"/>
      <c r="O681" s="147">
        <v>4</v>
      </c>
      <c r="P681" s="15">
        <v>2</v>
      </c>
      <c r="Q681" s="148">
        <f t="shared" si="19"/>
        <v>6</v>
      </c>
    </row>
    <row r="682" spans="1:17" ht="16.5" hidden="1" x14ac:dyDescent="0.35">
      <c r="A682" s="53">
        <v>681</v>
      </c>
      <c r="B682" s="18" t="s">
        <v>1296</v>
      </c>
      <c r="C682" s="18" t="s">
        <v>663</v>
      </c>
      <c r="D682" s="17" t="s">
        <v>1306</v>
      </c>
      <c r="E682" s="17" t="s">
        <v>1307</v>
      </c>
      <c r="H682" s="194"/>
      <c r="I682" s="18" t="s">
        <v>1066</v>
      </c>
      <c r="J682" s="23" t="s">
        <v>1324</v>
      </c>
      <c r="L682" s="4" t="s">
        <v>2</v>
      </c>
      <c r="M682" s="5"/>
      <c r="O682" s="147">
        <v>1</v>
      </c>
      <c r="P682" s="15">
        <v>3</v>
      </c>
      <c r="Q682" s="148">
        <f t="shared" si="19"/>
        <v>4</v>
      </c>
    </row>
    <row r="683" spans="1:17" ht="16.5" hidden="1" x14ac:dyDescent="0.35">
      <c r="A683" s="53">
        <v>682</v>
      </c>
      <c r="B683" s="18" t="s">
        <v>1297</v>
      </c>
      <c r="C683" s="18" t="s">
        <v>663</v>
      </c>
      <c r="D683" s="17" t="s">
        <v>1306</v>
      </c>
      <c r="E683" s="17" t="s">
        <v>1307</v>
      </c>
      <c r="H683" s="194"/>
      <c r="I683" s="18" t="s">
        <v>1066</v>
      </c>
      <c r="J683" s="23"/>
      <c r="L683" s="4" t="s">
        <v>2</v>
      </c>
      <c r="M683" s="5"/>
      <c r="O683" s="147">
        <v>1</v>
      </c>
      <c r="P683" s="15">
        <v>3</v>
      </c>
      <c r="Q683" s="148">
        <f t="shared" si="19"/>
        <v>4</v>
      </c>
    </row>
    <row r="684" spans="1:17" ht="16.5" hidden="1" x14ac:dyDescent="0.35">
      <c r="A684" s="53">
        <v>683</v>
      </c>
      <c r="B684" s="18" t="s">
        <v>1298</v>
      </c>
      <c r="C684" s="18" t="s">
        <v>663</v>
      </c>
      <c r="D684" s="17" t="s">
        <v>1306</v>
      </c>
      <c r="E684" s="17" t="s">
        <v>1307</v>
      </c>
      <c r="H684" s="194"/>
      <c r="I684" s="18" t="s">
        <v>1066</v>
      </c>
      <c r="J684" s="23" t="s">
        <v>1325</v>
      </c>
      <c r="L684" s="4" t="s">
        <v>2</v>
      </c>
      <c r="M684" s="5"/>
      <c r="O684" s="147">
        <v>4</v>
      </c>
      <c r="P684" s="15">
        <v>2</v>
      </c>
      <c r="Q684" s="148">
        <f t="shared" si="19"/>
        <v>6</v>
      </c>
    </row>
    <row r="685" spans="1:17" ht="16.5" hidden="1" x14ac:dyDescent="0.35">
      <c r="A685" s="53">
        <v>684</v>
      </c>
      <c r="B685" s="18" t="s">
        <v>1299</v>
      </c>
      <c r="C685" s="18" t="s">
        <v>663</v>
      </c>
      <c r="D685" s="17" t="s">
        <v>1306</v>
      </c>
      <c r="E685" s="17" t="s">
        <v>1307</v>
      </c>
      <c r="H685" s="194"/>
      <c r="I685" s="18" t="s">
        <v>1066</v>
      </c>
      <c r="J685" s="23" t="s">
        <v>1326</v>
      </c>
      <c r="L685" s="4" t="s">
        <v>9</v>
      </c>
      <c r="M685" s="5" t="s">
        <v>1095</v>
      </c>
      <c r="O685" s="147">
        <v>1</v>
      </c>
      <c r="P685" s="15">
        <v>2</v>
      </c>
      <c r="Q685" s="148">
        <f t="shared" si="19"/>
        <v>3</v>
      </c>
    </row>
    <row r="686" spans="1:17" ht="16.5" hidden="1" x14ac:dyDescent="0.35">
      <c r="A686" s="53">
        <v>685</v>
      </c>
      <c r="B686" s="18" t="s">
        <v>1300</v>
      </c>
      <c r="C686" s="18" t="s">
        <v>663</v>
      </c>
      <c r="D686" s="17" t="s">
        <v>1306</v>
      </c>
      <c r="E686" s="17" t="s">
        <v>1307</v>
      </c>
      <c r="H686" s="194"/>
      <c r="I686" s="18" t="s">
        <v>1066</v>
      </c>
      <c r="J686" s="23" t="s">
        <v>1327</v>
      </c>
      <c r="L686" s="4" t="s">
        <v>9</v>
      </c>
      <c r="M686" s="5"/>
      <c r="O686" s="147">
        <v>0</v>
      </c>
      <c r="P686" s="15">
        <v>0</v>
      </c>
      <c r="Q686" s="148">
        <f t="shared" si="19"/>
        <v>0</v>
      </c>
    </row>
    <row r="687" spans="1:17" ht="16.5" hidden="1" x14ac:dyDescent="0.5">
      <c r="A687" s="53">
        <v>686</v>
      </c>
      <c r="B687" s="18" t="s">
        <v>1301</v>
      </c>
      <c r="C687" s="18" t="s">
        <v>663</v>
      </c>
      <c r="D687" s="17" t="s">
        <v>1306</v>
      </c>
      <c r="E687" s="17" t="s">
        <v>1307</v>
      </c>
      <c r="H687" s="194"/>
      <c r="I687" s="18" t="s">
        <v>1066</v>
      </c>
      <c r="J687" s="23" t="s">
        <v>1328</v>
      </c>
      <c r="L687" s="4" t="s">
        <v>2</v>
      </c>
      <c r="M687" s="6"/>
      <c r="O687" s="149">
        <v>2</v>
      </c>
      <c r="P687" s="149">
        <v>3</v>
      </c>
      <c r="Q687" s="148">
        <f t="shared" si="19"/>
        <v>5</v>
      </c>
    </row>
    <row r="688" spans="1:17" ht="16.5" hidden="1" x14ac:dyDescent="0.35">
      <c r="A688" s="53">
        <v>687</v>
      </c>
      <c r="B688" s="18" t="s">
        <v>1302</v>
      </c>
      <c r="C688" s="18" t="s">
        <v>663</v>
      </c>
      <c r="D688" s="17" t="s">
        <v>1306</v>
      </c>
      <c r="E688" s="17" t="s">
        <v>1307</v>
      </c>
      <c r="H688" s="194"/>
      <c r="I688" s="18" t="s">
        <v>1066</v>
      </c>
      <c r="J688" s="23" t="s">
        <v>1329</v>
      </c>
      <c r="L688" s="4" t="s">
        <v>2</v>
      </c>
      <c r="M688" s="8"/>
      <c r="O688" s="151">
        <v>0</v>
      </c>
      <c r="P688" s="151">
        <v>0</v>
      </c>
      <c r="Q688" s="148">
        <f t="shared" si="19"/>
        <v>0</v>
      </c>
    </row>
    <row r="689" spans="1:17" ht="16.5" hidden="1" x14ac:dyDescent="0.35">
      <c r="A689" s="53">
        <v>688</v>
      </c>
      <c r="B689" s="18" t="s">
        <v>1303</v>
      </c>
      <c r="C689" s="18" t="s">
        <v>663</v>
      </c>
      <c r="D689" s="17" t="s">
        <v>1306</v>
      </c>
      <c r="E689" s="17" t="s">
        <v>1307</v>
      </c>
      <c r="H689" s="194"/>
      <c r="I689" s="18" t="s">
        <v>1066</v>
      </c>
      <c r="J689" s="24"/>
      <c r="L689" s="178" t="s">
        <v>2</v>
      </c>
      <c r="M689" s="11"/>
      <c r="O689" s="143">
        <v>0</v>
      </c>
      <c r="P689" s="143">
        <v>0</v>
      </c>
      <c r="Q689" s="148">
        <f t="shared" si="19"/>
        <v>0</v>
      </c>
    </row>
    <row r="690" spans="1:17" ht="17" hidden="1" thickBot="1" x14ac:dyDescent="0.4">
      <c r="A690" s="53">
        <v>689</v>
      </c>
      <c r="B690" s="351" t="s">
        <v>1304</v>
      </c>
      <c r="C690" s="18" t="s">
        <v>663</v>
      </c>
      <c r="D690" s="17" t="s">
        <v>1306</v>
      </c>
      <c r="E690" s="17" t="s">
        <v>1307</v>
      </c>
      <c r="H690" s="194"/>
      <c r="I690" s="18" t="s">
        <v>1066</v>
      </c>
      <c r="J690" s="25"/>
      <c r="L690" s="14" t="s">
        <v>2</v>
      </c>
      <c r="M690" s="14" t="s">
        <v>1095</v>
      </c>
      <c r="O690" s="141">
        <v>2</v>
      </c>
      <c r="P690" s="141">
        <v>3</v>
      </c>
      <c r="Q690" s="148">
        <f t="shared" si="19"/>
        <v>5</v>
      </c>
    </row>
    <row r="691" spans="1:17" ht="17" hidden="1" thickBot="1" x14ac:dyDescent="0.4">
      <c r="A691" s="53">
        <v>690</v>
      </c>
      <c r="B691" s="351" t="s">
        <v>1305</v>
      </c>
      <c r="C691" s="18" t="s">
        <v>663</v>
      </c>
      <c r="D691" s="17" t="s">
        <v>1306</v>
      </c>
      <c r="E691" s="17" t="s">
        <v>1307</v>
      </c>
      <c r="H691" s="194"/>
      <c r="I691" s="18" t="s">
        <v>1066</v>
      </c>
      <c r="J691" s="193" t="s">
        <v>1330</v>
      </c>
      <c r="L691" s="195" t="s">
        <v>2</v>
      </c>
      <c r="M691" s="27"/>
      <c r="O691" s="190"/>
      <c r="P691" s="190"/>
      <c r="Q691" s="191">
        <f t="shared" ref="Q691" si="20">SUM(M691:P691)</f>
        <v>0</v>
      </c>
    </row>
    <row r="692" spans="1:17" ht="16.5" hidden="1" x14ac:dyDescent="0.35">
      <c r="A692" s="53">
        <v>691</v>
      </c>
      <c r="B692" s="18" t="s">
        <v>1331</v>
      </c>
      <c r="C692" s="18" t="s">
        <v>663</v>
      </c>
      <c r="D692" s="17" t="s">
        <v>1257</v>
      </c>
      <c r="E692" s="17" t="s">
        <v>1307</v>
      </c>
      <c r="H692" s="25"/>
      <c r="I692" s="18" t="s">
        <v>1066</v>
      </c>
      <c r="J692" s="23"/>
      <c r="L692" s="4" t="s">
        <v>2</v>
      </c>
      <c r="M692" s="5" t="s">
        <v>1095</v>
      </c>
      <c r="O692" s="147">
        <v>3</v>
      </c>
      <c r="P692" s="15">
        <v>3</v>
      </c>
      <c r="Q692" s="148">
        <f>(O692+P692)</f>
        <v>6</v>
      </c>
    </row>
    <row r="693" spans="1:17" ht="16.5" hidden="1" x14ac:dyDescent="0.35">
      <c r="A693" s="53">
        <v>692</v>
      </c>
      <c r="B693" s="18" t="s">
        <v>1332</v>
      </c>
      <c r="C693" s="18" t="s">
        <v>663</v>
      </c>
      <c r="D693" s="17" t="s">
        <v>1257</v>
      </c>
      <c r="E693" s="17" t="s">
        <v>1307</v>
      </c>
      <c r="H693" s="194"/>
      <c r="I693" s="18" t="s">
        <v>1066</v>
      </c>
      <c r="J693" s="23"/>
      <c r="L693" s="4" t="s">
        <v>9</v>
      </c>
      <c r="M693" s="5" t="s">
        <v>1095</v>
      </c>
      <c r="O693" s="147">
        <v>3</v>
      </c>
      <c r="P693" s="15">
        <v>3</v>
      </c>
      <c r="Q693" s="148">
        <f t="shared" ref="Q693:Q721" si="21">(O693+P693)</f>
        <v>6</v>
      </c>
    </row>
    <row r="694" spans="1:17" ht="16.5" hidden="1" x14ac:dyDescent="0.35">
      <c r="A694" s="53">
        <v>693</v>
      </c>
      <c r="B694" s="18" t="s">
        <v>1333</v>
      </c>
      <c r="C694" s="18" t="s">
        <v>663</v>
      </c>
      <c r="D694" s="17" t="s">
        <v>1257</v>
      </c>
      <c r="E694" s="17" t="s">
        <v>1307</v>
      </c>
      <c r="H694" s="194"/>
      <c r="I694" s="18" t="s">
        <v>1066</v>
      </c>
      <c r="J694" s="23" t="s">
        <v>1361</v>
      </c>
      <c r="L694" s="4" t="s">
        <v>2</v>
      </c>
      <c r="M694" s="5" t="s">
        <v>1063</v>
      </c>
      <c r="O694" s="147">
        <v>8</v>
      </c>
      <c r="P694" s="15">
        <v>0</v>
      </c>
      <c r="Q694" s="148">
        <f t="shared" si="21"/>
        <v>8</v>
      </c>
    </row>
    <row r="695" spans="1:17" ht="16.5" hidden="1" x14ac:dyDescent="0.35">
      <c r="A695" s="53">
        <v>694</v>
      </c>
      <c r="B695" s="18" t="s">
        <v>1334</v>
      </c>
      <c r="C695" s="18" t="s">
        <v>663</v>
      </c>
      <c r="D695" s="17" t="s">
        <v>1257</v>
      </c>
      <c r="E695" s="17" t="s">
        <v>1307</v>
      </c>
      <c r="H695" s="194"/>
      <c r="I695" s="18" t="s">
        <v>1066</v>
      </c>
      <c r="J695" s="23"/>
      <c r="L695" s="4" t="s">
        <v>2</v>
      </c>
      <c r="M695" s="5" t="s">
        <v>1063</v>
      </c>
      <c r="O695" s="147">
        <v>2</v>
      </c>
      <c r="P695" s="15">
        <v>2</v>
      </c>
      <c r="Q695" s="148">
        <f t="shared" si="21"/>
        <v>4</v>
      </c>
    </row>
    <row r="696" spans="1:17" ht="16.5" hidden="1" x14ac:dyDescent="0.35">
      <c r="A696" s="53">
        <v>695</v>
      </c>
      <c r="B696" s="18" t="s">
        <v>1335</v>
      </c>
      <c r="C696" s="18" t="s">
        <v>663</v>
      </c>
      <c r="D696" s="17" t="s">
        <v>1257</v>
      </c>
      <c r="E696" s="17" t="s">
        <v>1307</v>
      </c>
      <c r="H696" s="194"/>
      <c r="I696" s="18" t="s">
        <v>1066</v>
      </c>
      <c r="J696" s="23"/>
      <c r="L696" s="4" t="s">
        <v>2</v>
      </c>
      <c r="M696" s="3" t="s">
        <v>1063</v>
      </c>
      <c r="O696" s="147">
        <v>3</v>
      </c>
      <c r="P696" s="15">
        <v>2</v>
      </c>
      <c r="Q696" s="148">
        <f t="shared" si="21"/>
        <v>5</v>
      </c>
    </row>
    <row r="697" spans="1:17" ht="16.5" hidden="1" x14ac:dyDescent="0.35">
      <c r="A697" s="53">
        <v>696</v>
      </c>
      <c r="B697" s="18" t="s">
        <v>1336</v>
      </c>
      <c r="C697" s="18" t="s">
        <v>663</v>
      </c>
      <c r="D697" s="17" t="s">
        <v>1257</v>
      </c>
      <c r="E697" s="17" t="s">
        <v>1307</v>
      </c>
      <c r="H697" s="194"/>
      <c r="I697" s="18" t="s">
        <v>1066</v>
      </c>
      <c r="J697" s="23"/>
      <c r="L697" s="4" t="s">
        <v>2</v>
      </c>
      <c r="M697" s="5" t="s">
        <v>1063</v>
      </c>
      <c r="O697" s="147">
        <v>4</v>
      </c>
      <c r="P697" s="15">
        <v>3</v>
      </c>
      <c r="Q697" s="148">
        <f t="shared" si="21"/>
        <v>7</v>
      </c>
    </row>
    <row r="698" spans="1:17" ht="16.5" hidden="1" x14ac:dyDescent="0.35">
      <c r="A698" s="53">
        <v>697</v>
      </c>
      <c r="B698" s="18" t="s">
        <v>1337</v>
      </c>
      <c r="C698" s="18" t="s">
        <v>663</v>
      </c>
      <c r="D698" s="17" t="s">
        <v>1257</v>
      </c>
      <c r="E698" s="17" t="s">
        <v>1307</v>
      </c>
      <c r="H698" s="194"/>
      <c r="I698" s="18" t="s">
        <v>1066</v>
      </c>
      <c r="J698" s="23"/>
      <c r="L698" s="4" t="s">
        <v>2</v>
      </c>
      <c r="M698" s="5" t="s">
        <v>1063</v>
      </c>
      <c r="O698" s="147">
        <v>1</v>
      </c>
      <c r="P698" s="15">
        <v>2</v>
      </c>
      <c r="Q698" s="148">
        <f t="shared" si="21"/>
        <v>3</v>
      </c>
    </row>
    <row r="699" spans="1:17" ht="16.5" hidden="1" x14ac:dyDescent="0.35">
      <c r="A699" s="53">
        <v>698</v>
      </c>
      <c r="B699" s="18" t="s">
        <v>1338</v>
      </c>
      <c r="C699" s="18" t="s">
        <v>663</v>
      </c>
      <c r="D699" s="17" t="s">
        <v>1257</v>
      </c>
      <c r="E699" s="17" t="s">
        <v>1307</v>
      </c>
      <c r="H699" s="194"/>
      <c r="I699" s="18" t="s">
        <v>1066</v>
      </c>
      <c r="J699" s="23"/>
      <c r="L699" s="4" t="s">
        <v>2</v>
      </c>
      <c r="M699" s="5" t="s">
        <v>1063</v>
      </c>
      <c r="O699" s="147">
        <v>2</v>
      </c>
      <c r="P699" s="15">
        <v>3</v>
      </c>
      <c r="Q699" s="148">
        <f t="shared" si="21"/>
        <v>5</v>
      </c>
    </row>
    <row r="700" spans="1:17" ht="16.5" hidden="1" x14ac:dyDescent="0.35">
      <c r="A700" s="53">
        <v>699</v>
      </c>
      <c r="B700" s="18" t="s">
        <v>1339</v>
      </c>
      <c r="C700" s="18" t="s">
        <v>663</v>
      </c>
      <c r="D700" s="17" t="s">
        <v>1257</v>
      </c>
      <c r="E700" s="17" t="s">
        <v>1307</v>
      </c>
      <c r="H700" s="194"/>
      <c r="I700" s="18" t="s">
        <v>1066</v>
      </c>
      <c r="J700" s="23"/>
      <c r="L700" s="4" t="s">
        <v>2</v>
      </c>
      <c r="M700" s="5" t="s">
        <v>1063</v>
      </c>
      <c r="O700" s="147">
        <v>1</v>
      </c>
      <c r="P700" s="15">
        <v>0</v>
      </c>
      <c r="Q700" s="148">
        <f t="shared" si="21"/>
        <v>1</v>
      </c>
    </row>
    <row r="701" spans="1:17" ht="16.5" hidden="1" x14ac:dyDescent="0.35">
      <c r="A701" s="53">
        <v>700</v>
      </c>
      <c r="B701" s="18" t="s">
        <v>1340</v>
      </c>
      <c r="C701" s="18" t="s">
        <v>663</v>
      </c>
      <c r="D701" s="17" t="s">
        <v>1257</v>
      </c>
      <c r="E701" s="17" t="s">
        <v>1307</v>
      </c>
      <c r="H701" s="194"/>
      <c r="I701" s="18" t="s">
        <v>1066</v>
      </c>
      <c r="J701" s="23"/>
      <c r="L701" s="4" t="s">
        <v>2</v>
      </c>
      <c r="M701" s="5" t="s">
        <v>1063</v>
      </c>
      <c r="O701" s="147">
        <v>8</v>
      </c>
      <c r="P701" s="15">
        <v>1</v>
      </c>
      <c r="Q701" s="148">
        <f t="shared" si="21"/>
        <v>9</v>
      </c>
    </row>
    <row r="702" spans="1:17" ht="16.5" hidden="1" x14ac:dyDescent="0.35">
      <c r="A702" s="53">
        <v>701</v>
      </c>
      <c r="B702" s="18" t="s">
        <v>1341</v>
      </c>
      <c r="C702" s="18" t="s">
        <v>663</v>
      </c>
      <c r="D702" s="17" t="s">
        <v>1257</v>
      </c>
      <c r="E702" s="17" t="s">
        <v>1307</v>
      </c>
      <c r="H702" s="194"/>
      <c r="I702" s="18" t="s">
        <v>1066</v>
      </c>
      <c r="J702" s="23" t="s">
        <v>1362</v>
      </c>
      <c r="L702" s="4" t="s">
        <v>9</v>
      </c>
      <c r="M702" s="5" t="s">
        <v>1063</v>
      </c>
      <c r="O702" s="147">
        <v>8</v>
      </c>
      <c r="P702" s="15">
        <v>1</v>
      </c>
      <c r="Q702" s="148">
        <f t="shared" si="21"/>
        <v>9</v>
      </c>
    </row>
    <row r="703" spans="1:17" ht="16.5" hidden="1" x14ac:dyDescent="0.35">
      <c r="A703" s="53">
        <v>702</v>
      </c>
      <c r="B703" s="18" t="s">
        <v>1342</v>
      </c>
      <c r="C703" s="18" t="s">
        <v>663</v>
      </c>
      <c r="D703" s="17" t="s">
        <v>1257</v>
      </c>
      <c r="E703" s="17" t="s">
        <v>1307</v>
      </c>
      <c r="H703" s="194"/>
      <c r="I703" s="18" t="s">
        <v>1066</v>
      </c>
      <c r="J703" s="23"/>
      <c r="L703" s="4" t="s">
        <v>2</v>
      </c>
      <c r="M703" s="5" t="s">
        <v>1063</v>
      </c>
      <c r="O703" s="147">
        <v>1</v>
      </c>
      <c r="P703" s="15">
        <v>3</v>
      </c>
      <c r="Q703" s="148">
        <f t="shared" si="21"/>
        <v>4</v>
      </c>
    </row>
    <row r="704" spans="1:17" ht="16.5" hidden="1" x14ac:dyDescent="0.35">
      <c r="A704" s="53">
        <v>703</v>
      </c>
      <c r="B704" s="18" t="s">
        <v>1343</v>
      </c>
      <c r="C704" s="18" t="s">
        <v>663</v>
      </c>
      <c r="D704" s="17" t="s">
        <v>1257</v>
      </c>
      <c r="E704" s="17" t="s">
        <v>1307</v>
      </c>
      <c r="H704" s="194"/>
      <c r="I704" s="18" t="s">
        <v>1066</v>
      </c>
      <c r="J704" s="23" t="s">
        <v>1363</v>
      </c>
      <c r="L704" s="4" t="s">
        <v>2</v>
      </c>
      <c r="M704" s="5" t="s">
        <v>1063</v>
      </c>
      <c r="O704" s="147">
        <v>2</v>
      </c>
      <c r="P704" s="15">
        <v>2</v>
      </c>
      <c r="Q704" s="148">
        <f t="shared" si="21"/>
        <v>4</v>
      </c>
    </row>
    <row r="705" spans="1:17" ht="16.5" hidden="1" x14ac:dyDescent="0.35">
      <c r="A705" s="53">
        <v>704</v>
      </c>
      <c r="B705" s="18" t="s">
        <v>1344</v>
      </c>
      <c r="C705" s="18" t="s">
        <v>663</v>
      </c>
      <c r="D705" s="17" t="s">
        <v>1257</v>
      </c>
      <c r="E705" s="17" t="s">
        <v>1307</v>
      </c>
      <c r="H705" s="194"/>
      <c r="I705" s="18" t="s">
        <v>1066</v>
      </c>
      <c r="J705" s="23"/>
      <c r="L705" s="4" t="s">
        <v>2</v>
      </c>
      <c r="M705" s="5" t="s">
        <v>1063</v>
      </c>
      <c r="O705" s="147">
        <v>0</v>
      </c>
      <c r="P705" s="15">
        <v>2</v>
      </c>
      <c r="Q705" s="148">
        <f t="shared" si="21"/>
        <v>2</v>
      </c>
    </row>
    <row r="706" spans="1:17" ht="16.5" hidden="1" x14ac:dyDescent="0.35">
      <c r="A706" s="53">
        <v>705</v>
      </c>
      <c r="B706" s="18" t="s">
        <v>1345</v>
      </c>
      <c r="C706" s="18" t="s">
        <v>663</v>
      </c>
      <c r="D706" s="17" t="s">
        <v>1257</v>
      </c>
      <c r="E706" s="17" t="s">
        <v>1307</v>
      </c>
      <c r="H706" s="194"/>
      <c r="I706" s="18" t="s">
        <v>1066</v>
      </c>
      <c r="J706" s="23"/>
      <c r="L706" s="4" t="s">
        <v>9</v>
      </c>
      <c r="M706" s="5" t="s">
        <v>1095</v>
      </c>
      <c r="O706" s="147">
        <v>3</v>
      </c>
      <c r="P706" s="15">
        <v>2</v>
      </c>
      <c r="Q706" s="148">
        <f t="shared" si="21"/>
        <v>5</v>
      </c>
    </row>
    <row r="707" spans="1:17" ht="16.5" hidden="1" x14ac:dyDescent="0.35">
      <c r="A707" s="53">
        <v>706</v>
      </c>
      <c r="B707" s="18" t="s">
        <v>1346</v>
      </c>
      <c r="C707" s="18" t="s">
        <v>663</v>
      </c>
      <c r="D707" s="17" t="s">
        <v>1257</v>
      </c>
      <c r="E707" s="17" t="s">
        <v>1307</v>
      </c>
      <c r="H707" s="194"/>
      <c r="I707" s="18" t="s">
        <v>1066</v>
      </c>
      <c r="J707" s="23"/>
      <c r="L707" s="4" t="s">
        <v>9</v>
      </c>
      <c r="M707" s="5" t="s">
        <v>1063</v>
      </c>
      <c r="O707" s="147">
        <v>3</v>
      </c>
      <c r="P707" s="15">
        <v>3</v>
      </c>
      <c r="Q707" s="148">
        <f t="shared" si="21"/>
        <v>6</v>
      </c>
    </row>
    <row r="708" spans="1:17" ht="16.5" hidden="1" x14ac:dyDescent="0.35">
      <c r="A708" s="53">
        <v>707</v>
      </c>
      <c r="B708" s="18" t="s">
        <v>1347</v>
      </c>
      <c r="C708" s="18" t="s">
        <v>663</v>
      </c>
      <c r="D708" s="17" t="s">
        <v>1257</v>
      </c>
      <c r="E708" s="17" t="s">
        <v>1307</v>
      </c>
      <c r="H708" s="194"/>
      <c r="I708" s="18" t="s">
        <v>1066</v>
      </c>
      <c r="J708" s="23"/>
      <c r="L708" s="4" t="s">
        <v>2</v>
      </c>
      <c r="M708" s="5" t="s">
        <v>1063</v>
      </c>
      <c r="O708" s="147">
        <v>2</v>
      </c>
      <c r="P708" s="15">
        <v>4</v>
      </c>
      <c r="Q708" s="148">
        <f t="shared" si="21"/>
        <v>6</v>
      </c>
    </row>
    <row r="709" spans="1:17" ht="16.5" hidden="1" x14ac:dyDescent="0.35">
      <c r="A709" s="53">
        <v>708</v>
      </c>
      <c r="B709" s="18" t="s">
        <v>1348</v>
      </c>
      <c r="C709" s="18" t="s">
        <v>663</v>
      </c>
      <c r="D709" s="17" t="s">
        <v>1257</v>
      </c>
      <c r="E709" s="17" t="s">
        <v>1307</v>
      </c>
      <c r="H709" s="194"/>
      <c r="I709" s="18" t="s">
        <v>1066</v>
      </c>
      <c r="J709" s="23"/>
      <c r="L709" s="4" t="s">
        <v>2</v>
      </c>
      <c r="M709" s="5" t="s">
        <v>1063</v>
      </c>
      <c r="O709" s="147">
        <v>1</v>
      </c>
      <c r="P709" s="15">
        <v>3</v>
      </c>
      <c r="Q709" s="148">
        <f t="shared" si="21"/>
        <v>4</v>
      </c>
    </row>
    <row r="710" spans="1:17" ht="16.5" hidden="1" x14ac:dyDescent="0.35">
      <c r="A710" s="53">
        <v>709</v>
      </c>
      <c r="B710" s="18" t="s">
        <v>1349</v>
      </c>
      <c r="C710" s="18" t="s">
        <v>663</v>
      </c>
      <c r="D710" s="17" t="s">
        <v>1257</v>
      </c>
      <c r="E710" s="17" t="s">
        <v>1307</v>
      </c>
      <c r="H710" s="194"/>
      <c r="I710" s="18" t="s">
        <v>1066</v>
      </c>
      <c r="J710" s="23"/>
      <c r="L710" s="4" t="s">
        <v>2</v>
      </c>
      <c r="M710" s="5" t="s">
        <v>1063</v>
      </c>
      <c r="O710" s="147">
        <v>2</v>
      </c>
      <c r="P710" s="15">
        <v>0</v>
      </c>
      <c r="Q710" s="148">
        <f t="shared" si="21"/>
        <v>2</v>
      </c>
    </row>
    <row r="711" spans="1:17" ht="16.5" hidden="1" x14ac:dyDescent="0.35">
      <c r="A711" s="53">
        <v>710</v>
      </c>
      <c r="B711" s="18" t="s">
        <v>1350</v>
      </c>
      <c r="C711" s="18" t="s">
        <v>663</v>
      </c>
      <c r="D711" s="17" t="s">
        <v>1257</v>
      </c>
      <c r="E711" s="17" t="s">
        <v>1307</v>
      </c>
      <c r="H711" s="194"/>
      <c r="I711" s="18" t="s">
        <v>1066</v>
      </c>
      <c r="J711" s="23"/>
      <c r="L711" s="4" t="s">
        <v>2</v>
      </c>
      <c r="M711" s="5" t="s">
        <v>1063</v>
      </c>
      <c r="O711" s="147">
        <v>4</v>
      </c>
      <c r="P711" s="15">
        <v>1</v>
      </c>
      <c r="Q711" s="148">
        <f t="shared" si="21"/>
        <v>5</v>
      </c>
    </row>
    <row r="712" spans="1:17" ht="16.5" hidden="1" x14ac:dyDescent="0.35">
      <c r="A712" s="53">
        <v>711</v>
      </c>
      <c r="B712" s="18" t="s">
        <v>1351</v>
      </c>
      <c r="C712" s="18" t="s">
        <v>663</v>
      </c>
      <c r="D712" s="17" t="s">
        <v>1257</v>
      </c>
      <c r="E712" s="17" t="s">
        <v>1307</v>
      </c>
      <c r="H712" s="194"/>
      <c r="I712" s="18" t="s">
        <v>1066</v>
      </c>
      <c r="J712" s="23"/>
      <c r="L712" s="4" t="s">
        <v>2</v>
      </c>
      <c r="M712" s="5" t="s">
        <v>1063</v>
      </c>
      <c r="O712" s="147">
        <v>1</v>
      </c>
      <c r="P712" s="15">
        <v>0</v>
      </c>
      <c r="Q712" s="148">
        <f t="shared" si="21"/>
        <v>1</v>
      </c>
    </row>
    <row r="713" spans="1:17" ht="16.5" hidden="1" x14ac:dyDescent="0.35">
      <c r="A713" s="53">
        <v>712</v>
      </c>
      <c r="B713" s="18" t="s">
        <v>1352</v>
      </c>
      <c r="C713" s="18" t="s">
        <v>663</v>
      </c>
      <c r="D713" s="17" t="s">
        <v>1257</v>
      </c>
      <c r="E713" s="17" t="s">
        <v>1307</v>
      </c>
      <c r="H713" s="194"/>
      <c r="I713" s="18" t="s">
        <v>1066</v>
      </c>
      <c r="J713" s="23"/>
      <c r="L713" s="4" t="s">
        <v>2</v>
      </c>
      <c r="M713" s="5" t="s">
        <v>1063</v>
      </c>
      <c r="O713" s="147">
        <v>2</v>
      </c>
      <c r="P713" s="15">
        <v>0</v>
      </c>
      <c r="Q713" s="148">
        <f t="shared" si="21"/>
        <v>2</v>
      </c>
    </row>
    <row r="714" spans="1:17" ht="16.5" hidden="1" x14ac:dyDescent="0.35">
      <c r="A714" s="53">
        <v>713</v>
      </c>
      <c r="B714" s="18" t="s">
        <v>1353</v>
      </c>
      <c r="C714" s="18" t="s">
        <v>663</v>
      </c>
      <c r="D714" s="17" t="s">
        <v>1257</v>
      </c>
      <c r="E714" s="17" t="s">
        <v>1307</v>
      </c>
      <c r="H714" s="194"/>
      <c r="I714" s="18" t="s">
        <v>1066</v>
      </c>
      <c r="J714" s="23"/>
      <c r="L714" s="4" t="s">
        <v>2</v>
      </c>
      <c r="M714" s="5" t="s">
        <v>1063</v>
      </c>
      <c r="O714" s="147">
        <v>0</v>
      </c>
      <c r="P714" s="15">
        <v>0</v>
      </c>
      <c r="Q714" s="148">
        <f t="shared" si="21"/>
        <v>0</v>
      </c>
    </row>
    <row r="715" spans="1:17" ht="16.5" hidden="1" x14ac:dyDescent="0.35">
      <c r="A715" s="53">
        <v>714</v>
      </c>
      <c r="B715" s="18" t="s">
        <v>1354</v>
      </c>
      <c r="C715" s="18" t="s">
        <v>663</v>
      </c>
      <c r="D715" s="17" t="s">
        <v>1257</v>
      </c>
      <c r="E715" s="17" t="s">
        <v>1307</v>
      </c>
      <c r="H715" s="194"/>
      <c r="I715" s="18" t="s">
        <v>1066</v>
      </c>
      <c r="J715" s="23"/>
      <c r="L715" s="4" t="s">
        <v>9</v>
      </c>
      <c r="M715" s="5" t="s">
        <v>1063</v>
      </c>
      <c r="O715" s="147">
        <v>4</v>
      </c>
      <c r="P715" s="15">
        <v>4</v>
      </c>
      <c r="Q715" s="148">
        <f t="shared" si="21"/>
        <v>8</v>
      </c>
    </row>
    <row r="716" spans="1:17" ht="16.5" hidden="1" x14ac:dyDescent="0.35">
      <c r="A716" s="53">
        <v>715</v>
      </c>
      <c r="B716" s="18" t="s">
        <v>1355</v>
      </c>
      <c r="C716" s="18" t="s">
        <v>663</v>
      </c>
      <c r="D716" s="17" t="s">
        <v>1257</v>
      </c>
      <c r="E716" s="17" t="s">
        <v>1307</v>
      </c>
      <c r="H716" s="194"/>
      <c r="I716" s="18" t="s">
        <v>1066</v>
      </c>
      <c r="J716" s="23"/>
      <c r="L716" s="4" t="s">
        <v>2</v>
      </c>
      <c r="M716" s="5" t="s">
        <v>1063</v>
      </c>
      <c r="O716" s="147">
        <v>2</v>
      </c>
      <c r="P716" s="15">
        <v>0</v>
      </c>
      <c r="Q716" s="148">
        <f t="shared" si="21"/>
        <v>2</v>
      </c>
    </row>
    <row r="717" spans="1:17" ht="16.5" hidden="1" x14ac:dyDescent="0.35">
      <c r="A717" s="53">
        <v>716</v>
      </c>
      <c r="B717" s="18" t="s">
        <v>1356</v>
      </c>
      <c r="C717" s="18" t="s">
        <v>663</v>
      </c>
      <c r="D717" s="17" t="s">
        <v>1257</v>
      </c>
      <c r="E717" s="17" t="s">
        <v>1307</v>
      </c>
      <c r="H717" s="194"/>
      <c r="I717" s="18" t="s">
        <v>1066</v>
      </c>
      <c r="J717" s="23" t="s">
        <v>1364</v>
      </c>
      <c r="L717" s="4" t="s">
        <v>2</v>
      </c>
      <c r="M717" s="5" t="s">
        <v>1063</v>
      </c>
      <c r="O717" s="147">
        <v>1</v>
      </c>
      <c r="P717" s="15">
        <v>4</v>
      </c>
      <c r="Q717" s="148">
        <f t="shared" si="21"/>
        <v>5</v>
      </c>
    </row>
    <row r="718" spans="1:17" ht="16.5" hidden="1" x14ac:dyDescent="0.5">
      <c r="A718" s="53">
        <v>717</v>
      </c>
      <c r="B718" s="18" t="s">
        <v>1357</v>
      </c>
      <c r="C718" s="18" t="s">
        <v>663</v>
      </c>
      <c r="D718" s="17" t="s">
        <v>1257</v>
      </c>
      <c r="E718" s="17" t="s">
        <v>1307</v>
      </c>
      <c r="H718" s="194"/>
      <c r="I718" s="18" t="s">
        <v>1066</v>
      </c>
      <c r="J718" s="23"/>
      <c r="L718" s="4" t="s">
        <v>2</v>
      </c>
      <c r="M718" s="6" t="s">
        <v>1063</v>
      </c>
      <c r="O718" s="149">
        <v>1</v>
      </c>
      <c r="P718" s="149">
        <v>0</v>
      </c>
      <c r="Q718" s="148">
        <f t="shared" si="21"/>
        <v>1</v>
      </c>
    </row>
    <row r="719" spans="1:17" ht="16.5" hidden="1" x14ac:dyDescent="0.35">
      <c r="A719" s="53">
        <v>718</v>
      </c>
      <c r="B719" s="18" t="s">
        <v>1358</v>
      </c>
      <c r="C719" s="18" t="s">
        <v>663</v>
      </c>
      <c r="D719" s="17" t="s">
        <v>1257</v>
      </c>
      <c r="E719" s="17" t="s">
        <v>1307</v>
      </c>
      <c r="H719" s="194"/>
      <c r="I719" s="18" t="s">
        <v>1066</v>
      </c>
      <c r="J719" s="24"/>
      <c r="L719" s="4" t="s">
        <v>2</v>
      </c>
      <c r="M719" s="8" t="s">
        <v>1063</v>
      </c>
      <c r="O719" s="151">
        <v>0</v>
      </c>
      <c r="P719" s="151">
        <v>0</v>
      </c>
      <c r="Q719" s="148">
        <f t="shared" si="21"/>
        <v>0</v>
      </c>
    </row>
    <row r="720" spans="1:17" ht="16.5" hidden="1" x14ac:dyDescent="0.35">
      <c r="A720" s="53">
        <v>719</v>
      </c>
      <c r="B720" s="351" t="s">
        <v>1359</v>
      </c>
      <c r="C720" s="18" t="s">
        <v>663</v>
      </c>
      <c r="D720" s="17" t="s">
        <v>1257</v>
      </c>
      <c r="E720" s="17" t="s">
        <v>1307</v>
      </c>
      <c r="H720" s="194"/>
      <c r="I720" s="18" t="s">
        <v>1066</v>
      </c>
      <c r="J720" s="25"/>
      <c r="L720" s="178" t="s">
        <v>9</v>
      </c>
      <c r="M720" s="11" t="s">
        <v>1063</v>
      </c>
      <c r="O720" s="143">
        <v>5</v>
      </c>
      <c r="P720" s="143">
        <v>2</v>
      </c>
      <c r="Q720" s="148">
        <f t="shared" si="21"/>
        <v>7</v>
      </c>
    </row>
    <row r="721" spans="1:17" ht="17" hidden="1" thickBot="1" x14ac:dyDescent="0.4">
      <c r="A721" s="53">
        <v>720</v>
      </c>
      <c r="B721" s="351" t="s">
        <v>1360</v>
      </c>
      <c r="C721" s="18" t="s">
        <v>663</v>
      </c>
      <c r="D721" s="17" t="s">
        <v>1257</v>
      </c>
      <c r="E721" s="17" t="s">
        <v>1307</v>
      </c>
      <c r="H721" s="194"/>
      <c r="I721" s="18" t="s">
        <v>1066</v>
      </c>
      <c r="J721" s="193"/>
      <c r="L721" s="14" t="s">
        <v>9</v>
      </c>
      <c r="M721" s="14" t="s">
        <v>1063</v>
      </c>
      <c r="O721" s="141">
        <v>3</v>
      </c>
      <c r="P721" s="141">
        <v>4</v>
      </c>
      <c r="Q721" s="148">
        <f t="shared" si="21"/>
        <v>7</v>
      </c>
    </row>
    <row r="722" spans="1:17" ht="16.5" hidden="1" x14ac:dyDescent="0.35">
      <c r="A722" s="53">
        <v>721</v>
      </c>
      <c r="B722" s="147" t="s">
        <v>256</v>
      </c>
      <c r="C722" s="18" t="s">
        <v>663</v>
      </c>
      <c r="D722" s="17" t="s">
        <v>1365</v>
      </c>
      <c r="E722" s="17" t="s">
        <v>1307</v>
      </c>
      <c r="H722" s="25"/>
      <c r="I722" s="18" t="s">
        <v>1066</v>
      </c>
      <c r="J722" s="23" t="s">
        <v>299</v>
      </c>
      <c r="L722" s="4" t="s">
        <v>9</v>
      </c>
      <c r="M722" s="27"/>
      <c r="O722" s="143"/>
      <c r="P722" s="143"/>
      <c r="Q722" s="153">
        <f>SUM(M722:P722)</f>
        <v>0</v>
      </c>
    </row>
    <row r="723" spans="1:17" ht="16.5" hidden="1" x14ac:dyDescent="0.35">
      <c r="A723" s="53">
        <v>722</v>
      </c>
      <c r="B723" s="147" t="s">
        <v>257</v>
      </c>
      <c r="C723" s="18" t="s">
        <v>663</v>
      </c>
      <c r="D723" s="17" t="s">
        <v>1365</v>
      </c>
      <c r="E723" s="17" t="s">
        <v>1307</v>
      </c>
      <c r="H723" s="25"/>
      <c r="I723" s="18" t="s">
        <v>1066</v>
      </c>
      <c r="J723" s="23" t="s">
        <v>300</v>
      </c>
      <c r="L723" s="4" t="s">
        <v>2</v>
      </c>
      <c r="M723" s="5"/>
      <c r="O723" s="143"/>
      <c r="P723" s="143"/>
      <c r="Q723" s="153">
        <f t="shared" ref="Q723:Q750" si="22">SUM(M723:P723)</f>
        <v>0</v>
      </c>
    </row>
    <row r="724" spans="1:17" ht="16.5" hidden="1" x14ac:dyDescent="0.35">
      <c r="A724" s="53">
        <v>723</v>
      </c>
      <c r="B724" s="147" t="s">
        <v>258</v>
      </c>
      <c r="C724" s="18" t="s">
        <v>663</v>
      </c>
      <c r="D724" s="17" t="s">
        <v>1365</v>
      </c>
      <c r="E724" s="17" t="s">
        <v>1307</v>
      </c>
      <c r="H724" s="194"/>
      <c r="I724" s="18" t="s">
        <v>1066</v>
      </c>
      <c r="J724" s="23"/>
      <c r="L724" s="4" t="s">
        <v>2</v>
      </c>
      <c r="M724" s="5"/>
      <c r="O724" s="190"/>
      <c r="P724" s="190"/>
      <c r="Q724" s="191">
        <f t="shared" si="22"/>
        <v>0</v>
      </c>
    </row>
    <row r="725" spans="1:17" ht="16.5" hidden="1" x14ac:dyDescent="0.35">
      <c r="A725" s="53">
        <v>724</v>
      </c>
      <c r="B725" s="147" t="s">
        <v>259</v>
      </c>
      <c r="C725" s="18" t="s">
        <v>663</v>
      </c>
      <c r="D725" s="17" t="s">
        <v>1365</v>
      </c>
      <c r="E725" s="17" t="s">
        <v>1307</v>
      </c>
      <c r="H725" s="194"/>
      <c r="I725" s="18" t="s">
        <v>1066</v>
      </c>
      <c r="J725" s="23" t="s">
        <v>301</v>
      </c>
      <c r="L725" s="4" t="s">
        <v>9</v>
      </c>
      <c r="M725" s="5"/>
      <c r="O725" s="190"/>
      <c r="P725" s="190"/>
      <c r="Q725" s="191">
        <f t="shared" si="22"/>
        <v>0</v>
      </c>
    </row>
    <row r="726" spans="1:17" ht="16.5" hidden="1" x14ac:dyDescent="0.35">
      <c r="A726" s="53">
        <v>725</v>
      </c>
      <c r="B726" s="147" t="s">
        <v>260</v>
      </c>
      <c r="C726" s="18" t="s">
        <v>663</v>
      </c>
      <c r="D726" s="17" t="s">
        <v>1365</v>
      </c>
      <c r="E726" s="17" t="s">
        <v>1307</v>
      </c>
      <c r="H726" s="194"/>
      <c r="I726" s="18" t="s">
        <v>1066</v>
      </c>
      <c r="J726" s="23"/>
      <c r="L726" s="4" t="s">
        <v>2</v>
      </c>
      <c r="M726" s="5"/>
      <c r="O726" s="190"/>
      <c r="P726" s="190"/>
      <c r="Q726" s="191">
        <f t="shared" si="22"/>
        <v>0</v>
      </c>
    </row>
    <row r="727" spans="1:17" ht="16.5" hidden="1" x14ac:dyDescent="0.35">
      <c r="A727" s="53">
        <v>726</v>
      </c>
      <c r="B727" s="147" t="s">
        <v>261</v>
      </c>
      <c r="C727" s="18" t="s">
        <v>663</v>
      </c>
      <c r="D727" s="17" t="s">
        <v>1365</v>
      </c>
      <c r="E727" s="17" t="s">
        <v>1307</v>
      </c>
      <c r="H727" s="194"/>
      <c r="I727" s="18" t="s">
        <v>1066</v>
      </c>
      <c r="J727" s="23"/>
      <c r="L727" s="4" t="s">
        <v>2</v>
      </c>
      <c r="M727" s="5"/>
      <c r="O727" s="190"/>
      <c r="P727" s="190"/>
      <c r="Q727" s="191">
        <f t="shared" si="22"/>
        <v>0</v>
      </c>
    </row>
    <row r="728" spans="1:17" ht="16.5" hidden="1" x14ac:dyDescent="0.35">
      <c r="A728" s="53">
        <v>727</v>
      </c>
      <c r="B728" s="147" t="s">
        <v>262</v>
      </c>
      <c r="C728" s="18" t="s">
        <v>663</v>
      </c>
      <c r="D728" s="17" t="s">
        <v>1365</v>
      </c>
      <c r="E728" s="17" t="s">
        <v>1307</v>
      </c>
      <c r="H728" s="194"/>
      <c r="I728" s="18" t="s">
        <v>1066</v>
      </c>
      <c r="J728" s="23" t="s">
        <v>302</v>
      </c>
      <c r="L728" s="4" t="s">
        <v>2</v>
      </c>
      <c r="M728" s="5"/>
      <c r="O728" s="190"/>
      <c r="P728" s="190"/>
      <c r="Q728" s="191">
        <f t="shared" si="22"/>
        <v>0</v>
      </c>
    </row>
    <row r="729" spans="1:17" ht="16.5" hidden="1" x14ac:dyDescent="0.35">
      <c r="A729" s="53">
        <v>728</v>
      </c>
      <c r="B729" s="147" t="s">
        <v>263</v>
      </c>
      <c r="C729" s="18" t="s">
        <v>663</v>
      </c>
      <c r="D729" s="17" t="s">
        <v>1365</v>
      </c>
      <c r="E729" s="17" t="s">
        <v>1307</v>
      </c>
      <c r="H729" s="194"/>
      <c r="I729" s="18" t="s">
        <v>1066</v>
      </c>
      <c r="J729" s="23"/>
      <c r="L729" s="4" t="s">
        <v>2</v>
      </c>
      <c r="M729" s="5"/>
      <c r="O729" s="190"/>
      <c r="P729" s="190"/>
      <c r="Q729" s="191">
        <f t="shared" si="22"/>
        <v>0</v>
      </c>
    </row>
    <row r="730" spans="1:17" ht="16.5" hidden="1" x14ac:dyDescent="0.35">
      <c r="A730" s="53">
        <v>729</v>
      </c>
      <c r="B730" s="147" t="s">
        <v>264</v>
      </c>
      <c r="C730" s="18" t="s">
        <v>663</v>
      </c>
      <c r="D730" s="17" t="s">
        <v>1365</v>
      </c>
      <c r="E730" s="17" t="s">
        <v>1307</v>
      </c>
      <c r="H730" s="194"/>
      <c r="I730" s="18" t="s">
        <v>1066</v>
      </c>
      <c r="J730" s="23"/>
      <c r="L730" s="4" t="s">
        <v>9</v>
      </c>
      <c r="M730" s="5"/>
      <c r="O730" s="190"/>
      <c r="P730" s="190"/>
      <c r="Q730" s="191">
        <f t="shared" si="22"/>
        <v>0</v>
      </c>
    </row>
    <row r="731" spans="1:17" ht="16.5" hidden="1" x14ac:dyDescent="0.35">
      <c r="A731" s="53">
        <v>730</v>
      </c>
      <c r="B731" s="147" t="s">
        <v>265</v>
      </c>
      <c r="C731" s="18" t="s">
        <v>663</v>
      </c>
      <c r="D731" s="17" t="s">
        <v>1365</v>
      </c>
      <c r="E731" s="17" t="s">
        <v>1307</v>
      </c>
      <c r="H731" s="194"/>
      <c r="I731" s="18" t="s">
        <v>1066</v>
      </c>
      <c r="J731" s="23" t="s">
        <v>303</v>
      </c>
      <c r="L731" s="4" t="s">
        <v>9</v>
      </c>
      <c r="M731" s="5"/>
      <c r="O731" s="190"/>
      <c r="P731" s="190"/>
      <c r="Q731" s="191">
        <f t="shared" si="22"/>
        <v>0</v>
      </c>
    </row>
    <row r="732" spans="1:17" ht="16.5" hidden="1" x14ac:dyDescent="0.35">
      <c r="A732" s="53">
        <v>731</v>
      </c>
      <c r="B732" s="147" t="s">
        <v>266</v>
      </c>
      <c r="C732" s="18" t="s">
        <v>663</v>
      </c>
      <c r="D732" s="17" t="s">
        <v>1365</v>
      </c>
      <c r="E732" s="17" t="s">
        <v>1307</v>
      </c>
      <c r="H732" s="194"/>
      <c r="I732" s="18" t="s">
        <v>1066</v>
      </c>
      <c r="J732" s="23"/>
      <c r="L732" s="4" t="s">
        <v>9</v>
      </c>
      <c r="M732" s="5"/>
      <c r="O732" s="190"/>
      <c r="P732" s="190"/>
      <c r="Q732" s="191">
        <f t="shared" si="22"/>
        <v>0</v>
      </c>
    </row>
    <row r="733" spans="1:17" ht="16.5" hidden="1" x14ac:dyDescent="0.35">
      <c r="A733" s="53">
        <v>732</v>
      </c>
      <c r="B733" s="147" t="s">
        <v>267</v>
      </c>
      <c r="C733" s="18" t="s">
        <v>663</v>
      </c>
      <c r="D733" s="17" t="s">
        <v>1365</v>
      </c>
      <c r="E733" s="17" t="s">
        <v>1307</v>
      </c>
      <c r="H733" s="194"/>
      <c r="I733" s="18" t="s">
        <v>1066</v>
      </c>
      <c r="J733" s="23" t="s">
        <v>304</v>
      </c>
      <c r="L733" s="4" t="s">
        <v>9</v>
      </c>
      <c r="M733" s="5"/>
      <c r="O733" s="190"/>
      <c r="P733" s="190"/>
      <c r="Q733" s="191">
        <f t="shared" si="22"/>
        <v>0</v>
      </c>
    </row>
    <row r="734" spans="1:17" ht="16.5" hidden="1" x14ac:dyDescent="0.35">
      <c r="A734" s="53">
        <v>733</v>
      </c>
      <c r="B734" s="147" t="s">
        <v>268</v>
      </c>
      <c r="C734" s="18" t="s">
        <v>663</v>
      </c>
      <c r="D734" s="17" t="s">
        <v>1365</v>
      </c>
      <c r="E734" s="17" t="s">
        <v>1307</v>
      </c>
      <c r="H734" s="194"/>
      <c r="I734" s="18" t="s">
        <v>1066</v>
      </c>
      <c r="J734" s="23"/>
      <c r="L734" s="4" t="s">
        <v>2</v>
      </c>
      <c r="M734" s="5"/>
      <c r="O734" s="190"/>
      <c r="P734" s="190"/>
      <c r="Q734" s="191">
        <f t="shared" si="22"/>
        <v>0</v>
      </c>
    </row>
    <row r="735" spans="1:17" ht="16.5" hidden="1" x14ac:dyDescent="0.35">
      <c r="A735" s="53">
        <v>734</v>
      </c>
      <c r="B735" s="147" t="s">
        <v>269</v>
      </c>
      <c r="C735" s="18" t="s">
        <v>663</v>
      </c>
      <c r="D735" s="17" t="s">
        <v>1365</v>
      </c>
      <c r="E735" s="17" t="s">
        <v>1307</v>
      </c>
      <c r="H735" s="194"/>
      <c r="I735" s="18" t="s">
        <v>1066</v>
      </c>
      <c r="J735" s="23"/>
      <c r="L735" s="4" t="s">
        <v>2</v>
      </c>
      <c r="M735" s="5"/>
      <c r="O735" s="190"/>
      <c r="P735" s="190"/>
      <c r="Q735" s="191">
        <f t="shared" si="22"/>
        <v>0</v>
      </c>
    </row>
    <row r="736" spans="1:17" ht="16.5" hidden="1" x14ac:dyDescent="0.35">
      <c r="A736" s="53">
        <v>735</v>
      </c>
      <c r="B736" s="147" t="s">
        <v>270</v>
      </c>
      <c r="C736" s="18" t="s">
        <v>663</v>
      </c>
      <c r="D736" s="17" t="s">
        <v>1365</v>
      </c>
      <c r="E736" s="17" t="s">
        <v>1307</v>
      </c>
      <c r="H736" s="194"/>
      <c r="I736" s="18" t="s">
        <v>1066</v>
      </c>
      <c r="J736" s="23"/>
      <c r="L736" s="4" t="s">
        <v>2</v>
      </c>
      <c r="M736" s="5"/>
      <c r="O736" s="190"/>
      <c r="P736" s="190"/>
      <c r="Q736" s="191">
        <f t="shared" si="22"/>
        <v>0</v>
      </c>
    </row>
    <row r="737" spans="1:17" ht="16.5" hidden="1" x14ac:dyDescent="0.35">
      <c r="A737" s="53">
        <v>736</v>
      </c>
      <c r="B737" s="147" t="s">
        <v>271</v>
      </c>
      <c r="C737" s="18" t="s">
        <v>663</v>
      </c>
      <c r="D737" s="17" t="s">
        <v>1365</v>
      </c>
      <c r="E737" s="17" t="s">
        <v>1307</v>
      </c>
      <c r="H737" s="194"/>
      <c r="I737" s="18" t="s">
        <v>1066</v>
      </c>
      <c r="J737" s="23" t="s">
        <v>305</v>
      </c>
      <c r="L737" s="4" t="s">
        <v>2</v>
      </c>
      <c r="M737" s="5"/>
      <c r="O737" s="190"/>
      <c r="P737" s="190"/>
      <c r="Q737" s="191">
        <f t="shared" si="22"/>
        <v>0</v>
      </c>
    </row>
    <row r="738" spans="1:17" ht="16.5" hidden="1" x14ac:dyDescent="0.35">
      <c r="A738" s="53">
        <v>737</v>
      </c>
      <c r="B738" s="147" t="s">
        <v>272</v>
      </c>
      <c r="C738" s="18" t="s">
        <v>663</v>
      </c>
      <c r="D738" s="17" t="s">
        <v>1365</v>
      </c>
      <c r="E738" s="17" t="s">
        <v>1307</v>
      </c>
      <c r="H738" s="194"/>
      <c r="I738" s="18" t="s">
        <v>1066</v>
      </c>
      <c r="J738" s="23" t="s">
        <v>306</v>
      </c>
      <c r="L738" s="4" t="s">
        <v>9</v>
      </c>
      <c r="M738" s="5"/>
      <c r="O738" s="190"/>
      <c r="P738" s="190"/>
      <c r="Q738" s="191">
        <f t="shared" si="22"/>
        <v>0</v>
      </c>
    </row>
    <row r="739" spans="1:17" ht="16.5" hidden="1" x14ac:dyDescent="0.35">
      <c r="A739" s="53">
        <v>738</v>
      </c>
      <c r="B739" s="147" t="s">
        <v>273</v>
      </c>
      <c r="C739" s="18" t="s">
        <v>663</v>
      </c>
      <c r="D739" s="17" t="s">
        <v>1365</v>
      </c>
      <c r="E739" s="17" t="s">
        <v>1307</v>
      </c>
      <c r="H739" s="194"/>
      <c r="I739" s="18" t="s">
        <v>1066</v>
      </c>
      <c r="J739" s="23" t="s">
        <v>307</v>
      </c>
      <c r="L739" s="4" t="s">
        <v>9</v>
      </c>
      <c r="M739" s="5"/>
      <c r="O739" s="190"/>
      <c r="P739" s="190"/>
      <c r="Q739" s="191">
        <f t="shared" si="22"/>
        <v>0</v>
      </c>
    </row>
    <row r="740" spans="1:17" ht="16.5" hidden="1" x14ac:dyDescent="0.35">
      <c r="A740" s="53">
        <v>739</v>
      </c>
      <c r="B740" s="147" t="s">
        <v>274</v>
      </c>
      <c r="C740" s="18" t="s">
        <v>663</v>
      </c>
      <c r="D740" s="17" t="s">
        <v>1365</v>
      </c>
      <c r="E740" s="17" t="s">
        <v>1307</v>
      </c>
      <c r="H740" s="194"/>
      <c r="I740" s="18" t="s">
        <v>1066</v>
      </c>
      <c r="J740" s="23"/>
      <c r="L740" s="4" t="s">
        <v>2</v>
      </c>
      <c r="M740" s="5"/>
      <c r="O740" s="190"/>
      <c r="P740" s="190"/>
      <c r="Q740" s="191">
        <f t="shared" si="22"/>
        <v>0</v>
      </c>
    </row>
    <row r="741" spans="1:17" ht="16.5" hidden="1" x14ac:dyDescent="0.35">
      <c r="A741" s="53">
        <v>740</v>
      </c>
      <c r="B741" s="147" t="s">
        <v>275</v>
      </c>
      <c r="C741" s="18" t="s">
        <v>663</v>
      </c>
      <c r="D741" s="17" t="s">
        <v>1365</v>
      </c>
      <c r="E741" s="17" t="s">
        <v>1307</v>
      </c>
      <c r="H741" s="194"/>
      <c r="I741" s="18" t="s">
        <v>1066</v>
      </c>
      <c r="J741" s="23"/>
      <c r="L741" s="4" t="s">
        <v>2</v>
      </c>
      <c r="M741" s="5"/>
      <c r="O741" s="190"/>
      <c r="P741" s="190"/>
      <c r="Q741" s="191">
        <f t="shared" si="22"/>
        <v>0</v>
      </c>
    </row>
    <row r="742" spans="1:17" ht="16.5" hidden="1" x14ac:dyDescent="0.35">
      <c r="A742" s="53">
        <v>741</v>
      </c>
      <c r="B742" s="147" t="s">
        <v>276</v>
      </c>
      <c r="C742" s="18" t="s">
        <v>663</v>
      </c>
      <c r="D742" s="17" t="s">
        <v>1365</v>
      </c>
      <c r="E742" s="17" t="s">
        <v>1307</v>
      </c>
      <c r="H742" s="194"/>
      <c r="I742" s="18" t="s">
        <v>1066</v>
      </c>
      <c r="J742" s="23"/>
      <c r="L742" s="4" t="s">
        <v>2</v>
      </c>
      <c r="M742" s="5"/>
      <c r="O742" s="190"/>
      <c r="P742" s="190"/>
      <c r="Q742" s="191">
        <f t="shared" si="22"/>
        <v>0</v>
      </c>
    </row>
    <row r="743" spans="1:17" ht="16.5" hidden="1" x14ac:dyDescent="0.35">
      <c r="A743" s="53">
        <v>742</v>
      </c>
      <c r="B743" s="147" t="s">
        <v>277</v>
      </c>
      <c r="C743" s="18" t="s">
        <v>663</v>
      </c>
      <c r="D743" s="17" t="s">
        <v>1365</v>
      </c>
      <c r="E743" s="17" t="s">
        <v>1307</v>
      </c>
      <c r="H743" s="194"/>
      <c r="I743" s="18" t="s">
        <v>1066</v>
      </c>
      <c r="J743" s="23" t="s">
        <v>308</v>
      </c>
      <c r="L743" s="4" t="s">
        <v>9</v>
      </c>
      <c r="M743" s="5"/>
      <c r="O743" s="190"/>
      <c r="P743" s="190"/>
      <c r="Q743" s="191">
        <f t="shared" si="22"/>
        <v>0</v>
      </c>
    </row>
    <row r="744" spans="1:17" ht="16.5" hidden="1" x14ac:dyDescent="0.35">
      <c r="A744" s="53">
        <v>743</v>
      </c>
      <c r="B744" s="147" t="s">
        <v>278</v>
      </c>
      <c r="C744" s="18" t="s">
        <v>663</v>
      </c>
      <c r="D744" s="17" t="s">
        <v>1365</v>
      </c>
      <c r="E744" s="17" t="s">
        <v>1307</v>
      </c>
      <c r="H744" s="194"/>
      <c r="I744" s="18" t="s">
        <v>1066</v>
      </c>
      <c r="J744" s="23" t="s">
        <v>309</v>
      </c>
      <c r="L744" s="4" t="s">
        <v>9</v>
      </c>
      <c r="M744" s="5"/>
      <c r="O744" s="190"/>
      <c r="P744" s="190"/>
      <c r="Q744" s="191">
        <f t="shared" si="22"/>
        <v>0</v>
      </c>
    </row>
    <row r="745" spans="1:17" ht="16.5" hidden="1" x14ac:dyDescent="0.35">
      <c r="A745" s="53">
        <v>744</v>
      </c>
      <c r="B745" s="147" t="s">
        <v>279</v>
      </c>
      <c r="C745" s="18" t="s">
        <v>663</v>
      </c>
      <c r="D745" s="17" t="s">
        <v>1365</v>
      </c>
      <c r="E745" s="17" t="s">
        <v>1307</v>
      </c>
      <c r="H745" s="194"/>
      <c r="I745" s="18" t="s">
        <v>1066</v>
      </c>
      <c r="J745" s="23" t="s">
        <v>310</v>
      </c>
      <c r="L745" s="4" t="s">
        <v>9</v>
      </c>
      <c r="M745" s="5"/>
      <c r="O745" s="190"/>
      <c r="P745" s="190"/>
      <c r="Q745" s="191">
        <f t="shared" si="22"/>
        <v>0</v>
      </c>
    </row>
    <row r="746" spans="1:17" ht="16.5" hidden="1" x14ac:dyDescent="0.35">
      <c r="A746" s="53">
        <v>745</v>
      </c>
      <c r="B746" s="147" t="s">
        <v>280</v>
      </c>
      <c r="C746" s="18" t="s">
        <v>663</v>
      </c>
      <c r="D746" s="17" t="s">
        <v>1365</v>
      </c>
      <c r="E746" s="17" t="s">
        <v>1307</v>
      </c>
      <c r="H746" s="194"/>
      <c r="I746" s="18" t="s">
        <v>1066</v>
      </c>
      <c r="J746" s="23" t="s">
        <v>311</v>
      </c>
      <c r="L746" s="4" t="s">
        <v>9</v>
      </c>
      <c r="M746" s="5"/>
      <c r="O746" s="190"/>
      <c r="P746" s="190"/>
      <c r="Q746" s="191">
        <f t="shared" si="22"/>
        <v>0</v>
      </c>
    </row>
    <row r="747" spans="1:17" ht="16.5" hidden="1" x14ac:dyDescent="0.35">
      <c r="A747" s="53">
        <v>746</v>
      </c>
      <c r="B747" s="147" t="s">
        <v>281</v>
      </c>
      <c r="C747" s="18" t="s">
        <v>663</v>
      </c>
      <c r="D747" s="17" t="s">
        <v>1365</v>
      </c>
      <c r="E747" s="17" t="s">
        <v>1307</v>
      </c>
      <c r="H747" s="194"/>
      <c r="I747" s="18" t="s">
        <v>1066</v>
      </c>
      <c r="J747" s="23"/>
      <c r="L747" s="4" t="s">
        <v>9</v>
      </c>
      <c r="M747" s="5"/>
      <c r="O747" s="190"/>
      <c r="P747" s="190"/>
      <c r="Q747" s="191">
        <f t="shared" si="22"/>
        <v>0</v>
      </c>
    </row>
    <row r="748" spans="1:17" ht="16.5" hidden="1" x14ac:dyDescent="0.35">
      <c r="A748" s="53">
        <v>747</v>
      </c>
      <c r="B748" s="147" t="s">
        <v>282</v>
      </c>
      <c r="C748" s="18" t="s">
        <v>663</v>
      </c>
      <c r="D748" s="17" t="s">
        <v>1365</v>
      </c>
      <c r="E748" s="17" t="s">
        <v>1307</v>
      </c>
      <c r="H748" s="194"/>
      <c r="I748" s="18" t="s">
        <v>1066</v>
      </c>
      <c r="J748" s="23"/>
      <c r="L748" s="4" t="s">
        <v>2</v>
      </c>
      <c r="M748" s="5"/>
      <c r="O748" s="190"/>
      <c r="P748" s="190"/>
      <c r="Q748" s="191">
        <f t="shared" si="22"/>
        <v>0</v>
      </c>
    </row>
    <row r="749" spans="1:17" ht="16.5" hidden="1" x14ac:dyDescent="0.35">
      <c r="A749" s="53">
        <v>748</v>
      </c>
      <c r="B749" s="147" t="s">
        <v>283</v>
      </c>
      <c r="C749" s="18" t="s">
        <v>663</v>
      </c>
      <c r="D749" s="17" t="s">
        <v>1365</v>
      </c>
      <c r="E749" s="17" t="s">
        <v>1307</v>
      </c>
      <c r="H749" s="194"/>
      <c r="I749" s="18" t="s">
        <v>1066</v>
      </c>
      <c r="J749" s="24"/>
      <c r="L749" s="4" t="s">
        <v>2</v>
      </c>
      <c r="M749" s="5"/>
      <c r="O749" s="190"/>
      <c r="P749" s="190"/>
      <c r="Q749" s="191">
        <f t="shared" si="22"/>
        <v>0</v>
      </c>
    </row>
    <row r="750" spans="1:17" ht="17" hidden="1" thickBot="1" x14ac:dyDescent="0.4">
      <c r="A750" s="53">
        <v>749</v>
      </c>
      <c r="B750" s="352" t="s">
        <v>284</v>
      </c>
      <c r="C750" s="18" t="s">
        <v>663</v>
      </c>
      <c r="D750" s="17" t="s">
        <v>1365</v>
      </c>
      <c r="E750" s="17" t="s">
        <v>1307</v>
      </c>
      <c r="H750" s="194"/>
      <c r="I750" s="18" t="s">
        <v>1066</v>
      </c>
      <c r="J750" s="193"/>
      <c r="L750" s="179" t="s">
        <v>2</v>
      </c>
      <c r="M750" s="5"/>
      <c r="O750" s="190"/>
      <c r="P750" s="190"/>
      <c r="Q750" s="191">
        <f t="shared" si="22"/>
        <v>0</v>
      </c>
    </row>
    <row r="751" spans="1:17" ht="16.5" hidden="1" x14ac:dyDescent="0.35">
      <c r="A751" s="53">
        <v>750</v>
      </c>
      <c r="B751" s="147" t="s">
        <v>1366</v>
      </c>
      <c r="C751" s="18" t="s">
        <v>663</v>
      </c>
      <c r="D751" s="17" t="s">
        <v>1423</v>
      </c>
      <c r="E751" s="17" t="s">
        <v>1424</v>
      </c>
      <c r="H751" s="25"/>
      <c r="I751" s="18" t="s">
        <v>1066</v>
      </c>
      <c r="J751" s="23" t="s">
        <v>1394</v>
      </c>
      <c r="K751" s="4"/>
      <c r="L751" s="4" t="s">
        <v>2</v>
      </c>
      <c r="M751" s="5" t="s">
        <v>1063</v>
      </c>
      <c r="N751" s="5" t="s">
        <v>1182</v>
      </c>
      <c r="O751" s="147">
        <v>0</v>
      </c>
      <c r="P751" s="15">
        <v>0</v>
      </c>
      <c r="Q751" s="148">
        <f>(O751+P751)</f>
        <v>0</v>
      </c>
    </row>
    <row r="752" spans="1:17" ht="16.5" hidden="1" x14ac:dyDescent="0.35">
      <c r="A752" s="53">
        <v>751</v>
      </c>
      <c r="B752" s="147" t="s">
        <v>1367</v>
      </c>
      <c r="C752" s="18" t="s">
        <v>663</v>
      </c>
      <c r="D752" s="17" t="s">
        <v>1423</v>
      </c>
      <c r="E752" s="17" t="s">
        <v>1424</v>
      </c>
      <c r="H752" s="25"/>
      <c r="I752" s="18" t="s">
        <v>1066</v>
      </c>
      <c r="J752" s="23" t="s">
        <v>1395</v>
      </c>
      <c r="K752" s="4">
        <v>44</v>
      </c>
      <c r="L752" s="4" t="s">
        <v>2</v>
      </c>
      <c r="M752" s="5" t="s">
        <v>1063</v>
      </c>
      <c r="N752" s="5" t="s">
        <v>1182</v>
      </c>
      <c r="O752" s="147">
        <v>2</v>
      </c>
      <c r="P752" s="15">
        <v>0</v>
      </c>
      <c r="Q752" s="148">
        <f t="shared" ref="Q752:Q779" si="23">(O752+P752)</f>
        <v>2</v>
      </c>
    </row>
    <row r="753" spans="1:17" ht="16.5" hidden="1" x14ac:dyDescent="0.35">
      <c r="A753" s="53">
        <v>752</v>
      </c>
      <c r="B753" s="147" t="s">
        <v>1368</v>
      </c>
      <c r="C753" s="18" t="s">
        <v>663</v>
      </c>
      <c r="D753" s="17" t="s">
        <v>1423</v>
      </c>
      <c r="E753" s="17" t="s">
        <v>1424</v>
      </c>
      <c r="H753" s="194"/>
      <c r="I753" s="18" t="s">
        <v>1066</v>
      </c>
      <c r="J753" s="23" t="s">
        <v>1396</v>
      </c>
      <c r="K753" s="4">
        <v>45</v>
      </c>
      <c r="L753" s="4" t="s">
        <v>2</v>
      </c>
      <c r="M753" s="5" t="s">
        <v>1063</v>
      </c>
      <c r="N753" s="5" t="s">
        <v>1182</v>
      </c>
      <c r="O753" s="147">
        <v>3</v>
      </c>
      <c r="P753" s="15">
        <v>1</v>
      </c>
      <c r="Q753" s="148">
        <f t="shared" si="23"/>
        <v>4</v>
      </c>
    </row>
    <row r="754" spans="1:17" ht="16.5" hidden="1" x14ac:dyDescent="0.35">
      <c r="A754" s="53">
        <v>753</v>
      </c>
      <c r="B754" s="147" t="s">
        <v>1369</v>
      </c>
      <c r="C754" s="18" t="s">
        <v>663</v>
      </c>
      <c r="D754" s="17" t="s">
        <v>1423</v>
      </c>
      <c r="E754" s="17" t="s">
        <v>1424</v>
      </c>
      <c r="H754" s="194"/>
      <c r="I754" s="18" t="s">
        <v>1066</v>
      </c>
      <c r="J754" s="23" t="s">
        <v>1397</v>
      </c>
      <c r="K754" s="4">
        <v>27</v>
      </c>
      <c r="L754" s="4" t="s">
        <v>2</v>
      </c>
      <c r="M754" s="5" t="s">
        <v>1063</v>
      </c>
      <c r="N754" s="5" t="s">
        <v>1182</v>
      </c>
      <c r="O754" s="147">
        <v>0</v>
      </c>
      <c r="P754" s="15">
        <v>1</v>
      </c>
      <c r="Q754" s="148">
        <f t="shared" si="23"/>
        <v>1</v>
      </c>
    </row>
    <row r="755" spans="1:17" ht="16.5" hidden="1" x14ac:dyDescent="0.35">
      <c r="A755" s="53">
        <v>754</v>
      </c>
      <c r="B755" s="147" t="s">
        <v>1370</v>
      </c>
      <c r="C755" s="18" t="s">
        <v>663</v>
      </c>
      <c r="D755" s="17" t="s">
        <v>1423</v>
      </c>
      <c r="E755" s="17" t="s">
        <v>1424</v>
      </c>
      <c r="H755" s="194"/>
      <c r="I755" s="18" t="s">
        <v>1066</v>
      </c>
      <c r="J755" s="23" t="s">
        <v>1398</v>
      </c>
      <c r="K755" s="4">
        <v>30</v>
      </c>
      <c r="L755" s="4" t="s">
        <v>2</v>
      </c>
      <c r="M755" s="3" t="s">
        <v>1063</v>
      </c>
      <c r="N755" s="5" t="s">
        <v>1182</v>
      </c>
      <c r="O755" s="147">
        <v>0</v>
      </c>
      <c r="P755" s="15">
        <v>3</v>
      </c>
      <c r="Q755" s="148">
        <f t="shared" si="23"/>
        <v>3</v>
      </c>
    </row>
    <row r="756" spans="1:17" ht="16.5" hidden="1" x14ac:dyDescent="0.35">
      <c r="A756" s="53">
        <v>755</v>
      </c>
      <c r="B756" s="147" t="s">
        <v>1371</v>
      </c>
      <c r="C756" s="18" t="s">
        <v>663</v>
      </c>
      <c r="D756" s="17" t="s">
        <v>1423</v>
      </c>
      <c r="E756" s="17" t="s">
        <v>1424</v>
      </c>
      <c r="H756" s="194"/>
      <c r="I756" s="18" t="s">
        <v>1066</v>
      </c>
      <c r="J756" s="23" t="s">
        <v>1399</v>
      </c>
      <c r="K756" s="4">
        <v>37</v>
      </c>
      <c r="L756" s="4" t="s">
        <v>2</v>
      </c>
      <c r="M756" s="5" t="s">
        <v>1063</v>
      </c>
      <c r="N756" s="5" t="s">
        <v>1182</v>
      </c>
      <c r="O756" s="147">
        <v>2</v>
      </c>
      <c r="P756" s="15">
        <v>2</v>
      </c>
      <c r="Q756" s="148">
        <f t="shared" si="23"/>
        <v>4</v>
      </c>
    </row>
    <row r="757" spans="1:17" ht="16.5" hidden="1" x14ac:dyDescent="0.35">
      <c r="A757" s="53">
        <v>756</v>
      </c>
      <c r="B757" s="147" t="s">
        <v>1372</v>
      </c>
      <c r="C757" s="18" t="s">
        <v>663</v>
      </c>
      <c r="D757" s="17" t="s">
        <v>1423</v>
      </c>
      <c r="E757" s="17" t="s">
        <v>1424</v>
      </c>
      <c r="H757" s="194"/>
      <c r="I757" s="18" t="s">
        <v>1066</v>
      </c>
      <c r="J757" s="23" t="s">
        <v>1400</v>
      </c>
      <c r="K757" s="4">
        <v>40</v>
      </c>
      <c r="L757" s="4" t="s">
        <v>2</v>
      </c>
      <c r="M757" s="5" t="s">
        <v>1063</v>
      </c>
      <c r="N757" s="5" t="s">
        <v>1182</v>
      </c>
      <c r="O757" s="147">
        <v>0</v>
      </c>
      <c r="P757" s="15">
        <v>1</v>
      </c>
      <c r="Q757" s="148">
        <f t="shared" si="23"/>
        <v>1</v>
      </c>
    </row>
    <row r="758" spans="1:17" ht="16.5" hidden="1" x14ac:dyDescent="0.35">
      <c r="A758" s="53">
        <v>757</v>
      </c>
      <c r="B758" s="147" t="s">
        <v>1373</v>
      </c>
      <c r="C758" s="18" t="s">
        <v>663</v>
      </c>
      <c r="D758" s="17" t="s">
        <v>1423</v>
      </c>
      <c r="E758" s="17" t="s">
        <v>1424</v>
      </c>
      <c r="H758" s="194"/>
      <c r="I758" s="18" t="s">
        <v>1066</v>
      </c>
      <c r="J758" s="23" t="s">
        <v>1401</v>
      </c>
      <c r="K758" s="4">
        <v>41</v>
      </c>
      <c r="L758" s="4" t="s">
        <v>2</v>
      </c>
      <c r="M758" s="5" t="s">
        <v>1063</v>
      </c>
      <c r="N758" s="5" t="s">
        <v>1182</v>
      </c>
      <c r="O758" s="147">
        <v>3</v>
      </c>
      <c r="P758" s="15">
        <v>3</v>
      </c>
      <c r="Q758" s="148">
        <f t="shared" si="23"/>
        <v>6</v>
      </c>
    </row>
    <row r="759" spans="1:17" ht="16.5" hidden="1" x14ac:dyDescent="0.35">
      <c r="A759" s="53">
        <v>758</v>
      </c>
      <c r="B759" s="147" t="s">
        <v>122</v>
      </c>
      <c r="C759" s="18" t="s">
        <v>663</v>
      </c>
      <c r="D759" s="17" t="s">
        <v>1423</v>
      </c>
      <c r="E759" s="17" t="s">
        <v>1424</v>
      </c>
      <c r="H759" s="194"/>
      <c r="I759" s="18" t="s">
        <v>1066</v>
      </c>
      <c r="J759" s="23" t="s">
        <v>1402</v>
      </c>
      <c r="K759" s="4">
        <v>33</v>
      </c>
      <c r="L759" s="4" t="s">
        <v>2</v>
      </c>
      <c r="M759" s="5" t="s">
        <v>1063</v>
      </c>
      <c r="N759" s="5" t="s">
        <v>1182</v>
      </c>
      <c r="O759" s="147">
        <v>2</v>
      </c>
      <c r="P759" s="15">
        <v>4</v>
      </c>
      <c r="Q759" s="148">
        <f t="shared" si="23"/>
        <v>6</v>
      </c>
    </row>
    <row r="760" spans="1:17" ht="16.5" hidden="1" x14ac:dyDescent="0.35">
      <c r="A760" s="53">
        <v>759</v>
      </c>
      <c r="B760" s="147" t="s">
        <v>1374</v>
      </c>
      <c r="C760" s="18" t="s">
        <v>663</v>
      </c>
      <c r="D760" s="17" t="s">
        <v>1423</v>
      </c>
      <c r="E760" s="17" t="s">
        <v>1424</v>
      </c>
      <c r="H760" s="194"/>
      <c r="I760" s="18" t="s">
        <v>1066</v>
      </c>
      <c r="J760" s="23" t="s">
        <v>1403</v>
      </c>
      <c r="K760" s="4"/>
      <c r="L760" s="4" t="s">
        <v>2</v>
      </c>
      <c r="M760" s="5" t="s">
        <v>1063</v>
      </c>
      <c r="N760" s="5" t="s">
        <v>1182</v>
      </c>
      <c r="O760" s="147">
        <v>3</v>
      </c>
      <c r="P760" s="15">
        <v>1</v>
      </c>
      <c r="Q760" s="148">
        <f t="shared" si="23"/>
        <v>4</v>
      </c>
    </row>
    <row r="761" spans="1:17" ht="16.5" hidden="1" x14ac:dyDescent="0.35">
      <c r="A761" s="53">
        <v>760</v>
      </c>
      <c r="B761" s="147" t="s">
        <v>1375</v>
      </c>
      <c r="C761" s="18" t="s">
        <v>663</v>
      </c>
      <c r="D761" s="17" t="s">
        <v>1423</v>
      </c>
      <c r="E761" s="17" t="s">
        <v>1424</v>
      </c>
      <c r="H761" s="194"/>
      <c r="I761" s="18" t="s">
        <v>1066</v>
      </c>
      <c r="J761" s="23" t="s">
        <v>1404</v>
      </c>
      <c r="K761" s="4">
        <v>41</v>
      </c>
      <c r="L761" s="4" t="s">
        <v>2</v>
      </c>
      <c r="M761" s="5" t="s">
        <v>1063</v>
      </c>
      <c r="N761" s="5" t="s">
        <v>1182</v>
      </c>
      <c r="O761" s="147">
        <v>4</v>
      </c>
      <c r="P761" s="15">
        <v>1</v>
      </c>
      <c r="Q761" s="148">
        <f t="shared" si="23"/>
        <v>5</v>
      </c>
    </row>
    <row r="762" spans="1:17" ht="16.5" hidden="1" x14ac:dyDescent="0.35">
      <c r="A762" s="53">
        <v>761</v>
      </c>
      <c r="B762" s="147" t="s">
        <v>1376</v>
      </c>
      <c r="C762" s="18" t="s">
        <v>663</v>
      </c>
      <c r="D762" s="17" t="s">
        <v>1423</v>
      </c>
      <c r="E762" s="17" t="s">
        <v>1424</v>
      </c>
      <c r="H762" s="194"/>
      <c r="I762" s="18" t="s">
        <v>1066</v>
      </c>
      <c r="J762" s="23" t="s">
        <v>1405</v>
      </c>
      <c r="K762" s="4">
        <v>32</v>
      </c>
      <c r="L762" s="4" t="s">
        <v>2</v>
      </c>
      <c r="M762" s="5" t="s">
        <v>1063</v>
      </c>
      <c r="N762" s="5" t="s">
        <v>1182</v>
      </c>
      <c r="O762" s="147">
        <v>3</v>
      </c>
      <c r="P762" s="15">
        <v>1</v>
      </c>
      <c r="Q762" s="148">
        <f t="shared" si="23"/>
        <v>4</v>
      </c>
    </row>
    <row r="763" spans="1:17" ht="16.5" hidden="1" x14ac:dyDescent="0.35">
      <c r="A763" s="53">
        <v>762</v>
      </c>
      <c r="B763" s="147" t="s">
        <v>1377</v>
      </c>
      <c r="C763" s="18" t="s">
        <v>663</v>
      </c>
      <c r="D763" s="17" t="s">
        <v>1423</v>
      </c>
      <c r="E763" s="17" t="s">
        <v>1424</v>
      </c>
      <c r="H763" s="194"/>
      <c r="I763" s="18" t="s">
        <v>1066</v>
      </c>
      <c r="J763" s="23" t="s">
        <v>1406</v>
      </c>
      <c r="K763" s="4">
        <v>50</v>
      </c>
      <c r="L763" s="4" t="s">
        <v>2</v>
      </c>
      <c r="M763" s="5" t="s">
        <v>1063</v>
      </c>
      <c r="N763" s="5" t="s">
        <v>1182</v>
      </c>
      <c r="O763" s="147">
        <v>2</v>
      </c>
      <c r="P763" s="15">
        <v>2</v>
      </c>
      <c r="Q763" s="148">
        <f t="shared" si="23"/>
        <v>4</v>
      </c>
    </row>
    <row r="764" spans="1:17" ht="16.5" hidden="1" x14ac:dyDescent="0.35">
      <c r="A764" s="53">
        <v>763</v>
      </c>
      <c r="B764" s="147" t="s">
        <v>1378</v>
      </c>
      <c r="C764" s="18" t="s">
        <v>663</v>
      </c>
      <c r="D764" s="17" t="s">
        <v>1423</v>
      </c>
      <c r="E764" s="17" t="s">
        <v>1424</v>
      </c>
      <c r="H764" s="194"/>
      <c r="I764" s="18" t="s">
        <v>1066</v>
      </c>
      <c r="J764" s="23" t="s">
        <v>1407</v>
      </c>
      <c r="K764" s="4">
        <v>40</v>
      </c>
      <c r="L764" s="4" t="s">
        <v>2</v>
      </c>
      <c r="M764" s="5" t="s">
        <v>1063</v>
      </c>
      <c r="N764" s="5" t="s">
        <v>1182</v>
      </c>
      <c r="O764" s="147">
        <v>1</v>
      </c>
      <c r="P764" s="15">
        <v>2</v>
      </c>
      <c r="Q764" s="148">
        <f t="shared" si="23"/>
        <v>3</v>
      </c>
    </row>
    <row r="765" spans="1:17" ht="16.5" hidden="1" x14ac:dyDescent="0.35">
      <c r="A765" s="53">
        <v>764</v>
      </c>
      <c r="B765" s="147" t="s">
        <v>1379</v>
      </c>
      <c r="C765" s="18" t="s">
        <v>663</v>
      </c>
      <c r="D765" s="17" t="s">
        <v>1423</v>
      </c>
      <c r="E765" s="17" t="s">
        <v>1424</v>
      </c>
      <c r="H765" s="194"/>
      <c r="I765" s="18" t="s">
        <v>1066</v>
      </c>
      <c r="J765" s="23" t="s">
        <v>1408</v>
      </c>
      <c r="K765" s="4">
        <v>38</v>
      </c>
      <c r="L765" s="4" t="s">
        <v>2</v>
      </c>
      <c r="M765" s="5" t="s">
        <v>1063</v>
      </c>
      <c r="N765" s="5" t="s">
        <v>1182</v>
      </c>
      <c r="O765" s="147">
        <v>1</v>
      </c>
      <c r="P765" s="15">
        <v>1</v>
      </c>
      <c r="Q765" s="148">
        <f t="shared" si="23"/>
        <v>2</v>
      </c>
    </row>
    <row r="766" spans="1:17" ht="16.5" hidden="1" x14ac:dyDescent="0.35">
      <c r="A766" s="53">
        <v>765</v>
      </c>
      <c r="B766" s="147" t="s">
        <v>1380</v>
      </c>
      <c r="C766" s="18" t="s">
        <v>663</v>
      </c>
      <c r="D766" s="17" t="s">
        <v>1423</v>
      </c>
      <c r="E766" s="17" t="s">
        <v>1424</v>
      </c>
      <c r="H766" s="194"/>
      <c r="I766" s="18" t="s">
        <v>1066</v>
      </c>
      <c r="J766" s="23" t="s">
        <v>1409</v>
      </c>
      <c r="K766" s="4">
        <v>46</v>
      </c>
      <c r="L766" s="4" t="s">
        <v>2</v>
      </c>
      <c r="M766" s="5" t="s">
        <v>1063</v>
      </c>
      <c r="N766" s="5" t="s">
        <v>1182</v>
      </c>
      <c r="O766" s="147">
        <v>1</v>
      </c>
      <c r="P766" s="15">
        <v>1</v>
      </c>
      <c r="Q766" s="148">
        <f t="shared" si="23"/>
        <v>2</v>
      </c>
    </row>
    <row r="767" spans="1:17" ht="16.5" hidden="1" x14ac:dyDescent="0.35">
      <c r="A767" s="53">
        <v>766</v>
      </c>
      <c r="B767" s="147" t="s">
        <v>1381</v>
      </c>
      <c r="C767" s="18" t="s">
        <v>663</v>
      </c>
      <c r="D767" s="17" t="s">
        <v>1423</v>
      </c>
      <c r="E767" s="17" t="s">
        <v>1424</v>
      </c>
      <c r="H767" s="194"/>
      <c r="I767" s="18" t="s">
        <v>1066</v>
      </c>
      <c r="J767" s="23" t="s">
        <v>1410</v>
      </c>
      <c r="K767" s="4">
        <v>34</v>
      </c>
      <c r="L767" s="4" t="s">
        <v>2</v>
      </c>
      <c r="M767" s="5" t="s">
        <v>1063</v>
      </c>
      <c r="N767" s="5" t="s">
        <v>1182</v>
      </c>
      <c r="O767" s="147">
        <v>3</v>
      </c>
      <c r="P767" s="15">
        <v>2</v>
      </c>
      <c r="Q767" s="148">
        <f t="shared" si="23"/>
        <v>5</v>
      </c>
    </row>
    <row r="768" spans="1:17" ht="16.5" hidden="1" x14ac:dyDescent="0.35">
      <c r="A768" s="53">
        <v>767</v>
      </c>
      <c r="B768" s="147" t="s">
        <v>1382</v>
      </c>
      <c r="C768" s="18" t="s">
        <v>663</v>
      </c>
      <c r="D768" s="17" t="s">
        <v>1423</v>
      </c>
      <c r="E768" s="17" t="s">
        <v>1424</v>
      </c>
      <c r="H768" s="194"/>
      <c r="I768" s="18" t="s">
        <v>1066</v>
      </c>
      <c r="J768" s="23" t="s">
        <v>1411</v>
      </c>
      <c r="K768" s="4">
        <v>42</v>
      </c>
      <c r="L768" s="4" t="s">
        <v>2</v>
      </c>
      <c r="M768" s="5" t="s">
        <v>1063</v>
      </c>
      <c r="N768" s="5" t="s">
        <v>1182</v>
      </c>
      <c r="O768" s="147">
        <v>3</v>
      </c>
      <c r="P768" s="15">
        <v>3</v>
      </c>
      <c r="Q768" s="148">
        <f t="shared" si="23"/>
        <v>6</v>
      </c>
    </row>
    <row r="769" spans="1:17" ht="16.5" hidden="1" x14ac:dyDescent="0.35">
      <c r="A769" s="53">
        <v>768</v>
      </c>
      <c r="B769" s="147" t="s">
        <v>1383</v>
      </c>
      <c r="C769" s="18" t="s">
        <v>663</v>
      </c>
      <c r="D769" s="17" t="s">
        <v>1423</v>
      </c>
      <c r="E769" s="17" t="s">
        <v>1424</v>
      </c>
      <c r="H769" s="194"/>
      <c r="I769" s="18" t="s">
        <v>1066</v>
      </c>
      <c r="J769" s="23" t="s">
        <v>1412</v>
      </c>
      <c r="K769" s="4">
        <v>57</v>
      </c>
      <c r="L769" s="4" t="s">
        <v>2</v>
      </c>
      <c r="M769" s="5" t="s">
        <v>1063</v>
      </c>
      <c r="N769" s="5" t="s">
        <v>1182</v>
      </c>
      <c r="O769" s="147">
        <v>0</v>
      </c>
      <c r="P769" s="15">
        <v>0</v>
      </c>
      <c r="Q769" s="148">
        <f t="shared" si="23"/>
        <v>0</v>
      </c>
    </row>
    <row r="770" spans="1:17" ht="16.5" hidden="1" x14ac:dyDescent="0.35">
      <c r="A770" s="53">
        <v>769</v>
      </c>
      <c r="B770" s="147" t="s">
        <v>1384</v>
      </c>
      <c r="C770" s="18" t="s">
        <v>663</v>
      </c>
      <c r="D770" s="17" t="s">
        <v>1423</v>
      </c>
      <c r="E770" s="17" t="s">
        <v>1424</v>
      </c>
      <c r="H770" s="194"/>
      <c r="I770" s="18" t="s">
        <v>1066</v>
      </c>
      <c r="J770" s="23" t="s">
        <v>1413</v>
      </c>
      <c r="K770" s="4">
        <v>41</v>
      </c>
      <c r="L770" s="4" t="s">
        <v>2</v>
      </c>
      <c r="M770" s="5" t="s">
        <v>1063</v>
      </c>
      <c r="N770" s="5" t="s">
        <v>1182</v>
      </c>
      <c r="O770" s="147">
        <v>2</v>
      </c>
      <c r="P770" s="15">
        <v>4</v>
      </c>
      <c r="Q770" s="148">
        <f t="shared" si="23"/>
        <v>6</v>
      </c>
    </row>
    <row r="771" spans="1:17" ht="16.5" hidden="1" x14ac:dyDescent="0.35">
      <c r="A771" s="53">
        <v>770</v>
      </c>
      <c r="B771" s="147" t="s">
        <v>1385</v>
      </c>
      <c r="C771" s="18" t="s">
        <v>663</v>
      </c>
      <c r="D771" s="17" t="s">
        <v>1423</v>
      </c>
      <c r="E771" s="17" t="s">
        <v>1424</v>
      </c>
      <c r="H771" s="194"/>
      <c r="I771" s="18" t="s">
        <v>1066</v>
      </c>
      <c r="J771" s="23" t="s">
        <v>1414</v>
      </c>
      <c r="K771" s="4">
        <v>28</v>
      </c>
      <c r="L771" s="4" t="s">
        <v>2</v>
      </c>
      <c r="M771" s="5" t="s">
        <v>1063</v>
      </c>
      <c r="N771" s="5" t="s">
        <v>1182</v>
      </c>
      <c r="O771" s="147">
        <v>1</v>
      </c>
      <c r="P771" s="15">
        <v>2</v>
      </c>
      <c r="Q771" s="148">
        <f t="shared" si="23"/>
        <v>3</v>
      </c>
    </row>
    <row r="772" spans="1:17" ht="16.5" hidden="1" x14ac:dyDescent="0.35">
      <c r="A772" s="53">
        <v>771</v>
      </c>
      <c r="B772" s="147" t="s">
        <v>1386</v>
      </c>
      <c r="C772" s="18" t="s">
        <v>663</v>
      </c>
      <c r="D772" s="17" t="s">
        <v>1423</v>
      </c>
      <c r="E772" s="17" t="s">
        <v>1424</v>
      </c>
      <c r="H772" s="194"/>
      <c r="I772" s="18" t="s">
        <v>1066</v>
      </c>
      <c r="J772" s="23" t="s">
        <v>1415</v>
      </c>
      <c r="K772" s="4">
        <v>25</v>
      </c>
      <c r="L772" s="4" t="s">
        <v>2</v>
      </c>
      <c r="M772" s="5" t="s">
        <v>1063</v>
      </c>
      <c r="N772" s="5" t="s">
        <v>1182</v>
      </c>
      <c r="O772" s="147">
        <v>0</v>
      </c>
      <c r="P772" s="15">
        <v>0</v>
      </c>
      <c r="Q772" s="148">
        <f t="shared" si="23"/>
        <v>0</v>
      </c>
    </row>
    <row r="773" spans="1:17" ht="16.5" hidden="1" x14ac:dyDescent="0.35">
      <c r="A773" s="53">
        <v>772</v>
      </c>
      <c r="B773" s="147" t="s">
        <v>1387</v>
      </c>
      <c r="C773" s="18" t="s">
        <v>663</v>
      </c>
      <c r="D773" s="17" t="s">
        <v>1423</v>
      </c>
      <c r="E773" s="17" t="s">
        <v>1424</v>
      </c>
      <c r="H773" s="194"/>
      <c r="I773" s="18" t="s">
        <v>1066</v>
      </c>
      <c r="J773" s="23" t="s">
        <v>1416</v>
      </c>
      <c r="K773" s="4">
        <v>53</v>
      </c>
      <c r="L773" s="4" t="s">
        <v>2</v>
      </c>
      <c r="M773" s="5" t="s">
        <v>1063</v>
      </c>
      <c r="N773" s="5" t="s">
        <v>1182</v>
      </c>
      <c r="O773" s="147">
        <v>5</v>
      </c>
      <c r="P773" s="15">
        <v>3</v>
      </c>
      <c r="Q773" s="148">
        <f t="shared" si="23"/>
        <v>8</v>
      </c>
    </row>
    <row r="774" spans="1:17" ht="16.5" hidden="1" x14ac:dyDescent="0.35">
      <c r="A774" s="53">
        <v>773</v>
      </c>
      <c r="B774" s="147" t="s">
        <v>1388</v>
      </c>
      <c r="C774" s="18" t="s">
        <v>663</v>
      </c>
      <c r="D774" s="17" t="s">
        <v>1423</v>
      </c>
      <c r="E774" s="17" t="s">
        <v>1424</v>
      </c>
      <c r="H774" s="194"/>
      <c r="I774" s="18" t="s">
        <v>1066</v>
      </c>
      <c r="J774" s="23" t="s">
        <v>1417</v>
      </c>
      <c r="K774" s="4">
        <v>50</v>
      </c>
      <c r="L774" s="4" t="s">
        <v>2</v>
      </c>
      <c r="M774" s="5" t="s">
        <v>1063</v>
      </c>
      <c r="N774" s="5" t="s">
        <v>1182</v>
      </c>
      <c r="O774" s="147">
        <v>4</v>
      </c>
      <c r="P774" s="15">
        <v>4</v>
      </c>
      <c r="Q774" s="148">
        <f t="shared" si="23"/>
        <v>8</v>
      </c>
    </row>
    <row r="775" spans="1:17" ht="16.5" hidden="1" x14ac:dyDescent="0.35">
      <c r="A775" s="53">
        <v>774</v>
      </c>
      <c r="B775" s="147" t="s">
        <v>1389</v>
      </c>
      <c r="C775" s="18" t="s">
        <v>663</v>
      </c>
      <c r="D775" s="17" t="s">
        <v>1423</v>
      </c>
      <c r="E775" s="17" t="s">
        <v>1424</v>
      </c>
      <c r="H775" s="194"/>
      <c r="I775" s="18" t="s">
        <v>1066</v>
      </c>
      <c r="J775" s="23" t="s">
        <v>1418</v>
      </c>
      <c r="K775" s="4">
        <v>42</v>
      </c>
      <c r="L775" s="4" t="s">
        <v>2</v>
      </c>
      <c r="M775" s="5" t="s">
        <v>1063</v>
      </c>
      <c r="N775" s="5" t="s">
        <v>1182</v>
      </c>
      <c r="O775" s="147">
        <v>3</v>
      </c>
      <c r="P775" s="15">
        <v>1</v>
      </c>
      <c r="Q775" s="148">
        <f t="shared" si="23"/>
        <v>4</v>
      </c>
    </row>
    <row r="776" spans="1:17" ht="16.5" hidden="1" x14ac:dyDescent="0.35">
      <c r="A776" s="53">
        <v>775</v>
      </c>
      <c r="B776" s="147" t="s">
        <v>1390</v>
      </c>
      <c r="C776" s="18" t="s">
        <v>663</v>
      </c>
      <c r="D776" s="17" t="s">
        <v>1423</v>
      </c>
      <c r="E776" s="17" t="s">
        <v>1424</v>
      </c>
      <c r="H776" s="194"/>
      <c r="I776" s="18" t="s">
        <v>1066</v>
      </c>
      <c r="J776" s="23" t="s">
        <v>1419</v>
      </c>
      <c r="K776" s="4">
        <v>28</v>
      </c>
      <c r="L776" s="4" t="s">
        <v>2</v>
      </c>
      <c r="M776" s="5" t="s">
        <v>1063</v>
      </c>
      <c r="N776" s="5" t="s">
        <v>1182</v>
      </c>
      <c r="O776" s="147">
        <v>0</v>
      </c>
      <c r="P776" s="15">
        <v>1</v>
      </c>
      <c r="Q776" s="148">
        <f t="shared" si="23"/>
        <v>1</v>
      </c>
    </row>
    <row r="777" spans="1:17" ht="16.5" hidden="1" x14ac:dyDescent="0.5">
      <c r="A777" s="53">
        <v>776</v>
      </c>
      <c r="B777" s="147" t="s">
        <v>1391</v>
      </c>
      <c r="C777" s="18" t="s">
        <v>663</v>
      </c>
      <c r="D777" s="17" t="s">
        <v>1423</v>
      </c>
      <c r="E777" s="17" t="s">
        <v>1424</v>
      </c>
      <c r="H777" s="194"/>
      <c r="I777" s="18" t="s">
        <v>1066</v>
      </c>
      <c r="J777" s="23" t="s">
        <v>1420</v>
      </c>
      <c r="K777" s="6">
        <v>35</v>
      </c>
      <c r="L777" s="4" t="s">
        <v>2</v>
      </c>
      <c r="M777" s="6" t="s">
        <v>1063</v>
      </c>
      <c r="N777" s="6" t="s">
        <v>1182</v>
      </c>
      <c r="O777" s="149">
        <v>3</v>
      </c>
      <c r="P777" s="149">
        <v>2</v>
      </c>
      <c r="Q777" s="148">
        <f t="shared" si="23"/>
        <v>5</v>
      </c>
    </row>
    <row r="778" spans="1:17" ht="16.5" hidden="1" x14ac:dyDescent="0.35">
      <c r="A778" s="53">
        <v>777</v>
      </c>
      <c r="B778" s="147" t="s">
        <v>1392</v>
      </c>
      <c r="C778" s="18" t="s">
        <v>663</v>
      </c>
      <c r="D778" s="17" t="s">
        <v>1423</v>
      </c>
      <c r="E778" s="17" t="s">
        <v>1424</v>
      </c>
      <c r="H778" s="194"/>
      <c r="I778" s="18" t="s">
        <v>1066</v>
      </c>
      <c r="J778" s="24" t="s">
        <v>1421</v>
      </c>
      <c r="K778" s="8">
        <v>43</v>
      </c>
      <c r="L778" s="4" t="s">
        <v>2</v>
      </c>
      <c r="M778" s="8" t="s">
        <v>1063</v>
      </c>
      <c r="N778" s="8" t="s">
        <v>1182</v>
      </c>
      <c r="O778" s="151">
        <v>2</v>
      </c>
      <c r="P778" s="151">
        <v>8</v>
      </c>
      <c r="Q778" s="148">
        <f t="shared" si="23"/>
        <v>10</v>
      </c>
    </row>
    <row r="779" spans="1:17" ht="16.5" hidden="1" x14ac:dyDescent="0.35">
      <c r="A779" s="53">
        <v>778</v>
      </c>
      <c r="B779" s="177" t="s">
        <v>1393</v>
      </c>
      <c r="C779" s="18" t="s">
        <v>663</v>
      </c>
      <c r="D779" s="17" t="s">
        <v>1423</v>
      </c>
      <c r="E779" s="17" t="s">
        <v>1424</v>
      </c>
      <c r="H779" s="194"/>
      <c r="I779" s="18" t="s">
        <v>1066</v>
      </c>
      <c r="J779" s="25" t="s">
        <v>1422</v>
      </c>
      <c r="K779" s="11">
        <v>35</v>
      </c>
      <c r="L779" s="178" t="s">
        <v>2</v>
      </c>
      <c r="M779" s="11" t="s">
        <v>1063</v>
      </c>
      <c r="N779" s="11" t="s">
        <v>1182</v>
      </c>
      <c r="O779" s="143">
        <v>4</v>
      </c>
      <c r="P779" s="143">
        <v>1</v>
      </c>
      <c r="Q779" s="148">
        <f t="shared" si="23"/>
        <v>5</v>
      </c>
    </row>
    <row r="780" spans="1:17" ht="16.5" hidden="1" x14ac:dyDescent="0.35">
      <c r="A780" s="53">
        <v>779</v>
      </c>
      <c r="B780" s="18" t="s">
        <v>1425</v>
      </c>
      <c r="C780" s="18" t="s">
        <v>663</v>
      </c>
      <c r="D780" s="17" t="s">
        <v>1480</v>
      </c>
      <c r="E780" s="17" t="s">
        <v>1424</v>
      </c>
      <c r="H780" s="25"/>
      <c r="I780" s="18" t="s">
        <v>1066</v>
      </c>
      <c r="J780" s="23" t="s">
        <v>1453</v>
      </c>
      <c r="K780" s="4"/>
      <c r="L780" s="4" t="s">
        <v>9</v>
      </c>
      <c r="M780" s="5" t="s">
        <v>1063</v>
      </c>
      <c r="N780" s="5" t="s">
        <v>972</v>
      </c>
      <c r="O780" s="147">
        <v>2</v>
      </c>
      <c r="P780" s="15">
        <v>2</v>
      </c>
      <c r="Q780" s="148">
        <f>(O780+P780)</f>
        <v>4</v>
      </c>
    </row>
    <row r="781" spans="1:17" ht="16.5" hidden="1" x14ac:dyDescent="0.35">
      <c r="A781" s="53">
        <v>780</v>
      </c>
      <c r="B781" s="18" t="s">
        <v>858</v>
      </c>
      <c r="C781" s="18" t="s">
        <v>663</v>
      </c>
      <c r="D781" s="17" t="s">
        <v>1480</v>
      </c>
      <c r="E781" s="17" t="s">
        <v>1424</v>
      </c>
      <c r="H781" s="194"/>
      <c r="I781" s="18" t="s">
        <v>1066</v>
      </c>
      <c r="J781" s="23" t="s">
        <v>1454</v>
      </c>
      <c r="K781" s="4">
        <v>44</v>
      </c>
      <c r="L781" s="4" t="s">
        <v>9</v>
      </c>
      <c r="M781" s="5" t="s">
        <v>1063</v>
      </c>
      <c r="N781" s="5" t="s">
        <v>972</v>
      </c>
      <c r="O781" s="147">
        <v>1</v>
      </c>
      <c r="P781" s="15">
        <v>2</v>
      </c>
      <c r="Q781" s="148">
        <f t="shared" ref="Q781:Q808" si="24">(O781+P781)</f>
        <v>3</v>
      </c>
    </row>
    <row r="782" spans="1:17" ht="16.5" hidden="1" x14ac:dyDescent="0.35">
      <c r="A782" s="53">
        <v>781</v>
      </c>
      <c r="B782" s="18" t="s">
        <v>1426</v>
      </c>
      <c r="C782" s="18" t="s">
        <v>663</v>
      </c>
      <c r="D782" s="17" t="s">
        <v>1480</v>
      </c>
      <c r="E782" s="17" t="s">
        <v>1424</v>
      </c>
      <c r="H782" s="194"/>
      <c r="I782" s="18" t="s">
        <v>1066</v>
      </c>
      <c r="J782" s="23" t="s">
        <v>1455</v>
      </c>
      <c r="K782" s="4">
        <v>36</v>
      </c>
      <c r="L782" s="4" t="s">
        <v>9</v>
      </c>
      <c r="M782" s="5" t="s">
        <v>1063</v>
      </c>
      <c r="N782" s="5" t="s">
        <v>972</v>
      </c>
      <c r="O782" s="147">
        <v>4</v>
      </c>
      <c r="P782" s="15">
        <v>2</v>
      </c>
      <c r="Q782" s="148">
        <f t="shared" si="24"/>
        <v>6</v>
      </c>
    </row>
    <row r="783" spans="1:17" ht="16.5" hidden="1" x14ac:dyDescent="0.35">
      <c r="A783" s="53">
        <v>782</v>
      </c>
      <c r="B783" s="18" t="s">
        <v>1427</v>
      </c>
      <c r="C783" s="18" t="s">
        <v>663</v>
      </c>
      <c r="D783" s="17" t="s">
        <v>1480</v>
      </c>
      <c r="E783" s="17" t="s">
        <v>1424</v>
      </c>
      <c r="H783" s="194"/>
      <c r="I783" s="18" t="s">
        <v>1066</v>
      </c>
      <c r="J783" s="23" t="s">
        <v>1456</v>
      </c>
      <c r="K783" s="4">
        <v>38</v>
      </c>
      <c r="L783" s="4" t="s">
        <v>9</v>
      </c>
      <c r="M783" s="5" t="s">
        <v>1063</v>
      </c>
      <c r="N783" s="5" t="s">
        <v>972</v>
      </c>
      <c r="O783" s="147">
        <v>4</v>
      </c>
      <c r="P783" s="15">
        <v>2</v>
      </c>
      <c r="Q783" s="148">
        <f t="shared" si="24"/>
        <v>6</v>
      </c>
    </row>
    <row r="784" spans="1:17" ht="16.5" hidden="1" x14ac:dyDescent="0.35">
      <c r="A784" s="53">
        <v>783</v>
      </c>
      <c r="B784" s="18" t="s">
        <v>1428</v>
      </c>
      <c r="C784" s="18" t="s">
        <v>663</v>
      </c>
      <c r="D784" s="17" t="s">
        <v>1480</v>
      </c>
      <c r="E784" s="17" t="s">
        <v>1424</v>
      </c>
      <c r="H784" s="194"/>
      <c r="I784" s="18" t="s">
        <v>1066</v>
      </c>
      <c r="J784" s="23" t="s">
        <v>1457</v>
      </c>
      <c r="K784" s="4">
        <v>37</v>
      </c>
      <c r="L784" s="4" t="s">
        <v>9</v>
      </c>
      <c r="M784" s="3" t="s">
        <v>1063</v>
      </c>
      <c r="N784" s="5" t="s">
        <v>972</v>
      </c>
      <c r="O784" s="147">
        <v>1</v>
      </c>
      <c r="P784" s="15">
        <v>1</v>
      </c>
      <c r="Q784" s="148">
        <f t="shared" si="24"/>
        <v>2</v>
      </c>
    </row>
    <row r="785" spans="1:17" ht="16.5" hidden="1" x14ac:dyDescent="0.35">
      <c r="A785" s="53">
        <v>784</v>
      </c>
      <c r="B785" s="18" t="s">
        <v>1429</v>
      </c>
      <c r="C785" s="18" t="s">
        <v>663</v>
      </c>
      <c r="D785" s="17" t="s">
        <v>1480</v>
      </c>
      <c r="E785" s="17" t="s">
        <v>1424</v>
      </c>
      <c r="H785" s="194"/>
      <c r="I785" s="18" t="s">
        <v>1066</v>
      </c>
      <c r="J785" s="23" t="s">
        <v>1458</v>
      </c>
      <c r="K785" s="4">
        <v>37</v>
      </c>
      <c r="L785" s="4" t="s">
        <v>9</v>
      </c>
      <c r="M785" s="5" t="s">
        <v>1063</v>
      </c>
      <c r="N785" s="5" t="s">
        <v>972</v>
      </c>
      <c r="O785" s="147">
        <v>2</v>
      </c>
      <c r="P785" s="15">
        <v>2</v>
      </c>
      <c r="Q785" s="148">
        <f t="shared" si="24"/>
        <v>4</v>
      </c>
    </row>
    <row r="786" spans="1:17" ht="16.5" hidden="1" x14ac:dyDescent="0.35">
      <c r="A786" s="53">
        <v>785</v>
      </c>
      <c r="B786" s="18" t="s">
        <v>1430</v>
      </c>
      <c r="C786" s="18" t="s">
        <v>663</v>
      </c>
      <c r="D786" s="17" t="s">
        <v>1480</v>
      </c>
      <c r="E786" s="17" t="s">
        <v>1424</v>
      </c>
      <c r="H786" s="194"/>
      <c r="I786" s="18" t="s">
        <v>1066</v>
      </c>
      <c r="J786" s="23" t="s">
        <v>1459</v>
      </c>
      <c r="K786" s="4">
        <v>42</v>
      </c>
      <c r="L786" s="4" t="s">
        <v>9</v>
      </c>
      <c r="M786" s="5" t="s">
        <v>1063</v>
      </c>
      <c r="N786" s="5" t="s">
        <v>972</v>
      </c>
      <c r="O786" s="147">
        <v>5</v>
      </c>
      <c r="P786" s="15">
        <v>2</v>
      </c>
      <c r="Q786" s="148">
        <f t="shared" si="24"/>
        <v>7</v>
      </c>
    </row>
    <row r="787" spans="1:17" ht="16.5" hidden="1" x14ac:dyDescent="0.35">
      <c r="A787" s="53">
        <v>786</v>
      </c>
      <c r="B787" s="18" t="s">
        <v>1431</v>
      </c>
      <c r="C787" s="18" t="s">
        <v>663</v>
      </c>
      <c r="D787" s="17" t="s">
        <v>1480</v>
      </c>
      <c r="E787" s="17" t="s">
        <v>1424</v>
      </c>
      <c r="H787" s="194"/>
      <c r="I787" s="18" t="s">
        <v>1066</v>
      </c>
      <c r="J787" s="23" t="s">
        <v>1460</v>
      </c>
      <c r="K787" s="4">
        <v>30</v>
      </c>
      <c r="L787" s="4" t="s">
        <v>9</v>
      </c>
      <c r="M787" s="5" t="s">
        <v>1063</v>
      </c>
      <c r="N787" s="5" t="s">
        <v>972</v>
      </c>
      <c r="O787" s="147">
        <v>0</v>
      </c>
      <c r="P787" s="15">
        <v>0</v>
      </c>
      <c r="Q787" s="148">
        <f t="shared" si="24"/>
        <v>0</v>
      </c>
    </row>
    <row r="788" spans="1:17" ht="16.5" hidden="1" x14ac:dyDescent="0.35">
      <c r="A788" s="53">
        <v>787</v>
      </c>
      <c r="B788" s="18" t="s">
        <v>1432</v>
      </c>
      <c r="C788" s="18" t="s">
        <v>663</v>
      </c>
      <c r="D788" s="17" t="s">
        <v>1480</v>
      </c>
      <c r="E788" s="17" t="s">
        <v>1424</v>
      </c>
      <c r="H788" s="194"/>
      <c r="I788" s="18" t="s">
        <v>1066</v>
      </c>
      <c r="J788" s="23" t="s">
        <v>1461</v>
      </c>
      <c r="K788" s="4">
        <v>52</v>
      </c>
      <c r="L788" s="4" t="s">
        <v>9</v>
      </c>
      <c r="M788" s="5" t="s">
        <v>1063</v>
      </c>
      <c r="N788" s="5" t="s">
        <v>972</v>
      </c>
      <c r="O788" s="147">
        <v>3</v>
      </c>
      <c r="P788" s="15">
        <v>3</v>
      </c>
      <c r="Q788" s="148">
        <f t="shared" si="24"/>
        <v>6</v>
      </c>
    </row>
    <row r="789" spans="1:17" ht="16.5" hidden="1" x14ac:dyDescent="0.35">
      <c r="A789" s="53">
        <v>788</v>
      </c>
      <c r="B789" s="18" t="s">
        <v>1433</v>
      </c>
      <c r="C789" s="18" t="s">
        <v>663</v>
      </c>
      <c r="D789" s="17" t="s">
        <v>1480</v>
      </c>
      <c r="E789" s="17" t="s">
        <v>1424</v>
      </c>
      <c r="H789" s="194"/>
      <c r="I789" s="18" t="s">
        <v>1066</v>
      </c>
      <c r="J789" s="23" t="s">
        <v>1462</v>
      </c>
      <c r="K789" s="4">
        <v>42</v>
      </c>
      <c r="L789" s="4" t="s">
        <v>9</v>
      </c>
      <c r="M789" s="5" t="s">
        <v>1063</v>
      </c>
      <c r="N789" s="5" t="s">
        <v>972</v>
      </c>
      <c r="O789" s="147">
        <v>2</v>
      </c>
      <c r="P789" s="15">
        <v>0</v>
      </c>
      <c r="Q789" s="148">
        <f t="shared" si="24"/>
        <v>2</v>
      </c>
    </row>
    <row r="790" spans="1:17" ht="16.5" hidden="1" x14ac:dyDescent="0.35">
      <c r="A790" s="53">
        <v>789</v>
      </c>
      <c r="B790" s="18" t="s">
        <v>1434</v>
      </c>
      <c r="C790" s="18" t="s">
        <v>663</v>
      </c>
      <c r="D790" s="17" t="s">
        <v>1480</v>
      </c>
      <c r="E790" s="17" t="s">
        <v>1424</v>
      </c>
      <c r="H790" s="194"/>
      <c r="I790" s="18" t="s">
        <v>1066</v>
      </c>
      <c r="J790" s="23" t="s">
        <v>1461</v>
      </c>
      <c r="K790" s="4">
        <v>39</v>
      </c>
      <c r="L790" s="4" t="s">
        <v>9</v>
      </c>
      <c r="M790" s="5" t="s">
        <v>1063</v>
      </c>
      <c r="N790" s="5" t="s">
        <v>972</v>
      </c>
      <c r="O790" s="147">
        <v>5</v>
      </c>
      <c r="P790" s="15">
        <v>3</v>
      </c>
      <c r="Q790" s="148">
        <f t="shared" si="24"/>
        <v>8</v>
      </c>
    </row>
    <row r="791" spans="1:17" ht="16.5" hidden="1" x14ac:dyDescent="0.35">
      <c r="A791" s="53">
        <v>790</v>
      </c>
      <c r="B791" s="18" t="s">
        <v>1435</v>
      </c>
      <c r="C791" s="18" t="s">
        <v>663</v>
      </c>
      <c r="D791" s="17" t="s">
        <v>1480</v>
      </c>
      <c r="E791" s="17" t="s">
        <v>1424</v>
      </c>
      <c r="H791" s="194"/>
      <c r="I791" s="18" t="s">
        <v>1066</v>
      </c>
      <c r="J791" s="23" t="s">
        <v>1463</v>
      </c>
      <c r="K791" s="4">
        <v>55</v>
      </c>
      <c r="L791" s="4" t="s">
        <v>9</v>
      </c>
      <c r="M791" s="5" t="s">
        <v>1063</v>
      </c>
      <c r="N791" s="5" t="s">
        <v>1478</v>
      </c>
      <c r="O791" s="147">
        <v>3</v>
      </c>
      <c r="P791" s="15">
        <v>1</v>
      </c>
      <c r="Q791" s="148">
        <f t="shared" si="24"/>
        <v>4</v>
      </c>
    </row>
    <row r="792" spans="1:17" ht="16.5" hidden="1" x14ac:dyDescent="0.35">
      <c r="A792" s="53">
        <v>791</v>
      </c>
      <c r="B792" s="18" t="s">
        <v>1436</v>
      </c>
      <c r="C792" s="18" t="s">
        <v>663</v>
      </c>
      <c r="D792" s="17" t="s">
        <v>1480</v>
      </c>
      <c r="E792" s="17" t="s">
        <v>1424</v>
      </c>
      <c r="H792" s="194"/>
      <c r="I792" s="18" t="s">
        <v>1066</v>
      </c>
      <c r="J792" s="23" t="s">
        <v>1414</v>
      </c>
      <c r="K792" s="4">
        <v>37</v>
      </c>
      <c r="L792" s="4" t="s">
        <v>9</v>
      </c>
      <c r="M792" s="5" t="s">
        <v>1063</v>
      </c>
      <c r="N792" s="5" t="s">
        <v>972</v>
      </c>
      <c r="O792" s="147">
        <v>2</v>
      </c>
      <c r="P792" s="15">
        <v>1</v>
      </c>
      <c r="Q792" s="148">
        <f t="shared" si="24"/>
        <v>3</v>
      </c>
    </row>
    <row r="793" spans="1:17" ht="16.5" hidden="1" x14ac:dyDescent="0.35">
      <c r="A793" s="53">
        <v>792</v>
      </c>
      <c r="B793" s="18" t="s">
        <v>1437</v>
      </c>
      <c r="C793" s="18" t="s">
        <v>663</v>
      </c>
      <c r="D793" s="17" t="s">
        <v>1480</v>
      </c>
      <c r="E793" s="17" t="s">
        <v>1424</v>
      </c>
      <c r="H793" s="194"/>
      <c r="I793" s="18" t="s">
        <v>1066</v>
      </c>
      <c r="J793" s="23" t="s">
        <v>1464</v>
      </c>
      <c r="K793" s="4">
        <v>38</v>
      </c>
      <c r="L793" s="4" t="s">
        <v>9</v>
      </c>
      <c r="M793" s="5" t="s">
        <v>1063</v>
      </c>
      <c r="N793" s="5" t="s">
        <v>972</v>
      </c>
      <c r="O793" s="147">
        <v>0</v>
      </c>
      <c r="P793" s="15">
        <v>2</v>
      </c>
      <c r="Q793" s="148">
        <f t="shared" si="24"/>
        <v>2</v>
      </c>
    </row>
    <row r="794" spans="1:17" ht="16.5" hidden="1" x14ac:dyDescent="0.35">
      <c r="A794" s="53">
        <v>793</v>
      </c>
      <c r="B794" s="18" t="s">
        <v>1438</v>
      </c>
      <c r="C794" s="18" t="s">
        <v>663</v>
      </c>
      <c r="D794" s="17" t="s">
        <v>1480</v>
      </c>
      <c r="E794" s="17" t="s">
        <v>1424</v>
      </c>
      <c r="H794" s="194"/>
      <c r="I794" s="18" t="s">
        <v>1066</v>
      </c>
      <c r="J794" s="23" t="s">
        <v>1465</v>
      </c>
      <c r="K794" s="4">
        <v>47</v>
      </c>
      <c r="L794" s="4" t="s">
        <v>9</v>
      </c>
      <c r="M794" s="5" t="s">
        <v>1063</v>
      </c>
      <c r="N794" s="5" t="s">
        <v>972</v>
      </c>
      <c r="O794" s="147">
        <v>2</v>
      </c>
      <c r="P794" s="15">
        <v>1</v>
      </c>
      <c r="Q794" s="148">
        <f t="shared" si="24"/>
        <v>3</v>
      </c>
    </row>
    <row r="795" spans="1:17" ht="16.5" hidden="1" x14ac:dyDescent="0.35">
      <c r="A795" s="53">
        <v>794</v>
      </c>
      <c r="B795" s="18" t="s">
        <v>1439</v>
      </c>
      <c r="C795" s="18" t="s">
        <v>663</v>
      </c>
      <c r="D795" s="17" t="s">
        <v>1480</v>
      </c>
      <c r="E795" s="17" t="s">
        <v>1424</v>
      </c>
      <c r="H795" s="194"/>
      <c r="I795" s="18" t="s">
        <v>1066</v>
      </c>
      <c r="J795" s="23" t="s">
        <v>1466</v>
      </c>
      <c r="K795" s="4">
        <v>40</v>
      </c>
      <c r="L795" s="4" t="s">
        <v>9</v>
      </c>
      <c r="M795" s="5" t="s">
        <v>1063</v>
      </c>
      <c r="N795" s="5" t="s">
        <v>972</v>
      </c>
      <c r="O795" s="147">
        <v>1</v>
      </c>
      <c r="P795" s="15">
        <v>0</v>
      </c>
      <c r="Q795" s="148">
        <f t="shared" si="24"/>
        <v>1</v>
      </c>
    </row>
    <row r="796" spans="1:17" ht="16.5" hidden="1" x14ac:dyDescent="0.35">
      <c r="A796" s="53">
        <v>795</v>
      </c>
      <c r="B796" s="18" t="s">
        <v>1440</v>
      </c>
      <c r="C796" s="18" t="s">
        <v>663</v>
      </c>
      <c r="D796" s="17" t="s">
        <v>1480</v>
      </c>
      <c r="E796" s="17" t="s">
        <v>1424</v>
      </c>
      <c r="H796" s="194"/>
      <c r="I796" s="18" t="s">
        <v>1066</v>
      </c>
      <c r="J796" s="23" t="s">
        <v>1467</v>
      </c>
      <c r="K796" s="4">
        <v>39</v>
      </c>
      <c r="L796" s="4" t="s">
        <v>9</v>
      </c>
      <c r="M796" s="5" t="s">
        <v>1063</v>
      </c>
      <c r="N796" s="5" t="s">
        <v>972</v>
      </c>
      <c r="O796" s="147">
        <v>2</v>
      </c>
      <c r="P796" s="15">
        <v>1</v>
      </c>
      <c r="Q796" s="148">
        <f t="shared" si="24"/>
        <v>3</v>
      </c>
    </row>
    <row r="797" spans="1:17" ht="16.5" hidden="1" x14ac:dyDescent="0.35">
      <c r="A797" s="53">
        <v>796</v>
      </c>
      <c r="B797" s="18" t="s">
        <v>1441</v>
      </c>
      <c r="C797" s="18" t="s">
        <v>663</v>
      </c>
      <c r="D797" s="17" t="s">
        <v>1480</v>
      </c>
      <c r="E797" s="17" t="s">
        <v>1424</v>
      </c>
      <c r="H797" s="194"/>
      <c r="I797" s="18" t="s">
        <v>1066</v>
      </c>
      <c r="J797" s="23" t="s">
        <v>1468</v>
      </c>
      <c r="K797" s="4">
        <v>49</v>
      </c>
      <c r="L797" s="4" t="s">
        <v>9</v>
      </c>
      <c r="M797" s="5" t="s">
        <v>1063</v>
      </c>
      <c r="N797" s="5" t="s">
        <v>972</v>
      </c>
      <c r="O797" s="147">
        <v>1</v>
      </c>
      <c r="P797" s="15">
        <v>1</v>
      </c>
      <c r="Q797" s="148">
        <f t="shared" si="24"/>
        <v>2</v>
      </c>
    </row>
    <row r="798" spans="1:17" ht="16.5" hidden="1" x14ac:dyDescent="0.35">
      <c r="A798" s="53">
        <v>797</v>
      </c>
      <c r="B798" s="18" t="s">
        <v>1442</v>
      </c>
      <c r="C798" s="18" t="s">
        <v>663</v>
      </c>
      <c r="D798" s="17" t="s">
        <v>1480</v>
      </c>
      <c r="E798" s="17" t="s">
        <v>1424</v>
      </c>
      <c r="H798" s="194"/>
      <c r="I798" s="18" t="s">
        <v>1066</v>
      </c>
      <c r="J798" s="23" t="s">
        <v>1469</v>
      </c>
      <c r="K798" s="4">
        <v>32</v>
      </c>
      <c r="L798" s="4" t="s">
        <v>9</v>
      </c>
      <c r="M798" s="5" t="s">
        <v>1063</v>
      </c>
      <c r="N798" s="5" t="s">
        <v>972</v>
      </c>
      <c r="O798" s="147">
        <v>2</v>
      </c>
      <c r="P798" s="15">
        <v>0</v>
      </c>
      <c r="Q798" s="148">
        <f t="shared" si="24"/>
        <v>2</v>
      </c>
    </row>
    <row r="799" spans="1:17" ht="16.5" hidden="1" x14ac:dyDescent="0.35">
      <c r="A799" s="53">
        <v>798</v>
      </c>
      <c r="B799" s="18" t="s">
        <v>1443</v>
      </c>
      <c r="C799" s="18" t="s">
        <v>663</v>
      </c>
      <c r="D799" s="17" t="s">
        <v>1480</v>
      </c>
      <c r="E799" s="17" t="s">
        <v>1424</v>
      </c>
      <c r="H799" s="194"/>
      <c r="I799" s="18" t="s">
        <v>1066</v>
      </c>
      <c r="J799" s="23" t="s">
        <v>1470</v>
      </c>
      <c r="K799" s="4">
        <v>50</v>
      </c>
      <c r="L799" s="4" t="s">
        <v>9</v>
      </c>
      <c r="M799" s="5" t="s">
        <v>1063</v>
      </c>
      <c r="N799" s="5" t="s">
        <v>972</v>
      </c>
      <c r="O799" s="147">
        <v>0</v>
      </c>
      <c r="P799" s="15">
        <v>1</v>
      </c>
      <c r="Q799" s="148">
        <f t="shared" si="24"/>
        <v>1</v>
      </c>
    </row>
    <row r="800" spans="1:17" ht="16.5" hidden="1" x14ac:dyDescent="0.35">
      <c r="A800" s="53">
        <v>799</v>
      </c>
      <c r="B800" s="18" t="s">
        <v>1444</v>
      </c>
      <c r="C800" s="18" t="s">
        <v>663</v>
      </c>
      <c r="D800" s="17" t="s">
        <v>1480</v>
      </c>
      <c r="E800" s="17" t="s">
        <v>1424</v>
      </c>
      <c r="H800" s="194"/>
      <c r="I800" s="18" t="s">
        <v>1066</v>
      </c>
      <c r="J800" s="23" t="s">
        <v>1403</v>
      </c>
      <c r="K800" s="4">
        <v>49</v>
      </c>
      <c r="L800" s="4" t="s">
        <v>9</v>
      </c>
      <c r="M800" s="5" t="s">
        <v>1063</v>
      </c>
      <c r="N800" s="5" t="s">
        <v>972</v>
      </c>
      <c r="O800" s="147">
        <v>4</v>
      </c>
      <c r="P800" s="15">
        <v>1</v>
      </c>
      <c r="Q800" s="148">
        <f t="shared" si="24"/>
        <v>5</v>
      </c>
    </row>
    <row r="801" spans="1:17" ht="16.5" hidden="1" x14ac:dyDescent="0.35">
      <c r="A801" s="53">
        <v>800</v>
      </c>
      <c r="B801" s="18" t="s">
        <v>1445</v>
      </c>
      <c r="C801" s="18" t="s">
        <v>663</v>
      </c>
      <c r="D801" s="17" t="s">
        <v>1480</v>
      </c>
      <c r="E801" s="17" t="s">
        <v>1424</v>
      </c>
      <c r="H801" s="194"/>
      <c r="I801" s="18" t="s">
        <v>1066</v>
      </c>
      <c r="J801" s="23" t="s">
        <v>1471</v>
      </c>
      <c r="K801" s="4">
        <v>47</v>
      </c>
      <c r="L801" s="4" t="s">
        <v>9</v>
      </c>
      <c r="M801" s="5" t="s">
        <v>1063</v>
      </c>
      <c r="N801" s="5" t="s">
        <v>972</v>
      </c>
      <c r="O801" s="147">
        <v>6</v>
      </c>
      <c r="P801" s="15">
        <v>0</v>
      </c>
      <c r="Q801" s="148">
        <f t="shared" si="24"/>
        <v>6</v>
      </c>
    </row>
    <row r="802" spans="1:17" ht="16.5" hidden="1" x14ac:dyDescent="0.35">
      <c r="A802" s="53">
        <v>801</v>
      </c>
      <c r="B802" s="18" t="s">
        <v>1446</v>
      </c>
      <c r="C802" s="18" t="s">
        <v>663</v>
      </c>
      <c r="D802" s="17" t="s">
        <v>1480</v>
      </c>
      <c r="E802" s="17" t="s">
        <v>1424</v>
      </c>
      <c r="H802" s="194"/>
      <c r="I802" s="18" t="s">
        <v>1066</v>
      </c>
      <c r="J802" s="23" t="s">
        <v>1472</v>
      </c>
      <c r="K802" s="4">
        <v>33</v>
      </c>
      <c r="L802" s="4" t="s">
        <v>9</v>
      </c>
      <c r="M802" s="5" t="s">
        <v>1063</v>
      </c>
      <c r="N802" s="5" t="s">
        <v>1479</v>
      </c>
      <c r="O802" s="147">
        <v>1</v>
      </c>
      <c r="P802" s="15">
        <v>1</v>
      </c>
      <c r="Q802" s="148">
        <f t="shared" si="24"/>
        <v>2</v>
      </c>
    </row>
    <row r="803" spans="1:17" ht="16.5" hidden="1" x14ac:dyDescent="0.35">
      <c r="A803" s="53">
        <v>802</v>
      </c>
      <c r="B803" s="18" t="s">
        <v>1447</v>
      </c>
      <c r="C803" s="18" t="s">
        <v>663</v>
      </c>
      <c r="D803" s="17" t="s">
        <v>1480</v>
      </c>
      <c r="E803" s="17" t="s">
        <v>1424</v>
      </c>
      <c r="H803" s="194"/>
      <c r="I803" s="18" t="s">
        <v>1066</v>
      </c>
      <c r="J803" s="23" t="s">
        <v>1473</v>
      </c>
      <c r="K803" s="4">
        <v>50</v>
      </c>
      <c r="L803" s="4" t="s">
        <v>9</v>
      </c>
      <c r="M803" s="5" t="s">
        <v>1063</v>
      </c>
      <c r="N803" s="5" t="s">
        <v>972</v>
      </c>
      <c r="O803" s="147">
        <v>2</v>
      </c>
      <c r="P803" s="15">
        <v>3</v>
      </c>
      <c r="Q803" s="148">
        <f t="shared" si="24"/>
        <v>5</v>
      </c>
    </row>
    <row r="804" spans="1:17" ht="16.5" hidden="1" x14ac:dyDescent="0.35">
      <c r="A804" s="53">
        <v>803</v>
      </c>
      <c r="B804" s="18" t="s">
        <v>1448</v>
      </c>
      <c r="C804" s="18" t="s">
        <v>663</v>
      </c>
      <c r="D804" s="17" t="s">
        <v>1480</v>
      </c>
      <c r="E804" s="17" t="s">
        <v>1424</v>
      </c>
      <c r="H804" s="194"/>
      <c r="I804" s="18" t="s">
        <v>1066</v>
      </c>
      <c r="J804" s="23" t="s">
        <v>1474</v>
      </c>
      <c r="K804" s="4">
        <v>38</v>
      </c>
      <c r="L804" s="4" t="s">
        <v>9</v>
      </c>
      <c r="M804" s="5" t="s">
        <v>1063</v>
      </c>
      <c r="N804" s="5" t="s">
        <v>972</v>
      </c>
      <c r="O804" s="147">
        <v>2</v>
      </c>
      <c r="P804" s="15">
        <v>2</v>
      </c>
      <c r="Q804" s="148">
        <f t="shared" si="24"/>
        <v>4</v>
      </c>
    </row>
    <row r="805" spans="1:17" ht="16.5" hidden="1" x14ac:dyDescent="0.35">
      <c r="A805" s="53">
        <v>804</v>
      </c>
      <c r="B805" s="18" t="s">
        <v>1449</v>
      </c>
      <c r="C805" s="18" t="s">
        <v>663</v>
      </c>
      <c r="D805" s="17" t="s">
        <v>1480</v>
      </c>
      <c r="E805" s="17" t="s">
        <v>1424</v>
      </c>
      <c r="H805" s="194"/>
      <c r="I805" s="18" t="s">
        <v>1066</v>
      </c>
      <c r="J805" s="23" t="s">
        <v>1475</v>
      </c>
      <c r="K805" s="4">
        <v>36</v>
      </c>
      <c r="L805" s="4" t="s">
        <v>9</v>
      </c>
      <c r="M805" s="5" t="s">
        <v>1063</v>
      </c>
      <c r="N805" s="5" t="s">
        <v>972</v>
      </c>
      <c r="O805" s="147">
        <v>1</v>
      </c>
      <c r="P805" s="15">
        <v>1</v>
      </c>
      <c r="Q805" s="148">
        <f t="shared" si="24"/>
        <v>2</v>
      </c>
    </row>
    <row r="806" spans="1:17" ht="16.5" hidden="1" x14ac:dyDescent="0.5">
      <c r="A806" s="53">
        <v>805</v>
      </c>
      <c r="B806" s="18" t="s">
        <v>1450</v>
      </c>
      <c r="C806" s="18" t="s">
        <v>663</v>
      </c>
      <c r="D806" s="17" t="s">
        <v>1480</v>
      </c>
      <c r="E806" s="17" t="s">
        <v>1424</v>
      </c>
      <c r="H806" s="194"/>
      <c r="I806" s="18" t="s">
        <v>1066</v>
      </c>
      <c r="J806" s="23" t="s">
        <v>1476</v>
      </c>
      <c r="K806" s="6">
        <v>61</v>
      </c>
      <c r="L806" s="4" t="s">
        <v>2</v>
      </c>
      <c r="M806" s="5" t="s">
        <v>1063</v>
      </c>
      <c r="N806" s="5" t="s">
        <v>1182</v>
      </c>
      <c r="O806" s="149">
        <v>2</v>
      </c>
      <c r="P806" s="149">
        <v>4</v>
      </c>
      <c r="Q806" s="148">
        <f t="shared" si="24"/>
        <v>6</v>
      </c>
    </row>
    <row r="807" spans="1:17" ht="16.5" hidden="1" x14ac:dyDescent="0.35">
      <c r="A807" s="53">
        <v>806</v>
      </c>
      <c r="B807" s="18" t="s">
        <v>1451</v>
      </c>
      <c r="C807" s="18" t="s">
        <v>663</v>
      </c>
      <c r="D807" s="17" t="s">
        <v>1480</v>
      </c>
      <c r="E807" s="17" t="s">
        <v>1424</v>
      </c>
      <c r="H807" s="194"/>
      <c r="I807" s="18" t="s">
        <v>1066</v>
      </c>
      <c r="J807" s="24"/>
      <c r="K807" s="8">
        <v>34</v>
      </c>
      <c r="L807" s="4" t="s">
        <v>2</v>
      </c>
      <c r="M807" s="5" t="s">
        <v>1063</v>
      </c>
      <c r="N807" s="8" t="s">
        <v>1182</v>
      </c>
      <c r="O807" s="151">
        <v>2</v>
      </c>
      <c r="P807" s="151">
        <v>2</v>
      </c>
      <c r="Q807" s="148">
        <f t="shared" si="24"/>
        <v>4</v>
      </c>
    </row>
    <row r="808" spans="1:17" ht="16.5" hidden="1" x14ac:dyDescent="0.35">
      <c r="A808" s="53">
        <v>807</v>
      </c>
      <c r="B808" s="351" t="s">
        <v>1452</v>
      </c>
      <c r="C808" s="18" t="s">
        <v>663</v>
      </c>
      <c r="D808" s="17" t="s">
        <v>1480</v>
      </c>
      <c r="E808" s="17" t="s">
        <v>1424</v>
      </c>
      <c r="H808" s="194"/>
      <c r="I808" s="18" t="s">
        <v>1066</v>
      </c>
      <c r="J808" s="25" t="s">
        <v>1477</v>
      </c>
      <c r="K808" s="11">
        <v>35</v>
      </c>
      <c r="L808" s="178" t="s">
        <v>2</v>
      </c>
      <c r="M808" s="5" t="s">
        <v>1063</v>
      </c>
      <c r="N808" s="11" t="s">
        <v>1182</v>
      </c>
      <c r="O808" s="143">
        <v>0</v>
      </c>
      <c r="P808" s="143">
        <v>4</v>
      </c>
      <c r="Q808" s="148">
        <f t="shared" si="24"/>
        <v>4</v>
      </c>
    </row>
    <row r="809" spans="1:17" ht="16.5" hidden="1" x14ac:dyDescent="0.35">
      <c r="A809" s="53">
        <v>808</v>
      </c>
      <c r="B809" s="18" t="s">
        <v>1481</v>
      </c>
      <c r="C809" s="18" t="s">
        <v>663</v>
      </c>
      <c r="D809" s="17" t="s">
        <v>1529</v>
      </c>
      <c r="E809" s="17" t="s">
        <v>1530</v>
      </c>
      <c r="H809" s="25"/>
      <c r="I809" s="18" t="s">
        <v>1066</v>
      </c>
      <c r="J809" s="23" t="s">
        <v>1511</v>
      </c>
      <c r="K809" s="4">
        <v>51</v>
      </c>
      <c r="L809" s="4" t="s">
        <v>2</v>
      </c>
      <c r="M809" s="5" t="s">
        <v>1063</v>
      </c>
      <c r="N809" s="5" t="s">
        <v>1182</v>
      </c>
      <c r="O809" s="147">
        <v>3</v>
      </c>
      <c r="P809" s="15">
        <v>1</v>
      </c>
      <c r="Q809" s="148">
        <f>(O809+P809)</f>
        <v>4</v>
      </c>
    </row>
    <row r="810" spans="1:17" ht="16.5" hidden="1" x14ac:dyDescent="0.35">
      <c r="A810" s="53">
        <v>809</v>
      </c>
      <c r="B810" s="18" t="s">
        <v>1482</v>
      </c>
      <c r="C810" s="18" t="s">
        <v>663</v>
      </c>
      <c r="D810" s="17" t="s">
        <v>1529</v>
      </c>
      <c r="E810" s="17" t="s">
        <v>1530</v>
      </c>
      <c r="H810" s="25"/>
      <c r="I810" s="18" t="s">
        <v>1066</v>
      </c>
      <c r="J810" s="23" t="s">
        <v>1512</v>
      </c>
      <c r="K810" s="4"/>
      <c r="L810" s="4" t="s">
        <v>9</v>
      </c>
      <c r="M810" s="5" t="s">
        <v>1063</v>
      </c>
      <c r="N810" s="5" t="s">
        <v>972</v>
      </c>
      <c r="O810" s="147">
        <v>0</v>
      </c>
      <c r="P810" s="15">
        <v>2</v>
      </c>
      <c r="Q810" s="148">
        <f t="shared" ref="Q810:Q838" si="25">(O810+P810)</f>
        <v>2</v>
      </c>
    </row>
    <row r="811" spans="1:17" ht="16.5" hidden="1" x14ac:dyDescent="0.35">
      <c r="A811" s="53">
        <v>810</v>
      </c>
      <c r="B811" s="18" t="s">
        <v>1483</v>
      </c>
      <c r="C811" s="18" t="s">
        <v>663</v>
      </c>
      <c r="D811" s="17" t="s">
        <v>1529</v>
      </c>
      <c r="E811" s="17" t="s">
        <v>1530</v>
      </c>
      <c r="H811" s="194"/>
      <c r="I811" s="18" t="s">
        <v>1066</v>
      </c>
      <c r="J811" s="23" t="s">
        <v>1513</v>
      </c>
      <c r="K811" s="4">
        <v>58</v>
      </c>
      <c r="L811" s="4" t="s">
        <v>2</v>
      </c>
      <c r="M811" s="5"/>
      <c r="N811" s="5" t="s">
        <v>1182</v>
      </c>
      <c r="O811" s="147">
        <v>1</v>
      </c>
      <c r="P811" s="15">
        <v>4</v>
      </c>
      <c r="Q811" s="148">
        <f t="shared" si="25"/>
        <v>5</v>
      </c>
    </row>
    <row r="812" spans="1:17" ht="16.5" hidden="1" x14ac:dyDescent="0.35">
      <c r="A812" s="53">
        <v>811</v>
      </c>
      <c r="B812" s="18" t="s">
        <v>1484</v>
      </c>
      <c r="C812" s="18" t="s">
        <v>663</v>
      </c>
      <c r="D812" s="17" t="s">
        <v>1529</v>
      </c>
      <c r="E812" s="17" t="s">
        <v>1530</v>
      </c>
      <c r="H812" s="194"/>
      <c r="I812" s="18" t="s">
        <v>1066</v>
      </c>
      <c r="J812" s="23" t="s">
        <v>1514</v>
      </c>
      <c r="K812" s="4">
        <v>37</v>
      </c>
      <c r="L812" s="4" t="s">
        <v>9</v>
      </c>
      <c r="M812" s="5"/>
      <c r="N812" s="5" t="s">
        <v>972</v>
      </c>
      <c r="O812" s="147">
        <v>1</v>
      </c>
      <c r="P812" s="15">
        <v>3</v>
      </c>
      <c r="Q812" s="148">
        <f t="shared" si="25"/>
        <v>4</v>
      </c>
    </row>
    <row r="813" spans="1:17" ht="16.5" hidden="1" x14ac:dyDescent="0.35">
      <c r="A813" s="53">
        <v>812</v>
      </c>
      <c r="B813" s="18" t="s">
        <v>1485</v>
      </c>
      <c r="C813" s="18" t="s">
        <v>663</v>
      </c>
      <c r="D813" s="17" t="s">
        <v>1529</v>
      </c>
      <c r="E813" s="17" t="s">
        <v>1530</v>
      </c>
      <c r="H813" s="194"/>
      <c r="I813" s="18" t="s">
        <v>1066</v>
      </c>
      <c r="J813" s="23"/>
      <c r="K813" s="4">
        <v>41</v>
      </c>
      <c r="L813" s="4" t="s">
        <v>2</v>
      </c>
      <c r="M813" s="5"/>
      <c r="N813" s="5" t="s">
        <v>1182</v>
      </c>
      <c r="O813" s="147">
        <v>3</v>
      </c>
      <c r="P813" s="15">
        <v>5</v>
      </c>
      <c r="Q813" s="148">
        <f t="shared" si="25"/>
        <v>8</v>
      </c>
    </row>
    <row r="814" spans="1:17" ht="16.5" hidden="1" x14ac:dyDescent="0.35">
      <c r="A814" s="53">
        <v>813</v>
      </c>
      <c r="B814" s="18" t="s">
        <v>1486</v>
      </c>
      <c r="C814" s="18" t="s">
        <v>663</v>
      </c>
      <c r="D814" s="17" t="s">
        <v>1529</v>
      </c>
      <c r="E814" s="17" t="s">
        <v>1530</v>
      </c>
      <c r="H814" s="194"/>
      <c r="I814" s="18" t="s">
        <v>1066</v>
      </c>
      <c r="J814" s="23" t="s">
        <v>1515</v>
      </c>
      <c r="K814" s="4">
        <v>45</v>
      </c>
      <c r="L814" s="4" t="s">
        <v>2</v>
      </c>
      <c r="M814" s="5"/>
      <c r="N814" s="5" t="s">
        <v>1182</v>
      </c>
      <c r="O814" s="147">
        <v>3</v>
      </c>
      <c r="P814" s="15">
        <v>5</v>
      </c>
      <c r="Q814" s="148">
        <f t="shared" si="25"/>
        <v>8</v>
      </c>
    </row>
    <row r="815" spans="1:17" ht="16.5" hidden="1" x14ac:dyDescent="0.35">
      <c r="A815" s="53">
        <v>814</v>
      </c>
      <c r="B815" s="18" t="s">
        <v>1487</v>
      </c>
      <c r="C815" s="18" t="s">
        <v>663</v>
      </c>
      <c r="D815" s="17" t="s">
        <v>1529</v>
      </c>
      <c r="E815" s="17" t="s">
        <v>1530</v>
      </c>
      <c r="H815" s="194"/>
      <c r="I815" s="18" t="s">
        <v>1066</v>
      </c>
      <c r="J815" s="23"/>
      <c r="K815" s="4">
        <v>29</v>
      </c>
      <c r="L815" s="4" t="s">
        <v>2</v>
      </c>
      <c r="M815" s="5"/>
      <c r="N815" s="5" t="s">
        <v>1182</v>
      </c>
      <c r="O815" s="147">
        <v>4</v>
      </c>
      <c r="P815" s="15">
        <v>2</v>
      </c>
      <c r="Q815" s="148">
        <f t="shared" si="25"/>
        <v>6</v>
      </c>
    </row>
    <row r="816" spans="1:17" ht="16.5" hidden="1" x14ac:dyDescent="0.35">
      <c r="A816" s="53">
        <v>815</v>
      </c>
      <c r="B816" s="18" t="s">
        <v>1488</v>
      </c>
      <c r="C816" s="18" t="s">
        <v>663</v>
      </c>
      <c r="D816" s="17" t="s">
        <v>1529</v>
      </c>
      <c r="E816" s="17" t="s">
        <v>1530</v>
      </c>
      <c r="H816" s="194"/>
      <c r="I816" s="18" t="s">
        <v>1066</v>
      </c>
      <c r="J816" s="23" t="s">
        <v>1516</v>
      </c>
      <c r="K816" s="4">
        <v>25</v>
      </c>
      <c r="L816" s="4" t="s">
        <v>2</v>
      </c>
      <c r="M816" s="5"/>
      <c r="N816" s="5" t="s">
        <v>1182</v>
      </c>
      <c r="O816" s="147">
        <v>2</v>
      </c>
      <c r="P816" s="15">
        <v>1</v>
      </c>
      <c r="Q816" s="148">
        <f>(O816+P816)</f>
        <v>3</v>
      </c>
    </row>
    <row r="817" spans="1:17" ht="16.5" hidden="1" x14ac:dyDescent="0.35">
      <c r="A817" s="53">
        <v>816</v>
      </c>
      <c r="B817" s="18" t="s">
        <v>1489</v>
      </c>
      <c r="C817" s="18" t="s">
        <v>663</v>
      </c>
      <c r="D817" s="17" t="s">
        <v>1529</v>
      </c>
      <c r="E817" s="17" t="s">
        <v>1530</v>
      </c>
      <c r="H817" s="194"/>
      <c r="I817" s="18" t="s">
        <v>1066</v>
      </c>
      <c r="J817" s="23"/>
      <c r="K817" s="4">
        <v>66</v>
      </c>
      <c r="L817" s="4" t="s">
        <v>2</v>
      </c>
      <c r="M817" s="5"/>
      <c r="N817" s="5" t="s">
        <v>1182</v>
      </c>
      <c r="O817" s="147">
        <v>5</v>
      </c>
      <c r="P817" s="15">
        <v>3</v>
      </c>
      <c r="Q817" s="148">
        <f t="shared" si="25"/>
        <v>8</v>
      </c>
    </row>
    <row r="818" spans="1:17" ht="16.5" hidden="1" x14ac:dyDescent="0.35">
      <c r="A818" s="53">
        <v>817</v>
      </c>
      <c r="B818" s="18" t="s">
        <v>1490</v>
      </c>
      <c r="C818" s="18" t="s">
        <v>663</v>
      </c>
      <c r="D818" s="17" t="s">
        <v>1529</v>
      </c>
      <c r="E818" s="17" t="s">
        <v>1530</v>
      </c>
      <c r="H818" s="194"/>
      <c r="I818" s="18" t="s">
        <v>1066</v>
      </c>
      <c r="J818" s="23" t="s">
        <v>1517</v>
      </c>
      <c r="K818" s="4">
        <v>59</v>
      </c>
      <c r="L818" s="4" t="s">
        <v>2</v>
      </c>
      <c r="M818" s="5"/>
      <c r="N818" s="5" t="s">
        <v>1182</v>
      </c>
      <c r="O818" s="147">
        <v>2</v>
      </c>
      <c r="P818" s="15">
        <v>2</v>
      </c>
      <c r="Q818" s="148">
        <f t="shared" si="25"/>
        <v>4</v>
      </c>
    </row>
    <row r="819" spans="1:17" ht="16.5" hidden="1" x14ac:dyDescent="0.35">
      <c r="A819" s="53">
        <v>818</v>
      </c>
      <c r="B819" s="18" t="s">
        <v>1491</v>
      </c>
      <c r="C819" s="18" t="s">
        <v>663</v>
      </c>
      <c r="D819" s="17" t="s">
        <v>1529</v>
      </c>
      <c r="E819" s="17" t="s">
        <v>1530</v>
      </c>
      <c r="H819" s="194"/>
      <c r="I819" s="18" t="s">
        <v>1066</v>
      </c>
      <c r="J819" s="23"/>
      <c r="K819" s="4">
        <v>58</v>
      </c>
      <c r="L819" s="4" t="s">
        <v>2</v>
      </c>
      <c r="M819" s="5"/>
      <c r="N819" s="5" t="s">
        <v>1182</v>
      </c>
      <c r="O819" s="147">
        <v>3</v>
      </c>
      <c r="P819" s="15">
        <v>2</v>
      </c>
      <c r="Q819" s="148">
        <f t="shared" si="25"/>
        <v>5</v>
      </c>
    </row>
    <row r="820" spans="1:17" ht="16.5" hidden="1" x14ac:dyDescent="0.35">
      <c r="A820" s="53">
        <v>819</v>
      </c>
      <c r="B820" s="18" t="s">
        <v>1492</v>
      </c>
      <c r="C820" s="18" t="s">
        <v>663</v>
      </c>
      <c r="D820" s="17" t="s">
        <v>1529</v>
      </c>
      <c r="E820" s="17" t="s">
        <v>1530</v>
      </c>
      <c r="H820" s="194"/>
      <c r="I820" s="18" t="s">
        <v>1066</v>
      </c>
      <c r="J820" s="23"/>
      <c r="K820" s="4"/>
      <c r="L820" s="4" t="s">
        <v>2</v>
      </c>
      <c r="M820" s="5"/>
      <c r="N820" s="5" t="s">
        <v>1182</v>
      </c>
      <c r="O820" s="147">
        <v>2</v>
      </c>
      <c r="P820" s="15">
        <v>8</v>
      </c>
      <c r="Q820" s="148">
        <f t="shared" si="25"/>
        <v>10</v>
      </c>
    </row>
    <row r="821" spans="1:17" ht="16.5" hidden="1" x14ac:dyDescent="0.35">
      <c r="A821" s="53">
        <v>820</v>
      </c>
      <c r="B821" s="18" t="s">
        <v>1493</v>
      </c>
      <c r="C821" s="18" t="s">
        <v>663</v>
      </c>
      <c r="D821" s="17" t="s">
        <v>1529</v>
      </c>
      <c r="E821" s="17" t="s">
        <v>1530</v>
      </c>
      <c r="H821" s="194"/>
      <c r="I821" s="18" t="s">
        <v>1066</v>
      </c>
      <c r="J821" s="23" t="s">
        <v>1518</v>
      </c>
      <c r="K821" s="4"/>
      <c r="L821" s="4" t="s">
        <v>2</v>
      </c>
      <c r="M821" s="5"/>
      <c r="N821" s="5" t="s">
        <v>1182</v>
      </c>
      <c r="O821" s="147">
        <v>4</v>
      </c>
      <c r="P821" s="15">
        <v>4</v>
      </c>
      <c r="Q821" s="148">
        <f t="shared" si="25"/>
        <v>8</v>
      </c>
    </row>
    <row r="822" spans="1:17" ht="16.5" hidden="1" x14ac:dyDescent="0.35">
      <c r="A822" s="53">
        <v>821</v>
      </c>
      <c r="B822" s="18" t="s">
        <v>1494</v>
      </c>
      <c r="C822" s="18" t="s">
        <v>663</v>
      </c>
      <c r="D822" s="17" t="s">
        <v>1529</v>
      </c>
      <c r="E822" s="17" t="s">
        <v>1530</v>
      </c>
      <c r="H822" s="194"/>
      <c r="I822" s="18" t="s">
        <v>1066</v>
      </c>
      <c r="J822" s="23" t="s">
        <v>1519</v>
      </c>
      <c r="K822" s="4"/>
      <c r="L822" s="4" t="s">
        <v>2</v>
      </c>
      <c r="M822" s="5"/>
      <c r="N822" s="5" t="s">
        <v>1182</v>
      </c>
      <c r="O822" s="147">
        <v>0</v>
      </c>
      <c r="P822" s="15">
        <v>0</v>
      </c>
      <c r="Q822" s="148">
        <f t="shared" si="25"/>
        <v>0</v>
      </c>
    </row>
    <row r="823" spans="1:17" ht="16.5" hidden="1" x14ac:dyDescent="0.35">
      <c r="A823" s="53">
        <v>822</v>
      </c>
      <c r="B823" s="18" t="s">
        <v>1495</v>
      </c>
      <c r="C823" s="18" t="s">
        <v>663</v>
      </c>
      <c r="D823" s="17" t="s">
        <v>1529</v>
      </c>
      <c r="E823" s="17" t="s">
        <v>1530</v>
      </c>
      <c r="H823" s="194"/>
      <c r="I823" s="18" t="s">
        <v>1066</v>
      </c>
      <c r="J823" s="23" t="s">
        <v>1520</v>
      </c>
      <c r="K823" s="4"/>
      <c r="L823" s="4" t="s">
        <v>2</v>
      </c>
      <c r="M823" s="5"/>
      <c r="N823" s="5" t="s">
        <v>1182</v>
      </c>
      <c r="O823" s="147">
        <v>1</v>
      </c>
      <c r="P823" s="15">
        <v>1</v>
      </c>
      <c r="Q823" s="148">
        <f t="shared" si="25"/>
        <v>2</v>
      </c>
    </row>
    <row r="824" spans="1:17" ht="16.5" hidden="1" x14ac:dyDescent="0.35">
      <c r="A824" s="53">
        <v>823</v>
      </c>
      <c r="B824" s="18" t="s">
        <v>1496</v>
      </c>
      <c r="C824" s="18" t="s">
        <v>663</v>
      </c>
      <c r="D824" s="17" t="s">
        <v>1529</v>
      </c>
      <c r="E824" s="17" t="s">
        <v>1530</v>
      </c>
      <c r="H824" s="194"/>
      <c r="I824" s="18" t="s">
        <v>1066</v>
      </c>
      <c r="J824" s="23" t="s">
        <v>1521</v>
      </c>
      <c r="K824" s="4"/>
      <c r="L824" s="4" t="s">
        <v>2</v>
      </c>
      <c r="M824" s="5"/>
      <c r="N824" s="5" t="s">
        <v>1182</v>
      </c>
      <c r="O824" s="147">
        <v>4</v>
      </c>
      <c r="P824" s="15">
        <v>2</v>
      </c>
      <c r="Q824" s="148">
        <f t="shared" si="25"/>
        <v>6</v>
      </c>
    </row>
    <row r="825" spans="1:17" ht="16.5" hidden="1" x14ac:dyDescent="0.35">
      <c r="A825" s="53">
        <v>824</v>
      </c>
      <c r="B825" s="18" t="s">
        <v>1497</v>
      </c>
      <c r="C825" s="18" t="s">
        <v>663</v>
      </c>
      <c r="D825" s="17" t="s">
        <v>1529</v>
      </c>
      <c r="E825" s="17" t="s">
        <v>1530</v>
      </c>
      <c r="H825" s="194"/>
      <c r="I825" s="18" t="s">
        <v>1066</v>
      </c>
      <c r="J825" s="23" t="s">
        <v>1522</v>
      </c>
      <c r="K825" s="4"/>
      <c r="L825" s="4" t="s">
        <v>9</v>
      </c>
      <c r="M825" s="5"/>
      <c r="N825" s="5" t="s">
        <v>972</v>
      </c>
      <c r="O825" s="147">
        <v>1</v>
      </c>
      <c r="P825" s="15">
        <v>2</v>
      </c>
      <c r="Q825" s="148">
        <f t="shared" si="25"/>
        <v>3</v>
      </c>
    </row>
    <row r="826" spans="1:17" ht="16.5" hidden="1" x14ac:dyDescent="0.35">
      <c r="A826" s="53">
        <v>825</v>
      </c>
      <c r="B826" s="18" t="s">
        <v>1498</v>
      </c>
      <c r="C826" s="18" t="s">
        <v>663</v>
      </c>
      <c r="D826" s="17" t="s">
        <v>1529</v>
      </c>
      <c r="E826" s="17" t="s">
        <v>1530</v>
      </c>
      <c r="H826" s="194"/>
      <c r="I826" s="18" t="s">
        <v>1066</v>
      </c>
      <c r="J826" s="23"/>
      <c r="K826" s="4"/>
      <c r="L826" s="4" t="s">
        <v>2</v>
      </c>
      <c r="M826" s="5"/>
      <c r="N826" s="5" t="s">
        <v>1182</v>
      </c>
      <c r="O826" s="147">
        <v>0</v>
      </c>
      <c r="P826" s="15">
        <v>5</v>
      </c>
      <c r="Q826" s="148">
        <f t="shared" si="25"/>
        <v>5</v>
      </c>
    </row>
    <row r="827" spans="1:17" ht="16.5" hidden="1" x14ac:dyDescent="0.35">
      <c r="A827" s="53">
        <v>826</v>
      </c>
      <c r="B827" s="18" t="s">
        <v>1499</v>
      </c>
      <c r="C827" s="18" t="s">
        <v>663</v>
      </c>
      <c r="D827" s="17" t="s">
        <v>1529</v>
      </c>
      <c r="E827" s="17" t="s">
        <v>1530</v>
      </c>
      <c r="H827" s="194"/>
      <c r="I827" s="18" t="s">
        <v>1066</v>
      </c>
      <c r="J827" s="23" t="s">
        <v>1523</v>
      </c>
      <c r="K827" s="4"/>
      <c r="L827" s="4" t="s">
        <v>9</v>
      </c>
      <c r="M827" s="5"/>
      <c r="N827" s="5" t="s">
        <v>972</v>
      </c>
      <c r="O827" s="147">
        <v>3</v>
      </c>
      <c r="P827" s="15">
        <v>5</v>
      </c>
      <c r="Q827" s="148">
        <f t="shared" si="25"/>
        <v>8</v>
      </c>
    </row>
    <row r="828" spans="1:17" ht="16.5" hidden="1" x14ac:dyDescent="0.35">
      <c r="A828" s="53">
        <v>827</v>
      </c>
      <c r="B828" s="147" t="s">
        <v>1500</v>
      </c>
      <c r="C828" s="18" t="s">
        <v>663</v>
      </c>
      <c r="D828" s="17" t="s">
        <v>1529</v>
      </c>
      <c r="E828" s="17" t="s">
        <v>1530</v>
      </c>
      <c r="H828" s="194"/>
      <c r="I828" s="18" t="s">
        <v>1066</v>
      </c>
      <c r="J828" s="23" t="s">
        <v>1524</v>
      </c>
      <c r="K828" s="4"/>
      <c r="L828" s="4" t="s">
        <v>2</v>
      </c>
      <c r="M828" s="5"/>
      <c r="N828" s="5" t="s">
        <v>1182</v>
      </c>
      <c r="O828" s="147">
        <v>5</v>
      </c>
      <c r="P828" s="15">
        <v>5</v>
      </c>
      <c r="Q828" s="148">
        <f t="shared" si="25"/>
        <v>10</v>
      </c>
    </row>
    <row r="829" spans="1:17" ht="16.5" hidden="1" x14ac:dyDescent="0.35">
      <c r="A829" s="53">
        <v>828</v>
      </c>
      <c r="B829" s="147" t="s">
        <v>1501</v>
      </c>
      <c r="C829" s="18" t="s">
        <v>663</v>
      </c>
      <c r="D829" s="17" t="s">
        <v>1529</v>
      </c>
      <c r="E829" s="17" t="s">
        <v>1530</v>
      </c>
      <c r="H829" s="194"/>
      <c r="I829" s="18" t="s">
        <v>1066</v>
      </c>
      <c r="J829" s="23" t="s">
        <v>1525</v>
      </c>
      <c r="K829" s="4">
        <v>33</v>
      </c>
      <c r="L829" s="4" t="s">
        <v>2</v>
      </c>
      <c r="M829" s="5"/>
      <c r="N829" s="5" t="s">
        <v>1182</v>
      </c>
      <c r="O829" s="147">
        <v>0</v>
      </c>
      <c r="P829" s="15">
        <v>2</v>
      </c>
      <c r="Q829" s="148">
        <f t="shared" si="25"/>
        <v>2</v>
      </c>
    </row>
    <row r="830" spans="1:17" ht="16.5" hidden="1" x14ac:dyDescent="0.35">
      <c r="A830" s="53">
        <v>829</v>
      </c>
      <c r="B830" s="147" t="s">
        <v>1502</v>
      </c>
      <c r="C830" s="18" t="s">
        <v>663</v>
      </c>
      <c r="D830" s="17" t="s">
        <v>1529</v>
      </c>
      <c r="E830" s="17" t="s">
        <v>1530</v>
      </c>
      <c r="H830" s="194"/>
      <c r="I830" s="18" t="s">
        <v>1066</v>
      </c>
      <c r="J830" s="23"/>
      <c r="K830" s="4">
        <v>20</v>
      </c>
      <c r="L830" s="4" t="s">
        <v>2</v>
      </c>
      <c r="M830" s="5"/>
      <c r="N830" s="5" t="s">
        <v>1182</v>
      </c>
      <c r="O830" s="147">
        <v>1</v>
      </c>
      <c r="P830" s="15">
        <v>1</v>
      </c>
      <c r="Q830" s="148">
        <f t="shared" si="25"/>
        <v>2</v>
      </c>
    </row>
    <row r="831" spans="1:17" ht="16.5" hidden="1" x14ac:dyDescent="0.35">
      <c r="A831" s="53">
        <v>830</v>
      </c>
      <c r="B831" s="147" t="s">
        <v>1503</v>
      </c>
      <c r="C831" s="18" t="s">
        <v>663</v>
      </c>
      <c r="D831" s="17" t="s">
        <v>1529</v>
      </c>
      <c r="E831" s="17" t="s">
        <v>1530</v>
      </c>
      <c r="H831" s="194"/>
      <c r="I831" s="18" t="s">
        <v>1066</v>
      </c>
      <c r="J831" s="23" t="s">
        <v>1526</v>
      </c>
      <c r="K831" s="4">
        <v>26</v>
      </c>
      <c r="L831" s="4" t="s">
        <v>2</v>
      </c>
      <c r="M831" s="5"/>
      <c r="N831" s="5" t="s">
        <v>1182</v>
      </c>
      <c r="O831" s="147">
        <v>0</v>
      </c>
      <c r="P831" s="15">
        <v>2</v>
      </c>
      <c r="Q831" s="148">
        <f t="shared" si="25"/>
        <v>2</v>
      </c>
    </row>
    <row r="832" spans="1:17" ht="16.5" hidden="1" x14ac:dyDescent="0.35">
      <c r="A832" s="53">
        <v>831</v>
      </c>
      <c r="B832" s="147" t="s">
        <v>1504</v>
      </c>
      <c r="C832" s="18" t="s">
        <v>663</v>
      </c>
      <c r="D832" s="17" t="s">
        <v>1529</v>
      </c>
      <c r="E832" s="17" t="s">
        <v>1530</v>
      </c>
      <c r="H832" s="194"/>
      <c r="I832" s="18" t="s">
        <v>1066</v>
      </c>
      <c r="J832" s="23" t="s">
        <v>1527</v>
      </c>
      <c r="K832" s="4"/>
      <c r="L832" s="4" t="s">
        <v>2</v>
      </c>
      <c r="M832" s="5"/>
      <c r="N832" s="5" t="s">
        <v>1182</v>
      </c>
      <c r="O832" s="147">
        <v>3</v>
      </c>
      <c r="P832" s="15">
        <v>4</v>
      </c>
      <c r="Q832" s="148">
        <f t="shared" si="25"/>
        <v>7</v>
      </c>
    </row>
    <row r="833" spans="1:17" ht="16.5" hidden="1" x14ac:dyDescent="0.35">
      <c r="A833" s="53">
        <v>832</v>
      </c>
      <c r="B833" s="147" t="s">
        <v>1505</v>
      </c>
      <c r="C833" s="18" t="s">
        <v>663</v>
      </c>
      <c r="D833" s="17" t="s">
        <v>1529</v>
      </c>
      <c r="E833" s="17" t="s">
        <v>1530</v>
      </c>
      <c r="H833" s="194"/>
      <c r="I833" s="18" t="s">
        <v>1066</v>
      </c>
      <c r="J833" s="23"/>
      <c r="K833" s="4"/>
      <c r="L833" s="4" t="s">
        <v>2</v>
      </c>
      <c r="M833" s="5"/>
      <c r="N833" s="5" t="s">
        <v>1182</v>
      </c>
      <c r="O833" s="147">
        <v>3</v>
      </c>
      <c r="P833" s="15">
        <v>3</v>
      </c>
      <c r="Q833" s="148">
        <f t="shared" si="25"/>
        <v>6</v>
      </c>
    </row>
    <row r="834" spans="1:17" ht="16.5" hidden="1" x14ac:dyDescent="0.35">
      <c r="A834" s="53">
        <v>833</v>
      </c>
      <c r="B834" s="147" t="s">
        <v>1506</v>
      </c>
      <c r="C834" s="18" t="s">
        <v>663</v>
      </c>
      <c r="D834" s="17" t="s">
        <v>1529</v>
      </c>
      <c r="E834" s="17" t="s">
        <v>1530</v>
      </c>
      <c r="H834" s="194"/>
      <c r="I834" s="18" t="s">
        <v>1066</v>
      </c>
      <c r="J834" s="23"/>
      <c r="K834" s="4"/>
      <c r="L834" s="4" t="s">
        <v>9</v>
      </c>
      <c r="M834" s="5"/>
      <c r="N834" s="5" t="s">
        <v>972</v>
      </c>
      <c r="O834" s="147">
        <v>1</v>
      </c>
      <c r="P834" s="15">
        <v>0</v>
      </c>
      <c r="Q834" s="148">
        <f t="shared" si="25"/>
        <v>1</v>
      </c>
    </row>
    <row r="835" spans="1:17" ht="16.5" hidden="1" x14ac:dyDescent="0.5">
      <c r="A835" s="53">
        <v>834</v>
      </c>
      <c r="B835" s="147" t="s">
        <v>1507</v>
      </c>
      <c r="C835" s="18" t="s">
        <v>663</v>
      </c>
      <c r="D835" s="17" t="s">
        <v>1529</v>
      </c>
      <c r="E835" s="17" t="s">
        <v>1530</v>
      </c>
      <c r="H835" s="194"/>
      <c r="I835" s="18" t="s">
        <v>1066</v>
      </c>
      <c r="J835" s="23" t="s">
        <v>1528</v>
      </c>
      <c r="K835" s="6"/>
      <c r="L835" s="4" t="s">
        <v>9</v>
      </c>
      <c r="M835" s="5"/>
      <c r="N835" s="6" t="s">
        <v>972</v>
      </c>
      <c r="O835" s="149">
        <v>8</v>
      </c>
      <c r="P835" s="149">
        <v>6</v>
      </c>
      <c r="Q835" s="148">
        <f t="shared" si="25"/>
        <v>14</v>
      </c>
    </row>
    <row r="836" spans="1:17" ht="16.5" hidden="1" x14ac:dyDescent="0.35">
      <c r="A836" s="53">
        <v>835</v>
      </c>
      <c r="B836" s="147" t="s">
        <v>1508</v>
      </c>
      <c r="C836" s="18" t="s">
        <v>663</v>
      </c>
      <c r="D836" s="17" t="s">
        <v>1529</v>
      </c>
      <c r="E836" s="17" t="s">
        <v>1530</v>
      </c>
      <c r="H836" s="194"/>
      <c r="I836" s="18" t="s">
        <v>1066</v>
      </c>
      <c r="J836" s="24"/>
      <c r="K836" s="8"/>
      <c r="L836" s="4" t="s">
        <v>2</v>
      </c>
      <c r="M836" s="5"/>
      <c r="N836" s="8" t="s">
        <v>1182</v>
      </c>
      <c r="O836" s="151">
        <v>5</v>
      </c>
      <c r="P836" s="151">
        <v>2</v>
      </c>
      <c r="Q836" s="148">
        <f t="shared" si="25"/>
        <v>7</v>
      </c>
    </row>
    <row r="837" spans="1:17" ht="16.5" hidden="1" x14ac:dyDescent="0.35">
      <c r="A837" s="53">
        <v>836</v>
      </c>
      <c r="B837" s="177" t="s">
        <v>1509</v>
      </c>
      <c r="C837" s="18" t="s">
        <v>663</v>
      </c>
      <c r="D837" s="17" t="s">
        <v>1529</v>
      </c>
      <c r="E837" s="17" t="s">
        <v>1530</v>
      </c>
      <c r="H837" s="194"/>
      <c r="I837" s="18" t="s">
        <v>1066</v>
      </c>
      <c r="J837" s="25"/>
      <c r="K837" s="11"/>
      <c r="L837" s="178" t="s">
        <v>2</v>
      </c>
      <c r="M837" s="5"/>
      <c r="N837" s="11" t="s">
        <v>1182</v>
      </c>
      <c r="O837" s="143">
        <v>1</v>
      </c>
      <c r="P837" s="143">
        <v>4</v>
      </c>
      <c r="Q837" s="148">
        <f t="shared" si="25"/>
        <v>5</v>
      </c>
    </row>
    <row r="838" spans="1:17" ht="17" hidden="1" thickBot="1" x14ac:dyDescent="0.4">
      <c r="A838" s="53">
        <v>837</v>
      </c>
      <c r="B838" s="352" t="s">
        <v>1510</v>
      </c>
      <c r="C838" s="18" t="s">
        <v>663</v>
      </c>
      <c r="D838" s="17" t="s">
        <v>1529</v>
      </c>
      <c r="E838" s="17" t="s">
        <v>1530</v>
      </c>
      <c r="H838" s="194"/>
      <c r="I838" s="18" t="s">
        <v>1066</v>
      </c>
      <c r="J838" s="193"/>
      <c r="K838" s="14"/>
      <c r="L838" s="14" t="s">
        <v>2</v>
      </c>
      <c r="M838" s="5"/>
      <c r="N838" s="14" t="s">
        <v>1182</v>
      </c>
      <c r="O838" s="141">
        <v>3</v>
      </c>
      <c r="P838" s="141">
        <v>2</v>
      </c>
      <c r="Q838" s="148">
        <f t="shared" si="25"/>
        <v>5</v>
      </c>
    </row>
    <row r="839" spans="1:17" ht="16.5" hidden="1" x14ac:dyDescent="0.35">
      <c r="A839" s="53">
        <v>838</v>
      </c>
      <c r="B839" s="18" t="s">
        <v>1531</v>
      </c>
      <c r="C839" s="18" t="s">
        <v>663</v>
      </c>
      <c r="D839" s="17" t="s">
        <v>1589</v>
      </c>
      <c r="E839" s="17" t="s">
        <v>1590</v>
      </c>
      <c r="H839" s="25"/>
      <c r="I839" s="18" t="s">
        <v>1066</v>
      </c>
      <c r="J839" s="23" t="s">
        <v>1561</v>
      </c>
      <c r="K839" s="4">
        <v>49</v>
      </c>
      <c r="L839" s="4" t="s">
        <v>2</v>
      </c>
      <c r="M839" s="5" t="s">
        <v>1181</v>
      </c>
      <c r="N839" s="5" t="s">
        <v>1587</v>
      </c>
      <c r="O839" s="147">
        <v>3</v>
      </c>
      <c r="P839" s="15">
        <v>1</v>
      </c>
      <c r="Q839" s="148">
        <f>(O839+P839)</f>
        <v>4</v>
      </c>
    </row>
    <row r="840" spans="1:17" ht="16.5" hidden="1" x14ac:dyDescent="0.35">
      <c r="A840" s="53">
        <v>839</v>
      </c>
      <c r="B840" s="18" t="s">
        <v>1532</v>
      </c>
      <c r="C840" s="18" t="s">
        <v>663</v>
      </c>
      <c r="D840" s="17" t="s">
        <v>1589</v>
      </c>
      <c r="E840" s="17" t="s">
        <v>1590</v>
      </c>
      <c r="H840" s="194"/>
      <c r="I840" s="18" t="s">
        <v>1066</v>
      </c>
      <c r="J840" s="23" t="s">
        <v>1562</v>
      </c>
      <c r="K840" s="4">
        <v>43</v>
      </c>
      <c r="L840" s="4" t="s">
        <v>2</v>
      </c>
      <c r="M840" s="5" t="s">
        <v>1180</v>
      </c>
      <c r="N840" s="5" t="s">
        <v>1587</v>
      </c>
      <c r="O840" s="147">
        <v>1</v>
      </c>
      <c r="P840" s="15">
        <v>1</v>
      </c>
      <c r="Q840" s="148">
        <f t="shared" ref="Q840:Q868" si="26">(O840+P840)</f>
        <v>2</v>
      </c>
    </row>
    <row r="841" spans="1:17" ht="16.5" hidden="1" x14ac:dyDescent="0.35">
      <c r="A841" s="53">
        <v>840</v>
      </c>
      <c r="B841" s="18" t="s">
        <v>1533</v>
      </c>
      <c r="C841" s="18" t="s">
        <v>663</v>
      </c>
      <c r="D841" s="17" t="s">
        <v>1589</v>
      </c>
      <c r="E841" s="17" t="s">
        <v>1590</v>
      </c>
      <c r="H841" s="194"/>
      <c r="I841" s="18" t="s">
        <v>1066</v>
      </c>
      <c r="J841" s="23" t="s">
        <v>1563</v>
      </c>
      <c r="K841" s="4">
        <v>60</v>
      </c>
      <c r="L841" s="4" t="s">
        <v>2</v>
      </c>
      <c r="M841" s="5" t="s">
        <v>1181</v>
      </c>
      <c r="N841" s="5" t="s">
        <v>1587</v>
      </c>
      <c r="O841" s="147">
        <v>4</v>
      </c>
      <c r="P841" s="15">
        <v>1</v>
      </c>
      <c r="Q841" s="148">
        <f t="shared" si="26"/>
        <v>5</v>
      </c>
    </row>
    <row r="842" spans="1:17" ht="16.5" hidden="1" x14ac:dyDescent="0.35">
      <c r="A842" s="53">
        <v>841</v>
      </c>
      <c r="B842" s="18" t="s">
        <v>1534</v>
      </c>
      <c r="C842" s="18" t="s">
        <v>663</v>
      </c>
      <c r="D842" s="17" t="s">
        <v>1589</v>
      </c>
      <c r="E842" s="17" t="s">
        <v>1590</v>
      </c>
      <c r="H842" s="194"/>
      <c r="I842" s="18" t="s">
        <v>1066</v>
      </c>
      <c r="J842" s="23" t="s">
        <v>1564</v>
      </c>
      <c r="K842" s="4">
        <v>59</v>
      </c>
      <c r="L842" s="4" t="s">
        <v>2</v>
      </c>
      <c r="M842" s="5" t="s">
        <v>1180</v>
      </c>
      <c r="N842" s="5"/>
      <c r="O842" s="147">
        <v>1</v>
      </c>
      <c r="P842" s="15">
        <v>5</v>
      </c>
      <c r="Q842" s="148">
        <f t="shared" si="26"/>
        <v>6</v>
      </c>
    </row>
    <row r="843" spans="1:17" ht="16.5" hidden="1" x14ac:dyDescent="0.35">
      <c r="A843" s="53">
        <v>842</v>
      </c>
      <c r="B843" s="18" t="s">
        <v>1535</v>
      </c>
      <c r="C843" s="18" t="s">
        <v>663</v>
      </c>
      <c r="D843" s="17" t="s">
        <v>1589</v>
      </c>
      <c r="E843" s="17" t="s">
        <v>1590</v>
      </c>
      <c r="H843" s="194"/>
      <c r="I843" s="18" t="s">
        <v>1066</v>
      </c>
      <c r="J843" s="23" t="s">
        <v>1565</v>
      </c>
      <c r="K843" s="4">
        <v>42</v>
      </c>
      <c r="L843" s="4" t="s">
        <v>2</v>
      </c>
      <c r="M843" s="3" t="s">
        <v>1181</v>
      </c>
      <c r="N843" s="5"/>
      <c r="O843" s="147">
        <v>0</v>
      </c>
      <c r="P843" s="15">
        <v>1</v>
      </c>
      <c r="Q843" s="148">
        <f t="shared" si="26"/>
        <v>1</v>
      </c>
    </row>
    <row r="844" spans="1:17" ht="16.5" hidden="1" x14ac:dyDescent="0.35">
      <c r="A844" s="53">
        <v>843</v>
      </c>
      <c r="B844" s="18" t="s">
        <v>1536</v>
      </c>
      <c r="C844" s="18" t="s">
        <v>663</v>
      </c>
      <c r="D844" s="17" t="s">
        <v>1589</v>
      </c>
      <c r="E844" s="17" t="s">
        <v>1590</v>
      </c>
      <c r="H844" s="194"/>
      <c r="I844" s="18" t="s">
        <v>1066</v>
      </c>
      <c r="J844" s="23" t="s">
        <v>1566</v>
      </c>
      <c r="K844" s="4">
        <v>30</v>
      </c>
      <c r="L844" s="4" t="s">
        <v>2</v>
      </c>
      <c r="M844" s="5" t="s">
        <v>1181</v>
      </c>
      <c r="N844" s="5"/>
      <c r="O844" s="147">
        <v>1</v>
      </c>
      <c r="P844" s="15">
        <v>2</v>
      </c>
      <c r="Q844" s="148">
        <f t="shared" si="26"/>
        <v>3</v>
      </c>
    </row>
    <row r="845" spans="1:17" ht="16.5" hidden="1" x14ac:dyDescent="0.35">
      <c r="A845" s="53">
        <v>844</v>
      </c>
      <c r="B845" s="18" t="s">
        <v>1537</v>
      </c>
      <c r="C845" s="18" t="s">
        <v>663</v>
      </c>
      <c r="D845" s="17" t="s">
        <v>1589</v>
      </c>
      <c r="E845" s="17" t="s">
        <v>1590</v>
      </c>
      <c r="H845" s="194"/>
      <c r="I845" s="18" t="s">
        <v>1066</v>
      </c>
      <c r="J845" s="23" t="s">
        <v>1567</v>
      </c>
      <c r="K845" s="4">
        <v>50</v>
      </c>
      <c r="L845" s="4" t="s">
        <v>2</v>
      </c>
      <c r="M845" s="5" t="s">
        <v>1181</v>
      </c>
      <c r="N845" s="5"/>
      <c r="O845" s="147">
        <v>3</v>
      </c>
      <c r="P845" s="15">
        <v>2</v>
      </c>
      <c r="Q845" s="148">
        <f t="shared" si="26"/>
        <v>5</v>
      </c>
    </row>
    <row r="846" spans="1:17" ht="16.5" hidden="1" x14ac:dyDescent="0.35">
      <c r="A846" s="53">
        <v>845</v>
      </c>
      <c r="B846" s="18" t="s">
        <v>1538</v>
      </c>
      <c r="C846" s="18" t="s">
        <v>663</v>
      </c>
      <c r="D846" s="17" t="s">
        <v>1589</v>
      </c>
      <c r="E846" s="17" t="s">
        <v>1590</v>
      </c>
      <c r="H846" s="194"/>
      <c r="I846" s="18" t="s">
        <v>1066</v>
      </c>
      <c r="J846" s="23" t="s">
        <v>1568</v>
      </c>
      <c r="K846" s="4">
        <v>47</v>
      </c>
      <c r="L846" s="4" t="s">
        <v>2</v>
      </c>
      <c r="M846" s="5" t="s">
        <v>1180</v>
      </c>
      <c r="N846" s="5" t="s">
        <v>1587</v>
      </c>
      <c r="O846" s="147">
        <v>3</v>
      </c>
      <c r="P846" s="15">
        <v>2</v>
      </c>
      <c r="Q846" s="148">
        <f t="shared" si="26"/>
        <v>5</v>
      </c>
    </row>
    <row r="847" spans="1:17" ht="16.5" hidden="1" x14ac:dyDescent="0.35">
      <c r="A847" s="53">
        <v>846</v>
      </c>
      <c r="B847" s="18" t="s">
        <v>1539</v>
      </c>
      <c r="C847" s="18" t="s">
        <v>663</v>
      </c>
      <c r="D847" s="17" t="s">
        <v>1589</v>
      </c>
      <c r="E847" s="17" t="s">
        <v>1590</v>
      </c>
      <c r="H847" s="194"/>
      <c r="I847" s="18" t="s">
        <v>1066</v>
      </c>
      <c r="J847" s="23" t="s">
        <v>1569</v>
      </c>
      <c r="K847" s="4">
        <v>53</v>
      </c>
      <c r="L847" s="4" t="s">
        <v>2</v>
      </c>
      <c r="M847" s="5" t="s">
        <v>1180</v>
      </c>
      <c r="N847" s="5"/>
      <c r="O847" s="147">
        <v>3</v>
      </c>
      <c r="P847" s="15">
        <v>2</v>
      </c>
      <c r="Q847" s="148">
        <f t="shared" si="26"/>
        <v>5</v>
      </c>
    </row>
    <row r="848" spans="1:17" ht="16.5" hidden="1" x14ac:dyDescent="0.35">
      <c r="A848" s="53">
        <v>847</v>
      </c>
      <c r="B848" s="18" t="s">
        <v>1540</v>
      </c>
      <c r="C848" s="18" t="s">
        <v>663</v>
      </c>
      <c r="D848" s="17" t="s">
        <v>1589</v>
      </c>
      <c r="E848" s="17" t="s">
        <v>1590</v>
      </c>
      <c r="H848" s="194"/>
      <c r="I848" s="18" t="s">
        <v>1066</v>
      </c>
      <c r="J848" s="23" t="s">
        <v>1570</v>
      </c>
      <c r="K848" s="4">
        <v>37</v>
      </c>
      <c r="L848" s="4" t="s">
        <v>2</v>
      </c>
      <c r="M848" s="5" t="s">
        <v>1181</v>
      </c>
      <c r="N848" s="5"/>
      <c r="O848" s="147">
        <v>0</v>
      </c>
      <c r="P848" s="15">
        <v>3</v>
      </c>
      <c r="Q848" s="148">
        <f t="shared" si="26"/>
        <v>3</v>
      </c>
    </row>
    <row r="849" spans="1:17" ht="16.5" hidden="1" x14ac:dyDescent="0.35">
      <c r="A849" s="53">
        <v>848</v>
      </c>
      <c r="B849" s="18" t="s">
        <v>1541</v>
      </c>
      <c r="C849" s="18" t="s">
        <v>663</v>
      </c>
      <c r="D849" s="17" t="s">
        <v>1589</v>
      </c>
      <c r="E849" s="17" t="s">
        <v>1590</v>
      </c>
      <c r="H849" s="194"/>
      <c r="I849" s="18" t="s">
        <v>1066</v>
      </c>
      <c r="J849" s="23" t="s">
        <v>1571</v>
      </c>
      <c r="K849" s="4">
        <v>44</v>
      </c>
      <c r="L849" s="4" t="s">
        <v>2</v>
      </c>
      <c r="M849" s="5" t="s">
        <v>1181</v>
      </c>
      <c r="N849" s="5"/>
      <c r="O849" s="147">
        <v>4</v>
      </c>
      <c r="P849" s="15">
        <v>3</v>
      </c>
      <c r="Q849" s="148">
        <f t="shared" si="26"/>
        <v>7</v>
      </c>
    </row>
    <row r="850" spans="1:17" ht="16.5" hidden="1" x14ac:dyDescent="0.35">
      <c r="A850" s="53">
        <v>849</v>
      </c>
      <c r="B850" s="18" t="s">
        <v>1542</v>
      </c>
      <c r="C850" s="18" t="s">
        <v>663</v>
      </c>
      <c r="D850" s="17" t="s">
        <v>1589</v>
      </c>
      <c r="E850" s="17" t="s">
        <v>1590</v>
      </c>
      <c r="H850" s="194"/>
      <c r="I850" s="18" t="s">
        <v>1066</v>
      </c>
      <c r="J850" s="23" t="s">
        <v>1572</v>
      </c>
      <c r="K850" s="4">
        <v>48</v>
      </c>
      <c r="L850" s="4" t="s">
        <v>9</v>
      </c>
      <c r="M850" s="5" t="s">
        <v>1181</v>
      </c>
      <c r="N850" s="5"/>
      <c r="O850" s="147">
        <v>1</v>
      </c>
      <c r="P850" s="15">
        <v>3</v>
      </c>
      <c r="Q850" s="148">
        <f t="shared" si="26"/>
        <v>4</v>
      </c>
    </row>
    <row r="851" spans="1:17" ht="16.5" hidden="1" x14ac:dyDescent="0.35">
      <c r="A851" s="53">
        <v>850</v>
      </c>
      <c r="B851" s="18" t="s">
        <v>1543</v>
      </c>
      <c r="C851" s="18" t="s">
        <v>663</v>
      </c>
      <c r="D851" s="17" t="s">
        <v>1589</v>
      </c>
      <c r="E851" s="17" t="s">
        <v>1590</v>
      </c>
      <c r="H851" s="194"/>
      <c r="I851" s="18" t="s">
        <v>1066</v>
      </c>
      <c r="J851" s="23" t="s">
        <v>1573</v>
      </c>
      <c r="K851" s="4">
        <v>42</v>
      </c>
      <c r="L851" s="4" t="s">
        <v>2</v>
      </c>
      <c r="M851" s="5" t="s">
        <v>1181</v>
      </c>
      <c r="N851" s="5" t="s">
        <v>1587</v>
      </c>
      <c r="O851" s="147">
        <v>4</v>
      </c>
      <c r="P851" s="15">
        <v>3</v>
      </c>
      <c r="Q851" s="148">
        <f t="shared" si="26"/>
        <v>7</v>
      </c>
    </row>
    <row r="852" spans="1:17" ht="16.5" hidden="1" x14ac:dyDescent="0.35">
      <c r="A852" s="53">
        <v>851</v>
      </c>
      <c r="B852" s="18" t="s">
        <v>1544</v>
      </c>
      <c r="C852" s="18" t="s">
        <v>663</v>
      </c>
      <c r="D852" s="17" t="s">
        <v>1589</v>
      </c>
      <c r="E852" s="17" t="s">
        <v>1590</v>
      </c>
      <c r="H852" s="194"/>
      <c r="I852" s="18" t="s">
        <v>1066</v>
      </c>
      <c r="J852" s="23" t="s">
        <v>1574</v>
      </c>
      <c r="K852" s="4">
        <v>42</v>
      </c>
      <c r="L852" s="4" t="s">
        <v>9</v>
      </c>
      <c r="M852" s="5" t="s">
        <v>1181</v>
      </c>
      <c r="N852" s="5" t="s">
        <v>972</v>
      </c>
      <c r="O852" s="147">
        <v>0</v>
      </c>
      <c r="P852" s="15">
        <v>8</v>
      </c>
      <c r="Q852" s="148">
        <f t="shared" si="26"/>
        <v>8</v>
      </c>
    </row>
    <row r="853" spans="1:17" ht="16.5" hidden="1" x14ac:dyDescent="0.35">
      <c r="A853" s="53">
        <v>852</v>
      </c>
      <c r="B853" s="18" t="s">
        <v>1545</v>
      </c>
      <c r="C853" s="18" t="s">
        <v>663</v>
      </c>
      <c r="D853" s="17" t="s">
        <v>1589</v>
      </c>
      <c r="E853" s="17" t="s">
        <v>1590</v>
      </c>
      <c r="H853" s="194"/>
      <c r="I853" s="18" t="s">
        <v>1066</v>
      </c>
      <c r="J853" s="23" t="s">
        <v>1575</v>
      </c>
      <c r="K853" s="4">
        <v>56</v>
      </c>
      <c r="L853" s="4" t="s">
        <v>9</v>
      </c>
      <c r="M853" s="5" t="s">
        <v>1181</v>
      </c>
      <c r="N853" s="5" t="s">
        <v>1588</v>
      </c>
      <c r="O853" s="147">
        <v>4</v>
      </c>
      <c r="P853" s="15">
        <v>2</v>
      </c>
      <c r="Q853" s="148">
        <f t="shared" si="26"/>
        <v>6</v>
      </c>
    </row>
    <row r="854" spans="1:17" ht="16.5" hidden="1" x14ac:dyDescent="0.35">
      <c r="A854" s="53">
        <v>853</v>
      </c>
      <c r="B854" s="18" t="s">
        <v>1546</v>
      </c>
      <c r="C854" s="18" t="s">
        <v>663</v>
      </c>
      <c r="D854" s="17" t="s">
        <v>1589</v>
      </c>
      <c r="E854" s="17" t="s">
        <v>1590</v>
      </c>
      <c r="H854" s="194"/>
      <c r="I854" s="18" t="s">
        <v>1066</v>
      </c>
      <c r="J854" s="23" t="s">
        <v>1576</v>
      </c>
      <c r="K854" s="4">
        <v>46</v>
      </c>
      <c r="L854" s="4" t="s">
        <v>9</v>
      </c>
      <c r="M854" s="5" t="s">
        <v>1181</v>
      </c>
      <c r="N854" s="5" t="s">
        <v>972</v>
      </c>
      <c r="O854" s="147">
        <v>3</v>
      </c>
      <c r="P854" s="15">
        <v>4</v>
      </c>
      <c r="Q854" s="148">
        <f t="shared" si="26"/>
        <v>7</v>
      </c>
    </row>
    <row r="855" spans="1:17" ht="16.5" hidden="1" x14ac:dyDescent="0.35">
      <c r="A855" s="53">
        <v>854</v>
      </c>
      <c r="B855" s="18" t="s">
        <v>1547</v>
      </c>
      <c r="C855" s="18" t="s">
        <v>663</v>
      </c>
      <c r="D855" s="17" t="s">
        <v>1589</v>
      </c>
      <c r="E855" s="17" t="s">
        <v>1590</v>
      </c>
      <c r="H855" s="194"/>
      <c r="I855" s="18" t="s">
        <v>1066</v>
      </c>
      <c r="J855" s="23" t="s">
        <v>1577</v>
      </c>
      <c r="K855" s="4">
        <v>53</v>
      </c>
      <c r="L855" s="4" t="s">
        <v>2</v>
      </c>
      <c r="M855" s="5" t="s">
        <v>1181</v>
      </c>
      <c r="N855" s="5"/>
      <c r="O855" s="147">
        <v>4</v>
      </c>
      <c r="P855" s="15">
        <v>2</v>
      </c>
      <c r="Q855" s="148">
        <f t="shared" si="26"/>
        <v>6</v>
      </c>
    </row>
    <row r="856" spans="1:17" ht="16.5" hidden="1" x14ac:dyDescent="0.35">
      <c r="A856" s="53">
        <v>855</v>
      </c>
      <c r="B856" s="18" t="s">
        <v>1548</v>
      </c>
      <c r="C856" s="18" t="s">
        <v>663</v>
      </c>
      <c r="D856" s="17" t="s">
        <v>1589</v>
      </c>
      <c r="E856" s="17" t="s">
        <v>1590</v>
      </c>
      <c r="H856" s="194"/>
      <c r="I856" s="18" t="s">
        <v>1066</v>
      </c>
      <c r="J856" s="23"/>
      <c r="K856" s="180">
        <v>88</v>
      </c>
      <c r="L856" s="4" t="s">
        <v>2</v>
      </c>
      <c r="M856" s="5" t="s">
        <v>1181</v>
      </c>
      <c r="N856" s="5"/>
      <c r="O856" s="147">
        <v>2</v>
      </c>
      <c r="P856" s="15">
        <v>7</v>
      </c>
      <c r="Q856" s="148">
        <f t="shared" si="26"/>
        <v>9</v>
      </c>
    </row>
    <row r="857" spans="1:17" ht="16.5" hidden="1" x14ac:dyDescent="0.35">
      <c r="A857" s="53">
        <v>856</v>
      </c>
      <c r="B857" s="18" t="s">
        <v>1549</v>
      </c>
      <c r="C857" s="18" t="s">
        <v>663</v>
      </c>
      <c r="D857" s="17" t="s">
        <v>1589</v>
      </c>
      <c r="E857" s="17" t="s">
        <v>1590</v>
      </c>
      <c r="H857" s="194"/>
      <c r="I857" s="18" t="s">
        <v>1066</v>
      </c>
      <c r="J857" s="23" t="s">
        <v>1578</v>
      </c>
      <c r="K857" s="4">
        <v>45</v>
      </c>
      <c r="L857" s="4" t="s">
        <v>2</v>
      </c>
      <c r="M857" s="5" t="s">
        <v>1181</v>
      </c>
      <c r="N857" s="5" t="s">
        <v>1587</v>
      </c>
      <c r="O857" s="147">
        <v>2</v>
      </c>
      <c r="P857" s="15">
        <v>1</v>
      </c>
      <c r="Q857" s="148">
        <f t="shared" si="26"/>
        <v>3</v>
      </c>
    </row>
    <row r="858" spans="1:17" ht="16.5" hidden="1" x14ac:dyDescent="0.35">
      <c r="A858" s="53">
        <v>857</v>
      </c>
      <c r="B858" s="18" t="s">
        <v>1550</v>
      </c>
      <c r="C858" s="18" t="s">
        <v>663</v>
      </c>
      <c r="D858" s="17" t="s">
        <v>1589</v>
      </c>
      <c r="E858" s="17" t="s">
        <v>1590</v>
      </c>
      <c r="H858" s="194"/>
      <c r="I858" s="18" t="s">
        <v>1066</v>
      </c>
      <c r="J858" s="23" t="s">
        <v>1579</v>
      </c>
      <c r="K858" s="4">
        <v>38</v>
      </c>
      <c r="L858" s="4" t="s">
        <v>2</v>
      </c>
      <c r="M858" s="5" t="s">
        <v>1181</v>
      </c>
      <c r="N858" s="5" t="s">
        <v>1587</v>
      </c>
      <c r="O858" s="147">
        <v>2</v>
      </c>
      <c r="P858" s="15">
        <v>1</v>
      </c>
      <c r="Q858" s="148">
        <f t="shared" si="26"/>
        <v>3</v>
      </c>
    </row>
    <row r="859" spans="1:17" ht="16.5" hidden="1" x14ac:dyDescent="0.35">
      <c r="A859" s="53">
        <v>858</v>
      </c>
      <c r="B859" s="18" t="s">
        <v>1551</v>
      </c>
      <c r="C859" s="18" t="s">
        <v>663</v>
      </c>
      <c r="D859" s="17" t="s">
        <v>1589</v>
      </c>
      <c r="E859" s="17" t="s">
        <v>1590</v>
      </c>
      <c r="H859" s="194"/>
      <c r="I859" s="18" t="s">
        <v>1066</v>
      </c>
      <c r="J859" s="23" t="s">
        <v>1580</v>
      </c>
      <c r="K859" s="4">
        <v>35</v>
      </c>
      <c r="L859" s="4" t="s">
        <v>2</v>
      </c>
      <c r="M859" s="5" t="s">
        <v>1181</v>
      </c>
      <c r="N859" s="5"/>
      <c r="O859" s="147">
        <v>3</v>
      </c>
      <c r="P859" s="15">
        <v>3</v>
      </c>
      <c r="Q859" s="148">
        <f t="shared" si="26"/>
        <v>6</v>
      </c>
    </row>
    <row r="860" spans="1:17" ht="16.5" hidden="1" x14ac:dyDescent="0.35">
      <c r="A860" s="53">
        <v>859</v>
      </c>
      <c r="B860" s="18" t="s">
        <v>1552</v>
      </c>
      <c r="C860" s="18" t="s">
        <v>663</v>
      </c>
      <c r="D860" s="17" t="s">
        <v>1589</v>
      </c>
      <c r="E860" s="17" t="s">
        <v>1590</v>
      </c>
      <c r="H860" s="194"/>
      <c r="I860" s="18" t="s">
        <v>1066</v>
      </c>
      <c r="J860" s="23"/>
      <c r="K860" s="4">
        <v>50</v>
      </c>
      <c r="L860" s="4" t="s">
        <v>2</v>
      </c>
      <c r="M860" s="5" t="s">
        <v>1181</v>
      </c>
      <c r="N860" s="5"/>
      <c r="O860" s="147">
        <v>5</v>
      </c>
      <c r="P860" s="15">
        <v>5</v>
      </c>
      <c r="Q860" s="148">
        <f t="shared" si="26"/>
        <v>10</v>
      </c>
    </row>
    <row r="861" spans="1:17" ht="16.5" hidden="1" x14ac:dyDescent="0.35">
      <c r="A861" s="53">
        <v>860</v>
      </c>
      <c r="B861" s="18" t="s">
        <v>1553</v>
      </c>
      <c r="C861" s="18" t="s">
        <v>663</v>
      </c>
      <c r="D861" s="17" t="s">
        <v>1589</v>
      </c>
      <c r="E861" s="17" t="s">
        <v>1590</v>
      </c>
      <c r="H861" s="194"/>
      <c r="I861" s="18" t="s">
        <v>1066</v>
      </c>
      <c r="J861" s="23"/>
      <c r="K861" s="4">
        <v>33</v>
      </c>
      <c r="L861" s="4" t="s">
        <v>2</v>
      </c>
      <c r="M861" s="5" t="s">
        <v>1180</v>
      </c>
      <c r="N861" s="5" t="s">
        <v>1587</v>
      </c>
      <c r="O861" s="147">
        <v>3</v>
      </c>
      <c r="P861" s="15">
        <v>1</v>
      </c>
      <c r="Q861" s="148">
        <f t="shared" si="26"/>
        <v>4</v>
      </c>
    </row>
    <row r="862" spans="1:17" ht="16.5" hidden="1" x14ac:dyDescent="0.35">
      <c r="A862" s="53">
        <v>861</v>
      </c>
      <c r="B862" s="18" t="s">
        <v>1554</v>
      </c>
      <c r="C862" s="18" t="s">
        <v>663</v>
      </c>
      <c r="D862" s="17" t="s">
        <v>1589</v>
      </c>
      <c r="E862" s="17" t="s">
        <v>1590</v>
      </c>
      <c r="H862" s="194"/>
      <c r="I862" s="18" t="s">
        <v>1066</v>
      </c>
      <c r="J862" s="23" t="s">
        <v>1581</v>
      </c>
      <c r="K862" s="4">
        <v>49</v>
      </c>
      <c r="L862" s="4" t="s">
        <v>2</v>
      </c>
      <c r="M862" s="5" t="s">
        <v>1181</v>
      </c>
      <c r="N862" s="5"/>
      <c r="O862" s="147">
        <v>3</v>
      </c>
      <c r="P862" s="15">
        <v>3</v>
      </c>
      <c r="Q862" s="148">
        <f t="shared" si="26"/>
        <v>6</v>
      </c>
    </row>
    <row r="863" spans="1:17" ht="16.5" hidden="1" x14ac:dyDescent="0.35">
      <c r="A863" s="53">
        <v>862</v>
      </c>
      <c r="B863" s="18" t="s">
        <v>1555</v>
      </c>
      <c r="C863" s="18" t="s">
        <v>663</v>
      </c>
      <c r="D863" s="17" t="s">
        <v>1589</v>
      </c>
      <c r="E863" s="17" t="s">
        <v>1590</v>
      </c>
      <c r="H863" s="194"/>
      <c r="I863" s="18" t="s">
        <v>1066</v>
      </c>
      <c r="J863" s="23" t="s">
        <v>1582</v>
      </c>
      <c r="K863" s="4">
        <v>56</v>
      </c>
      <c r="L863" s="4" t="s">
        <v>2</v>
      </c>
      <c r="M863" s="5" t="s">
        <v>1181</v>
      </c>
      <c r="N863" s="5"/>
      <c r="O863" s="147">
        <v>1</v>
      </c>
      <c r="P863" s="15">
        <v>2</v>
      </c>
      <c r="Q863" s="148">
        <f t="shared" si="26"/>
        <v>3</v>
      </c>
    </row>
    <row r="864" spans="1:17" ht="16.5" hidden="1" x14ac:dyDescent="0.35">
      <c r="A864" s="53">
        <v>863</v>
      </c>
      <c r="B864" s="18" t="s">
        <v>1556</v>
      </c>
      <c r="C864" s="18" t="s">
        <v>663</v>
      </c>
      <c r="D864" s="17" t="s">
        <v>1589</v>
      </c>
      <c r="E864" s="17" t="s">
        <v>1590</v>
      </c>
      <c r="H864" s="194"/>
      <c r="I864" s="18" t="s">
        <v>1066</v>
      </c>
      <c r="J864" s="23" t="s">
        <v>1583</v>
      </c>
      <c r="K864" s="4">
        <v>35</v>
      </c>
      <c r="L864" s="4" t="s">
        <v>2</v>
      </c>
      <c r="M864" s="5" t="s">
        <v>1181</v>
      </c>
      <c r="N864" s="5"/>
      <c r="O864" s="147">
        <v>1</v>
      </c>
      <c r="P864" s="15">
        <v>0</v>
      </c>
      <c r="Q864" s="148">
        <f t="shared" si="26"/>
        <v>1</v>
      </c>
    </row>
    <row r="865" spans="1:17" ht="16.5" hidden="1" x14ac:dyDescent="0.5">
      <c r="A865" s="53">
        <v>864</v>
      </c>
      <c r="B865" s="18" t="s">
        <v>1557</v>
      </c>
      <c r="C865" s="18" t="s">
        <v>663</v>
      </c>
      <c r="D865" s="17" t="s">
        <v>1589</v>
      </c>
      <c r="E865" s="17" t="s">
        <v>1590</v>
      </c>
      <c r="H865" s="194"/>
      <c r="I865" s="18" t="s">
        <v>1066</v>
      </c>
      <c r="J865" s="23" t="s">
        <v>1584</v>
      </c>
      <c r="K865" s="6">
        <v>30</v>
      </c>
      <c r="L865" s="4" t="s">
        <v>2</v>
      </c>
      <c r="M865" s="6" t="s">
        <v>1181</v>
      </c>
      <c r="N865" s="6" t="s">
        <v>1587</v>
      </c>
      <c r="O865" s="149">
        <v>1</v>
      </c>
      <c r="P865" s="149">
        <v>2</v>
      </c>
      <c r="Q865" s="148">
        <f t="shared" si="26"/>
        <v>3</v>
      </c>
    </row>
    <row r="866" spans="1:17" ht="16.5" hidden="1" x14ac:dyDescent="0.35">
      <c r="A866" s="53">
        <v>865</v>
      </c>
      <c r="B866" s="18" t="s">
        <v>1558</v>
      </c>
      <c r="C866" s="18" t="s">
        <v>663</v>
      </c>
      <c r="D866" s="17" t="s">
        <v>1589</v>
      </c>
      <c r="E866" s="17" t="s">
        <v>1590</v>
      </c>
      <c r="H866" s="194"/>
      <c r="I866" s="18" t="s">
        <v>1066</v>
      </c>
      <c r="J866" s="24" t="s">
        <v>1585</v>
      </c>
      <c r="K866" s="8">
        <v>53</v>
      </c>
      <c r="L866" s="4" t="s">
        <v>2</v>
      </c>
      <c r="M866" s="8" t="s">
        <v>1181</v>
      </c>
      <c r="N866" s="8" t="s">
        <v>1587</v>
      </c>
      <c r="O866" s="151">
        <v>5</v>
      </c>
      <c r="P866" s="151">
        <v>4</v>
      </c>
      <c r="Q866" s="148">
        <f t="shared" si="26"/>
        <v>9</v>
      </c>
    </row>
    <row r="867" spans="1:17" ht="16.5" hidden="1" x14ac:dyDescent="0.35">
      <c r="A867" s="53">
        <v>866</v>
      </c>
      <c r="B867" s="351" t="s">
        <v>1559</v>
      </c>
      <c r="C867" s="18" t="s">
        <v>663</v>
      </c>
      <c r="D867" s="17" t="s">
        <v>1589</v>
      </c>
      <c r="E867" s="17" t="s">
        <v>1590</v>
      </c>
      <c r="H867" s="194"/>
      <c r="I867" s="18" t="s">
        <v>1066</v>
      </c>
      <c r="J867" s="25" t="s">
        <v>1586</v>
      </c>
      <c r="K867" s="11">
        <v>34</v>
      </c>
      <c r="L867" s="178" t="s">
        <v>2</v>
      </c>
      <c r="M867" s="11" t="s">
        <v>1181</v>
      </c>
      <c r="N867" s="11"/>
      <c r="O867" s="143">
        <v>0</v>
      </c>
      <c r="P867" s="143">
        <v>2</v>
      </c>
      <c r="Q867" s="148">
        <f t="shared" si="26"/>
        <v>2</v>
      </c>
    </row>
    <row r="868" spans="1:17" ht="17" hidden="1" thickBot="1" x14ac:dyDescent="0.4">
      <c r="A868" s="53">
        <v>867</v>
      </c>
      <c r="B868" s="351" t="s">
        <v>1560</v>
      </c>
      <c r="C868" s="18" t="s">
        <v>663</v>
      </c>
      <c r="D868" s="17" t="s">
        <v>1589</v>
      </c>
      <c r="E868" s="17" t="s">
        <v>1590</v>
      </c>
      <c r="H868" s="194"/>
      <c r="I868" s="18" t="s">
        <v>1066</v>
      </c>
      <c r="J868" s="193"/>
      <c r="K868" s="14">
        <v>50</v>
      </c>
      <c r="L868" s="14" t="s">
        <v>2</v>
      </c>
      <c r="M868" s="14" t="s">
        <v>1181</v>
      </c>
      <c r="N868" s="14" t="s">
        <v>1587</v>
      </c>
      <c r="O868" s="141">
        <v>2</v>
      </c>
      <c r="P868" s="141">
        <v>2</v>
      </c>
      <c r="Q868" s="148">
        <f t="shared" si="26"/>
        <v>4</v>
      </c>
    </row>
    <row r="869" spans="1:17" ht="16.5" hidden="1" x14ac:dyDescent="0.35">
      <c r="A869" s="53">
        <v>868</v>
      </c>
      <c r="B869" s="18" t="s">
        <v>1591</v>
      </c>
      <c r="C869" s="18" t="s">
        <v>663</v>
      </c>
      <c r="D869" s="17" t="s">
        <v>1637</v>
      </c>
      <c r="E869" s="17" t="s">
        <v>1590</v>
      </c>
      <c r="H869" s="25"/>
      <c r="I869" s="18" t="s">
        <v>1066</v>
      </c>
      <c r="J869" s="23" t="s">
        <v>1621</v>
      </c>
      <c r="K869" s="4">
        <v>50</v>
      </c>
      <c r="L869" s="4" t="s">
        <v>2</v>
      </c>
      <c r="M869" s="5" t="s">
        <v>1181</v>
      </c>
      <c r="N869" s="5"/>
      <c r="O869" s="147">
        <v>2</v>
      </c>
      <c r="P869" s="15">
        <v>4</v>
      </c>
      <c r="Q869" s="148">
        <f>(O869+P869)</f>
        <v>6</v>
      </c>
    </row>
    <row r="870" spans="1:17" ht="16.5" hidden="1" x14ac:dyDescent="0.35">
      <c r="A870" s="53">
        <v>869</v>
      </c>
      <c r="B870" s="18" t="s">
        <v>1592</v>
      </c>
      <c r="C870" s="18" t="s">
        <v>663</v>
      </c>
      <c r="D870" s="17" t="s">
        <v>1637</v>
      </c>
      <c r="E870" s="17" t="s">
        <v>1590</v>
      </c>
      <c r="H870" s="194"/>
      <c r="I870" s="18" t="s">
        <v>1066</v>
      </c>
      <c r="J870" s="23" t="s">
        <v>1622</v>
      </c>
      <c r="K870" s="4">
        <v>49</v>
      </c>
      <c r="L870" s="4" t="s">
        <v>2</v>
      </c>
      <c r="M870" s="5" t="s">
        <v>1180</v>
      </c>
      <c r="N870" s="5" t="s">
        <v>1587</v>
      </c>
      <c r="O870" s="147">
        <v>0</v>
      </c>
      <c r="P870" s="15">
        <v>2</v>
      </c>
      <c r="Q870" s="148">
        <f t="shared" ref="Q870:Q898" si="27">(O870+P870)</f>
        <v>2</v>
      </c>
    </row>
    <row r="871" spans="1:17" ht="16.5" hidden="1" x14ac:dyDescent="0.35">
      <c r="A871" s="53">
        <v>870</v>
      </c>
      <c r="B871" s="18" t="s">
        <v>1593</v>
      </c>
      <c r="C871" s="18" t="s">
        <v>663</v>
      </c>
      <c r="D871" s="17" t="s">
        <v>1637</v>
      </c>
      <c r="E871" s="17" t="s">
        <v>1590</v>
      </c>
      <c r="H871" s="194"/>
      <c r="I871" s="18" t="s">
        <v>1066</v>
      </c>
      <c r="J871" s="23" t="s">
        <v>1623</v>
      </c>
      <c r="K871" s="4">
        <v>53</v>
      </c>
      <c r="L871" s="4" t="s">
        <v>2</v>
      </c>
      <c r="M871" s="5" t="s">
        <v>1181</v>
      </c>
      <c r="N871" s="5"/>
      <c r="O871" s="147">
        <v>2</v>
      </c>
      <c r="P871" s="15">
        <v>6</v>
      </c>
      <c r="Q871" s="148">
        <f t="shared" si="27"/>
        <v>8</v>
      </c>
    </row>
    <row r="872" spans="1:17" ht="16.5" hidden="1" x14ac:dyDescent="0.35">
      <c r="A872" s="53">
        <v>871</v>
      </c>
      <c r="B872" s="18" t="s">
        <v>1594</v>
      </c>
      <c r="C872" s="18" t="s">
        <v>663</v>
      </c>
      <c r="D872" s="17" t="s">
        <v>1637</v>
      </c>
      <c r="E872" s="17" t="s">
        <v>1590</v>
      </c>
      <c r="H872" s="194"/>
      <c r="I872" s="18" t="s">
        <v>1066</v>
      </c>
      <c r="J872" s="23" t="s">
        <v>1624</v>
      </c>
      <c r="K872" s="4">
        <v>44</v>
      </c>
      <c r="L872" s="4" t="s">
        <v>2</v>
      </c>
      <c r="M872" s="5" t="s">
        <v>1181</v>
      </c>
      <c r="N872" s="5" t="s">
        <v>1587</v>
      </c>
      <c r="O872" s="147">
        <v>2</v>
      </c>
      <c r="P872" s="15">
        <v>3</v>
      </c>
      <c r="Q872" s="148">
        <f t="shared" si="27"/>
        <v>5</v>
      </c>
    </row>
    <row r="873" spans="1:17" ht="16.5" hidden="1" x14ac:dyDescent="0.35">
      <c r="A873" s="53">
        <v>872</v>
      </c>
      <c r="B873" s="18" t="s">
        <v>1595</v>
      </c>
      <c r="C873" s="18" t="s">
        <v>663</v>
      </c>
      <c r="D873" s="17" t="s">
        <v>1637</v>
      </c>
      <c r="E873" s="17" t="s">
        <v>1590</v>
      </c>
      <c r="H873" s="194"/>
      <c r="I873" s="18" t="s">
        <v>1066</v>
      </c>
      <c r="J873" s="23" t="s">
        <v>1625</v>
      </c>
      <c r="K873" s="4">
        <v>57</v>
      </c>
      <c r="L873" s="4" t="s">
        <v>2</v>
      </c>
      <c r="M873" s="3" t="s">
        <v>1180</v>
      </c>
      <c r="N873" s="5"/>
      <c r="O873" s="147">
        <v>1</v>
      </c>
      <c r="P873" s="15">
        <v>7</v>
      </c>
      <c r="Q873" s="148">
        <f t="shared" si="27"/>
        <v>8</v>
      </c>
    </row>
    <row r="874" spans="1:17" ht="16.5" hidden="1" x14ac:dyDescent="0.35">
      <c r="A874" s="53">
        <v>873</v>
      </c>
      <c r="B874" s="18" t="s">
        <v>1596</v>
      </c>
      <c r="C874" s="18" t="s">
        <v>663</v>
      </c>
      <c r="D874" s="17" t="s">
        <v>1637</v>
      </c>
      <c r="E874" s="17" t="s">
        <v>1590</v>
      </c>
      <c r="H874" s="194"/>
      <c r="I874" s="18" t="s">
        <v>1066</v>
      </c>
      <c r="J874" s="23"/>
      <c r="K874" s="4">
        <v>50</v>
      </c>
      <c r="L874" s="4" t="s">
        <v>2</v>
      </c>
      <c r="M874" s="5" t="s">
        <v>1181</v>
      </c>
      <c r="N874" s="5" t="s">
        <v>1587</v>
      </c>
      <c r="O874" s="147">
        <v>2</v>
      </c>
      <c r="P874" s="15">
        <v>2</v>
      </c>
      <c r="Q874" s="148">
        <f t="shared" si="27"/>
        <v>4</v>
      </c>
    </row>
    <row r="875" spans="1:17" ht="16.5" hidden="1" x14ac:dyDescent="0.35">
      <c r="A875" s="53">
        <v>874</v>
      </c>
      <c r="B875" s="18" t="s">
        <v>1597</v>
      </c>
      <c r="C875" s="18" t="s">
        <v>663</v>
      </c>
      <c r="D875" s="17" t="s">
        <v>1637</v>
      </c>
      <c r="E875" s="17" t="s">
        <v>1590</v>
      </c>
      <c r="H875" s="194"/>
      <c r="I875" s="18" t="s">
        <v>1066</v>
      </c>
      <c r="J875" s="23" t="s">
        <v>1626</v>
      </c>
      <c r="K875" s="4">
        <v>37</v>
      </c>
      <c r="L875" s="4" t="s">
        <v>2</v>
      </c>
      <c r="M875" s="5" t="s">
        <v>1181</v>
      </c>
      <c r="N875" s="5"/>
      <c r="O875" s="147">
        <v>2</v>
      </c>
      <c r="P875" s="15">
        <v>5</v>
      </c>
      <c r="Q875" s="148">
        <f t="shared" si="27"/>
        <v>7</v>
      </c>
    </row>
    <row r="876" spans="1:17" ht="16.5" hidden="1" x14ac:dyDescent="0.35">
      <c r="A876" s="53">
        <v>875</v>
      </c>
      <c r="B876" s="18" t="s">
        <v>1598</v>
      </c>
      <c r="C876" s="18" t="s">
        <v>663</v>
      </c>
      <c r="D876" s="17" t="s">
        <v>1637</v>
      </c>
      <c r="E876" s="17" t="s">
        <v>1590</v>
      </c>
      <c r="H876" s="194"/>
      <c r="I876" s="18" t="s">
        <v>1066</v>
      </c>
      <c r="J876" s="23"/>
      <c r="K876" s="4">
        <v>48</v>
      </c>
      <c r="L876" s="4" t="s">
        <v>2</v>
      </c>
      <c r="M876" s="5" t="s">
        <v>1181</v>
      </c>
      <c r="N876" s="5"/>
      <c r="O876" s="147">
        <v>2</v>
      </c>
      <c r="P876" s="15">
        <v>3</v>
      </c>
      <c r="Q876" s="148">
        <f t="shared" si="27"/>
        <v>5</v>
      </c>
    </row>
    <row r="877" spans="1:17" ht="16.5" hidden="1" x14ac:dyDescent="0.35">
      <c r="A877" s="53">
        <v>876</v>
      </c>
      <c r="B877" s="18" t="s">
        <v>1599</v>
      </c>
      <c r="C877" s="18" t="s">
        <v>663</v>
      </c>
      <c r="D877" s="17" t="s">
        <v>1637</v>
      </c>
      <c r="E877" s="17" t="s">
        <v>1590</v>
      </c>
      <c r="H877" s="194"/>
      <c r="I877" s="18" t="s">
        <v>1066</v>
      </c>
      <c r="J877" s="23"/>
      <c r="K877" s="4">
        <v>48</v>
      </c>
      <c r="L877" s="4" t="s">
        <v>2</v>
      </c>
      <c r="M877" s="5" t="s">
        <v>1181</v>
      </c>
      <c r="N877" s="5"/>
      <c r="O877" s="147">
        <v>3</v>
      </c>
      <c r="P877" s="15">
        <v>4</v>
      </c>
      <c r="Q877" s="148">
        <f t="shared" si="27"/>
        <v>7</v>
      </c>
    </row>
    <row r="878" spans="1:17" ht="16.5" hidden="1" x14ac:dyDescent="0.35">
      <c r="A878" s="53">
        <v>877</v>
      </c>
      <c r="B878" s="18" t="s">
        <v>1600</v>
      </c>
      <c r="C878" s="18" t="s">
        <v>663</v>
      </c>
      <c r="D878" s="17" t="s">
        <v>1637</v>
      </c>
      <c r="E878" s="17" t="s">
        <v>1590</v>
      </c>
      <c r="H878" s="194"/>
      <c r="I878" s="18" t="s">
        <v>1066</v>
      </c>
      <c r="J878" s="23" t="s">
        <v>1627</v>
      </c>
      <c r="K878" s="4">
        <v>56</v>
      </c>
      <c r="L878" s="4" t="s">
        <v>9</v>
      </c>
      <c r="M878" s="5" t="s">
        <v>1181</v>
      </c>
      <c r="N878" s="5" t="s">
        <v>972</v>
      </c>
      <c r="O878" s="147">
        <v>2</v>
      </c>
      <c r="P878" s="15">
        <v>5</v>
      </c>
      <c r="Q878" s="148">
        <f t="shared" si="27"/>
        <v>7</v>
      </c>
    </row>
    <row r="879" spans="1:17" ht="16.5" hidden="1" x14ac:dyDescent="0.35">
      <c r="A879" s="53">
        <v>878</v>
      </c>
      <c r="B879" s="18" t="s">
        <v>1601</v>
      </c>
      <c r="C879" s="18" t="s">
        <v>663</v>
      </c>
      <c r="D879" s="17" t="s">
        <v>1637</v>
      </c>
      <c r="E879" s="17" t="s">
        <v>1590</v>
      </c>
      <c r="H879" s="194"/>
      <c r="I879" s="18" t="s">
        <v>1066</v>
      </c>
      <c r="J879" s="23" t="s">
        <v>1628</v>
      </c>
      <c r="K879" s="4">
        <v>58</v>
      </c>
      <c r="L879" s="4" t="s">
        <v>2</v>
      </c>
      <c r="M879" s="5" t="s">
        <v>1181</v>
      </c>
      <c r="N879" s="5"/>
      <c r="O879" s="147">
        <v>3</v>
      </c>
      <c r="P879" s="15">
        <v>2</v>
      </c>
      <c r="Q879" s="148">
        <f t="shared" si="27"/>
        <v>5</v>
      </c>
    </row>
    <row r="880" spans="1:17" ht="16.5" hidden="1" x14ac:dyDescent="0.35">
      <c r="A880" s="53">
        <v>879</v>
      </c>
      <c r="B880" s="18" t="s">
        <v>1602</v>
      </c>
      <c r="C880" s="18" t="s">
        <v>663</v>
      </c>
      <c r="D880" s="17" t="s">
        <v>1637</v>
      </c>
      <c r="E880" s="17" t="s">
        <v>1590</v>
      </c>
      <c r="H880" s="194"/>
      <c r="I880" s="18" t="s">
        <v>1066</v>
      </c>
      <c r="J880" s="23"/>
      <c r="K880" s="4">
        <v>51</v>
      </c>
      <c r="L880" s="4" t="s">
        <v>2</v>
      </c>
      <c r="M880" s="5" t="s">
        <v>1181</v>
      </c>
      <c r="N880" s="5"/>
      <c r="O880" s="147">
        <v>2</v>
      </c>
      <c r="P880" s="15">
        <v>5</v>
      </c>
      <c r="Q880" s="148">
        <f t="shared" si="27"/>
        <v>7</v>
      </c>
    </row>
    <row r="881" spans="1:17" ht="16.5" hidden="1" x14ac:dyDescent="0.35">
      <c r="A881" s="53">
        <v>880</v>
      </c>
      <c r="B881" s="18" t="s">
        <v>1603</v>
      </c>
      <c r="C881" s="18" t="s">
        <v>663</v>
      </c>
      <c r="D881" s="17" t="s">
        <v>1637</v>
      </c>
      <c r="E881" s="17" t="s">
        <v>1590</v>
      </c>
      <c r="H881" s="194"/>
      <c r="I881" s="18" t="s">
        <v>1066</v>
      </c>
      <c r="J881" s="23" t="s">
        <v>1629</v>
      </c>
      <c r="K881" s="4">
        <v>47</v>
      </c>
      <c r="L881" s="4" t="s">
        <v>9</v>
      </c>
      <c r="M881" s="5" t="s">
        <v>1181</v>
      </c>
      <c r="N881" s="5"/>
      <c r="O881" s="147">
        <v>0</v>
      </c>
      <c r="P881" s="15">
        <v>0</v>
      </c>
      <c r="Q881" s="148">
        <f t="shared" si="27"/>
        <v>0</v>
      </c>
    </row>
    <row r="882" spans="1:17" ht="16.5" hidden="1" x14ac:dyDescent="0.35">
      <c r="A882" s="53">
        <v>881</v>
      </c>
      <c r="B882" s="18" t="s">
        <v>1604</v>
      </c>
      <c r="C882" s="18" t="s">
        <v>663</v>
      </c>
      <c r="D882" s="17" t="s">
        <v>1637</v>
      </c>
      <c r="E882" s="17" t="s">
        <v>1590</v>
      </c>
      <c r="H882" s="194"/>
      <c r="I882" s="18" t="s">
        <v>1066</v>
      </c>
      <c r="J882" s="23"/>
      <c r="K882" s="4">
        <v>35</v>
      </c>
      <c r="L882" s="4" t="s">
        <v>2</v>
      </c>
      <c r="M882" s="5" t="s">
        <v>1181</v>
      </c>
      <c r="N882" s="5"/>
      <c r="O882" s="147">
        <v>0</v>
      </c>
      <c r="P882" s="15">
        <v>0</v>
      </c>
      <c r="Q882" s="148">
        <f t="shared" si="27"/>
        <v>0</v>
      </c>
    </row>
    <row r="883" spans="1:17" ht="16.5" hidden="1" x14ac:dyDescent="0.35">
      <c r="A883" s="53">
        <v>882</v>
      </c>
      <c r="B883" s="18" t="s">
        <v>1605</v>
      </c>
      <c r="C883" s="18" t="s">
        <v>663</v>
      </c>
      <c r="D883" s="17" t="s">
        <v>1637</v>
      </c>
      <c r="E883" s="17" t="s">
        <v>1590</v>
      </c>
      <c r="H883" s="194"/>
      <c r="I883" s="18" t="s">
        <v>1066</v>
      </c>
      <c r="J883" s="23"/>
      <c r="K883" s="4">
        <v>35</v>
      </c>
      <c r="L883" s="4" t="s">
        <v>2</v>
      </c>
      <c r="M883" s="5" t="s">
        <v>1181</v>
      </c>
      <c r="N883" s="5"/>
      <c r="O883" s="147">
        <v>4</v>
      </c>
      <c r="P883" s="15">
        <v>2</v>
      </c>
      <c r="Q883" s="148">
        <f t="shared" si="27"/>
        <v>6</v>
      </c>
    </row>
    <row r="884" spans="1:17" ht="16.5" hidden="1" x14ac:dyDescent="0.35">
      <c r="A884" s="53">
        <v>883</v>
      </c>
      <c r="B884" s="18" t="s">
        <v>1606</v>
      </c>
      <c r="C884" s="18" t="s">
        <v>663</v>
      </c>
      <c r="D884" s="17" t="s">
        <v>1637</v>
      </c>
      <c r="E884" s="17" t="s">
        <v>1590</v>
      </c>
      <c r="H884" s="194"/>
      <c r="I884" s="18" t="s">
        <v>1066</v>
      </c>
      <c r="J884" s="23" t="s">
        <v>1630</v>
      </c>
      <c r="K884" s="4">
        <v>46</v>
      </c>
      <c r="L884" s="4" t="s">
        <v>9</v>
      </c>
      <c r="M884" s="5" t="s">
        <v>1181</v>
      </c>
      <c r="N884" s="5" t="s">
        <v>1588</v>
      </c>
      <c r="O884" s="147">
        <v>3</v>
      </c>
      <c r="P884" s="15">
        <v>2</v>
      </c>
      <c r="Q884" s="148">
        <f t="shared" si="27"/>
        <v>5</v>
      </c>
    </row>
    <row r="885" spans="1:17" ht="16.5" hidden="1" x14ac:dyDescent="0.35">
      <c r="A885" s="53">
        <v>884</v>
      </c>
      <c r="B885" s="18" t="s">
        <v>1607</v>
      </c>
      <c r="C885" s="18" t="s">
        <v>663</v>
      </c>
      <c r="D885" s="17" t="s">
        <v>1637</v>
      </c>
      <c r="E885" s="17" t="s">
        <v>1590</v>
      </c>
      <c r="H885" s="194"/>
      <c r="I885" s="18" t="s">
        <v>1066</v>
      </c>
      <c r="J885" s="23" t="s">
        <v>1631</v>
      </c>
      <c r="K885" s="4">
        <v>42</v>
      </c>
      <c r="L885" s="4" t="s">
        <v>2</v>
      </c>
      <c r="M885" s="5" t="s">
        <v>1181</v>
      </c>
      <c r="N885" s="5"/>
      <c r="O885" s="147">
        <v>4</v>
      </c>
      <c r="P885" s="15">
        <v>2</v>
      </c>
      <c r="Q885" s="148">
        <f t="shared" si="27"/>
        <v>6</v>
      </c>
    </row>
    <row r="886" spans="1:17" ht="16.5" hidden="1" x14ac:dyDescent="0.35">
      <c r="A886" s="53">
        <v>885</v>
      </c>
      <c r="B886" s="18" t="s">
        <v>1608</v>
      </c>
      <c r="C886" s="18" t="s">
        <v>663</v>
      </c>
      <c r="D886" s="17" t="s">
        <v>1637</v>
      </c>
      <c r="E886" s="17" t="s">
        <v>1590</v>
      </c>
      <c r="H886" s="194"/>
      <c r="I886" s="18" t="s">
        <v>1066</v>
      </c>
      <c r="J886" s="23" t="s">
        <v>1632</v>
      </c>
      <c r="K886" s="4">
        <v>57</v>
      </c>
      <c r="L886" s="4" t="s">
        <v>2</v>
      </c>
      <c r="M886" s="5" t="s">
        <v>1181</v>
      </c>
      <c r="N886" s="5"/>
      <c r="O886" s="147">
        <v>2</v>
      </c>
      <c r="P886" s="15">
        <v>3</v>
      </c>
      <c r="Q886" s="148">
        <f t="shared" si="27"/>
        <v>5</v>
      </c>
    </row>
    <row r="887" spans="1:17" ht="16.5" hidden="1" x14ac:dyDescent="0.35">
      <c r="A887" s="53">
        <v>886</v>
      </c>
      <c r="B887" s="18" t="s">
        <v>1609</v>
      </c>
      <c r="C887" s="18" t="s">
        <v>663</v>
      </c>
      <c r="D887" s="17" t="s">
        <v>1637</v>
      </c>
      <c r="E887" s="17" t="s">
        <v>1590</v>
      </c>
      <c r="H887" s="194"/>
      <c r="I887" s="18" t="s">
        <v>1066</v>
      </c>
      <c r="J887" s="23"/>
      <c r="K887" s="4">
        <v>46</v>
      </c>
      <c r="L887" s="4" t="s">
        <v>2</v>
      </c>
      <c r="M887" s="5" t="s">
        <v>1181</v>
      </c>
      <c r="N887" s="5"/>
      <c r="O887" s="147">
        <v>1</v>
      </c>
      <c r="P887" s="15">
        <v>2</v>
      </c>
      <c r="Q887" s="148">
        <f t="shared" si="27"/>
        <v>3</v>
      </c>
    </row>
    <row r="888" spans="1:17" ht="16.5" hidden="1" x14ac:dyDescent="0.35">
      <c r="A888" s="53">
        <v>887</v>
      </c>
      <c r="B888" s="18" t="s">
        <v>1610</v>
      </c>
      <c r="C888" s="18" t="s">
        <v>663</v>
      </c>
      <c r="D888" s="17" t="s">
        <v>1637</v>
      </c>
      <c r="E888" s="17" t="s">
        <v>1590</v>
      </c>
      <c r="H888" s="194"/>
      <c r="I888" s="18" t="s">
        <v>1066</v>
      </c>
      <c r="J888" s="23"/>
      <c r="K888" s="4">
        <v>38</v>
      </c>
      <c r="L888" s="4" t="s">
        <v>2</v>
      </c>
      <c r="M888" s="5" t="s">
        <v>1181</v>
      </c>
      <c r="N888" s="5"/>
      <c r="O888" s="147">
        <v>2</v>
      </c>
      <c r="P888" s="15">
        <v>7</v>
      </c>
      <c r="Q888" s="148">
        <f t="shared" si="27"/>
        <v>9</v>
      </c>
    </row>
    <row r="889" spans="1:17" ht="16.5" hidden="1" x14ac:dyDescent="0.35">
      <c r="A889" s="53">
        <v>888</v>
      </c>
      <c r="B889" s="18" t="s">
        <v>1611</v>
      </c>
      <c r="C889" s="18" t="s">
        <v>663</v>
      </c>
      <c r="D889" s="17" t="s">
        <v>1637</v>
      </c>
      <c r="E889" s="17" t="s">
        <v>1590</v>
      </c>
      <c r="H889" s="194"/>
      <c r="I889" s="18" t="s">
        <v>1066</v>
      </c>
      <c r="J889" s="23"/>
      <c r="K889" s="4"/>
      <c r="L889" s="4" t="s">
        <v>2</v>
      </c>
      <c r="M889" s="5" t="s">
        <v>1181</v>
      </c>
      <c r="N889" s="5"/>
      <c r="O889" s="147">
        <v>0</v>
      </c>
      <c r="P889" s="15">
        <v>2</v>
      </c>
      <c r="Q889" s="148">
        <f t="shared" si="27"/>
        <v>2</v>
      </c>
    </row>
    <row r="890" spans="1:17" ht="16.5" hidden="1" x14ac:dyDescent="0.35">
      <c r="A890" s="53">
        <v>889</v>
      </c>
      <c r="B890" s="18" t="s">
        <v>1612</v>
      </c>
      <c r="C890" s="18" t="s">
        <v>663</v>
      </c>
      <c r="D890" s="17" t="s">
        <v>1637</v>
      </c>
      <c r="E890" s="17" t="s">
        <v>1590</v>
      </c>
      <c r="H890" s="194"/>
      <c r="I890" s="18" t="s">
        <v>1066</v>
      </c>
      <c r="J890" s="23" t="s">
        <v>1633</v>
      </c>
      <c r="K890" s="4">
        <v>59</v>
      </c>
      <c r="L890" s="4" t="s">
        <v>9</v>
      </c>
      <c r="M890" s="5" t="s">
        <v>1181</v>
      </c>
      <c r="N890" s="5" t="s">
        <v>972</v>
      </c>
      <c r="O890" s="147">
        <v>2</v>
      </c>
      <c r="P890" s="15">
        <v>7</v>
      </c>
      <c r="Q890" s="148">
        <f t="shared" si="27"/>
        <v>9</v>
      </c>
    </row>
    <row r="891" spans="1:17" ht="16.5" hidden="1" x14ac:dyDescent="0.35">
      <c r="A891" s="53">
        <v>890</v>
      </c>
      <c r="B891" s="18" t="s">
        <v>1613</v>
      </c>
      <c r="C891" s="18" t="s">
        <v>663</v>
      </c>
      <c r="D891" s="17" t="s">
        <v>1637</v>
      </c>
      <c r="E891" s="17" t="s">
        <v>1590</v>
      </c>
      <c r="H891" s="194"/>
      <c r="I891" s="18" t="s">
        <v>1066</v>
      </c>
      <c r="J891" s="23"/>
      <c r="K891" s="4">
        <v>42</v>
      </c>
      <c r="L891" s="4" t="s">
        <v>2</v>
      </c>
      <c r="M891" s="5" t="s">
        <v>1181</v>
      </c>
      <c r="N891" s="5"/>
      <c r="O891" s="147">
        <v>3</v>
      </c>
      <c r="P891" s="15">
        <v>4</v>
      </c>
      <c r="Q891" s="148">
        <f t="shared" si="27"/>
        <v>7</v>
      </c>
    </row>
    <row r="892" spans="1:17" ht="16.5" hidden="1" x14ac:dyDescent="0.35">
      <c r="A892" s="53">
        <v>891</v>
      </c>
      <c r="B892" s="18" t="s">
        <v>1614</v>
      </c>
      <c r="C892" s="18" t="s">
        <v>663</v>
      </c>
      <c r="D892" s="17" t="s">
        <v>1637</v>
      </c>
      <c r="E892" s="17" t="s">
        <v>1590</v>
      </c>
      <c r="H892" s="194"/>
      <c r="I892" s="18" t="s">
        <v>1066</v>
      </c>
      <c r="J892" s="23"/>
      <c r="K892" s="4">
        <v>41</v>
      </c>
      <c r="L892" s="4" t="s">
        <v>2</v>
      </c>
      <c r="M892" s="5" t="s">
        <v>1181</v>
      </c>
      <c r="N892" s="5"/>
      <c r="O892" s="147">
        <v>3</v>
      </c>
      <c r="P892" s="15">
        <v>2</v>
      </c>
      <c r="Q892" s="148">
        <f t="shared" si="27"/>
        <v>5</v>
      </c>
    </row>
    <row r="893" spans="1:17" ht="16.5" hidden="1" x14ac:dyDescent="0.35">
      <c r="A893" s="53">
        <v>892</v>
      </c>
      <c r="B893" s="18" t="s">
        <v>1615</v>
      </c>
      <c r="C893" s="18" t="s">
        <v>663</v>
      </c>
      <c r="D893" s="17" t="s">
        <v>1637</v>
      </c>
      <c r="E893" s="17" t="s">
        <v>1590</v>
      </c>
      <c r="H893" s="194"/>
      <c r="I893" s="18" t="s">
        <v>1066</v>
      </c>
      <c r="J893" s="23"/>
      <c r="K893" s="4">
        <v>39</v>
      </c>
      <c r="L893" s="4" t="s">
        <v>2</v>
      </c>
      <c r="M893" s="5" t="s">
        <v>1181</v>
      </c>
      <c r="N893" s="5"/>
      <c r="O893" s="147">
        <v>2</v>
      </c>
      <c r="P893" s="15">
        <v>4</v>
      </c>
      <c r="Q893" s="148">
        <f t="shared" si="27"/>
        <v>6</v>
      </c>
    </row>
    <row r="894" spans="1:17" ht="16.5" hidden="1" x14ac:dyDescent="0.35">
      <c r="A894" s="53">
        <v>893</v>
      </c>
      <c r="B894" s="18" t="s">
        <v>1616</v>
      </c>
      <c r="C894" s="18" t="s">
        <v>663</v>
      </c>
      <c r="D894" s="17" t="s">
        <v>1637</v>
      </c>
      <c r="E894" s="17" t="s">
        <v>1590</v>
      </c>
      <c r="H894" s="194"/>
      <c r="I894" s="18" t="s">
        <v>1066</v>
      </c>
      <c r="J894" s="23" t="s">
        <v>1634</v>
      </c>
      <c r="K894" s="4">
        <v>75</v>
      </c>
      <c r="L894" s="4" t="s">
        <v>9</v>
      </c>
      <c r="M894" s="5" t="s">
        <v>1180</v>
      </c>
      <c r="N894" s="5" t="s">
        <v>972</v>
      </c>
      <c r="O894" s="147">
        <v>6</v>
      </c>
      <c r="P894" s="15">
        <v>9</v>
      </c>
      <c r="Q894" s="148">
        <f t="shared" si="27"/>
        <v>15</v>
      </c>
    </row>
    <row r="895" spans="1:17" ht="16.5" hidden="1" x14ac:dyDescent="0.5">
      <c r="A895" s="53">
        <v>894</v>
      </c>
      <c r="B895" s="18" t="s">
        <v>1617</v>
      </c>
      <c r="C895" s="18" t="s">
        <v>663</v>
      </c>
      <c r="D895" s="17" t="s">
        <v>1637</v>
      </c>
      <c r="E895" s="17" t="s">
        <v>1590</v>
      </c>
      <c r="H895" s="194"/>
      <c r="I895" s="18" t="s">
        <v>1066</v>
      </c>
      <c r="J895" s="23" t="s">
        <v>1635</v>
      </c>
      <c r="K895" s="6">
        <v>59</v>
      </c>
      <c r="L895" s="4" t="s">
        <v>2</v>
      </c>
      <c r="M895" s="6" t="s">
        <v>1181</v>
      </c>
      <c r="N895" s="6"/>
      <c r="O895" s="149">
        <v>1</v>
      </c>
      <c r="P895" s="149">
        <v>0</v>
      </c>
      <c r="Q895" s="148">
        <f t="shared" si="27"/>
        <v>1</v>
      </c>
    </row>
    <row r="896" spans="1:17" ht="16.5" hidden="1" x14ac:dyDescent="0.35">
      <c r="A896" s="53">
        <v>895</v>
      </c>
      <c r="B896" s="18" t="s">
        <v>1618</v>
      </c>
      <c r="C896" s="18" t="s">
        <v>663</v>
      </c>
      <c r="D896" s="17" t="s">
        <v>1637</v>
      </c>
      <c r="E896" s="17" t="s">
        <v>1590</v>
      </c>
      <c r="H896" s="194"/>
      <c r="I896" s="18" t="s">
        <v>1066</v>
      </c>
      <c r="J896" s="24"/>
      <c r="K896" s="8">
        <v>38</v>
      </c>
      <c r="L896" s="4" t="s">
        <v>2</v>
      </c>
      <c r="M896" s="8" t="s">
        <v>1181</v>
      </c>
      <c r="N896" s="8"/>
      <c r="O896" s="151">
        <v>4</v>
      </c>
      <c r="P896" s="151">
        <v>3</v>
      </c>
      <c r="Q896" s="148">
        <f t="shared" si="27"/>
        <v>7</v>
      </c>
    </row>
    <row r="897" spans="1:17" ht="16.5" hidden="1" x14ac:dyDescent="0.35">
      <c r="A897" s="53">
        <v>896</v>
      </c>
      <c r="B897" s="351" t="s">
        <v>1619</v>
      </c>
      <c r="C897" s="18" t="s">
        <v>663</v>
      </c>
      <c r="D897" s="17" t="s">
        <v>1637</v>
      </c>
      <c r="E897" s="17" t="s">
        <v>1590</v>
      </c>
      <c r="H897" s="194"/>
      <c r="I897" s="18" t="s">
        <v>1066</v>
      </c>
      <c r="J897" s="25" t="s">
        <v>1636</v>
      </c>
      <c r="K897" s="11">
        <v>47</v>
      </c>
      <c r="L897" s="178" t="s">
        <v>9</v>
      </c>
      <c r="M897" s="11" t="s">
        <v>1181</v>
      </c>
      <c r="N897" s="11"/>
      <c r="O897" s="143">
        <v>2</v>
      </c>
      <c r="P897" s="143">
        <v>3</v>
      </c>
      <c r="Q897" s="148">
        <f t="shared" si="27"/>
        <v>5</v>
      </c>
    </row>
    <row r="898" spans="1:17" ht="17" hidden="1" thickBot="1" x14ac:dyDescent="0.4">
      <c r="A898" s="53">
        <v>897</v>
      </c>
      <c r="B898" s="351" t="s">
        <v>1620</v>
      </c>
      <c r="C898" s="18" t="s">
        <v>663</v>
      </c>
      <c r="D898" s="17" t="s">
        <v>1637</v>
      </c>
      <c r="E898" s="17" t="s">
        <v>1590</v>
      </c>
      <c r="H898" s="194"/>
      <c r="I898" s="18" t="s">
        <v>1066</v>
      </c>
      <c r="J898" s="193"/>
      <c r="K898" s="14">
        <v>42</v>
      </c>
      <c r="L898" s="14" t="s">
        <v>2</v>
      </c>
      <c r="M898" s="14" t="s">
        <v>1181</v>
      </c>
      <c r="N898" s="14"/>
      <c r="O898" s="141">
        <v>4</v>
      </c>
      <c r="P898" s="141">
        <v>2</v>
      </c>
      <c r="Q898" s="148">
        <f t="shared" si="27"/>
        <v>6</v>
      </c>
    </row>
    <row r="899" spans="1:17" ht="16.5" hidden="1" x14ac:dyDescent="0.35">
      <c r="A899" s="53">
        <v>898</v>
      </c>
      <c r="B899" s="18" t="s">
        <v>1638</v>
      </c>
      <c r="C899" s="18" t="s">
        <v>663</v>
      </c>
      <c r="D899" s="17" t="s">
        <v>1679</v>
      </c>
      <c r="E899" s="17" t="s">
        <v>1590</v>
      </c>
      <c r="H899" s="25"/>
      <c r="I899" s="18" t="s">
        <v>1066</v>
      </c>
      <c r="J899" s="23" t="s">
        <v>1668</v>
      </c>
      <c r="K899" s="4">
        <v>49</v>
      </c>
      <c r="L899" s="4" t="s">
        <v>2</v>
      </c>
      <c r="M899" s="5" t="s">
        <v>1181</v>
      </c>
      <c r="N899" s="5" t="s">
        <v>1676</v>
      </c>
      <c r="O899" s="147">
        <v>2</v>
      </c>
      <c r="P899" s="15">
        <v>5</v>
      </c>
      <c r="Q899" s="148">
        <f>(O899+P899)</f>
        <v>7</v>
      </c>
    </row>
    <row r="900" spans="1:17" ht="16.5" hidden="1" x14ac:dyDescent="0.35">
      <c r="A900" s="53">
        <v>899</v>
      </c>
      <c r="B900" s="18" t="s">
        <v>1639</v>
      </c>
      <c r="C900" s="18" t="s">
        <v>663</v>
      </c>
      <c r="D900" s="17" t="s">
        <v>1679</v>
      </c>
      <c r="E900" s="17" t="s">
        <v>1590</v>
      </c>
      <c r="H900" s="194"/>
      <c r="I900" s="18" t="s">
        <v>1066</v>
      </c>
      <c r="J900" s="23" t="s">
        <v>1669</v>
      </c>
      <c r="K900" s="4">
        <v>23</v>
      </c>
      <c r="L900" s="4" t="s">
        <v>2</v>
      </c>
      <c r="M900" s="5" t="s">
        <v>1181</v>
      </c>
      <c r="N900" s="5"/>
      <c r="O900" s="147">
        <v>0</v>
      </c>
      <c r="P900" s="15">
        <v>1</v>
      </c>
      <c r="Q900" s="148">
        <f t="shared" ref="Q900:Q928" si="28">(O900+P900)</f>
        <v>1</v>
      </c>
    </row>
    <row r="901" spans="1:17" ht="16.5" hidden="1" x14ac:dyDescent="0.35">
      <c r="A901" s="53">
        <v>900</v>
      </c>
      <c r="B901" s="18" t="s">
        <v>1640</v>
      </c>
      <c r="C901" s="18" t="s">
        <v>663</v>
      </c>
      <c r="D901" s="17" t="s">
        <v>1679</v>
      </c>
      <c r="E901" s="17" t="s">
        <v>1590</v>
      </c>
      <c r="H901" s="194"/>
      <c r="I901" s="18" t="s">
        <v>1066</v>
      </c>
      <c r="J901" s="23" t="s">
        <v>1670</v>
      </c>
      <c r="K901" s="4">
        <v>35</v>
      </c>
      <c r="L901" s="4" t="s">
        <v>2</v>
      </c>
      <c r="M901" s="5" t="s">
        <v>1181</v>
      </c>
      <c r="N901" s="5"/>
      <c r="O901" s="147">
        <v>5</v>
      </c>
      <c r="P901" s="15">
        <v>3</v>
      </c>
      <c r="Q901" s="148">
        <f t="shared" si="28"/>
        <v>8</v>
      </c>
    </row>
    <row r="902" spans="1:17" ht="16.5" hidden="1" x14ac:dyDescent="0.35">
      <c r="A902" s="53">
        <v>901</v>
      </c>
      <c r="B902" s="18" t="s">
        <v>1641</v>
      </c>
      <c r="C902" s="18" t="s">
        <v>663</v>
      </c>
      <c r="D902" s="17" t="s">
        <v>1679</v>
      </c>
      <c r="E902" s="17" t="s">
        <v>1590</v>
      </c>
      <c r="H902" s="194"/>
      <c r="I902" s="18" t="s">
        <v>1066</v>
      </c>
      <c r="J902" s="23"/>
      <c r="K902" s="4">
        <v>40</v>
      </c>
      <c r="L902" s="4" t="s">
        <v>2</v>
      </c>
      <c r="M902" s="5" t="s">
        <v>1181</v>
      </c>
      <c r="N902" s="5"/>
      <c r="O902" s="147">
        <v>4</v>
      </c>
      <c r="P902" s="15">
        <v>3</v>
      </c>
      <c r="Q902" s="148">
        <f t="shared" si="28"/>
        <v>7</v>
      </c>
    </row>
    <row r="903" spans="1:17" ht="16.5" hidden="1" x14ac:dyDescent="0.35">
      <c r="A903" s="53">
        <v>902</v>
      </c>
      <c r="B903" s="18" t="s">
        <v>1642</v>
      </c>
      <c r="C903" s="18" t="s">
        <v>663</v>
      </c>
      <c r="D903" s="17" t="s">
        <v>1679</v>
      </c>
      <c r="E903" s="17" t="s">
        <v>1590</v>
      </c>
      <c r="H903" s="194"/>
      <c r="I903" s="18" t="s">
        <v>1066</v>
      </c>
      <c r="J903" s="23"/>
      <c r="K903" s="4">
        <v>41</v>
      </c>
      <c r="L903" s="4" t="s">
        <v>2</v>
      </c>
      <c r="M903" s="3" t="s">
        <v>1181</v>
      </c>
      <c r="N903" s="5"/>
      <c r="O903" s="147">
        <v>3</v>
      </c>
      <c r="P903" s="15">
        <v>3</v>
      </c>
      <c r="Q903" s="148">
        <f t="shared" si="28"/>
        <v>6</v>
      </c>
    </row>
    <row r="904" spans="1:17" ht="16.5" hidden="1" x14ac:dyDescent="0.35">
      <c r="A904" s="53">
        <v>903</v>
      </c>
      <c r="B904" s="18" t="s">
        <v>1643</v>
      </c>
      <c r="C904" s="18" t="s">
        <v>663</v>
      </c>
      <c r="D904" s="17" t="s">
        <v>1679</v>
      </c>
      <c r="E904" s="17" t="s">
        <v>1590</v>
      </c>
      <c r="H904" s="194"/>
      <c r="I904" s="18" t="s">
        <v>1066</v>
      </c>
      <c r="J904" s="23"/>
      <c r="K904" s="4">
        <v>30</v>
      </c>
      <c r="L904" s="4" t="s">
        <v>2</v>
      </c>
      <c r="M904" s="5" t="s">
        <v>1181</v>
      </c>
      <c r="N904" s="5"/>
      <c r="O904" s="147">
        <v>1</v>
      </c>
      <c r="P904" s="15">
        <v>0</v>
      </c>
      <c r="Q904" s="148">
        <f t="shared" si="28"/>
        <v>1</v>
      </c>
    </row>
    <row r="905" spans="1:17" ht="16.5" hidden="1" x14ac:dyDescent="0.35">
      <c r="A905" s="53">
        <v>904</v>
      </c>
      <c r="B905" s="18" t="s">
        <v>1644</v>
      </c>
      <c r="C905" s="18" t="s">
        <v>663</v>
      </c>
      <c r="D905" s="17" t="s">
        <v>1679</v>
      </c>
      <c r="E905" s="17" t="s">
        <v>1590</v>
      </c>
      <c r="H905" s="194"/>
      <c r="I905" s="18" t="s">
        <v>1066</v>
      </c>
      <c r="J905" s="23" t="s">
        <v>1671</v>
      </c>
      <c r="K905" s="4">
        <v>50</v>
      </c>
      <c r="L905" s="4" t="s">
        <v>9</v>
      </c>
      <c r="M905" s="5" t="s">
        <v>1095</v>
      </c>
      <c r="N905" s="5" t="s">
        <v>1587</v>
      </c>
      <c r="O905" s="147">
        <v>5</v>
      </c>
      <c r="P905" s="15">
        <v>2</v>
      </c>
      <c r="Q905" s="148">
        <f t="shared" si="28"/>
        <v>7</v>
      </c>
    </row>
    <row r="906" spans="1:17" ht="16.5" hidden="1" x14ac:dyDescent="0.35">
      <c r="A906" s="53">
        <v>905</v>
      </c>
      <c r="B906" s="18" t="s">
        <v>1645</v>
      </c>
      <c r="C906" s="18" t="s">
        <v>663</v>
      </c>
      <c r="D906" s="17" t="s">
        <v>1679</v>
      </c>
      <c r="E906" s="17" t="s">
        <v>1590</v>
      </c>
      <c r="H906" s="194"/>
      <c r="I906" s="18" t="s">
        <v>1066</v>
      </c>
      <c r="J906" s="23" t="s">
        <v>1672</v>
      </c>
      <c r="K906" s="4">
        <v>42</v>
      </c>
      <c r="L906" s="4" t="s">
        <v>2</v>
      </c>
      <c r="M906" s="5" t="s">
        <v>1181</v>
      </c>
      <c r="N906" s="5"/>
      <c r="O906" s="147">
        <v>2</v>
      </c>
      <c r="P906" s="15">
        <v>8</v>
      </c>
      <c r="Q906" s="148">
        <f t="shared" si="28"/>
        <v>10</v>
      </c>
    </row>
    <row r="907" spans="1:17" ht="16.5" hidden="1" x14ac:dyDescent="0.35">
      <c r="A907" s="53">
        <v>906</v>
      </c>
      <c r="B907" s="18" t="s">
        <v>1646</v>
      </c>
      <c r="C907" s="18" t="s">
        <v>663</v>
      </c>
      <c r="D907" s="17" t="s">
        <v>1679</v>
      </c>
      <c r="E907" s="17" t="s">
        <v>1590</v>
      </c>
      <c r="H907" s="194"/>
      <c r="I907" s="18" t="s">
        <v>1066</v>
      </c>
      <c r="J907" s="23"/>
      <c r="K907" s="4">
        <v>30</v>
      </c>
      <c r="L907" s="4" t="s">
        <v>2</v>
      </c>
      <c r="M907" s="5" t="s">
        <v>1181</v>
      </c>
      <c r="N907" s="5"/>
      <c r="O907" s="147">
        <v>3</v>
      </c>
      <c r="P907" s="15">
        <v>3</v>
      </c>
      <c r="Q907" s="148">
        <f t="shared" si="28"/>
        <v>6</v>
      </c>
    </row>
    <row r="908" spans="1:17" ht="16.5" hidden="1" x14ac:dyDescent="0.35">
      <c r="A908" s="53">
        <v>907</v>
      </c>
      <c r="B908" s="18" t="s">
        <v>1647</v>
      </c>
      <c r="C908" s="18" t="s">
        <v>663</v>
      </c>
      <c r="D908" s="17" t="s">
        <v>1679</v>
      </c>
      <c r="E908" s="17" t="s">
        <v>1590</v>
      </c>
      <c r="H908" s="194"/>
      <c r="I908" s="18" t="s">
        <v>1066</v>
      </c>
      <c r="J908" s="23"/>
      <c r="K908" s="4">
        <v>45</v>
      </c>
      <c r="L908" s="4" t="s">
        <v>2</v>
      </c>
      <c r="M908" s="5" t="s">
        <v>1181</v>
      </c>
      <c r="N908" s="5"/>
      <c r="O908" s="147">
        <v>2</v>
      </c>
      <c r="P908" s="15">
        <v>4</v>
      </c>
      <c r="Q908" s="148">
        <f t="shared" si="28"/>
        <v>6</v>
      </c>
    </row>
    <row r="909" spans="1:17" ht="16.5" hidden="1" x14ac:dyDescent="0.35">
      <c r="A909" s="53">
        <v>908</v>
      </c>
      <c r="B909" s="18" t="s">
        <v>1648</v>
      </c>
      <c r="C909" s="18" t="s">
        <v>663</v>
      </c>
      <c r="D909" s="17" t="s">
        <v>1679</v>
      </c>
      <c r="E909" s="17" t="s">
        <v>1590</v>
      </c>
      <c r="H909" s="194"/>
      <c r="I909" s="18" t="s">
        <v>1066</v>
      </c>
      <c r="J909" s="23"/>
      <c r="K909" s="4">
        <v>37</v>
      </c>
      <c r="L909" s="4" t="s">
        <v>2</v>
      </c>
      <c r="M909" s="5" t="s">
        <v>1181</v>
      </c>
      <c r="N909" s="5"/>
      <c r="O909" s="147">
        <v>2</v>
      </c>
      <c r="P909" s="15">
        <v>1</v>
      </c>
      <c r="Q909" s="148">
        <f t="shared" si="28"/>
        <v>3</v>
      </c>
    </row>
    <row r="910" spans="1:17" ht="16.5" hidden="1" x14ac:dyDescent="0.35">
      <c r="A910" s="53">
        <v>909</v>
      </c>
      <c r="B910" s="18" t="s">
        <v>1649</v>
      </c>
      <c r="C910" s="18" t="s">
        <v>663</v>
      </c>
      <c r="D910" s="17" t="s">
        <v>1679</v>
      </c>
      <c r="E910" s="17" t="s">
        <v>1590</v>
      </c>
      <c r="H910" s="194"/>
      <c r="I910" s="18" t="s">
        <v>1066</v>
      </c>
      <c r="J910" s="23"/>
      <c r="K910" s="4">
        <v>39</v>
      </c>
      <c r="L910" s="4" t="s">
        <v>2</v>
      </c>
      <c r="M910" s="5" t="s">
        <v>1181</v>
      </c>
      <c r="N910" s="5"/>
      <c r="O910" s="147">
        <v>3</v>
      </c>
      <c r="P910" s="15">
        <v>4</v>
      </c>
      <c r="Q910" s="148">
        <f t="shared" si="28"/>
        <v>7</v>
      </c>
    </row>
    <row r="911" spans="1:17" ht="16.5" hidden="1" x14ac:dyDescent="0.35">
      <c r="A911" s="53">
        <v>910</v>
      </c>
      <c r="B911" s="18" t="s">
        <v>1650</v>
      </c>
      <c r="C911" s="18" t="s">
        <v>663</v>
      </c>
      <c r="D911" s="17" t="s">
        <v>1679</v>
      </c>
      <c r="E911" s="17" t="s">
        <v>1590</v>
      </c>
      <c r="H911" s="194"/>
      <c r="I911" s="18" t="s">
        <v>1066</v>
      </c>
      <c r="J911" s="23"/>
      <c r="K911" s="4">
        <v>27</v>
      </c>
      <c r="L911" s="4" t="s">
        <v>2</v>
      </c>
      <c r="M911" s="5" t="s">
        <v>1181</v>
      </c>
      <c r="N911" s="5"/>
      <c r="O911" s="147">
        <v>2</v>
      </c>
      <c r="P911" s="15">
        <v>1</v>
      </c>
      <c r="Q911" s="148">
        <f t="shared" si="28"/>
        <v>3</v>
      </c>
    </row>
    <row r="912" spans="1:17" ht="16.5" hidden="1" x14ac:dyDescent="0.35">
      <c r="A912" s="53">
        <v>911</v>
      </c>
      <c r="B912" s="18" t="s">
        <v>1651</v>
      </c>
      <c r="C912" s="18" t="s">
        <v>663</v>
      </c>
      <c r="D912" s="17" t="s">
        <v>1679</v>
      </c>
      <c r="E912" s="17" t="s">
        <v>1590</v>
      </c>
      <c r="H912" s="194"/>
      <c r="I912" s="18" t="s">
        <v>1066</v>
      </c>
      <c r="J912" s="23"/>
      <c r="K912" s="4">
        <v>26</v>
      </c>
      <c r="L912" s="4" t="s">
        <v>2</v>
      </c>
      <c r="M912" s="5" t="s">
        <v>1181</v>
      </c>
      <c r="N912" s="5"/>
      <c r="O912" s="147">
        <v>1</v>
      </c>
      <c r="P912" s="15">
        <v>1</v>
      </c>
      <c r="Q912" s="148">
        <f t="shared" si="28"/>
        <v>2</v>
      </c>
    </row>
    <row r="913" spans="1:17" ht="16.5" hidden="1" x14ac:dyDescent="0.35">
      <c r="A913" s="53">
        <v>912</v>
      </c>
      <c r="B913" s="18" t="s">
        <v>1652</v>
      </c>
      <c r="C913" s="18" t="s">
        <v>663</v>
      </c>
      <c r="D913" s="17" t="s">
        <v>1679</v>
      </c>
      <c r="E913" s="17" t="s">
        <v>1590</v>
      </c>
      <c r="H913" s="194"/>
      <c r="I913" s="18" t="s">
        <v>1066</v>
      </c>
      <c r="J913" s="23"/>
      <c r="K913" s="4">
        <v>31</v>
      </c>
      <c r="L913" s="4" t="s">
        <v>2</v>
      </c>
      <c r="M913" s="5" t="s">
        <v>1181</v>
      </c>
      <c r="N913" s="5"/>
      <c r="O913" s="147">
        <v>0</v>
      </c>
      <c r="P913" s="15">
        <v>2</v>
      </c>
      <c r="Q913" s="148">
        <f t="shared" si="28"/>
        <v>2</v>
      </c>
    </row>
    <row r="914" spans="1:17" ht="16.5" hidden="1" x14ac:dyDescent="0.35">
      <c r="A914" s="53">
        <v>913</v>
      </c>
      <c r="B914" s="18" t="s">
        <v>1653</v>
      </c>
      <c r="C914" s="18" t="s">
        <v>663</v>
      </c>
      <c r="D914" s="17" t="s">
        <v>1679</v>
      </c>
      <c r="E914" s="17" t="s">
        <v>1590</v>
      </c>
      <c r="H914" s="194"/>
      <c r="I914" s="18" t="s">
        <v>1066</v>
      </c>
      <c r="J914" s="23"/>
      <c r="K914" s="4">
        <v>44</v>
      </c>
      <c r="L914" s="4" t="s">
        <v>2</v>
      </c>
      <c r="M914" s="5" t="s">
        <v>1181</v>
      </c>
      <c r="N914" s="5"/>
      <c r="O914" s="147">
        <v>1</v>
      </c>
      <c r="P914" s="15">
        <v>1</v>
      </c>
      <c r="Q914" s="148">
        <f t="shared" si="28"/>
        <v>2</v>
      </c>
    </row>
    <row r="915" spans="1:17" ht="16.5" hidden="1" x14ac:dyDescent="0.35">
      <c r="A915" s="53">
        <v>914</v>
      </c>
      <c r="B915" s="18" t="s">
        <v>1654</v>
      </c>
      <c r="C915" s="18" t="s">
        <v>663</v>
      </c>
      <c r="D915" s="17" t="s">
        <v>1679</v>
      </c>
      <c r="E915" s="17" t="s">
        <v>1590</v>
      </c>
      <c r="H915" s="194"/>
      <c r="I915" s="18" t="s">
        <v>1066</v>
      </c>
      <c r="J915" s="23"/>
      <c r="K915" s="4">
        <v>33</v>
      </c>
      <c r="L915" s="4" t="s">
        <v>2</v>
      </c>
      <c r="M915" s="5" t="s">
        <v>1181</v>
      </c>
      <c r="N915" s="5"/>
      <c r="O915" s="147">
        <v>0</v>
      </c>
      <c r="P915" s="15">
        <v>1</v>
      </c>
      <c r="Q915" s="148">
        <f t="shared" si="28"/>
        <v>1</v>
      </c>
    </row>
    <row r="916" spans="1:17" ht="16.5" hidden="1" x14ac:dyDescent="0.35">
      <c r="A916" s="53">
        <v>915</v>
      </c>
      <c r="B916" s="18" t="s">
        <v>1655</v>
      </c>
      <c r="C916" s="18" t="s">
        <v>663</v>
      </c>
      <c r="D916" s="17" t="s">
        <v>1679</v>
      </c>
      <c r="E916" s="17" t="s">
        <v>1590</v>
      </c>
      <c r="H916" s="194"/>
      <c r="I916" s="18" t="s">
        <v>1066</v>
      </c>
      <c r="J916" s="23" t="s">
        <v>1673</v>
      </c>
      <c r="K916" s="4">
        <v>42</v>
      </c>
      <c r="L916" s="4" t="s">
        <v>2</v>
      </c>
      <c r="M916" s="5" t="s">
        <v>1181</v>
      </c>
      <c r="N916" s="5" t="s">
        <v>1677</v>
      </c>
      <c r="O916" s="147">
        <v>2</v>
      </c>
      <c r="P916" s="15">
        <v>1</v>
      </c>
      <c r="Q916" s="148">
        <f t="shared" si="28"/>
        <v>3</v>
      </c>
    </row>
    <row r="917" spans="1:17" ht="16.5" hidden="1" x14ac:dyDescent="0.35">
      <c r="A917" s="53">
        <v>916</v>
      </c>
      <c r="B917" s="18" t="s">
        <v>1656</v>
      </c>
      <c r="C917" s="18" t="s">
        <v>663</v>
      </c>
      <c r="D917" s="17" t="s">
        <v>1679</v>
      </c>
      <c r="E917" s="17" t="s">
        <v>1590</v>
      </c>
      <c r="H917" s="194"/>
      <c r="I917" s="18" t="s">
        <v>1066</v>
      </c>
      <c r="J917" s="23"/>
      <c r="K917" s="4">
        <v>40</v>
      </c>
      <c r="L917" s="4" t="s">
        <v>2</v>
      </c>
      <c r="M917" s="5" t="s">
        <v>1181</v>
      </c>
      <c r="N917" s="5" t="s">
        <v>1676</v>
      </c>
      <c r="O917" s="147">
        <v>1</v>
      </c>
      <c r="P917" s="15">
        <v>1</v>
      </c>
      <c r="Q917" s="148">
        <f t="shared" si="28"/>
        <v>2</v>
      </c>
    </row>
    <row r="918" spans="1:17" ht="16.5" hidden="1" x14ac:dyDescent="0.35">
      <c r="A918" s="53">
        <v>917</v>
      </c>
      <c r="B918" s="18" t="s">
        <v>1657</v>
      </c>
      <c r="C918" s="18" t="s">
        <v>663</v>
      </c>
      <c r="D918" s="17" t="s">
        <v>1679</v>
      </c>
      <c r="E918" s="17" t="s">
        <v>1590</v>
      </c>
      <c r="H918" s="194"/>
      <c r="I918" s="18" t="s">
        <v>1066</v>
      </c>
      <c r="J918" s="23"/>
      <c r="K918" s="4">
        <v>38</v>
      </c>
      <c r="L918" s="4" t="s">
        <v>2</v>
      </c>
      <c r="M918" s="5" t="s">
        <v>1181</v>
      </c>
      <c r="N918" s="5" t="s">
        <v>1587</v>
      </c>
      <c r="O918" s="147">
        <v>3</v>
      </c>
      <c r="P918" s="15">
        <v>4</v>
      </c>
      <c r="Q918" s="148">
        <f t="shared" si="28"/>
        <v>7</v>
      </c>
    </row>
    <row r="919" spans="1:17" ht="16.5" hidden="1" x14ac:dyDescent="0.35">
      <c r="A919" s="53">
        <v>918</v>
      </c>
      <c r="B919" s="18" t="s">
        <v>1658</v>
      </c>
      <c r="C919" s="18" t="s">
        <v>663</v>
      </c>
      <c r="D919" s="17" t="s">
        <v>1679</v>
      </c>
      <c r="E919" s="17" t="s">
        <v>1590</v>
      </c>
      <c r="H919" s="194"/>
      <c r="I919" s="18" t="s">
        <v>1066</v>
      </c>
      <c r="J919" s="23"/>
      <c r="K919" s="4">
        <v>37</v>
      </c>
      <c r="L919" s="4" t="s">
        <v>2</v>
      </c>
      <c r="M919" s="5" t="s">
        <v>1181</v>
      </c>
      <c r="N919" s="5" t="s">
        <v>1676</v>
      </c>
      <c r="O919" s="147">
        <v>2</v>
      </c>
      <c r="P919" s="15">
        <v>6</v>
      </c>
      <c r="Q919" s="148">
        <f t="shared" si="28"/>
        <v>8</v>
      </c>
    </row>
    <row r="920" spans="1:17" ht="16.5" hidden="1" x14ac:dyDescent="0.35">
      <c r="A920" s="53">
        <v>919</v>
      </c>
      <c r="B920" s="18" t="s">
        <v>1659</v>
      </c>
      <c r="C920" s="18" t="s">
        <v>663</v>
      </c>
      <c r="D920" s="17" t="s">
        <v>1679</v>
      </c>
      <c r="E920" s="17" t="s">
        <v>1590</v>
      </c>
      <c r="H920" s="194"/>
      <c r="I920" s="18" t="s">
        <v>1066</v>
      </c>
      <c r="J920" s="23"/>
      <c r="K920" s="4">
        <v>50</v>
      </c>
      <c r="L920" s="4" t="s">
        <v>9</v>
      </c>
      <c r="M920" s="5" t="s">
        <v>1181</v>
      </c>
      <c r="N920" s="5" t="s">
        <v>1678</v>
      </c>
      <c r="O920" s="147">
        <v>2</v>
      </c>
      <c r="P920" s="15">
        <v>6</v>
      </c>
      <c r="Q920" s="148">
        <f t="shared" si="28"/>
        <v>8</v>
      </c>
    </row>
    <row r="921" spans="1:17" ht="16.5" hidden="1" x14ac:dyDescent="0.35">
      <c r="A921" s="53">
        <v>920</v>
      </c>
      <c r="B921" s="18" t="s">
        <v>1660</v>
      </c>
      <c r="C921" s="18" t="s">
        <v>663</v>
      </c>
      <c r="D921" s="17" t="s">
        <v>1679</v>
      </c>
      <c r="E921" s="17" t="s">
        <v>1590</v>
      </c>
      <c r="H921" s="194"/>
      <c r="I921" s="18" t="s">
        <v>1066</v>
      </c>
      <c r="J921" s="23"/>
      <c r="K921" s="4">
        <v>60</v>
      </c>
      <c r="L921" s="4" t="s">
        <v>2</v>
      </c>
      <c r="M921" s="5" t="s">
        <v>1181</v>
      </c>
      <c r="N921" s="5"/>
      <c r="O921" s="147">
        <v>5</v>
      </c>
      <c r="P921" s="15">
        <v>1</v>
      </c>
      <c r="Q921" s="148">
        <f t="shared" si="28"/>
        <v>6</v>
      </c>
    </row>
    <row r="922" spans="1:17" ht="16.5" hidden="1" x14ac:dyDescent="0.35">
      <c r="A922" s="53">
        <v>921</v>
      </c>
      <c r="B922" s="18" t="s">
        <v>1661</v>
      </c>
      <c r="C922" s="18" t="s">
        <v>663</v>
      </c>
      <c r="D922" s="17" t="s">
        <v>1679</v>
      </c>
      <c r="E922" s="17" t="s">
        <v>1590</v>
      </c>
      <c r="H922" s="194"/>
      <c r="I922" s="18" t="s">
        <v>1066</v>
      </c>
      <c r="J922" s="23"/>
      <c r="K922" s="4">
        <v>64</v>
      </c>
      <c r="L922" s="4" t="s">
        <v>2</v>
      </c>
      <c r="M922" s="5" t="s">
        <v>1181</v>
      </c>
      <c r="N922" s="5"/>
      <c r="O922" s="147">
        <v>4</v>
      </c>
      <c r="P922" s="15">
        <v>5</v>
      </c>
      <c r="Q922" s="148">
        <f t="shared" si="28"/>
        <v>9</v>
      </c>
    </row>
    <row r="923" spans="1:17" ht="16.5" hidden="1" x14ac:dyDescent="0.35">
      <c r="A923" s="53">
        <v>922</v>
      </c>
      <c r="B923" s="18" t="s">
        <v>1662</v>
      </c>
      <c r="C923" s="18" t="s">
        <v>663</v>
      </c>
      <c r="D923" s="17" t="s">
        <v>1679</v>
      </c>
      <c r="E923" s="17" t="s">
        <v>1590</v>
      </c>
      <c r="H923" s="194"/>
      <c r="I923" s="18" t="s">
        <v>1066</v>
      </c>
      <c r="J923" s="23"/>
      <c r="K923" s="4">
        <v>48</v>
      </c>
      <c r="L923" s="4" t="s">
        <v>2</v>
      </c>
      <c r="M923" s="5" t="s">
        <v>1181</v>
      </c>
      <c r="N923" s="5"/>
      <c r="O923" s="147">
        <v>0</v>
      </c>
      <c r="P923" s="15">
        <v>2</v>
      </c>
      <c r="Q923" s="148">
        <f t="shared" si="28"/>
        <v>2</v>
      </c>
    </row>
    <row r="924" spans="1:17" ht="16.5" hidden="1" x14ac:dyDescent="0.35">
      <c r="A924" s="53">
        <v>923</v>
      </c>
      <c r="B924" s="18" t="s">
        <v>1663</v>
      </c>
      <c r="C924" s="18" t="s">
        <v>663</v>
      </c>
      <c r="D924" s="17" t="s">
        <v>1679</v>
      </c>
      <c r="E924" s="17" t="s">
        <v>1590</v>
      </c>
      <c r="H924" s="194"/>
      <c r="I924" s="18" t="s">
        <v>1066</v>
      </c>
      <c r="J924" s="23"/>
      <c r="K924" s="4">
        <v>25</v>
      </c>
      <c r="L924" s="4" t="s">
        <v>2</v>
      </c>
      <c r="M924" s="5" t="s">
        <v>1181</v>
      </c>
      <c r="N924" s="5"/>
      <c r="O924" s="147">
        <v>3</v>
      </c>
      <c r="P924" s="15">
        <v>1</v>
      </c>
      <c r="Q924" s="148">
        <f t="shared" si="28"/>
        <v>4</v>
      </c>
    </row>
    <row r="925" spans="1:17" ht="16.5" hidden="1" x14ac:dyDescent="0.5">
      <c r="A925" s="53">
        <v>924</v>
      </c>
      <c r="B925" s="18" t="s">
        <v>1664</v>
      </c>
      <c r="C925" s="18" t="s">
        <v>663</v>
      </c>
      <c r="D925" s="17" t="s">
        <v>1679</v>
      </c>
      <c r="E925" s="17" t="s">
        <v>1590</v>
      </c>
      <c r="H925" s="194"/>
      <c r="I925" s="18" t="s">
        <v>1066</v>
      </c>
      <c r="J925" s="23" t="s">
        <v>1674</v>
      </c>
      <c r="K925" s="6">
        <v>30</v>
      </c>
      <c r="L925" s="4" t="s">
        <v>2</v>
      </c>
      <c r="M925" s="6" t="s">
        <v>1181</v>
      </c>
      <c r="N925" s="6" t="s">
        <v>1587</v>
      </c>
      <c r="O925" s="149">
        <v>3</v>
      </c>
      <c r="P925" s="149">
        <v>0</v>
      </c>
      <c r="Q925" s="148">
        <f t="shared" si="28"/>
        <v>3</v>
      </c>
    </row>
    <row r="926" spans="1:17" ht="16.5" hidden="1" x14ac:dyDescent="0.35">
      <c r="A926" s="53">
        <v>925</v>
      </c>
      <c r="B926" s="18" t="s">
        <v>1665</v>
      </c>
      <c r="C926" s="18" t="s">
        <v>663</v>
      </c>
      <c r="D926" s="17" t="s">
        <v>1679</v>
      </c>
      <c r="E926" s="17" t="s">
        <v>1590</v>
      </c>
      <c r="H926" s="194"/>
      <c r="I926" s="18" t="s">
        <v>1066</v>
      </c>
      <c r="J926" s="24" t="s">
        <v>1675</v>
      </c>
      <c r="K926" s="8">
        <v>29</v>
      </c>
      <c r="L926" s="4" t="s">
        <v>2</v>
      </c>
      <c r="M926" s="8" t="s">
        <v>1181</v>
      </c>
      <c r="N926" s="8" t="s">
        <v>1587</v>
      </c>
      <c r="O926" s="151">
        <v>2</v>
      </c>
      <c r="P926" s="151">
        <v>1</v>
      </c>
      <c r="Q926" s="148">
        <f t="shared" si="28"/>
        <v>3</v>
      </c>
    </row>
    <row r="927" spans="1:17" ht="16.5" hidden="1" x14ac:dyDescent="0.35">
      <c r="A927" s="53">
        <v>926</v>
      </c>
      <c r="B927" s="351" t="s">
        <v>1666</v>
      </c>
      <c r="C927" s="18" t="s">
        <v>663</v>
      </c>
      <c r="D927" s="17" t="s">
        <v>1679</v>
      </c>
      <c r="E927" s="17" t="s">
        <v>1590</v>
      </c>
      <c r="H927" s="194"/>
      <c r="I927" s="18" t="s">
        <v>1066</v>
      </c>
      <c r="J927" s="25"/>
      <c r="K927" s="11">
        <v>27</v>
      </c>
      <c r="L927" s="178" t="s">
        <v>2</v>
      </c>
      <c r="M927" s="11" t="s">
        <v>1181</v>
      </c>
      <c r="N927" s="11"/>
      <c r="O927" s="143">
        <v>0</v>
      </c>
      <c r="P927" s="143">
        <v>1</v>
      </c>
      <c r="Q927" s="148">
        <f t="shared" si="28"/>
        <v>1</v>
      </c>
    </row>
    <row r="928" spans="1:17" ht="17" hidden="1" thickBot="1" x14ac:dyDescent="0.55000000000000004">
      <c r="A928" s="53">
        <v>927</v>
      </c>
      <c r="B928" s="351" t="s">
        <v>1667</v>
      </c>
      <c r="C928" s="18" t="s">
        <v>663</v>
      </c>
      <c r="D928" s="17" t="s">
        <v>1679</v>
      </c>
      <c r="E928" s="17" t="s">
        <v>1590</v>
      </c>
      <c r="H928" s="194"/>
      <c r="I928" s="18" t="s">
        <v>1066</v>
      </c>
      <c r="J928" s="193"/>
      <c r="K928" s="14">
        <v>42</v>
      </c>
      <c r="L928" s="181" t="s">
        <v>2</v>
      </c>
      <c r="M928" s="14" t="s">
        <v>1181</v>
      </c>
      <c r="N928" s="14"/>
      <c r="O928" s="141">
        <v>3</v>
      </c>
      <c r="P928" s="141">
        <v>2</v>
      </c>
      <c r="Q928" s="148">
        <f t="shared" si="28"/>
        <v>5</v>
      </c>
    </row>
    <row r="929" spans="1:17" ht="16.5" hidden="1" x14ac:dyDescent="0.35">
      <c r="A929" s="53">
        <v>928</v>
      </c>
      <c r="B929" s="18" t="s">
        <v>1680</v>
      </c>
      <c r="C929" s="18" t="s">
        <v>663</v>
      </c>
      <c r="D929" s="17" t="s">
        <v>1306</v>
      </c>
      <c r="E929" s="17" t="s">
        <v>1738</v>
      </c>
      <c r="H929" s="25"/>
      <c r="I929" s="18" t="s">
        <v>1066</v>
      </c>
      <c r="J929" s="23" t="s">
        <v>1708</v>
      </c>
      <c r="K929" s="4">
        <v>35</v>
      </c>
      <c r="L929" s="4" t="s">
        <v>2</v>
      </c>
      <c r="M929" s="5" t="s">
        <v>1181</v>
      </c>
      <c r="N929" s="5" t="s">
        <v>1182</v>
      </c>
      <c r="O929" s="147">
        <v>3</v>
      </c>
      <c r="P929" s="15">
        <v>5</v>
      </c>
      <c r="Q929" s="148">
        <f>(O929+P929)</f>
        <v>8</v>
      </c>
    </row>
    <row r="930" spans="1:17" ht="16.5" hidden="1" x14ac:dyDescent="0.35">
      <c r="A930" s="53">
        <v>929</v>
      </c>
      <c r="B930" s="18" t="s">
        <v>1681</v>
      </c>
      <c r="C930" s="18" t="s">
        <v>663</v>
      </c>
      <c r="D930" s="17" t="s">
        <v>1306</v>
      </c>
      <c r="E930" s="17" t="s">
        <v>1738</v>
      </c>
      <c r="H930" s="194"/>
      <c r="I930" s="18" t="s">
        <v>1066</v>
      </c>
      <c r="J930" s="23" t="s">
        <v>1709</v>
      </c>
      <c r="K930" s="4">
        <v>40</v>
      </c>
      <c r="L930" s="4" t="s">
        <v>2</v>
      </c>
      <c r="M930" s="5" t="s">
        <v>1181</v>
      </c>
      <c r="N930" s="5" t="s">
        <v>1182</v>
      </c>
      <c r="O930" s="147">
        <v>2</v>
      </c>
      <c r="P930" s="15">
        <v>3</v>
      </c>
      <c r="Q930" s="148">
        <f t="shared" ref="Q930:Q958" si="29">(O930+P930)</f>
        <v>5</v>
      </c>
    </row>
    <row r="931" spans="1:17" ht="16.5" hidden="1" x14ac:dyDescent="0.35">
      <c r="A931" s="53">
        <v>930</v>
      </c>
      <c r="B931" s="18" t="s">
        <v>1682</v>
      </c>
      <c r="C931" s="18" t="s">
        <v>663</v>
      </c>
      <c r="D931" s="17" t="s">
        <v>1306</v>
      </c>
      <c r="E931" s="17" t="s">
        <v>1738</v>
      </c>
      <c r="H931" s="194"/>
      <c r="I931" s="18" t="s">
        <v>1066</v>
      </c>
      <c r="J931" s="23" t="s">
        <v>1710</v>
      </c>
      <c r="K931" s="4">
        <v>22</v>
      </c>
      <c r="L931" s="4" t="s">
        <v>2</v>
      </c>
      <c r="M931" s="5" t="s">
        <v>1181</v>
      </c>
      <c r="N931" s="5" t="s">
        <v>1182</v>
      </c>
      <c r="O931" s="147">
        <v>2</v>
      </c>
      <c r="P931" s="15">
        <v>2</v>
      </c>
      <c r="Q931" s="148">
        <f t="shared" si="29"/>
        <v>4</v>
      </c>
    </row>
    <row r="932" spans="1:17" ht="16.5" hidden="1" x14ac:dyDescent="0.35">
      <c r="A932" s="53">
        <v>931</v>
      </c>
      <c r="B932" s="18" t="s">
        <v>1683</v>
      </c>
      <c r="C932" s="18" t="s">
        <v>663</v>
      </c>
      <c r="D932" s="17" t="s">
        <v>1306</v>
      </c>
      <c r="E932" s="17" t="s">
        <v>1738</v>
      </c>
      <c r="H932" s="194"/>
      <c r="I932" s="18" t="s">
        <v>1066</v>
      </c>
      <c r="J932" s="23" t="s">
        <v>1711</v>
      </c>
      <c r="K932" s="4">
        <v>40</v>
      </c>
      <c r="L932" s="4" t="s">
        <v>2</v>
      </c>
      <c r="M932" s="5" t="s">
        <v>1181</v>
      </c>
      <c r="N932" s="5" t="s">
        <v>1182</v>
      </c>
      <c r="O932" s="147">
        <v>2</v>
      </c>
      <c r="P932" s="15">
        <v>1</v>
      </c>
      <c r="Q932" s="148">
        <f t="shared" si="29"/>
        <v>3</v>
      </c>
    </row>
    <row r="933" spans="1:17" ht="16.5" hidden="1" x14ac:dyDescent="0.35">
      <c r="A933" s="53">
        <v>932</v>
      </c>
      <c r="B933" s="18" t="s">
        <v>1684</v>
      </c>
      <c r="C933" s="18" t="s">
        <v>663</v>
      </c>
      <c r="D933" s="17" t="s">
        <v>1306</v>
      </c>
      <c r="E933" s="17" t="s">
        <v>1738</v>
      </c>
      <c r="H933" s="194"/>
      <c r="I933" s="18" t="s">
        <v>1066</v>
      </c>
      <c r="J933" s="23" t="s">
        <v>1712</v>
      </c>
      <c r="K933" s="4">
        <v>55</v>
      </c>
      <c r="L933" s="4" t="s">
        <v>2</v>
      </c>
      <c r="M933" s="3" t="s">
        <v>1181</v>
      </c>
      <c r="N933" s="5" t="s">
        <v>1182</v>
      </c>
      <c r="O933" s="147">
        <v>2</v>
      </c>
      <c r="P933" s="15">
        <v>2</v>
      </c>
      <c r="Q933" s="148">
        <f t="shared" si="29"/>
        <v>4</v>
      </c>
    </row>
    <row r="934" spans="1:17" ht="16.5" hidden="1" x14ac:dyDescent="0.35">
      <c r="A934" s="53">
        <v>933</v>
      </c>
      <c r="B934" s="18" t="s">
        <v>1685</v>
      </c>
      <c r="C934" s="18" t="s">
        <v>663</v>
      </c>
      <c r="D934" s="17" t="s">
        <v>1306</v>
      </c>
      <c r="E934" s="17" t="s">
        <v>1738</v>
      </c>
      <c r="H934" s="194"/>
      <c r="I934" s="18" t="s">
        <v>1066</v>
      </c>
      <c r="J934" s="23" t="s">
        <v>1713</v>
      </c>
      <c r="K934" s="4">
        <v>30</v>
      </c>
      <c r="L934" s="4" t="s">
        <v>2</v>
      </c>
      <c r="M934" s="5" t="s">
        <v>1181</v>
      </c>
      <c r="N934" s="5" t="s">
        <v>1182</v>
      </c>
      <c r="O934" s="147">
        <v>2</v>
      </c>
      <c r="P934" s="15">
        <v>5</v>
      </c>
      <c r="Q934" s="148">
        <f t="shared" si="29"/>
        <v>7</v>
      </c>
    </row>
    <row r="935" spans="1:17" ht="16.5" hidden="1" x14ac:dyDescent="0.35">
      <c r="A935" s="53">
        <v>934</v>
      </c>
      <c r="B935" s="18" t="s">
        <v>1686</v>
      </c>
      <c r="C935" s="18" t="s">
        <v>663</v>
      </c>
      <c r="D935" s="17" t="s">
        <v>1306</v>
      </c>
      <c r="E935" s="17" t="s">
        <v>1738</v>
      </c>
      <c r="H935" s="194"/>
      <c r="I935" s="18" t="s">
        <v>1066</v>
      </c>
      <c r="J935" s="23" t="s">
        <v>1714</v>
      </c>
      <c r="K935" s="4">
        <v>20</v>
      </c>
      <c r="L935" s="4" t="s">
        <v>2</v>
      </c>
      <c r="M935" s="5" t="s">
        <v>1181</v>
      </c>
      <c r="N935" s="5" t="s">
        <v>1182</v>
      </c>
      <c r="O935" s="147">
        <v>0</v>
      </c>
      <c r="P935" s="15">
        <v>1</v>
      </c>
      <c r="Q935" s="148">
        <f t="shared" si="29"/>
        <v>1</v>
      </c>
    </row>
    <row r="936" spans="1:17" ht="16.5" hidden="1" x14ac:dyDescent="0.35">
      <c r="A936" s="53">
        <v>935</v>
      </c>
      <c r="B936" s="18" t="s">
        <v>1687</v>
      </c>
      <c r="C936" s="18" t="s">
        <v>663</v>
      </c>
      <c r="D936" s="17" t="s">
        <v>1306</v>
      </c>
      <c r="E936" s="17" t="s">
        <v>1738</v>
      </c>
      <c r="H936" s="194"/>
      <c r="I936" s="18" t="s">
        <v>1066</v>
      </c>
      <c r="J936" s="23" t="s">
        <v>1715</v>
      </c>
      <c r="K936" s="4">
        <v>32</v>
      </c>
      <c r="L936" s="4" t="s">
        <v>2</v>
      </c>
      <c r="M936" s="5" t="s">
        <v>1181</v>
      </c>
      <c r="N936" s="5" t="s">
        <v>1182</v>
      </c>
      <c r="O936" s="147">
        <v>0</v>
      </c>
      <c r="P936" s="15">
        <v>1</v>
      </c>
      <c r="Q936" s="148">
        <f t="shared" si="29"/>
        <v>1</v>
      </c>
    </row>
    <row r="937" spans="1:17" ht="16.5" hidden="1" x14ac:dyDescent="0.35">
      <c r="A937" s="53">
        <v>936</v>
      </c>
      <c r="B937" s="18" t="s">
        <v>1688</v>
      </c>
      <c r="C937" s="18" t="s">
        <v>663</v>
      </c>
      <c r="D937" s="17" t="s">
        <v>1306</v>
      </c>
      <c r="E937" s="17" t="s">
        <v>1738</v>
      </c>
      <c r="H937" s="194"/>
      <c r="I937" s="18" t="s">
        <v>1066</v>
      </c>
      <c r="J937" s="23" t="s">
        <v>1716</v>
      </c>
      <c r="K937" s="4">
        <v>50</v>
      </c>
      <c r="L937" s="4" t="s">
        <v>2</v>
      </c>
      <c r="M937" s="5" t="s">
        <v>1181</v>
      </c>
      <c r="N937" s="5" t="s">
        <v>1182</v>
      </c>
      <c r="O937" s="147">
        <v>3</v>
      </c>
      <c r="P937" s="15">
        <v>4</v>
      </c>
      <c r="Q937" s="148">
        <f t="shared" si="29"/>
        <v>7</v>
      </c>
    </row>
    <row r="938" spans="1:17" ht="16.5" hidden="1" x14ac:dyDescent="0.35">
      <c r="A938" s="53">
        <v>937</v>
      </c>
      <c r="B938" s="18" t="s">
        <v>1689</v>
      </c>
      <c r="C938" s="18" t="s">
        <v>663</v>
      </c>
      <c r="D938" s="17" t="s">
        <v>1306</v>
      </c>
      <c r="E938" s="17" t="s">
        <v>1738</v>
      </c>
      <c r="H938" s="194"/>
      <c r="I938" s="18" t="s">
        <v>1066</v>
      </c>
      <c r="J938" s="23" t="s">
        <v>1717</v>
      </c>
      <c r="K938" s="4"/>
      <c r="L938" s="4" t="s">
        <v>2</v>
      </c>
      <c r="M938" s="5" t="s">
        <v>1181</v>
      </c>
      <c r="N938" s="5" t="s">
        <v>1182</v>
      </c>
      <c r="O938" s="147">
        <v>1</v>
      </c>
      <c r="P938" s="15">
        <v>0</v>
      </c>
      <c r="Q938" s="148">
        <f t="shared" si="29"/>
        <v>1</v>
      </c>
    </row>
    <row r="939" spans="1:17" ht="16.5" hidden="1" x14ac:dyDescent="0.35">
      <c r="A939" s="53">
        <v>938</v>
      </c>
      <c r="B939" s="18" t="s">
        <v>1690</v>
      </c>
      <c r="C939" s="18" t="s">
        <v>663</v>
      </c>
      <c r="D939" s="17" t="s">
        <v>1306</v>
      </c>
      <c r="E939" s="17" t="s">
        <v>1738</v>
      </c>
      <c r="H939" s="194"/>
      <c r="I939" s="18" t="s">
        <v>1066</v>
      </c>
      <c r="J939" s="23" t="s">
        <v>1718</v>
      </c>
      <c r="K939" s="4">
        <v>30</v>
      </c>
      <c r="L939" s="4" t="s">
        <v>2</v>
      </c>
      <c r="M939" s="5" t="s">
        <v>1181</v>
      </c>
      <c r="N939" s="5" t="s">
        <v>1182</v>
      </c>
      <c r="O939" s="147">
        <v>4</v>
      </c>
      <c r="P939" s="15">
        <v>1</v>
      </c>
      <c r="Q939" s="148">
        <f t="shared" si="29"/>
        <v>5</v>
      </c>
    </row>
    <row r="940" spans="1:17" ht="16.5" hidden="1" x14ac:dyDescent="0.35">
      <c r="A940" s="53">
        <v>939</v>
      </c>
      <c r="B940" s="18" t="s">
        <v>1691</v>
      </c>
      <c r="C940" s="18" t="s">
        <v>663</v>
      </c>
      <c r="D940" s="17" t="s">
        <v>1306</v>
      </c>
      <c r="E940" s="17" t="s">
        <v>1738</v>
      </c>
      <c r="H940" s="194"/>
      <c r="I940" s="18" t="s">
        <v>1066</v>
      </c>
      <c r="J940" s="23" t="s">
        <v>1719</v>
      </c>
      <c r="K940" s="4">
        <v>30</v>
      </c>
      <c r="L940" s="4" t="s">
        <v>2</v>
      </c>
      <c r="M940" s="5" t="s">
        <v>1181</v>
      </c>
      <c r="N940" s="5" t="s">
        <v>1182</v>
      </c>
      <c r="O940" s="147">
        <v>5</v>
      </c>
      <c r="P940" s="15">
        <v>2</v>
      </c>
      <c r="Q940" s="148">
        <f t="shared" si="29"/>
        <v>7</v>
      </c>
    </row>
    <row r="941" spans="1:17" ht="16.5" hidden="1" x14ac:dyDescent="0.35">
      <c r="A941" s="53">
        <v>940</v>
      </c>
      <c r="B941" s="18" t="s">
        <v>1692</v>
      </c>
      <c r="C941" s="18" t="s">
        <v>663</v>
      </c>
      <c r="D941" s="17" t="s">
        <v>1306</v>
      </c>
      <c r="E941" s="17" t="s">
        <v>1738</v>
      </c>
      <c r="H941" s="194"/>
      <c r="I941" s="18" t="s">
        <v>1066</v>
      </c>
      <c r="J941" s="23" t="s">
        <v>1720</v>
      </c>
      <c r="K941" s="4">
        <v>25</v>
      </c>
      <c r="L941" s="4" t="s">
        <v>2</v>
      </c>
      <c r="M941" s="5" t="s">
        <v>1181</v>
      </c>
      <c r="N941" s="5" t="s">
        <v>1182</v>
      </c>
      <c r="O941" s="147">
        <v>4</v>
      </c>
      <c r="P941" s="15">
        <v>1</v>
      </c>
      <c r="Q941" s="148">
        <f t="shared" si="29"/>
        <v>5</v>
      </c>
    </row>
    <row r="942" spans="1:17" ht="16.5" hidden="1" x14ac:dyDescent="0.35">
      <c r="A942" s="53">
        <v>941</v>
      </c>
      <c r="B942" s="18" t="s">
        <v>1693</v>
      </c>
      <c r="C942" s="18" t="s">
        <v>663</v>
      </c>
      <c r="D942" s="17" t="s">
        <v>1306</v>
      </c>
      <c r="E942" s="17" t="s">
        <v>1738</v>
      </c>
      <c r="H942" s="194"/>
      <c r="I942" s="18" t="s">
        <v>1066</v>
      </c>
      <c r="J942" s="23" t="s">
        <v>1721</v>
      </c>
      <c r="K942" s="4">
        <v>24</v>
      </c>
      <c r="L942" s="4" t="s">
        <v>2</v>
      </c>
      <c r="M942" s="5" t="s">
        <v>1181</v>
      </c>
      <c r="N942" s="5" t="s">
        <v>1182</v>
      </c>
      <c r="O942" s="147">
        <v>1</v>
      </c>
      <c r="P942" s="15">
        <v>1</v>
      </c>
      <c r="Q942" s="148">
        <f t="shared" si="29"/>
        <v>2</v>
      </c>
    </row>
    <row r="943" spans="1:17" ht="16.5" hidden="1" x14ac:dyDescent="0.35">
      <c r="A943" s="53">
        <v>942</v>
      </c>
      <c r="B943" s="18" t="s">
        <v>1694</v>
      </c>
      <c r="C943" s="18" t="s">
        <v>663</v>
      </c>
      <c r="D943" s="17" t="s">
        <v>1306</v>
      </c>
      <c r="E943" s="17" t="s">
        <v>1738</v>
      </c>
      <c r="H943" s="194"/>
      <c r="I943" s="18" t="s">
        <v>1066</v>
      </c>
      <c r="J943" s="23" t="s">
        <v>1722</v>
      </c>
      <c r="K943" s="4">
        <v>24</v>
      </c>
      <c r="L943" s="4" t="s">
        <v>2</v>
      </c>
      <c r="M943" s="5" t="s">
        <v>1181</v>
      </c>
      <c r="N943" s="5" t="s">
        <v>1182</v>
      </c>
      <c r="O943" s="147">
        <v>4</v>
      </c>
      <c r="P943" s="15">
        <v>0</v>
      </c>
      <c r="Q943" s="148">
        <f t="shared" si="29"/>
        <v>4</v>
      </c>
    </row>
    <row r="944" spans="1:17" ht="16.5" hidden="1" x14ac:dyDescent="0.35">
      <c r="A944" s="53">
        <v>943</v>
      </c>
      <c r="B944" s="18" t="s">
        <v>1695</v>
      </c>
      <c r="C944" s="18" t="s">
        <v>663</v>
      </c>
      <c r="D944" s="17" t="s">
        <v>1306</v>
      </c>
      <c r="E944" s="17" t="s">
        <v>1738</v>
      </c>
      <c r="H944" s="194"/>
      <c r="I944" s="18" t="s">
        <v>1066</v>
      </c>
      <c r="J944" s="23" t="s">
        <v>1723</v>
      </c>
      <c r="K944" s="4">
        <v>39</v>
      </c>
      <c r="L944" s="4" t="s">
        <v>2</v>
      </c>
      <c r="M944" s="5" t="s">
        <v>1181</v>
      </c>
      <c r="N944" s="5" t="s">
        <v>1182</v>
      </c>
      <c r="O944" s="147">
        <v>3</v>
      </c>
      <c r="P944" s="15">
        <v>4</v>
      </c>
      <c r="Q944" s="148">
        <f t="shared" si="29"/>
        <v>7</v>
      </c>
    </row>
    <row r="945" spans="1:17" ht="16.5" hidden="1" x14ac:dyDescent="0.35">
      <c r="A945" s="53">
        <v>944</v>
      </c>
      <c r="B945" s="18" t="s">
        <v>1696</v>
      </c>
      <c r="C945" s="18" t="s">
        <v>663</v>
      </c>
      <c r="D945" s="17" t="s">
        <v>1306</v>
      </c>
      <c r="E945" s="17" t="s">
        <v>1738</v>
      </c>
      <c r="H945" s="194"/>
      <c r="I945" s="18" t="s">
        <v>1066</v>
      </c>
      <c r="J945" s="23" t="s">
        <v>1724</v>
      </c>
      <c r="K945" s="4">
        <v>30</v>
      </c>
      <c r="L945" s="4" t="s">
        <v>2</v>
      </c>
      <c r="M945" s="5" t="s">
        <v>1181</v>
      </c>
      <c r="N945" s="5" t="s">
        <v>1182</v>
      </c>
      <c r="O945" s="147">
        <v>6</v>
      </c>
      <c r="P945" s="15">
        <v>3</v>
      </c>
      <c r="Q945" s="148">
        <f t="shared" si="29"/>
        <v>9</v>
      </c>
    </row>
    <row r="946" spans="1:17" ht="16.5" hidden="1" x14ac:dyDescent="0.35">
      <c r="A946" s="53">
        <v>945</v>
      </c>
      <c r="B946" s="18" t="s">
        <v>1697</v>
      </c>
      <c r="C946" s="18" t="s">
        <v>663</v>
      </c>
      <c r="D946" s="17" t="s">
        <v>1306</v>
      </c>
      <c r="E946" s="17" t="s">
        <v>1738</v>
      </c>
      <c r="H946" s="194"/>
      <c r="I946" s="18" t="s">
        <v>1066</v>
      </c>
      <c r="J946" s="23" t="s">
        <v>1725</v>
      </c>
      <c r="K946" s="4">
        <v>25</v>
      </c>
      <c r="L946" s="4" t="s">
        <v>2</v>
      </c>
      <c r="M946" s="5" t="s">
        <v>1181</v>
      </c>
      <c r="N946" s="5" t="s">
        <v>1182</v>
      </c>
      <c r="O946" s="147">
        <v>0</v>
      </c>
      <c r="P946" s="15">
        <v>0</v>
      </c>
      <c r="Q946" s="148">
        <f t="shared" si="29"/>
        <v>0</v>
      </c>
    </row>
    <row r="947" spans="1:17" ht="16.5" hidden="1" x14ac:dyDescent="0.35">
      <c r="A947" s="53">
        <v>946</v>
      </c>
      <c r="B947" s="18" t="s">
        <v>1698</v>
      </c>
      <c r="C947" s="18" t="s">
        <v>663</v>
      </c>
      <c r="D947" s="17" t="s">
        <v>1306</v>
      </c>
      <c r="E947" s="17" t="s">
        <v>1738</v>
      </c>
      <c r="H947" s="194"/>
      <c r="I947" s="18" t="s">
        <v>1066</v>
      </c>
      <c r="J947" s="23" t="s">
        <v>1726</v>
      </c>
      <c r="K947" s="4">
        <v>20</v>
      </c>
      <c r="L947" s="4" t="s">
        <v>2</v>
      </c>
      <c r="M947" s="5" t="s">
        <v>1181</v>
      </c>
      <c r="N947" s="5" t="s">
        <v>1182</v>
      </c>
      <c r="O947" s="147">
        <v>0</v>
      </c>
      <c r="P947" s="15">
        <v>0</v>
      </c>
      <c r="Q947" s="148">
        <f t="shared" si="29"/>
        <v>0</v>
      </c>
    </row>
    <row r="948" spans="1:17" ht="16.5" hidden="1" x14ac:dyDescent="0.35">
      <c r="A948" s="53">
        <v>947</v>
      </c>
      <c r="B948" s="18" t="s">
        <v>1642</v>
      </c>
      <c r="C948" s="18" t="s">
        <v>663</v>
      </c>
      <c r="D948" s="17" t="s">
        <v>1306</v>
      </c>
      <c r="E948" s="17" t="s">
        <v>1738</v>
      </c>
      <c r="H948" s="194"/>
      <c r="I948" s="18" t="s">
        <v>1066</v>
      </c>
      <c r="J948" s="23" t="s">
        <v>1727</v>
      </c>
      <c r="K948" s="4">
        <v>30</v>
      </c>
      <c r="L948" s="4" t="s">
        <v>2</v>
      </c>
      <c r="M948" s="5" t="s">
        <v>1181</v>
      </c>
      <c r="N948" s="5" t="s">
        <v>1182</v>
      </c>
      <c r="O948" s="147">
        <v>3</v>
      </c>
      <c r="P948" s="15">
        <v>3</v>
      </c>
      <c r="Q948" s="148">
        <f t="shared" si="29"/>
        <v>6</v>
      </c>
    </row>
    <row r="949" spans="1:17" ht="16.5" hidden="1" x14ac:dyDescent="0.35">
      <c r="A949" s="53">
        <v>948</v>
      </c>
      <c r="B949" s="18" t="s">
        <v>1688</v>
      </c>
      <c r="C949" s="18" t="s">
        <v>663</v>
      </c>
      <c r="D949" s="17" t="s">
        <v>1306</v>
      </c>
      <c r="E949" s="17" t="s">
        <v>1738</v>
      </c>
      <c r="H949" s="194"/>
      <c r="I949" s="18" t="s">
        <v>1066</v>
      </c>
      <c r="J949" s="23" t="s">
        <v>1728</v>
      </c>
      <c r="K949" s="4">
        <v>26</v>
      </c>
      <c r="L949" s="4" t="s">
        <v>2</v>
      </c>
      <c r="M949" s="5" t="s">
        <v>1181</v>
      </c>
      <c r="N949" s="5" t="s">
        <v>1182</v>
      </c>
      <c r="O949" s="147">
        <v>0</v>
      </c>
      <c r="P949" s="15">
        <v>3</v>
      </c>
      <c r="Q949" s="148">
        <f t="shared" si="29"/>
        <v>3</v>
      </c>
    </row>
    <row r="950" spans="1:17" ht="16.5" hidden="1" x14ac:dyDescent="0.35">
      <c r="A950" s="53">
        <v>949</v>
      </c>
      <c r="B950" s="18" t="s">
        <v>1699</v>
      </c>
      <c r="C950" s="18" t="s">
        <v>663</v>
      </c>
      <c r="D950" s="17" t="s">
        <v>1306</v>
      </c>
      <c r="E950" s="17" t="s">
        <v>1738</v>
      </c>
      <c r="H950" s="194"/>
      <c r="I950" s="18" t="s">
        <v>1066</v>
      </c>
      <c r="J950" s="23" t="s">
        <v>1729</v>
      </c>
      <c r="K950" s="4">
        <v>52</v>
      </c>
      <c r="L950" s="4" t="s">
        <v>2</v>
      </c>
      <c r="M950" s="5" t="s">
        <v>1181</v>
      </c>
      <c r="N950" s="5" t="s">
        <v>1182</v>
      </c>
      <c r="O950" s="147">
        <v>2</v>
      </c>
      <c r="P950" s="15">
        <v>3</v>
      </c>
      <c r="Q950" s="148">
        <f t="shared" si="29"/>
        <v>5</v>
      </c>
    </row>
    <row r="951" spans="1:17" ht="16.5" hidden="1" x14ac:dyDescent="0.35">
      <c r="A951" s="53">
        <v>950</v>
      </c>
      <c r="B951" s="18" t="s">
        <v>1700</v>
      </c>
      <c r="C951" s="18" t="s">
        <v>663</v>
      </c>
      <c r="D951" s="17" t="s">
        <v>1306</v>
      </c>
      <c r="E951" s="17" t="s">
        <v>1738</v>
      </c>
      <c r="H951" s="194"/>
      <c r="I951" s="18" t="s">
        <v>1066</v>
      </c>
      <c r="J951" s="23" t="s">
        <v>1730</v>
      </c>
      <c r="K951" s="4">
        <v>30</v>
      </c>
      <c r="L951" s="4" t="s">
        <v>2</v>
      </c>
      <c r="M951" s="5" t="s">
        <v>1181</v>
      </c>
      <c r="N951" s="5" t="s">
        <v>1182</v>
      </c>
      <c r="O951" s="147">
        <v>4</v>
      </c>
      <c r="P951" s="15">
        <v>2</v>
      </c>
      <c r="Q951" s="148">
        <f t="shared" si="29"/>
        <v>6</v>
      </c>
    </row>
    <row r="952" spans="1:17" ht="16.5" hidden="1" x14ac:dyDescent="0.5">
      <c r="A952" s="53">
        <v>951</v>
      </c>
      <c r="B952" s="18" t="s">
        <v>1701</v>
      </c>
      <c r="C952" s="18" t="s">
        <v>663</v>
      </c>
      <c r="D952" s="17" t="s">
        <v>1306</v>
      </c>
      <c r="E952" s="17" t="s">
        <v>1738</v>
      </c>
      <c r="H952" s="194"/>
      <c r="I952" s="18" t="s">
        <v>1066</v>
      </c>
      <c r="J952" s="23" t="s">
        <v>1731</v>
      </c>
      <c r="K952" s="6">
        <v>29</v>
      </c>
      <c r="L952" s="4" t="s">
        <v>2</v>
      </c>
      <c r="M952" s="6" t="s">
        <v>1181</v>
      </c>
      <c r="N952" s="6" t="s">
        <v>1182</v>
      </c>
      <c r="O952" s="149">
        <v>2</v>
      </c>
      <c r="P952" s="149">
        <v>2</v>
      </c>
      <c r="Q952" s="148">
        <f t="shared" si="29"/>
        <v>4</v>
      </c>
    </row>
    <row r="953" spans="1:17" ht="16.5" hidden="1" x14ac:dyDescent="0.35">
      <c r="A953" s="53">
        <v>952</v>
      </c>
      <c r="B953" s="18" t="s">
        <v>1702</v>
      </c>
      <c r="C953" s="18" t="s">
        <v>663</v>
      </c>
      <c r="D953" s="17" t="s">
        <v>1306</v>
      </c>
      <c r="E953" s="17" t="s">
        <v>1738</v>
      </c>
      <c r="H953" s="194"/>
      <c r="I953" s="18" t="s">
        <v>1066</v>
      </c>
      <c r="J953" s="24" t="s">
        <v>1732</v>
      </c>
      <c r="K953" s="8">
        <v>30</v>
      </c>
      <c r="L953" s="4" t="s">
        <v>2</v>
      </c>
      <c r="M953" s="8" t="s">
        <v>1181</v>
      </c>
      <c r="N953" s="8" t="s">
        <v>1182</v>
      </c>
      <c r="O953" s="151">
        <v>3</v>
      </c>
      <c r="P953" s="151">
        <v>5</v>
      </c>
      <c r="Q953" s="148">
        <f t="shared" si="29"/>
        <v>8</v>
      </c>
    </row>
    <row r="954" spans="1:17" ht="16.5" hidden="1" x14ac:dyDescent="0.35">
      <c r="A954" s="53">
        <v>953</v>
      </c>
      <c r="B954" s="351" t="s">
        <v>1703</v>
      </c>
      <c r="C954" s="18" t="s">
        <v>663</v>
      </c>
      <c r="D954" s="17" t="s">
        <v>1306</v>
      </c>
      <c r="E954" s="17" t="s">
        <v>1738</v>
      </c>
      <c r="H954" s="194"/>
      <c r="I954" s="18" t="s">
        <v>1066</v>
      </c>
      <c r="J954" s="25" t="s">
        <v>1733</v>
      </c>
      <c r="K954" s="11">
        <v>30</v>
      </c>
      <c r="L954" s="178" t="s">
        <v>2</v>
      </c>
      <c r="M954" s="11" t="s">
        <v>1181</v>
      </c>
      <c r="N954" s="11" t="s">
        <v>1182</v>
      </c>
      <c r="O954" s="143">
        <v>2</v>
      </c>
      <c r="P954" s="143">
        <v>3</v>
      </c>
      <c r="Q954" s="148">
        <f t="shared" si="29"/>
        <v>5</v>
      </c>
    </row>
    <row r="955" spans="1:17" ht="16.5" hidden="1" x14ac:dyDescent="0.35">
      <c r="A955" s="53">
        <v>954</v>
      </c>
      <c r="B955" s="351" t="s">
        <v>1704</v>
      </c>
      <c r="C955" s="18" t="s">
        <v>663</v>
      </c>
      <c r="D955" s="17" t="s">
        <v>1306</v>
      </c>
      <c r="E955" s="17" t="s">
        <v>1738</v>
      </c>
      <c r="H955" s="194"/>
      <c r="I955" s="18" t="s">
        <v>1066</v>
      </c>
      <c r="J955" s="25" t="s">
        <v>1734</v>
      </c>
      <c r="K955" s="11">
        <v>30</v>
      </c>
      <c r="L955" s="178" t="s">
        <v>2</v>
      </c>
      <c r="M955" s="11" t="s">
        <v>1181</v>
      </c>
      <c r="N955" s="11" t="s">
        <v>1182</v>
      </c>
      <c r="O955" s="143">
        <v>1</v>
      </c>
      <c r="P955" s="143">
        <v>2</v>
      </c>
      <c r="Q955" s="148">
        <f t="shared" si="29"/>
        <v>3</v>
      </c>
    </row>
    <row r="956" spans="1:17" ht="16.5" hidden="1" x14ac:dyDescent="0.35">
      <c r="A956" s="53">
        <v>955</v>
      </c>
      <c r="B956" s="351" t="s">
        <v>1705</v>
      </c>
      <c r="C956" s="18" t="s">
        <v>663</v>
      </c>
      <c r="D956" s="17" t="s">
        <v>1306</v>
      </c>
      <c r="E956" s="17" t="s">
        <v>1738</v>
      </c>
      <c r="H956" s="194"/>
      <c r="I956" s="18" t="s">
        <v>1066</v>
      </c>
      <c r="J956" s="25" t="s">
        <v>1735</v>
      </c>
      <c r="K956" s="11">
        <v>30</v>
      </c>
      <c r="L956" s="178" t="s">
        <v>2</v>
      </c>
      <c r="M956" s="11" t="s">
        <v>1181</v>
      </c>
      <c r="N956" s="11" t="s">
        <v>1182</v>
      </c>
      <c r="O956" s="143">
        <v>2</v>
      </c>
      <c r="P956" s="143">
        <v>3</v>
      </c>
      <c r="Q956" s="148">
        <f t="shared" si="29"/>
        <v>5</v>
      </c>
    </row>
    <row r="957" spans="1:17" ht="16.5" hidden="1" x14ac:dyDescent="0.35">
      <c r="A957" s="53">
        <v>956</v>
      </c>
      <c r="B957" s="351" t="s">
        <v>1706</v>
      </c>
      <c r="C957" s="18" t="s">
        <v>663</v>
      </c>
      <c r="D957" s="17" t="s">
        <v>1306</v>
      </c>
      <c r="E957" s="17" t="s">
        <v>1738</v>
      </c>
      <c r="H957" s="194"/>
      <c r="I957" s="18" t="s">
        <v>1066</v>
      </c>
      <c r="J957" s="25" t="s">
        <v>1736</v>
      </c>
      <c r="K957" s="11">
        <v>27</v>
      </c>
      <c r="L957" s="178" t="s">
        <v>2</v>
      </c>
      <c r="M957" s="11" t="s">
        <v>1181</v>
      </c>
      <c r="N957" s="11" t="s">
        <v>1182</v>
      </c>
      <c r="O957" s="143">
        <v>2</v>
      </c>
      <c r="P957" s="143">
        <v>2</v>
      </c>
      <c r="Q957" s="148">
        <f t="shared" si="29"/>
        <v>4</v>
      </c>
    </row>
    <row r="958" spans="1:17" ht="17" hidden="1" thickBot="1" x14ac:dyDescent="0.4">
      <c r="A958" s="53">
        <v>957</v>
      </c>
      <c r="B958" s="351" t="s">
        <v>1707</v>
      </c>
      <c r="C958" s="18" t="s">
        <v>663</v>
      </c>
      <c r="D958" s="17" t="s">
        <v>1306</v>
      </c>
      <c r="E958" s="17" t="s">
        <v>1738</v>
      </c>
      <c r="H958" s="194"/>
      <c r="I958" s="18" t="s">
        <v>1066</v>
      </c>
      <c r="J958" s="193" t="s">
        <v>1737</v>
      </c>
      <c r="K958" s="14">
        <v>32</v>
      </c>
      <c r="L958" s="14" t="s">
        <v>2</v>
      </c>
      <c r="M958" s="14" t="s">
        <v>1181</v>
      </c>
      <c r="N958" s="14" t="s">
        <v>1182</v>
      </c>
      <c r="O958" s="141">
        <v>2</v>
      </c>
      <c r="P958" s="141">
        <v>2</v>
      </c>
      <c r="Q958" s="148">
        <f t="shared" si="29"/>
        <v>4</v>
      </c>
    </row>
    <row r="959" spans="1:17" ht="16.5" hidden="1" x14ac:dyDescent="0.35">
      <c r="A959" s="53">
        <v>958</v>
      </c>
      <c r="B959" s="18" t="s">
        <v>1739</v>
      </c>
      <c r="C959" s="18" t="s">
        <v>663</v>
      </c>
      <c r="D959" s="17" t="s">
        <v>1796</v>
      </c>
      <c r="E959" s="17" t="s">
        <v>1738</v>
      </c>
      <c r="H959" s="25"/>
      <c r="I959" s="18" t="s">
        <v>1066</v>
      </c>
      <c r="J959" s="23" t="s">
        <v>1769</v>
      </c>
      <c r="K959" s="4">
        <v>50</v>
      </c>
      <c r="L959" s="4" t="s">
        <v>9</v>
      </c>
      <c r="M959" s="5" t="s">
        <v>1063</v>
      </c>
      <c r="N959" s="5" t="s">
        <v>972</v>
      </c>
      <c r="O959" s="147">
        <v>5</v>
      </c>
      <c r="P959" s="15">
        <v>1</v>
      </c>
      <c r="Q959" s="148">
        <f>(O959+P959)</f>
        <v>6</v>
      </c>
    </row>
    <row r="960" spans="1:17" ht="16.5" hidden="1" x14ac:dyDescent="0.35">
      <c r="A960" s="53">
        <v>959</v>
      </c>
      <c r="B960" s="18" t="s">
        <v>1740</v>
      </c>
      <c r="C960" s="18" t="s">
        <v>663</v>
      </c>
      <c r="D960" s="17" t="s">
        <v>1796</v>
      </c>
      <c r="E960" s="17" t="s">
        <v>1738</v>
      </c>
      <c r="H960" s="194"/>
      <c r="I960" s="18" t="s">
        <v>1066</v>
      </c>
      <c r="J960" s="23"/>
      <c r="K960" s="4">
        <v>36</v>
      </c>
      <c r="L960" s="4" t="s">
        <v>2</v>
      </c>
      <c r="M960" s="5" t="s">
        <v>1063</v>
      </c>
      <c r="N960" s="5" t="s">
        <v>1182</v>
      </c>
      <c r="O960" s="147">
        <v>1</v>
      </c>
      <c r="P960" s="15">
        <v>0</v>
      </c>
      <c r="Q960" s="148">
        <f t="shared" ref="Q960:Q988" si="30">(O960+P960)</f>
        <v>1</v>
      </c>
    </row>
    <row r="961" spans="1:17" ht="16.5" hidden="1" x14ac:dyDescent="0.35">
      <c r="A961" s="53">
        <v>960</v>
      </c>
      <c r="B961" s="18" t="s">
        <v>1741</v>
      </c>
      <c r="C961" s="18" t="s">
        <v>663</v>
      </c>
      <c r="D961" s="17" t="s">
        <v>1796</v>
      </c>
      <c r="E961" s="17" t="s">
        <v>1738</v>
      </c>
      <c r="H961" s="194"/>
      <c r="I961" s="18" t="s">
        <v>1066</v>
      </c>
      <c r="J961" s="23" t="s">
        <v>1770</v>
      </c>
      <c r="K961" s="4"/>
      <c r="L961" s="4" t="s">
        <v>2</v>
      </c>
      <c r="M961" s="5" t="s">
        <v>1181</v>
      </c>
      <c r="N961" s="5" t="s">
        <v>1587</v>
      </c>
      <c r="O961" s="147">
        <v>2</v>
      </c>
      <c r="P961" s="15">
        <v>3</v>
      </c>
      <c r="Q961" s="148">
        <f t="shared" si="30"/>
        <v>5</v>
      </c>
    </row>
    <row r="962" spans="1:17" ht="16.5" hidden="1" x14ac:dyDescent="0.35">
      <c r="A962" s="53">
        <v>961</v>
      </c>
      <c r="B962" s="18" t="s">
        <v>1742</v>
      </c>
      <c r="C962" s="18" t="s">
        <v>663</v>
      </c>
      <c r="D962" s="17" t="s">
        <v>1796</v>
      </c>
      <c r="E962" s="17" t="s">
        <v>1738</v>
      </c>
      <c r="H962" s="194"/>
      <c r="I962" s="18" t="s">
        <v>1066</v>
      </c>
      <c r="J962" s="23" t="s">
        <v>1771</v>
      </c>
      <c r="K962" s="4">
        <v>50</v>
      </c>
      <c r="L962" s="4" t="s">
        <v>2</v>
      </c>
      <c r="M962" s="5" t="s">
        <v>1063</v>
      </c>
      <c r="N962" s="5" t="s">
        <v>1587</v>
      </c>
      <c r="O962" s="147">
        <v>1</v>
      </c>
      <c r="P962" s="15">
        <v>1</v>
      </c>
      <c r="Q962" s="148">
        <f t="shared" si="30"/>
        <v>2</v>
      </c>
    </row>
    <row r="963" spans="1:17" ht="16.5" hidden="1" x14ac:dyDescent="0.35">
      <c r="A963" s="53">
        <v>962</v>
      </c>
      <c r="B963" s="18" t="s">
        <v>1743</v>
      </c>
      <c r="C963" s="18" t="s">
        <v>663</v>
      </c>
      <c r="D963" s="17" t="s">
        <v>1796</v>
      </c>
      <c r="E963" s="17" t="s">
        <v>1738</v>
      </c>
      <c r="H963" s="194"/>
      <c r="I963" s="18" t="s">
        <v>1066</v>
      </c>
      <c r="J963" s="23" t="s">
        <v>1772</v>
      </c>
      <c r="K963" s="4"/>
      <c r="L963" s="4" t="s">
        <v>2</v>
      </c>
      <c r="M963" s="3" t="s">
        <v>1063</v>
      </c>
      <c r="N963" s="5" t="s">
        <v>1587</v>
      </c>
      <c r="O963" s="147">
        <v>4</v>
      </c>
      <c r="P963" s="15">
        <v>1</v>
      </c>
      <c r="Q963" s="148">
        <f t="shared" si="30"/>
        <v>5</v>
      </c>
    </row>
    <row r="964" spans="1:17" ht="16.5" hidden="1" x14ac:dyDescent="0.35">
      <c r="A964" s="53">
        <v>963</v>
      </c>
      <c r="B964" s="18" t="s">
        <v>1744</v>
      </c>
      <c r="C964" s="18" t="s">
        <v>663</v>
      </c>
      <c r="D964" s="17" t="s">
        <v>1796</v>
      </c>
      <c r="E964" s="17" t="s">
        <v>1738</v>
      </c>
      <c r="H964" s="194"/>
      <c r="I964" s="18" t="s">
        <v>1066</v>
      </c>
      <c r="J964" s="23" t="s">
        <v>1773</v>
      </c>
      <c r="K964" s="4">
        <v>41</v>
      </c>
      <c r="L964" s="4" t="s">
        <v>9</v>
      </c>
      <c r="M964" s="5" t="s">
        <v>1063</v>
      </c>
      <c r="N964" s="5" t="s">
        <v>972</v>
      </c>
      <c r="O964" s="147">
        <v>2</v>
      </c>
      <c r="P964" s="15">
        <v>2</v>
      </c>
      <c r="Q964" s="148">
        <f t="shared" si="30"/>
        <v>4</v>
      </c>
    </row>
    <row r="965" spans="1:17" ht="16.5" hidden="1" x14ac:dyDescent="0.35">
      <c r="A965" s="53">
        <v>964</v>
      </c>
      <c r="B965" s="18" t="s">
        <v>1745</v>
      </c>
      <c r="C965" s="18" t="s">
        <v>663</v>
      </c>
      <c r="D965" s="17" t="s">
        <v>1796</v>
      </c>
      <c r="E965" s="17" t="s">
        <v>1738</v>
      </c>
      <c r="H965" s="194"/>
      <c r="I965" s="18" t="s">
        <v>1066</v>
      </c>
      <c r="J965" s="23" t="s">
        <v>1774</v>
      </c>
      <c r="K965" s="4">
        <v>41</v>
      </c>
      <c r="L965" s="4" t="s">
        <v>9</v>
      </c>
      <c r="M965" s="5" t="s">
        <v>1095</v>
      </c>
      <c r="N965" s="5" t="s">
        <v>972</v>
      </c>
      <c r="O965" s="147">
        <v>1</v>
      </c>
      <c r="P965" s="15">
        <v>3</v>
      </c>
      <c r="Q965" s="148">
        <f t="shared" si="30"/>
        <v>4</v>
      </c>
    </row>
    <row r="966" spans="1:17" ht="16.5" hidden="1" x14ac:dyDescent="0.35">
      <c r="A966" s="53">
        <v>965</v>
      </c>
      <c r="B966" s="18" t="s">
        <v>1746</v>
      </c>
      <c r="C966" s="18" t="s">
        <v>663</v>
      </c>
      <c r="D966" s="17" t="s">
        <v>1796</v>
      </c>
      <c r="E966" s="17" t="s">
        <v>1738</v>
      </c>
      <c r="H966" s="194"/>
      <c r="I966" s="18" t="s">
        <v>1066</v>
      </c>
      <c r="J966" s="23" t="s">
        <v>1775</v>
      </c>
      <c r="K966" s="4">
        <v>44</v>
      </c>
      <c r="L966" s="4" t="s">
        <v>9</v>
      </c>
      <c r="M966" s="5" t="s">
        <v>1181</v>
      </c>
      <c r="N966" s="5" t="s">
        <v>972</v>
      </c>
      <c r="O966" s="147">
        <v>2</v>
      </c>
      <c r="P966" s="15">
        <v>3</v>
      </c>
      <c r="Q966" s="148">
        <f t="shared" si="30"/>
        <v>5</v>
      </c>
    </row>
    <row r="967" spans="1:17" ht="16.5" hidden="1" x14ac:dyDescent="0.35">
      <c r="A967" s="53">
        <v>966</v>
      </c>
      <c r="B967" s="18" t="s">
        <v>1747</v>
      </c>
      <c r="C967" s="18" t="s">
        <v>663</v>
      </c>
      <c r="D967" s="17" t="s">
        <v>1796</v>
      </c>
      <c r="E967" s="17" t="s">
        <v>1738</v>
      </c>
      <c r="H967" s="194"/>
      <c r="I967" s="18" t="s">
        <v>1066</v>
      </c>
      <c r="J967" s="23" t="s">
        <v>1776</v>
      </c>
      <c r="K967" s="4">
        <v>36</v>
      </c>
      <c r="L967" s="4" t="s">
        <v>9</v>
      </c>
      <c r="M967" s="5" t="s">
        <v>1181</v>
      </c>
      <c r="N967" s="5" t="s">
        <v>972</v>
      </c>
      <c r="O967" s="147">
        <v>0</v>
      </c>
      <c r="P967" s="15">
        <v>0</v>
      </c>
      <c r="Q967" s="148">
        <f t="shared" si="30"/>
        <v>0</v>
      </c>
    </row>
    <row r="968" spans="1:17" ht="16.5" hidden="1" x14ac:dyDescent="0.35">
      <c r="A968" s="53">
        <v>967</v>
      </c>
      <c r="B968" s="18" t="s">
        <v>1748</v>
      </c>
      <c r="C968" s="18" t="s">
        <v>663</v>
      </c>
      <c r="D968" s="17" t="s">
        <v>1796</v>
      </c>
      <c r="E968" s="17" t="s">
        <v>1738</v>
      </c>
      <c r="H968" s="194"/>
      <c r="I968" s="18" t="s">
        <v>1066</v>
      </c>
      <c r="J968" s="23" t="s">
        <v>1777</v>
      </c>
      <c r="K968" s="4">
        <v>35</v>
      </c>
      <c r="L968" s="4" t="s">
        <v>2</v>
      </c>
      <c r="M968" s="5" t="s">
        <v>1095</v>
      </c>
      <c r="N968" s="5" t="s">
        <v>1182</v>
      </c>
      <c r="O968" s="147">
        <v>1</v>
      </c>
      <c r="P968" s="15">
        <v>3</v>
      </c>
      <c r="Q968" s="148">
        <f t="shared" si="30"/>
        <v>4</v>
      </c>
    </row>
    <row r="969" spans="1:17" ht="16.5" hidden="1" x14ac:dyDescent="0.35">
      <c r="A969" s="53">
        <v>968</v>
      </c>
      <c r="B969" s="18" t="s">
        <v>1749</v>
      </c>
      <c r="C969" s="18" t="s">
        <v>663</v>
      </c>
      <c r="D969" s="17" t="s">
        <v>1796</v>
      </c>
      <c r="E969" s="17" t="s">
        <v>1738</v>
      </c>
      <c r="H969" s="194"/>
      <c r="I969" s="18" t="s">
        <v>1066</v>
      </c>
      <c r="J969" s="23"/>
      <c r="K969" s="4">
        <v>33</v>
      </c>
      <c r="L969" s="4" t="s">
        <v>2</v>
      </c>
      <c r="M969" s="5" t="s">
        <v>1181</v>
      </c>
      <c r="N969" s="5" t="s">
        <v>1587</v>
      </c>
      <c r="O969" s="147">
        <v>4</v>
      </c>
      <c r="P969" s="15">
        <v>2</v>
      </c>
      <c r="Q969" s="148">
        <f t="shared" si="30"/>
        <v>6</v>
      </c>
    </row>
    <row r="970" spans="1:17" ht="16.5" hidden="1" x14ac:dyDescent="0.35">
      <c r="A970" s="53">
        <v>969</v>
      </c>
      <c r="B970" s="18" t="s">
        <v>1750</v>
      </c>
      <c r="C970" s="18" t="s">
        <v>663</v>
      </c>
      <c r="D970" s="17" t="s">
        <v>1796</v>
      </c>
      <c r="E970" s="17" t="s">
        <v>1738</v>
      </c>
      <c r="H970" s="194"/>
      <c r="I970" s="18" t="s">
        <v>1066</v>
      </c>
      <c r="J970" s="23" t="s">
        <v>1778</v>
      </c>
      <c r="K970" s="4">
        <v>29</v>
      </c>
      <c r="L970" s="4" t="s">
        <v>2</v>
      </c>
      <c r="M970" s="5" t="s">
        <v>1181</v>
      </c>
      <c r="N970" s="5" t="s">
        <v>1182</v>
      </c>
      <c r="O970" s="147">
        <v>4</v>
      </c>
      <c r="P970" s="15">
        <v>2</v>
      </c>
      <c r="Q970" s="148">
        <f t="shared" si="30"/>
        <v>6</v>
      </c>
    </row>
    <row r="971" spans="1:17" ht="16.5" hidden="1" x14ac:dyDescent="0.35">
      <c r="A971" s="53">
        <v>970</v>
      </c>
      <c r="B971" s="18" t="s">
        <v>1751</v>
      </c>
      <c r="C971" s="18" t="s">
        <v>663</v>
      </c>
      <c r="D971" s="17" t="s">
        <v>1796</v>
      </c>
      <c r="E971" s="17" t="s">
        <v>1738</v>
      </c>
      <c r="H971" s="194"/>
      <c r="I971" s="18" t="s">
        <v>1066</v>
      </c>
      <c r="J971" s="23" t="s">
        <v>1779</v>
      </c>
      <c r="K971" s="4">
        <v>49</v>
      </c>
      <c r="L971" s="4" t="s">
        <v>9</v>
      </c>
      <c r="M971" s="5" t="s">
        <v>1181</v>
      </c>
      <c r="N971" s="5" t="s">
        <v>972</v>
      </c>
      <c r="O971" s="147">
        <v>5</v>
      </c>
      <c r="P971" s="15">
        <v>4</v>
      </c>
      <c r="Q971" s="148">
        <f t="shared" si="30"/>
        <v>9</v>
      </c>
    </row>
    <row r="972" spans="1:17" ht="16.5" hidden="1" x14ac:dyDescent="0.35">
      <c r="A972" s="53">
        <v>971</v>
      </c>
      <c r="B972" s="18" t="s">
        <v>1752</v>
      </c>
      <c r="C972" s="18" t="s">
        <v>663</v>
      </c>
      <c r="D972" s="17" t="s">
        <v>1796</v>
      </c>
      <c r="E972" s="17" t="s">
        <v>1738</v>
      </c>
      <c r="H972" s="194"/>
      <c r="I972" s="18" t="s">
        <v>1066</v>
      </c>
      <c r="J972" s="23" t="s">
        <v>1780</v>
      </c>
      <c r="K972" s="4">
        <v>33</v>
      </c>
      <c r="L972" s="4" t="s">
        <v>2</v>
      </c>
      <c r="M972" s="5" t="s">
        <v>1063</v>
      </c>
      <c r="N972" s="5" t="s">
        <v>1182</v>
      </c>
      <c r="O972" s="147">
        <v>2</v>
      </c>
      <c r="P972" s="15">
        <v>3</v>
      </c>
      <c r="Q972" s="148">
        <f t="shared" si="30"/>
        <v>5</v>
      </c>
    </row>
    <row r="973" spans="1:17" ht="16.5" hidden="1" x14ac:dyDescent="0.35">
      <c r="A973" s="53">
        <v>972</v>
      </c>
      <c r="B973" s="18" t="s">
        <v>1753</v>
      </c>
      <c r="C973" s="18" t="s">
        <v>663</v>
      </c>
      <c r="D973" s="17" t="s">
        <v>1796</v>
      </c>
      <c r="E973" s="17" t="s">
        <v>1738</v>
      </c>
      <c r="H973" s="194"/>
      <c r="I973" s="18" t="s">
        <v>1066</v>
      </c>
      <c r="J973" s="23" t="s">
        <v>1781</v>
      </c>
      <c r="K973" s="4">
        <v>37</v>
      </c>
      <c r="L973" s="4" t="s">
        <v>2</v>
      </c>
      <c r="M973" s="5" t="s">
        <v>1181</v>
      </c>
      <c r="N973" s="5" t="s">
        <v>1587</v>
      </c>
      <c r="O973" s="147">
        <v>1</v>
      </c>
      <c r="P973" s="15">
        <v>3</v>
      </c>
      <c r="Q973" s="148">
        <f t="shared" si="30"/>
        <v>4</v>
      </c>
    </row>
    <row r="974" spans="1:17" ht="16.5" hidden="1" x14ac:dyDescent="0.35">
      <c r="A974" s="53">
        <v>973</v>
      </c>
      <c r="B974" s="18" t="s">
        <v>1754</v>
      </c>
      <c r="C974" s="18" t="s">
        <v>663</v>
      </c>
      <c r="D974" s="17" t="s">
        <v>1796</v>
      </c>
      <c r="E974" s="17" t="s">
        <v>1738</v>
      </c>
      <c r="H974" s="194"/>
      <c r="I974" s="18" t="s">
        <v>1066</v>
      </c>
      <c r="J974" s="23" t="s">
        <v>1782</v>
      </c>
      <c r="K974" s="4">
        <v>40</v>
      </c>
      <c r="L974" s="4" t="s">
        <v>9</v>
      </c>
      <c r="M974" s="5" t="s">
        <v>969</v>
      </c>
      <c r="N974" s="5" t="s">
        <v>1793</v>
      </c>
      <c r="O974" s="147">
        <v>2</v>
      </c>
      <c r="P974" s="15">
        <v>2</v>
      </c>
      <c r="Q974" s="148">
        <f t="shared" si="30"/>
        <v>4</v>
      </c>
    </row>
    <row r="975" spans="1:17" ht="16.5" hidden="1" x14ac:dyDescent="0.35">
      <c r="A975" s="53">
        <v>974</v>
      </c>
      <c r="B975" s="18" t="s">
        <v>1755</v>
      </c>
      <c r="C975" s="18" t="s">
        <v>663</v>
      </c>
      <c r="D975" s="17" t="s">
        <v>1796</v>
      </c>
      <c r="E975" s="17" t="s">
        <v>1738</v>
      </c>
      <c r="H975" s="194"/>
      <c r="I975" s="18" t="s">
        <v>1066</v>
      </c>
      <c r="J975" s="23" t="s">
        <v>1783</v>
      </c>
      <c r="K975" s="4">
        <v>55</v>
      </c>
      <c r="L975" s="4" t="s">
        <v>2</v>
      </c>
      <c r="M975" s="5" t="s">
        <v>1181</v>
      </c>
      <c r="N975" s="5" t="s">
        <v>1182</v>
      </c>
      <c r="O975" s="147">
        <v>3</v>
      </c>
      <c r="P975" s="15">
        <v>3</v>
      </c>
      <c r="Q975" s="148">
        <f t="shared" si="30"/>
        <v>6</v>
      </c>
    </row>
    <row r="976" spans="1:17" ht="16.5" hidden="1" x14ac:dyDescent="0.35">
      <c r="A976" s="53">
        <v>975</v>
      </c>
      <c r="B976" s="18" t="s">
        <v>1756</v>
      </c>
      <c r="C976" s="18" t="s">
        <v>663</v>
      </c>
      <c r="D976" s="17" t="s">
        <v>1796</v>
      </c>
      <c r="E976" s="17" t="s">
        <v>1738</v>
      </c>
      <c r="H976" s="194"/>
      <c r="I976" s="18" t="s">
        <v>1066</v>
      </c>
      <c r="J976" s="23" t="s">
        <v>1725</v>
      </c>
      <c r="K976" s="4">
        <v>50</v>
      </c>
      <c r="L976" s="4" t="s">
        <v>2</v>
      </c>
      <c r="M976" s="5" t="s">
        <v>1181</v>
      </c>
      <c r="N976" s="5" t="s">
        <v>1794</v>
      </c>
      <c r="O976" s="147">
        <v>6</v>
      </c>
      <c r="P976" s="15">
        <v>2</v>
      </c>
      <c r="Q976" s="148">
        <f t="shared" si="30"/>
        <v>8</v>
      </c>
    </row>
    <row r="977" spans="1:17" ht="16.5" hidden="1" x14ac:dyDescent="0.35">
      <c r="A977" s="53">
        <v>976</v>
      </c>
      <c r="B977" s="18" t="s">
        <v>1757</v>
      </c>
      <c r="C977" s="18" t="s">
        <v>663</v>
      </c>
      <c r="D977" s="17" t="s">
        <v>1796</v>
      </c>
      <c r="E977" s="17" t="s">
        <v>1738</v>
      </c>
      <c r="H977" s="194"/>
      <c r="I977" s="18" t="s">
        <v>1066</v>
      </c>
      <c r="J977" s="23" t="s">
        <v>1784</v>
      </c>
      <c r="K977" s="4">
        <v>43</v>
      </c>
      <c r="L977" s="4" t="s">
        <v>2</v>
      </c>
      <c r="M977" s="5" t="s">
        <v>1181</v>
      </c>
      <c r="N977" s="5" t="s">
        <v>1587</v>
      </c>
      <c r="O977" s="147">
        <v>6</v>
      </c>
      <c r="P977" s="15">
        <v>2</v>
      </c>
      <c r="Q977" s="148">
        <f t="shared" si="30"/>
        <v>8</v>
      </c>
    </row>
    <row r="978" spans="1:17" ht="16.5" hidden="1" x14ac:dyDescent="0.35">
      <c r="A978" s="53">
        <v>977</v>
      </c>
      <c r="B978" s="18" t="s">
        <v>1758</v>
      </c>
      <c r="C978" s="18" t="s">
        <v>663</v>
      </c>
      <c r="D978" s="17" t="s">
        <v>1796</v>
      </c>
      <c r="E978" s="17" t="s">
        <v>1738</v>
      </c>
      <c r="H978" s="194"/>
      <c r="I978" s="18" t="s">
        <v>1066</v>
      </c>
      <c r="J978" s="23" t="s">
        <v>1785</v>
      </c>
      <c r="K978" s="4">
        <v>49</v>
      </c>
      <c r="L978" s="4" t="s">
        <v>2</v>
      </c>
      <c r="M978" s="5" t="s">
        <v>1181</v>
      </c>
      <c r="N978" s="5" t="s">
        <v>1587</v>
      </c>
      <c r="O978" s="147">
        <v>3</v>
      </c>
      <c r="P978" s="15">
        <v>5</v>
      </c>
      <c r="Q978" s="148">
        <f t="shared" si="30"/>
        <v>8</v>
      </c>
    </row>
    <row r="979" spans="1:17" ht="16.5" hidden="1" x14ac:dyDescent="0.35">
      <c r="A979" s="53">
        <v>978</v>
      </c>
      <c r="B979" s="18" t="s">
        <v>1759</v>
      </c>
      <c r="C979" s="18" t="s">
        <v>663</v>
      </c>
      <c r="D979" s="17" t="s">
        <v>1796</v>
      </c>
      <c r="E979" s="17" t="s">
        <v>1738</v>
      </c>
      <c r="H979" s="194"/>
      <c r="I979" s="18" t="s">
        <v>1066</v>
      </c>
      <c r="J979" s="23" t="s">
        <v>1786</v>
      </c>
      <c r="K979" s="4">
        <v>50</v>
      </c>
      <c r="L979" s="4" t="s">
        <v>2</v>
      </c>
      <c r="M979" s="5" t="s">
        <v>1181</v>
      </c>
      <c r="N979" s="5" t="s">
        <v>972</v>
      </c>
      <c r="O979" s="147">
        <v>4</v>
      </c>
      <c r="P979" s="15">
        <v>3</v>
      </c>
      <c r="Q979" s="148">
        <f t="shared" si="30"/>
        <v>7</v>
      </c>
    </row>
    <row r="980" spans="1:17" ht="16.5" hidden="1" x14ac:dyDescent="0.35">
      <c r="A980" s="53">
        <v>979</v>
      </c>
      <c r="B980" s="18" t="s">
        <v>1760</v>
      </c>
      <c r="C980" s="18" t="s">
        <v>663</v>
      </c>
      <c r="D980" s="17" t="s">
        <v>1796</v>
      </c>
      <c r="E980" s="17" t="s">
        <v>1738</v>
      </c>
      <c r="H980" s="194"/>
      <c r="I980" s="18" t="s">
        <v>1066</v>
      </c>
      <c r="J980" s="23" t="s">
        <v>1787</v>
      </c>
      <c r="K980" s="4">
        <v>59</v>
      </c>
      <c r="L980" s="4" t="s">
        <v>9</v>
      </c>
      <c r="M980" s="5" t="s">
        <v>969</v>
      </c>
      <c r="N980" s="5" t="s">
        <v>972</v>
      </c>
      <c r="O980" s="147">
        <v>1</v>
      </c>
      <c r="P980" s="15">
        <v>5</v>
      </c>
      <c r="Q980" s="148">
        <f t="shared" si="30"/>
        <v>6</v>
      </c>
    </row>
    <row r="981" spans="1:17" ht="16.5" hidden="1" x14ac:dyDescent="0.35">
      <c r="A981" s="53">
        <v>980</v>
      </c>
      <c r="B981" s="18" t="s">
        <v>1761</v>
      </c>
      <c r="C981" s="18" t="s">
        <v>663</v>
      </c>
      <c r="D981" s="17" t="s">
        <v>1796</v>
      </c>
      <c r="E981" s="17" t="s">
        <v>1738</v>
      </c>
      <c r="H981" s="194"/>
      <c r="I981" s="18" t="s">
        <v>1066</v>
      </c>
      <c r="J981" s="23" t="s">
        <v>1788</v>
      </c>
      <c r="K981" s="4">
        <v>36</v>
      </c>
      <c r="L981" s="4" t="s">
        <v>2</v>
      </c>
      <c r="M981" s="5" t="s">
        <v>1063</v>
      </c>
      <c r="N981" s="5" t="s">
        <v>1182</v>
      </c>
      <c r="O981" s="147">
        <v>2</v>
      </c>
      <c r="P981" s="15">
        <v>3</v>
      </c>
      <c r="Q981" s="148">
        <f t="shared" si="30"/>
        <v>5</v>
      </c>
    </row>
    <row r="982" spans="1:17" ht="16.5" hidden="1" x14ac:dyDescent="0.5">
      <c r="A982" s="53">
        <v>981</v>
      </c>
      <c r="B982" s="18" t="s">
        <v>1762</v>
      </c>
      <c r="C982" s="18" t="s">
        <v>663</v>
      </c>
      <c r="D982" s="17" t="s">
        <v>1796</v>
      </c>
      <c r="E982" s="17" t="s">
        <v>1738</v>
      </c>
      <c r="H982" s="194"/>
      <c r="I982" s="18" t="s">
        <v>1066</v>
      </c>
      <c r="J982" s="23"/>
      <c r="K982" s="6">
        <v>55</v>
      </c>
      <c r="L982" s="4" t="s">
        <v>2</v>
      </c>
      <c r="M982" s="6" t="s">
        <v>1181</v>
      </c>
      <c r="N982" s="6" t="s">
        <v>1587</v>
      </c>
      <c r="O982" s="149">
        <v>7</v>
      </c>
      <c r="P982" s="149">
        <v>0</v>
      </c>
      <c r="Q982" s="148">
        <f t="shared" si="30"/>
        <v>7</v>
      </c>
    </row>
    <row r="983" spans="1:17" ht="16.5" hidden="1" x14ac:dyDescent="0.35">
      <c r="A983" s="53">
        <v>982</v>
      </c>
      <c r="B983" s="18" t="s">
        <v>1763</v>
      </c>
      <c r="C983" s="18" t="s">
        <v>663</v>
      </c>
      <c r="D983" s="17" t="s">
        <v>1796</v>
      </c>
      <c r="E983" s="17" t="s">
        <v>1738</v>
      </c>
      <c r="H983" s="194"/>
      <c r="I983" s="18" t="s">
        <v>1066</v>
      </c>
      <c r="J983" s="24"/>
      <c r="K983" s="8">
        <v>54</v>
      </c>
      <c r="L983" s="4" t="s">
        <v>2</v>
      </c>
      <c r="M983" s="8" t="s">
        <v>1181</v>
      </c>
      <c r="N983" s="8" t="s">
        <v>1587</v>
      </c>
      <c r="O983" s="151">
        <v>3</v>
      </c>
      <c r="P983" s="151">
        <v>6</v>
      </c>
      <c r="Q983" s="148">
        <f t="shared" si="30"/>
        <v>9</v>
      </c>
    </row>
    <row r="984" spans="1:17" ht="16.5" hidden="1" x14ac:dyDescent="0.35">
      <c r="A984" s="53">
        <v>983</v>
      </c>
      <c r="B984" s="351" t="s">
        <v>1764</v>
      </c>
      <c r="C984" s="18" t="s">
        <v>663</v>
      </c>
      <c r="D984" s="17" t="s">
        <v>1796</v>
      </c>
      <c r="E984" s="17" t="s">
        <v>1738</v>
      </c>
      <c r="H984" s="194"/>
      <c r="I984" s="18" t="s">
        <v>1066</v>
      </c>
      <c r="J984" s="25" t="s">
        <v>1789</v>
      </c>
      <c r="K984" s="11"/>
      <c r="L984" s="178" t="s">
        <v>2</v>
      </c>
      <c r="M984" s="11" t="s">
        <v>1181</v>
      </c>
      <c r="N984" s="11" t="s">
        <v>1182</v>
      </c>
      <c r="O984" s="143">
        <v>6</v>
      </c>
      <c r="P984" s="143">
        <v>2</v>
      </c>
      <c r="Q984" s="148">
        <f t="shared" si="30"/>
        <v>8</v>
      </c>
    </row>
    <row r="985" spans="1:17" ht="16.5" hidden="1" x14ac:dyDescent="0.35">
      <c r="A985" s="53">
        <v>984</v>
      </c>
      <c r="B985" s="351" t="s">
        <v>1765</v>
      </c>
      <c r="C985" s="18" t="s">
        <v>663</v>
      </c>
      <c r="D985" s="17" t="s">
        <v>1796</v>
      </c>
      <c r="E985" s="17" t="s">
        <v>1738</v>
      </c>
      <c r="H985" s="194"/>
      <c r="I985" s="18" t="s">
        <v>1066</v>
      </c>
      <c r="J985" s="25" t="s">
        <v>1790</v>
      </c>
      <c r="K985" s="11">
        <v>49</v>
      </c>
      <c r="L985" s="178" t="s">
        <v>2</v>
      </c>
      <c r="M985" s="11" t="s">
        <v>1181</v>
      </c>
      <c r="N985" s="11" t="s">
        <v>972</v>
      </c>
      <c r="O985" s="143">
        <v>4</v>
      </c>
      <c r="P985" s="143">
        <v>6</v>
      </c>
      <c r="Q985" s="148">
        <f t="shared" si="30"/>
        <v>10</v>
      </c>
    </row>
    <row r="986" spans="1:17" ht="16.5" hidden="1" x14ac:dyDescent="0.35">
      <c r="A986" s="53">
        <v>985</v>
      </c>
      <c r="B986" s="351" t="s">
        <v>1766</v>
      </c>
      <c r="C986" s="18" t="s">
        <v>663</v>
      </c>
      <c r="D986" s="17" t="s">
        <v>1796</v>
      </c>
      <c r="E986" s="17" t="s">
        <v>1738</v>
      </c>
      <c r="H986" s="194"/>
      <c r="I986" s="18" t="s">
        <v>1066</v>
      </c>
      <c r="J986" s="25"/>
      <c r="K986" s="11">
        <v>42</v>
      </c>
      <c r="L986" s="178" t="s">
        <v>2</v>
      </c>
      <c r="M986" s="11" t="s">
        <v>1181</v>
      </c>
      <c r="N986" s="11" t="s">
        <v>1795</v>
      </c>
      <c r="O986" s="143">
        <v>2</v>
      </c>
      <c r="P986" s="143">
        <v>0</v>
      </c>
      <c r="Q986" s="148">
        <f t="shared" si="30"/>
        <v>2</v>
      </c>
    </row>
    <row r="987" spans="1:17" ht="16.5" hidden="1" x14ac:dyDescent="0.35">
      <c r="A987" s="53">
        <v>986</v>
      </c>
      <c r="B987" s="351" t="s">
        <v>1767</v>
      </c>
      <c r="C987" s="18" t="s">
        <v>663</v>
      </c>
      <c r="D987" s="17" t="s">
        <v>1796</v>
      </c>
      <c r="E987" s="17" t="s">
        <v>1738</v>
      </c>
      <c r="H987" s="194"/>
      <c r="I987" s="18" t="s">
        <v>1066</v>
      </c>
      <c r="J987" s="25" t="s">
        <v>1791</v>
      </c>
      <c r="K987" s="11">
        <v>47</v>
      </c>
      <c r="L987" s="178" t="s">
        <v>2</v>
      </c>
      <c r="M987" s="11" t="s">
        <v>1063</v>
      </c>
      <c r="N987" s="11" t="s">
        <v>1587</v>
      </c>
      <c r="O987" s="143">
        <v>1</v>
      </c>
      <c r="P987" s="143">
        <v>2</v>
      </c>
      <c r="Q987" s="148">
        <f t="shared" si="30"/>
        <v>3</v>
      </c>
    </row>
    <row r="988" spans="1:17" ht="17" hidden="1" thickBot="1" x14ac:dyDescent="0.4">
      <c r="A988" s="53">
        <v>987</v>
      </c>
      <c r="B988" s="351" t="s">
        <v>1768</v>
      </c>
      <c r="C988" s="18" t="s">
        <v>663</v>
      </c>
      <c r="D988" s="17" t="s">
        <v>1796</v>
      </c>
      <c r="E988" s="17" t="s">
        <v>1738</v>
      </c>
      <c r="H988" s="194"/>
      <c r="I988" s="18" t="s">
        <v>1066</v>
      </c>
      <c r="J988" s="193" t="s">
        <v>1792</v>
      </c>
      <c r="K988" s="14">
        <v>62</v>
      </c>
      <c r="L988" s="14" t="s">
        <v>2</v>
      </c>
      <c r="M988" s="14" t="s">
        <v>1181</v>
      </c>
      <c r="N988" s="14" t="s">
        <v>1182</v>
      </c>
      <c r="O988" s="141">
        <v>2</v>
      </c>
      <c r="P988" s="141">
        <v>5</v>
      </c>
      <c r="Q988" s="148">
        <f t="shared" si="30"/>
        <v>7</v>
      </c>
    </row>
    <row r="989" spans="1:17" ht="16.5" hidden="1" x14ac:dyDescent="0.35">
      <c r="A989" s="53">
        <v>988</v>
      </c>
      <c r="B989" s="18" t="s">
        <v>1797</v>
      </c>
      <c r="C989" s="18" t="s">
        <v>663</v>
      </c>
      <c r="D989" s="17" t="s">
        <v>1854</v>
      </c>
      <c r="E989" s="17" t="s">
        <v>1738</v>
      </c>
      <c r="H989" s="25"/>
      <c r="I989" s="18" t="s">
        <v>1066</v>
      </c>
      <c r="J989" s="23" t="s">
        <v>1827</v>
      </c>
      <c r="K989" s="4">
        <v>45</v>
      </c>
      <c r="L989" s="4" t="s">
        <v>2</v>
      </c>
      <c r="M989" s="5" t="s">
        <v>1063</v>
      </c>
      <c r="N989" s="5" t="s">
        <v>1795</v>
      </c>
      <c r="O989" s="147">
        <v>1</v>
      </c>
      <c r="P989" s="15">
        <v>3</v>
      </c>
      <c r="Q989" s="148">
        <f>(O989+P989)</f>
        <v>4</v>
      </c>
    </row>
    <row r="990" spans="1:17" ht="16.5" hidden="1" x14ac:dyDescent="0.35">
      <c r="A990" s="53">
        <v>989</v>
      </c>
      <c r="B990" s="18" t="s">
        <v>1798</v>
      </c>
      <c r="C990" s="18" t="s">
        <v>663</v>
      </c>
      <c r="D990" s="17" t="s">
        <v>1854</v>
      </c>
      <c r="E990" s="17" t="s">
        <v>1738</v>
      </c>
      <c r="H990" s="194"/>
      <c r="I990" s="18" t="s">
        <v>1066</v>
      </c>
      <c r="J990" s="23"/>
      <c r="K990" s="4"/>
      <c r="L990" s="4" t="s">
        <v>2</v>
      </c>
      <c r="M990" s="5" t="s">
        <v>1063</v>
      </c>
      <c r="N990" s="5" t="s">
        <v>1182</v>
      </c>
      <c r="O990" s="147">
        <v>2</v>
      </c>
      <c r="P990" s="15">
        <v>1</v>
      </c>
      <c r="Q990" s="148">
        <f t="shared" ref="Q990:Q1018" si="31">(O990+P990)</f>
        <v>3</v>
      </c>
    </row>
    <row r="991" spans="1:17" ht="16.5" hidden="1" x14ac:dyDescent="0.35">
      <c r="A991" s="53">
        <v>990</v>
      </c>
      <c r="B991" s="18" t="s">
        <v>1799</v>
      </c>
      <c r="C991" s="18" t="s">
        <v>663</v>
      </c>
      <c r="D991" s="17" t="s">
        <v>1854</v>
      </c>
      <c r="E991" s="17" t="s">
        <v>1738</v>
      </c>
      <c r="H991" s="194"/>
      <c r="I991" s="18" t="s">
        <v>1066</v>
      </c>
      <c r="J991" s="23" t="s">
        <v>1828</v>
      </c>
      <c r="K991" s="4">
        <v>51</v>
      </c>
      <c r="L991" s="4" t="s">
        <v>2</v>
      </c>
      <c r="M991" s="5" t="s">
        <v>1063</v>
      </c>
      <c r="N991" s="5" t="s">
        <v>1587</v>
      </c>
      <c r="O991" s="147">
        <v>3</v>
      </c>
      <c r="P991" s="15">
        <v>7</v>
      </c>
      <c r="Q991" s="148">
        <f t="shared" si="31"/>
        <v>10</v>
      </c>
    </row>
    <row r="992" spans="1:17" ht="16.5" hidden="1" x14ac:dyDescent="0.35">
      <c r="A992" s="53">
        <v>991</v>
      </c>
      <c r="B992" s="18" t="s">
        <v>1800</v>
      </c>
      <c r="C992" s="18" t="s">
        <v>663</v>
      </c>
      <c r="D992" s="17" t="s">
        <v>1854</v>
      </c>
      <c r="E992" s="17" t="s">
        <v>1738</v>
      </c>
      <c r="H992" s="194"/>
      <c r="I992" s="18" t="s">
        <v>1066</v>
      </c>
      <c r="J992" s="23" t="s">
        <v>1829</v>
      </c>
      <c r="K992" s="4">
        <v>56</v>
      </c>
      <c r="L992" s="4" t="s">
        <v>2</v>
      </c>
      <c r="M992" s="5" t="s">
        <v>969</v>
      </c>
      <c r="N992" s="5" t="s">
        <v>1182</v>
      </c>
      <c r="O992" s="147">
        <v>1</v>
      </c>
      <c r="P992" s="15">
        <v>1</v>
      </c>
      <c r="Q992" s="148">
        <f t="shared" si="31"/>
        <v>2</v>
      </c>
    </row>
    <row r="993" spans="1:17" ht="16.5" hidden="1" x14ac:dyDescent="0.35">
      <c r="A993" s="53">
        <v>992</v>
      </c>
      <c r="B993" s="18" t="s">
        <v>1801</v>
      </c>
      <c r="C993" s="18" t="s">
        <v>663</v>
      </c>
      <c r="D993" s="17" t="s">
        <v>1854</v>
      </c>
      <c r="E993" s="17" t="s">
        <v>1738</v>
      </c>
      <c r="H993" s="194"/>
      <c r="I993" s="18" t="s">
        <v>1066</v>
      </c>
      <c r="J993" s="23" t="s">
        <v>1830</v>
      </c>
      <c r="K993" s="4">
        <v>40</v>
      </c>
      <c r="L993" s="4" t="s">
        <v>2</v>
      </c>
      <c r="M993" s="3" t="s">
        <v>1063</v>
      </c>
      <c r="N993" s="5" t="s">
        <v>1853</v>
      </c>
      <c r="O993" s="147">
        <v>4</v>
      </c>
      <c r="P993" s="15">
        <v>2</v>
      </c>
      <c r="Q993" s="148">
        <f t="shared" si="31"/>
        <v>6</v>
      </c>
    </row>
    <row r="994" spans="1:17" ht="16.5" hidden="1" x14ac:dyDescent="0.35">
      <c r="A994" s="53">
        <v>993</v>
      </c>
      <c r="B994" s="18" t="s">
        <v>1802</v>
      </c>
      <c r="C994" s="18" t="s">
        <v>663</v>
      </c>
      <c r="D994" s="17" t="s">
        <v>1854</v>
      </c>
      <c r="E994" s="17" t="s">
        <v>1738</v>
      </c>
      <c r="H994" s="194"/>
      <c r="I994" s="18" t="s">
        <v>1066</v>
      </c>
      <c r="J994" s="23" t="s">
        <v>1831</v>
      </c>
      <c r="K994" s="4"/>
      <c r="L994" s="4" t="s">
        <v>2</v>
      </c>
      <c r="M994" s="5" t="s">
        <v>1095</v>
      </c>
      <c r="N994" s="5" t="s">
        <v>1587</v>
      </c>
      <c r="O994" s="147">
        <v>0</v>
      </c>
      <c r="P994" s="15">
        <v>0</v>
      </c>
      <c r="Q994" s="148">
        <f t="shared" si="31"/>
        <v>0</v>
      </c>
    </row>
    <row r="995" spans="1:17" ht="16.5" hidden="1" x14ac:dyDescent="0.35">
      <c r="A995" s="53">
        <v>994</v>
      </c>
      <c r="B995" s="18" t="s">
        <v>1803</v>
      </c>
      <c r="C995" s="18" t="s">
        <v>663</v>
      </c>
      <c r="D995" s="17" t="s">
        <v>1854</v>
      </c>
      <c r="E995" s="17" t="s">
        <v>1738</v>
      </c>
      <c r="H995" s="194"/>
      <c r="I995" s="18" t="s">
        <v>1066</v>
      </c>
      <c r="J995" s="23" t="s">
        <v>1832</v>
      </c>
      <c r="K995" s="4">
        <v>52</v>
      </c>
      <c r="L995" s="4" t="s">
        <v>2</v>
      </c>
      <c r="M995" s="5" t="s">
        <v>1063</v>
      </c>
      <c r="N995" s="5" t="s">
        <v>1587</v>
      </c>
      <c r="O995" s="147">
        <v>3</v>
      </c>
      <c r="P995" s="15">
        <v>1</v>
      </c>
      <c r="Q995" s="148">
        <f t="shared" si="31"/>
        <v>4</v>
      </c>
    </row>
    <row r="996" spans="1:17" ht="16.5" hidden="1" x14ac:dyDescent="0.35">
      <c r="A996" s="53">
        <v>995</v>
      </c>
      <c r="B996" s="18" t="s">
        <v>1804</v>
      </c>
      <c r="C996" s="18" t="s">
        <v>663</v>
      </c>
      <c r="D996" s="17" t="s">
        <v>1854</v>
      </c>
      <c r="E996" s="17" t="s">
        <v>1738</v>
      </c>
      <c r="H996" s="194"/>
      <c r="I996" s="18" t="s">
        <v>1066</v>
      </c>
      <c r="J996" s="23" t="s">
        <v>1833</v>
      </c>
      <c r="K996" s="4">
        <v>52</v>
      </c>
      <c r="L996" s="4" t="s">
        <v>2</v>
      </c>
      <c r="M996" s="5" t="s">
        <v>1181</v>
      </c>
      <c r="N996" s="5" t="s">
        <v>1587</v>
      </c>
      <c r="O996" s="147">
        <v>1</v>
      </c>
      <c r="P996" s="15">
        <v>0</v>
      </c>
      <c r="Q996" s="148">
        <f t="shared" si="31"/>
        <v>1</v>
      </c>
    </row>
    <row r="997" spans="1:17" ht="16.5" hidden="1" x14ac:dyDescent="0.35">
      <c r="A997" s="53">
        <v>996</v>
      </c>
      <c r="B997" s="18" t="s">
        <v>1805</v>
      </c>
      <c r="C997" s="18" t="s">
        <v>663</v>
      </c>
      <c r="D997" s="17" t="s">
        <v>1854</v>
      </c>
      <c r="E997" s="17" t="s">
        <v>1738</v>
      </c>
      <c r="H997" s="194"/>
      <c r="I997" s="18" t="s">
        <v>1066</v>
      </c>
      <c r="J997" s="23" t="s">
        <v>1834</v>
      </c>
      <c r="K997" s="4"/>
      <c r="L997" s="4" t="s">
        <v>2</v>
      </c>
      <c r="M997" s="5" t="s">
        <v>1063</v>
      </c>
      <c r="N997" s="5" t="s">
        <v>1677</v>
      </c>
      <c r="O997" s="147">
        <v>2</v>
      </c>
      <c r="P997" s="15">
        <v>2</v>
      </c>
      <c r="Q997" s="148">
        <f t="shared" si="31"/>
        <v>4</v>
      </c>
    </row>
    <row r="998" spans="1:17" ht="16.5" hidden="1" x14ac:dyDescent="0.35">
      <c r="A998" s="53">
        <v>997</v>
      </c>
      <c r="B998" s="18" t="s">
        <v>1806</v>
      </c>
      <c r="C998" s="18" t="s">
        <v>663</v>
      </c>
      <c r="D998" s="17" t="s">
        <v>1854</v>
      </c>
      <c r="E998" s="17" t="s">
        <v>1738</v>
      </c>
      <c r="H998" s="194"/>
      <c r="I998" s="18" t="s">
        <v>1066</v>
      </c>
      <c r="J998" s="23" t="s">
        <v>1835</v>
      </c>
      <c r="K998" s="4">
        <v>55</v>
      </c>
      <c r="L998" s="4" t="s">
        <v>2</v>
      </c>
      <c r="M998" s="5" t="s">
        <v>1063</v>
      </c>
      <c r="N998" s="5" t="s">
        <v>1182</v>
      </c>
      <c r="O998" s="147">
        <v>2</v>
      </c>
      <c r="P998" s="15">
        <v>5</v>
      </c>
      <c r="Q998" s="148">
        <f t="shared" si="31"/>
        <v>7</v>
      </c>
    </row>
    <row r="999" spans="1:17" ht="16.5" hidden="1" x14ac:dyDescent="0.35">
      <c r="A999" s="53">
        <v>998</v>
      </c>
      <c r="B999" s="18" t="s">
        <v>1807</v>
      </c>
      <c r="C999" s="18" t="s">
        <v>663</v>
      </c>
      <c r="D999" s="17" t="s">
        <v>1854</v>
      </c>
      <c r="E999" s="17" t="s">
        <v>1738</v>
      </c>
      <c r="H999" s="194"/>
      <c r="I999" s="18" t="s">
        <v>1066</v>
      </c>
      <c r="J999" s="23" t="s">
        <v>1836</v>
      </c>
      <c r="K999" s="4">
        <v>46</v>
      </c>
      <c r="L999" s="4" t="s">
        <v>2</v>
      </c>
      <c r="M999" s="5" t="s">
        <v>1063</v>
      </c>
      <c r="N999" s="5" t="s">
        <v>1182</v>
      </c>
      <c r="O999" s="147">
        <v>3</v>
      </c>
      <c r="P999" s="15">
        <v>2</v>
      </c>
      <c r="Q999" s="148">
        <f t="shared" si="31"/>
        <v>5</v>
      </c>
    </row>
    <row r="1000" spans="1:17" ht="16.5" hidden="1" x14ac:dyDescent="0.35">
      <c r="A1000" s="53">
        <v>999</v>
      </c>
      <c r="B1000" s="18" t="s">
        <v>1808</v>
      </c>
      <c r="C1000" s="18" t="s">
        <v>663</v>
      </c>
      <c r="D1000" s="17" t="s">
        <v>1854</v>
      </c>
      <c r="E1000" s="17" t="s">
        <v>1738</v>
      </c>
      <c r="H1000" s="194"/>
      <c r="I1000" s="18" t="s">
        <v>1066</v>
      </c>
      <c r="J1000" s="23" t="s">
        <v>1837</v>
      </c>
      <c r="K1000" s="4"/>
      <c r="L1000" s="4" t="s">
        <v>2</v>
      </c>
      <c r="M1000" s="5" t="s">
        <v>1852</v>
      </c>
      <c r="N1000" s="5" t="s">
        <v>1182</v>
      </c>
      <c r="O1000" s="147">
        <v>0</v>
      </c>
      <c r="P1000" s="15">
        <v>0</v>
      </c>
      <c r="Q1000" s="148">
        <f t="shared" si="31"/>
        <v>0</v>
      </c>
    </row>
    <row r="1001" spans="1:17" ht="16.5" hidden="1" x14ac:dyDescent="0.35">
      <c r="A1001" s="53">
        <v>1000</v>
      </c>
      <c r="B1001" s="18" t="s">
        <v>1809</v>
      </c>
      <c r="C1001" s="18" t="s">
        <v>663</v>
      </c>
      <c r="D1001" s="17" t="s">
        <v>1854</v>
      </c>
      <c r="E1001" s="17" t="s">
        <v>1738</v>
      </c>
      <c r="H1001" s="194"/>
      <c r="I1001" s="18" t="s">
        <v>1066</v>
      </c>
      <c r="J1001" s="23" t="s">
        <v>1838</v>
      </c>
      <c r="K1001" s="4">
        <v>53</v>
      </c>
      <c r="L1001" s="4" t="s">
        <v>2</v>
      </c>
      <c r="M1001" s="5" t="s">
        <v>1063</v>
      </c>
      <c r="N1001" s="5" t="s">
        <v>1182</v>
      </c>
      <c r="O1001" s="147">
        <v>1</v>
      </c>
      <c r="P1001" s="15">
        <v>2</v>
      </c>
      <c r="Q1001" s="148">
        <f t="shared" si="31"/>
        <v>3</v>
      </c>
    </row>
    <row r="1002" spans="1:17" ht="16.5" hidden="1" x14ac:dyDescent="0.35">
      <c r="A1002" s="53">
        <v>1001</v>
      </c>
      <c r="B1002" s="18" t="s">
        <v>1810</v>
      </c>
      <c r="C1002" s="18" t="s">
        <v>663</v>
      </c>
      <c r="D1002" s="17" t="s">
        <v>1854</v>
      </c>
      <c r="E1002" s="17" t="s">
        <v>1738</v>
      </c>
      <c r="H1002" s="194"/>
      <c r="I1002" s="18" t="s">
        <v>1066</v>
      </c>
      <c r="J1002" s="23" t="s">
        <v>1839</v>
      </c>
      <c r="K1002" s="4">
        <v>46</v>
      </c>
      <c r="L1002" s="4" t="s">
        <v>2</v>
      </c>
      <c r="M1002" s="5" t="s">
        <v>969</v>
      </c>
      <c r="N1002" s="5" t="s">
        <v>1182</v>
      </c>
      <c r="O1002" s="147">
        <v>4</v>
      </c>
      <c r="P1002" s="15">
        <v>2</v>
      </c>
      <c r="Q1002" s="148">
        <f t="shared" si="31"/>
        <v>6</v>
      </c>
    </row>
    <row r="1003" spans="1:17" ht="16.5" hidden="1" x14ac:dyDescent="0.35">
      <c r="A1003" s="53">
        <v>1002</v>
      </c>
      <c r="B1003" s="18" t="s">
        <v>1811</v>
      </c>
      <c r="C1003" s="18" t="s">
        <v>663</v>
      </c>
      <c r="D1003" s="17" t="s">
        <v>1854</v>
      </c>
      <c r="E1003" s="17" t="s">
        <v>1738</v>
      </c>
      <c r="H1003" s="194"/>
      <c r="I1003" s="18" t="s">
        <v>1066</v>
      </c>
      <c r="J1003" s="23" t="s">
        <v>1840</v>
      </c>
      <c r="K1003" s="4">
        <v>64</v>
      </c>
      <c r="L1003" s="4" t="s">
        <v>2</v>
      </c>
      <c r="M1003" s="5" t="s">
        <v>1852</v>
      </c>
      <c r="N1003" s="5" t="s">
        <v>1182</v>
      </c>
      <c r="O1003" s="147">
        <v>2</v>
      </c>
      <c r="P1003" s="15">
        <v>4</v>
      </c>
      <c r="Q1003" s="148">
        <f t="shared" si="31"/>
        <v>6</v>
      </c>
    </row>
    <row r="1004" spans="1:17" ht="16.5" hidden="1" x14ac:dyDescent="0.35">
      <c r="A1004" s="53">
        <v>1003</v>
      </c>
      <c r="B1004" s="18" t="s">
        <v>1812</v>
      </c>
      <c r="C1004" s="18" t="s">
        <v>663</v>
      </c>
      <c r="D1004" s="17" t="s">
        <v>1854</v>
      </c>
      <c r="E1004" s="17" t="s">
        <v>1738</v>
      </c>
      <c r="H1004" s="194"/>
      <c r="I1004" s="18" t="s">
        <v>1066</v>
      </c>
      <c r="J1004" s="23" t="s">
        <v>1841</v>
      </c>
      <c r="K1004" s="4">
        <v>55</v>
      </c>
      <c r="L1004" s="4" t="s">
        <v>2</v>
      </c>
      <c r="M1004" s="5" t="s">
        <v>1181</v>
      </c>
      <c r="N1004" s="5" t="s">
        <v>1182</v>
      </c>
      <c r="O1004" s="147">
        <v>4</v>
      </c>
      <c r="P1004" s="15">
        <v>3</v>
      </c>
      <c r="Q1004" s="148">
        <f t="shared" si="31"/>
        <v>7</v>
      </c>
    </row>
    <row r="1005" spans="1:17" ht="16.5" hidden="1" x14ac:dyDescent="0.35">
      <c r="A1005" s="53">
        <v>1004</v>
      </c>
      <c r="B1005" s="18" t="s">
        <v>1813</v>
      </c>
      <c r="C1005" s="18" t="s">
        <v>663</v>
      </c>
      <c r="D1005" s="17" t="s">
        <v>1854</v>
      </c>
      <c r="E1005" s="17" t="s">
        <v>1738</v>
      </c>
      <c r="H1005" s="194"/>
      <c r="I1005" s="18" t="s">
        <v>1066</v>
      </c>
      <c r="J1005" s="23" t="s">
        <v>1842</v>
      </c>
      <c r="K1005" s="4">
        <v>44</v>
      </c>
      <c r="L1005" s="4" t="s">
        <v>2</v>
      </c>
      <c r="M1005" s="5" t="s">
        <v>1063</v>
      </c>
      <c r="N1005" s="5" t="s">
        <v>1587</v>
      </c>
      <c r="O1005" s="147">
        <v>3</v>
      </c>
      <c r="P1005" s="15">
        <v>3</v>
      </c>
      <c r="Q1005" s="148">
        <f t="shared" si="31"/>
        <v>6</v>
      </c>
    </row>
    <row r="1006" spans="1:17" ht="16.5" hidden="1" x14ac:dyDescent="0.35">
      <c r="A1006" s="53">
        <v>1005</v>
      </c>
      <c r="B1006" s="18" t="s">
        <v>1814</v>
      </c>
      <c r="C1006" s="18" t="s">
        <v>663</v>
      </c>
      <c r="D1006" s="17" t="s">
        <v>1854</v>
      </c>
      <c r="E1006" s="17" t="s">
        <v>1738</v>
      </c>
      <c r="H1006" s="194"/>
      <c r="I1006" s="18" t="s">
        <v>1066</v>
      </c>
      <c r="J1006" s="23" t="s">
        <v>1843</v>
      </c>
      <c r="K1006" s="4">
        <v>40</v>
      </c>
      <c r="L1006" s="4" t="s">
        <v>2</v>
      </c>
      <c r="M1006" s="5" t="s">
        <v>1181</v>
      </c>
      <c r="N1006" s="5" t="s">
        <v>1587</v>
      </c>
      <c r="O1006" s="147">
        <v>3</v>
      </c>
      <c r="P1006" s="15">
        <v>2</v>
      </c>
      <c r="Q1006" s="148">
        <f t="shared" si="31"/>
        <v>5</v>
      </c>
    </row>
    <row r="1007" spans="1:17" ht="16.5" hidden="1" x14ac:dyDescent="0.35">
      <c r="A1007" s="53">
        <v>1006</v>
      </c>
      <c r="B1007" s="18" t="s">
        <v>1815</v>
      </c>
      <c r="C1007" s="18" t="s">
        <v>663</v>
      </c>
      <c r="D1007" s="17" t="s">
        <v>1854</v>
      </c>
      <c r="E1007" s="17" t="s">
        <v>1738</v>
      </c>
      <c r="H1007" s="194"/>
      <c r="I1007" s="18" t="s">
        <v>1066</v>
      </c>
      <c r="J1007" s="23" t="s">
        <v>1844</v>
      </c>
      <c r="K1007" s="4">
        <v>52</v>
      </c>
      <c r="L1007" s="4" t="s">
        <v>9</v>
      </c>
      <c r="M1007" s="5" t="s">
        <v>1063</v>
      </c>
      <c r="N1007" s="5" t="s">
        <v>972</v>
      </c>
      <c r="O1007" s="147">
        <v>1</v>
      </c>
      <c r="P1007" s="15">
        <v>3</v>
      </c>
      <c r="Q1007" s="148">
        <f t="shared" si="31"/>
        <v>4</v>
      </c>
    </row>
    <row r="1008" spans="1:17" ht="16.5" hidden="1" x14ac:dyDescent="0.35">
      <c r="A1008" s="53">
        <v>1007</v>
      </c>
      <c r="B1008" s="18" t="s">
        <v>1816</v>
      </c>
      <c r="C1008" s="18" t="s">
        <v>663</v>
      </c>
      <c r="D1008" s="17" t="s">
        <v>1854</v>
      </c>
      <c r="E1008" s="17" t="s">
        <v>1738</v>
      </c>
      <c r="H1008" s="194"/>
      <c r="I1008" s="18" t="s">
        <v>1066</v>
      </c>
      <c r="J1008" s="23" t="s">
        <v>1845</v>
      </c>
      <c r="K1008" s="4">
        <v>55</v>
      </c>
      <c r="L1008" s="4" t="s">
        <v>9</v>
      </c>
      <c r="M1008" s="5" t="s">
        <v>1063</v>
      </c>
      <c r="N1008" s="5" t="s">
        <v>972</v>
      </c>
      <c r="O1008" s="147">
        <v>0</v>
      </c>
      <c r="P1008" s="15">
        <v>0</v>
      </c>
      <c r="Q1008" s="148">
        <f t="shared" si="31"/>
        <v>0</v>
      </c>
    </row>
    <row r="1009" spans="1:17" ht="16.5" hidden="1" x14ac:dyDescent="0.35">
      <c r="A1009" s="53">
        <v>1008</v>
      </c>
      <c r="B1009" s="18" t="s">
        <v>1817</v>
      </c>
      <c r="C1009" s="18" t="s">
        <v>663</v>
      </c>
      <c r="D1009" s="17" t="s">
        <v>1854</v>
      </c>
      <c r="E1009" s="17" t="s">
        <v>1738</v>
      </c>
      <c r="H1009" s="194"/>
      <c r="I1009" s="18" t="s">
        <v>1066</v>
      </c>
      <c r="J1009" s="23"/>
      <c r="K1009" s="4">
        <v>42</v>
      </c>
      <c r="L1009" s="4" t="s">
        <v>2</v>
      </c>
      <c r="M1009" s="5" t="s">
        <v>1063</v>
      </c>
      <c r="N1009" s="5" t="s">
        <v>1182</v>
      </c>
      <c r="O1009" s="147">
        <v>3</v>
      </c>
      <c r="P1009" s="15">
        <v>3</v>
      </c>
      <c r="Q1009" s="148">
        <f t="shared" si="31"/>
        <v>6</v>
      </c>
    </row>
    <row r="1010" spans="1:17" ht="16.5" hidden="1" x14ac:dyDescent="0.35">
      <c r="A1010" s="53">
        <v>1009</v>
      </c>
      <c r="B1010" s="18" t="s">
        <v>1818</v>
      </c>
      <c r="C1010" s="18" t="s">
        <v>663</v>
      </c>
      <c r="D1010" s="17" t="s">
        <v>1854</v>
      </c>
      <c r="E1010" s="17" t="s">
        <v>1738</v>
      </c>
      <c r="H1010" s="194"/>
      <c r="I1010" s="18" t="s">
        <v>1066</v>
      </c>
      <c r="J1010" s="23"/>
      <c r="K1010" s="4">
        <v>26</v>
      </c>
      <c r="L1010" s="4" t="s">
        <v>2</v>
      </c>
      <c r="M1010" s="5" t="s">
        <v>1063</v>
      </c>
      <c r="N1010" s="5" t="s">
        <v>1182</v>
      </c>
      <c r="O1010" s="147">
        <v>1</v>
      </c>
      <c r="P1010" s="15">
        <v>2</v>
      </c>
      <c r="Q1010" s="148">
        <f t="shared" si="31"/>
        <v>3</v>
      </c>
    </row>
    <row r="1011" spans="1:17" ht="16.5" hidden="1" x14ac:dyDescent="0.35">
      <c r="A1011" s="53">
        <v>1010</v>
      </c>
      <c r="B1011" s="18" t="s">
        <v>1819</v>
      </c>
      <c r="C1011" s="18" t="s">
        <v>663</v>
      </c>
      <c r="D1011" s="17" t="s">
        <v>1854</v>
      </c>
      <c r="E1011" s="17" t="s">
        <v>1738</v>
      </c>
      <c r="H1011" s="194"/>
      <c r="I1011" s="18" t="s">
        <v>1066</v>
      </c>
      <c r="J1011" s="23"/>
      <c r="K1011" s="4">
        <v>25</v>
      </c>
      <c r="L1011" s="4" t="s">
        <v>2</v>
      </c>
      <c r="M1011" s="5" t="s">
        <v>1095</v>
      </c>
      <c r="N1011" s="5" t="s">
        <v>1677</v>
      </c>
      <c r="O1011" s="147">
        <v>1</v>
      </c>
      <c r="P1011" s="15">
        <v>0</v>
      </c>
      <c r="Q1011" s="148">
        <f t="shared" si="31"/>
        <v>1</v>
      </c>
    </row>
    <row r="1012" spans="1:17" ht="16.5" hidden="1" x14ac:dyDescent="0.5">
      <c r="A1012" s="53">
        <v>1011</v>
      </c>
      <c r="B1012" s="18" t="s">
        <v>1820</v>
      </c>
      <c r="C1012" s="18" t="s">
        <v>663</v>
      </c>
      <c r="D1012" s="17" t="s">
        <v>1854</v>
      </c>
      <c r="E1012" s="17" t="s">
        <v>1738</v>
      </c>
      <c r="H1012" s="194"/>
      <c r="I1012" s="18" t="s">
        <v>1066</v>
      </c>
      <c r="J1012" s="23" t="s">
        <v>1846</v>
      </c>
      <c r="K1012" s="6">
        <v>44</v>
      </c>
      <c r="L1012" s="4" t="s">
        <v>2</v>
      </c>
      <c r="M1012" s="6" t="s">
        <v>1063</v>
      </c>
      <c r="N1012" s="6" t="s">
        <v>1587</v>
      </c>
      <c r="O1012" s="149">
        <v>2</v>
      </c>
      <c r="P1012" s="149">
        <v>3</v>
      </c>
      <c r="Q1012" s="148">
        <f t="shared" si="31"/>
        <v>5</v>
      </c>
    </row>
    <row r="1013" spans="1:17" ht="16.5" hidden="1" x14ac:dyDescent="0.35">
      <c r="A1013" s="53">
        <v>1012</v>
      </c>
      <c r="B1013" s="18" t="s">
        <v>1821</v>
      </c>
      <c r="C1013" s="18" t="s">
        <v>663</v>
      </c>
      <c r="D1013" s="17" t="s">
        <v>1854</v>
      </c>
      <c r="E1013" s="17" t="s">
        <v>1738</v>
      </c>
      <c r="H1013" s="194"/>
      <c r="I1013" s="18" t="s">
        <v>1066</v>
      </c>
      <c r="J1013" s="24" t="s">
        <v>1847</v>
      </c>
      <c r="K1013" s="8">
        <v>55</v>
      </c>
      <c r="L1013" s="4" t="s">
        <v>9</v>
      </c>
      <c r="M1013" s="8" t="s">
        <v>1063</v>
      </c>
      <c r="N1013" s="8" t="s">
        <v>972</v>
      </c>
      <c r="O1013" s="151">
        <v>8</v>
      </c>
      <c r="P1013" s="151">
        <v>7</v>
      </c>
      <c r="Q1013" s="148">
        <f t="shared" si="31"/>
        <v>15</v>
      </c>
    </row>
    <row r="1014" spans="1:17" ht="16.5" hidden="1" x14ac:dyDescent="0.35">
      <c r="A1014" s="53">
        <v>1013</v>
      </c>
      <c r="B1014" s="351" t="s">
        <v>1822</v>
      </c>
      <c r="C1014" s="18" t="s">
        <v>663</v>
      </c>
      <c r="D1014" s="17" t="s">
        <v>1854</v>
      </c>
      <c r="E1014" s="17" t="s">
        <v>1738</v>
      </c>
      <c r="H1014" s="194"/>
      <c r="I1014" s="18" t="s">
        <v>1066</v>
      </c>
      <c r="J1014" s="25" t="s">
        <v>1848</v>
      </c>
      <c r="K1014" s="11">
        <v>26</v>
      </c>
      <c r="L1014" s="178" t="s">
        <v>2</v>
      </c>
      <c r="M1014" s="11" t="s">
        <v>1063</v>
      </c>
      <c r="N1014" s="11" t="s">
        <v>1587</v>
      </c>
      <c r="O1014" s="143">
        <v>2</v>
      </c>
      <c r="P1014" s="143">
        <v>1</v>
      </c>
      <c r="Q1014" s="148">
        <f t="shared" si="31"/>
        <v>3</v>
      </c>
    </row>
    <row r="1015" spans="1:17" ht="16.5" hidden="1" x14ac:dyDescent="0.35">
      <c r="A1015" s="53">
        <v>1014</v>
      </c>
      <c r="B1015" s="351" t="s">
        <v>1823</v>
      </c>
      <c r="C1015" s="18" t="s">
        <v>663</v>
      </c>
      <c r="D1015" s="17" t="s">
        <v>1854</v>
      </c>
      <c r="E1015" s="17" t="s">
        <v>1738</v>
      </c>
      <c r="H1015" s="194"/>
      <c r="I1015" s="18" t="s">
        <v>1066</v>
      </c>
      <c r="J1015" s="25"/>
      <c r="K1015" s="11">
        <v>44</v>
      </c>
      <c r="L1015" s="178" t="s">
        <v>2</v>
      </c>
      <c r="M1015" s="11" t="s">
        <v>1063</v>
      </c>
      <c r="N1015" s="11" t="s">
        <v>1182</v>
      </c>
      <c r="O1015" s="143">
        <v>4</v>
      </c>
      <c r="P1015" s="143">
        <v>2</v>
      </c>
      <c r="Q1015" s="148">
        <f t="shared" si="31"/>
        <v>6</v>
      </c>
    </row>
    <row r="1016" spans="1:17" ht="16.5" hidden="1" x14ac:dyDescent="0.35">
      <c r="A1016" s="53">
        <v>1015</v>
      </c>
      <c r="B1016" s="351" t="s">
        <v>1824</v>
      </c>
      <c r="C1016" s="18" t="s">
        <v>663</v>
      </c>
      <c r="D1016" s="17" t="s">
        <v>1854</v>
      </c>
      <c r="E1016" s="17" t="s">
        <v>1738</v>
      </c>
      <c r="H1016" s="194"/>
      <c r="I1016" s="18" t="s">
        <v>1066</v>
      </c>
      <c r="J1016" s="25" t="s">
        <v>1849</v>
      </c>
      <c r="K1016" s="11">
        <v>44</v>
      </c>
      <c r="L1016" s="178" t="s">
        <v>2</v>
      </c>
      <c r="M1016" s="11" t="s">
        <v>1063</v>
      </c>
      <c r="N1016" s="11" t="s">
        <v>1587</v>
      </c>
      <c r="O1016" s="143">
        <v>2</v>
      </c>
      <c r="P1016" s="143">
        <v>3</v>
      </c>
      <c r="Q1016" s="148">
        <f t="shared" si="31"/>
        <v>5</v>
      </c>
    </row>
    <row r="1017" spans="1:17" ht="16.5" hidden="1" x14ac:dyDescent="0.35">
      <c r="A1017" s="53">
        <v>1016</v>
      </c>
      <c r="B1017" s="351" t="s">
        <v>1825</v>
      </c>
      <c r="C1017" s="18" t="s">
        <v>663</v>
      </c>
      <c r="D1017" s="17" t="s">
        <v>1854</v>
      </c>
      <c r="E1017" s="17" t="s">
        <v>1738</v>
      </c>
      <c r="H1017" s="194"/>
      <c r="I1017" s="18" t="s">
        <v>1066</v>
      </c>
      <c r="J1017" s="25" t="s">
        <v>1850</v>
      </c>
      <c r="K1017" s="11">
        <v>54</v>
      </c>
      <c r="L1017" s="178" t="s">
        <v>2</v>
      </c>
      <c r="M1017" s="11" t="s">
        <v>1852</v>
      </c>
      <c r="N1017" s="11" t="s">
        <v>1182</v>
      </c>
      <c r="O1017" s="143">
        <v>2</v>
      </c>
      <c r="P1017" s="143">
        <v>3</v>
      </c>
      <c r="Q1017" s="148">
        <f t="shared" si="31"/>
        <v>5</v>
      </c>
    </row>
    <row r="1018" spans="1:17" ht="17" hidden="1" thickBot="1" x14ac:dyDescent="0.4">
      <c r="A1018" s="53">
        <v>1017</v>
      </c>
      <c r="B1018" s="351" t="s">
        <v>1826</v>
      </c>
      <c r="C1018" s="18" t="s">
        <v>663</v>
      </c>
      <c r="D1018" s="17" t="s">
        <v>1854</v>
      </c>
      <c r="E1018" s="17" t="s">
        <v>1738</v>
      </c>
      <c r="H1018" s="194"/>
      <c r="I1018" s="18" t="s">
        <v>1066</v>
      </c>
      <c r="J1018" s="193" t="s">
        <v>1851</v>
      </c>
      <c r="K1018" s="14">
        <v>42</v>
      </c>
      <c r="L1018" s="14" t="s">
        <v>2</v>
      </c>
      <c r="M1018" s="14" t="s">
        <v>1063</v>
      </c>
      <c r="N1018" s="14" t="s">
        <v>1587</v>
      </c>
      <c r="O1018" s="141">
        <v>2</v>
      </c>
      <c r="P1018" s="141">
        <v>2</v>
      </c>
      <c r="Q1018" s="148">
        <f t="shared" si="31"/>
        <v>4</v>
      </c>
    </row>
    <row r="1019" spans="1:17" ht="16.5" hidden="1" x14ac:dyDescent="0.35">
      <c r="A1019" s="53">
        <v>1018</v>
      </c>
      <c r="B1019" s="18" t="s">
        <v>1855</v>
      </c>
      <c r="C1019" s="18" t="s">
        <v>663</v>
      </c>
      <c r="D1019" s="17" t="s">
        <v>1894</v>
      </c>
      <c r="E1019" s="17" t="s">
        <v>1895</v>
      </c>
      <c r="H1019" s="25"/>
      <c r="I1019" s="18" t="s">
        <v>1066</v>
      </c>
      <c r="J1019" s="23" t="s">
        <v>1879</v>
      </c>
      <c r="L1019" s="4" t="s">
        <v>9</v>
      </c>
      <c r="M1019" s="5"/>
      <c r="O1019" s="147">
        <v>2</v>
      </c>
      <c r="P1019" s="15">
        <v>0</v>
      </c>
      <c r="Q1019" s="148">
        <f>(O1019+P1019)</f>
        <v>2</v>
      </c>
    </row>
    <row r="1020" spans="1:17" ht="16.5" hidden="1" x14ac:dyDescent="0.35">
      <c r="A1020" s="53">
        <v>1019</v>
      </c>
      <c r="B1020" s="18" t="s">
        <v>1856</v>
      </c>
      <c r="C1020" s="18" t="s">
        <v>663</v>
      </c>
      <c r="D1020" s="17" t="s">
        <v>1894</v>
      </c>
      <c r="E1020" s="17" t="s">
        <v>1895</v>
      </c>
      <c r="H1020" s="194"/>
      <c r="I1020" s="18" t="s">
        <v>1066</v>
      </c>
      <c r="J1020" s="23" t="s">
        <v>1880</v>
      </c>
      <c r="L1020" s="4" t="s">
        <v>9</v>
      </c>
      <c r="M1020" s="5"/>
      <c r="O1020" s="147">
        <v>2</v>
      </c>
      <c r="P1020" s="15">
        <v>2</v>
      </c>
      <c r="Q1020" s="148">
        <f t="shared" ref="Q1020:Q1043" si="32">(O1020+P1020)</f>
        <v>4</v>
      </c>
    </row>
    <row r="1021" spans="1:17" ht="16.5" hidden="1" x14ac:dyDescent="0.35">
      <c r="A1021" s="53">
        <v>1020</v>
      </c>
      <c r="B1021" s="18" t="s">
        <v>245</v>
      </c>
      <c r="C1021" s="18" t="s">
        <v>663</v>
      </c>
      <c r="D1021" s="17" t="s">
        <v>1894</v>
      </c>
      <c r="E1021" s="17" t="s">
        <v>1895</v>
      </c>
      <c r="H1021" s="194"/>
      <c r="I1021" s="18" t="s">
        <v>1066</v>
      </c>
      <c r="J1021" s="23" t="s">
        <v>1881</v>
      </c>
      <c r="L1021" s="4" t="s">
        <v>9</v>
      </c>
      <c r="M1021" s="5"/>
      <c r="O1021" s="147">
        <v>3</v>
      </c>
      <c r="P1021" s="15">
        <v>0</v>
      </c>
      <c r="Q1021" s="148">
        <f t="shared" si="32"/>
        <v>3</v>
      </c>
    </row>
    <row r="1022" spans="1:17" ht="16.5" hidden="1" x14ac:dyDescent="0.35">
      <c r="A1022" s="53">
        <v>1021</v>
      </c>
      <c r="B1022" s="18" t="s">
        <v>1857</v>
      </c>
      <c r="C1022" s="18" t="s">
        <v>663</v>
      </c>
      <c r="D1022" s="17" t="s">
        <v>1894</v>
      </c>
      <c r="E1022" s="17" t="s">
        <v>1895</v>
      </c>
      <c r="H1022" s="194"/>
      <c r="I1022" s="18" t="s">
        <v>1066</v>
      </c>
      <c r="J1022" s="23" t="s">
        <v>1882</v>
      </c>
      <c r="L1022" s="4" t="s">
        <v>2</v>
      </c>
      <c r="M1022" s="5"/>
      <c r="O1022" s="147">
        <v>1</v>
      </c>
      <c r="P1022" s="15">
        <v>0</v>
      </c>
      <c r="Q1022" s="148">
        <f t="shared" si="32"/>
        <v>1</v>
      </c>
    </row>
    <row r="1023" spans="1:17" ht="16.5" hidden="1" x14ac:dyDescent="0.35">
      <c r="A1023" s="53">
        <v>1022</v>
      </c>
      <c r="B1023" s="18" t="s">
        <v>1858</v>
      </c>
      <c r="C1023" s="18" t="s">
        <v>663</v>
      </c>
      <c r="D1023" s="17" t="s">
        <v>1894</v>
      </c>
      <c r="E1023" s="17" t="s">
        <v>1895</v>
      </c>
      <c r="H1023" s="194"/>
      <c r="I1023" s="18" t="s">
        <v>1066</v>
      </c>
      <c r="J1023" s="23" t="s">
        <v>1883</v>
      </c>
      <c r="L1023" s="4" t="s">
        <v>9</v>
      </c>
      <c r="M1023" s="5"/>
      <c r="O1023" s="147">
        <v>1</v>
      </c>
      <c r="P1023" s="15">
        <v>0</v>
      </c>
      <c r="Q1023" s="148">
        <f t="shared" si="32"/>
        <v>1</v>
      </c>
    </row>
    <row r="1024" spans="1:17" ht="16.5" hidden="1" x14ac:dyDescent="0.35">
      <c r="A1024" s="53">
        <v>1023</v>
      </c>
      <c r="B1024" s="18" t="s">
        <v>1859</v>
      </c>
      <c r="C1024" s="18" t="s">
        <v>663</v>
      </c>
      <c r="D1024" s="17" t="s">
        <v>1894</v>
      </c>
      <c r="E1024" s="17" t="s">
        <v>1895</v>
      </c>
      <c r="H1024" s="194"/>
      <c r="I1024" s="18" t="s">
        <v>1066</v>
      </c>
      <c r="J1024" s="23" t="s">
        <v>1884</v>
      </c>
      <c r="L1024" s="4" t="s">
        <v>9</v>
      </c>
      <c r="M1024" s="5"/>
      <c r="O1024" s="147">
        <v>0</v>
      </c>
      <c r="P1024" s="15">
        <v>2</v>
      </c>
      <c r="Q1024" s="148">
        <f t="shared" si="32"/>
        <v>2</v>
      </c>
    </row>
    <row r="1025" spans="1:17" ht="16.5" hidden="1" x14ac:dyDescent="0.35">
      <c r="A1025" s="53">
        <v>1024</v>
      </c>
      <c r="B1025" s="18" t="s">
        <v>1860</v>
      </c>
      <c r="C1025" s="18" t="s">
        <v>663</v>
      </c>
      <c r="D1025" s="17" t="s">
        <v>1894</v>
      </c>
      <c r="E1025" s="17" t="s">
        <v>1895</v>
      </c>
      <c r="H1025" s="194"/>
      <c r="I1025" s="18" t="s">
        <v>1066</v>
      </c>
      <c r="J1025" s="23" t="s">
        <v>1885</v>
      </c>
      <c r="L1025" s="4" t="s">
        <v>9</v>
      </c>
      <c r="M1025" s="5"/>
      <c r="O1025" s="147">
        <v>3</v>
      </c>
      <c r="P1025" s="15">
        <v>4</v>
      </c>
      <c r="Q1025" s="148">
        <f t="shared" si="32"/>
        <v>7</v>
      </c>
    </row>
    <row r="1026" spans="1:17" ht="16.5" hidden="1" x14ac:dyDescent="0.35">
      <c r="A1026" s="53">
        <v>1025</v>
      </c>
      <c r="B1026" s="18" t="s">
        <v>1861</v>
      </c>
      <c r="C1026" s="18" t="s">
        <v>663</v>
      </c>
      <c r="D1026" s="17" t="s">
        <v>1894</v>
      </c>
      <c r="E1026" s="17" t="s">
        <v>1895</v>
      </c>
      <c r="H1026" s="194"/>
      <c r="I1026" s="18" t="s">
        <v>1066</v>
      </c>
      <c r="J1026" s="23" t="s">
        <v>1886</v>
      </c>
      <c r="L1026" s="4" t="s">
        <v>2</v>
      </c>
      <c r="M1026" s="5"/>
      <c r="O1026" s="147">
        <v>1</v>
      </c>
      <c r="P1026" s="15">
        <v>1</v>
      </c>
      <c r="Q1026" s="148">
        <f t="shared" si="32"/>
        <v>2</v>
      </c>
    </row>
    <row r="1027" spans="1:17" ht="16.5" hidden="1" x14ac:dyDescent="0.35">
      <c r="A1027" s="53">
        <v>1026</v>
      </c>
      <c r="B1027" s="18" t="s">
        <v>1862</v>
      </c>
      <c r="C1027" s="18" t="s">
        <v>663</v>
      </c>
      <c r="D1027" s="17" t="s">
        <v>1894</v>
      </c>
      <c r="E1027" s="17" t="s">
        <v>1895</v>
      </c>
      <c r="H1027" s="194"/>
      <c r="I1027" s="18" t="s">
        <v>1066</v>
      </c>
      <c r="J1027" s="23"/>
      <c r="L1027" s="4" t="s">
        <v>2</v>
      </c>
      <c r="M1027" s="5"/>
      <c r="O1027" s="147">
        <v>0</v>
      </c>
      <c r="P1027" s="15">
        <v>0</v>
      </c>
      <c r="Q1027" s="148">
        <f t="shared" si="32"/>
        <v>0</v>
      </c>
    </row>
    <row r="1028" spans="1:17" ht="16.5" hidden="1" x14ac:dyDescent="0.35">
      <c r="A1028" s="53">
        <v>1027</v>
      </c>
      <c r="B1028" s="18" t="s">
        <v>1863</v>
      </c>
      <c r="C1028" s="18" t="s">
        <v>663</v>
      </c>
      <c r="D1028" s="17" t="s">
        <v>1894</v>
      </c>
      <c r="E1028" s="17" t="s">
        <v>1895</v>
      </c>
      <c r="H1028" s="194"/>
      <c r="I1028" s="18" t="s">
        <v>1066</v>
      </c>
      <c r="J1028" s="23" t="s">
        <v>1887</v>
      </c>
      <c r="L1028" s="4" t="s">
        <v>2</v>
      </c>
      <c r="M1028" s="5"/>
      <c r="O1028" s="147">
        <v>0</v>
      </c>
      <c r="P1028" s="15">
        <v>1</v>
      </c>
      <c r="Q1028" s="148">
        <f t="shared" si="32"/>
        <v>1</v>
      </c>
    </row>
    <row r="1029" spans="1:17" ht="16.5" hidden="1" x14ac:dyDescent="0.35">
      <c r="A1029" s="53">
        <v>1028</v>
      </c>
      <c r="B1029" s="18" t="s">
        <v>1864</v>
      </c>
      <c r="C1029" s="18" t="s">
        <v>663</v>
      </c>
      <c r="D1029" s="17" t="s">
        <v>1894</v>
      </c>
      <c r="E1029" s="17" t="s">
        <v>1895</v>
      </c>
      <c r="H1029" s="194"/>
      <c r="I1029" s="18" t="s">
        <v>1066</v>
      </c>
      <c r="J1029" s="23" t="s">
        <v>1888</v>
      </c>
      <c r="L1029" s="4" t="s">
        <v>2</v>
      </c>
      <c r="M1029" s="5"/>
      <c r="O1029" s="147">
        <v>2</v>
      </c>
      <c r="P1029" s="15">
        <v>0</v>
      </c>
      <c r="Q1029" s="148">
        <f t="shared" si="32"/>
        <v>2</v>
      </c>
    </row>
    <row r="1030" spans="1:17" ht="16.5" hidden="1" x14ac:dyDescent="0.35">
      <c r="A1030" s="53">
        <v>1029</v>
      </c>
      <c r="B1030" s="18" t="s">
        <v>1865</v>
      </c>
      <c r="C1030" s="18" t="s">
        <v>663</v>
      </c>
      <c r="D1030" s="17" t="s">
        <v>1894</v>
      </c>
      <c r="E1030" s="17" t="s">
        <v>1895</v>
      </c>
      <c r="H1030" s="194"/>
      <c r="I1030" s="18" t="s">
        <v>1066</v>
      </c>
      <c r="J1030" s="23" t="s">
        <v>1889</v>
      </c>
      <c r="L1030" s="4" t="s">
        <v>2</v>
      </c>
      <c r="M1030" s="5"/>
      <c r="O1030" s="147">
        <v>0</v>
      </c>
      <c r="P1030" s="15">
        <v>2</v>
      </c>
      <c r="Q1030" s="148">
        <f t="shared" si="32"/>
        <v>2</v>
      </c>
    </row>
    <row r="1031" spans="1:17" ht="16.5" hidden="1" x14ac:dyDescent="0.35">
      <c r="A1031" s="53">
        <v>1030</v>
      </c>
      <c r="B1031" s="18" t="s">
        <v>1866</v>
      </c>
      <c r="C1031" s="18" t="s">
        <v>663</v>
      </c>
      <c r="D1031" s="17" t="s">
        <v>1894</v>
      </c>
      <c r="E1031" s="17" t="s">
        <v>1895</v>
      </c>
      <c r="H1031" s="194"/>
      <c r="I1031" s="18" t="s">
        <v>1066</v>
      </c>
      <c r="J1031" s="23" t="s">
        <v>1890</v>
      </c>
      <c r="L1031" s="4" t="s">
        <v>2</v>
      </c>
      <c r="M1031" s="5"/>
      <c r="O1031" s="147">
        <v>2</v>
      </c>
      <c r="P1031" s="15">
        <v>2</v>
      </c>
      <c r="Q1031" s="148">
        <f t="shared" si="32"/>
        <v>4</v>
      </c>
    </row>
    <row r="1032" spans="1:17" ht="16.5" hidden="1" x14ac:dyDescent="0.35">
      <c r="A1032" s="53">
        <v>1031</v>
      </c>
      <c r="B1032" s="18" t="s">
        <v>1867</v>
      </c>
      <c r="C1032" s="18" t="s">
        <v>663</v>
      </c>
      <c r="D1032" s="17" t="s">
        <v>1894</v>
      </c>
      <c r="E1032" s="17" t="s">
        <v>1895</v>
      </c>
      <c r="H1032" s="194"/>
      <c r="I1032" s="18" t="s">
        <v>1066</v>
      </c>
      <c r="J1032" s="23" t="s">
        <v>1891</v>
      </c>
      <c r="L1032" s="4" t="s">
        <v>2</v>
      </c>
      <c r="M1032" s="5"/>
      <c r="O1032" s="147">
        <v>0</v>
      </c>
      <c r="P1032" s="15">
        <v>0</v>
      </c>
      <c r="Q1032" s="148">
        <f t="shared" si="32"/>
        <v>0</v>
      </c>
    </row>
    <row r="1033" spans="1:17" ht="16.5" hidden="1" x14ac:dyDescent="0.35">
      <c r="A1033" s="53">
        <v>1032</v>
      </c>
      <c r="B1033" s="18" t="s">
        <v>1868</v>
      </c>
      <c r="C1033" s="18" t="s">
        <v>663</v>
      </c>
      <c r="D1033" s="17" t="s">
        <v>1894</v>
      </c>
      <c r="E1033" s="17" t="s">
        <v>1895</v>
      </c>
      <c r="H1033" s="194"/>
      <c r="I1033" s="18" t="s">
        <v>1066</v>
      </c>
      <c r="J1033" s="23"/>
      <c r="L1033" s="4" t="s">
        <v>2</v>
      </c>
      <c r="M1033" s="5"/>
      <c r="O1033" s="147"/>
      <c r="P1033" s="15"/>
      <c r="Q1033" s="148">
        <f t="shared" si="32"/>
        <v>0</v>
      </c>
    </row>
    <row r="1034" spans="1:17" ht="16.5" hidden="1" x14ac:dyDescent="0.35">
      <c r="A1034" s="53">
        <v>1033</v>
      </c>
      <c r="B1034" s="18" t="s">
        <v>1869</v>
      </c>
      <c r="C1034" s="18" t="s">
        <v>663</v>
      </c>
      <c r="D1034" s="17" t="s">
        <v>1894</v>
      </c>
      <c r="E1034" s="17" t="s">
        <v>1895</v>
      </c>
      <c r="H1034" s="194"/>
      <c r="I1034" s="18" t="s">
        <v>1066</v>
      </c>
      <c r="J1034" s="23" t="s">
        <v>1892</v>
      </c>
      <c r="L1034" s="4" t="s">
        <v>2</v>
      </c>
      <c r="M1034" s="5"/>
      <c r="O1034" s="147">
        <v>0</v>
      </c>
      <c r="P1034" s="15">
        <v>3</v>
      </c>
      <c r="Q1034" s="148">
        <f t="shared" si="32"/>
        <v>3</v>
      </c>
    </row>
    <row r="1035" spans="1:17" ht="16.5" hidden="1" x14ac:dyDescent="0.35">
      <c r="A1035" s="53">
        <v>1034</v>
      </c>
      <c r="B1035" s="18" t="s">
        <v>1870</v>
      </c>
      <c r="C1035" s="18" t="s">
        <v>663</v>
      </c>
      <c r="D1035" s="17" t="s">
        <v>1894</v>
      </c>
      <c r="E1035" s="17" t="s">
        <v>1895</v>
      </c>
      <c r="H1035" s="194"/>
      <c r="I1035" s="18" t="s">
        <v>1066</v>
      </c>
      <c r="J1035" s="23"/>
      <c r="L1035" s="4" t="s">
        <v>2</v>
      </c>
      <c r="M1035" s="5"/>
      <c r="O1035" s="147">
        <v>0</v>
      </c>
      <c r="P1035" s="15">
        <v>0</v>
      </c>
      <c r="Q1035" s="148">
        <f t="shared" si="32"/>
        <v>0</v>
      </c>
    </row>
    <row r="1036" spans="1:17" ht="16.5" hidden="1" x14ac:dyDescent="0.35">
      <c r="A1036" s="53">
        <v>1035</v>
      </c>
      <c r="B1036" s="18" t="s">
        <v>1871</v>
      </c>
      <c r="C1036" s="18" t="s">
        <v>663</v>
      </c>
      <c r="D1036" s="17" t="s">
        <v>1894</v>
      </c>
      <c r="E1036" s="17" t="s">
        <v>1895</v>
      </c>
      <c r="H1036" s="194"/>
      <c r="I1036" s="18" t="s">
        <v>1066</v>
      </c>
      <c r="J1036" s="23" t="s">
        <v>1893</v>
      </c>
      <c r="L1036" s="4" t="s">
        <v>2</v>
      </c>
      <c r="M1036" s="5"/>
      <c r="O1036" s="147">
        <v>0</v>
      </c>
      <c r="P1036" s="15">
        <v>0</v>
      </c>
      <c r="Q1036" s="148">
        <f t="shared" si="32"/>
        <v>0</v>
      </c>
    </row>
    <row r="1037" spans="1:17" ht="16.5" hidden="1" x14ac:dyDescent="0.35">
      <c r="A1037" s="53">
        <v>1036</v>
      </c>
      <c r="B1037" s="18" t="s">
        <v>1872</v>
      </c>
      <c r="C1037" s="18" t="s">
        <v>663</v>
      </c>
      <c r="D1037" s="17" t="s">
        <v>1894</v>
      </c>
      <c r="E1037" s="17" t="s">
        <v>1895</v>
      </c>
      <c r="H1037" s="194"/>
      <c r="I1037" s="18" t="s">
        <v>1066</v>
      </c>
      <c r="J1037" s="23"/>
      <c r="L1037" s="4" t="s">
        <v>2</v>
      </c>
      <c r="M1037" s="5"/>
      <c r="O1037" s="147">
        <v>0</v>
      </c>
      <c r="P1037" s="15">
        <v>0</v>
      </c>
      <c r="Q1037" s="148">
        <f t="shared" si="32"/>
        <v>0</v>
      </c>
    </row>
    <row r="1038" spans="1:17" ht="16.5" hidden="1" x14ac:dyDescent="0.35">
      <c r="A1038" s="53">
        <v>1037</v>
      </c>
      <c r="B1038" s="18" t="s">
        <v>1873</v>
      </c>
      <c r="C1038" s="18" t="s">
        <v>663</v>
      </c>
      <c r="D1038" s="17" t="s">
        <v>1894</v>
      </c>
      <c r="E1038" s="17" t="s">
        <v>1895</v>
      </c>
      <c r="H1038" s="194"/>
      <c r="I1038" s="18" t="s">
        <v>1066</v>
      </c>
      <c r="J1038" s="23"/>
      <c r="L1038" s="4" t="s">
        <v>9</v>
      </c>
      <c r="M1038" s="5"/>
      <c r="O1038" s="147">
        <v>0</v>
      </c>
      <c r="P1038" s="15">
        <v>0</v>
      </c>
      <c r="Q1038" s="148">
        <f t="shared" si="32"/>
        <v>0</v>
      </c>
    </row>
    <row r="1039" spans="1:17" ht="16.5" hidden="1" x14ac:dyDescent="0.35">
      <c r="A1039" s="53">
        <v>1038</v>
      </c>
      <c r="B1039" s="18" t="s">
        <v>1874</v>
      </c>
      <c r="C1039" s="18" t="s">
        <v>663</v>
      </c>
      <c r="D1039" s="17" t="s">
        <v>1894</v>
      </c>
      <c r="E1039" s="17" t="s">
        <v>1895</v>
      </c>
      <c r="H1039" s="194"/>
      <c r="I1039" s="18" t="s">
        <v>1066</v>
      </c>
      <c r="J1039" s="23"/>
      <c r="L1039" s="4" t="s">
        <v>2</v>
      </c>
      <c r="M1039" s="5"/>
      <c r="O1039" s="147">
        <v>0</v>
      </c>
      <c r="P1039" s="15">
        <v>0</v>
      </c>
      <c r="Q1039" s="148">
        <f t="shared" si="32"/>
        <v>0</v>
      </c>
    </row>
    <row r="1040" spans="1:17" ht="16.5" hidden="1" x14ac:dyDescent="0.35">
      <c r="A1040" s="53">
        <v>1039</v>
      </c>
      <c r="B1040" s="18" t="s">
        <v>1875</v>
      </c>
      <c r="C1040" s="18" t="s">
        <v>663</v>
      </c>
      <c r="D1040" s="17" t="s">
        <v>1894</v>
      </c>
      <c r="E1040" s="17" t="s">
        <v>1895</v>
      </c>
      <c r="H1040" s="194"/>
      <c r="I1040" s="18" t="s">
        <v>1066</v>
      </c>
      <c r="J1040" s="23"/>
      <c r="L1040" s="4" t="s">
        <v>2</v>
      </c>
      <c r="M1040" s="5"/>
      <c r="O1040" s="147">
        <v>0</v>
      </c>
      <c r="P1040" s="15">
        <v>0</v>
      </c>
      <c r="Q1040" s="148">
        <f t="shared" si="32"/>
        <v>0</v>
      </c>
    </row>
    <row r="1041" spans="1:17" ht="16.5" hidden="1" x14ac:dyDescent="0.35">
      <c r="A1041" s="53">
        <v>1040</v>
      </c>
      <c r="B1041" s="18" t="s">
        <v>1876</v>
      </c>
      <c r="C1041" s="18" t="s">
        <v>663</v>
      </c>
      <c r="D1041" s="17" t="s">
        <v>1894</v>
      </c>
      <c r="E1041" s="17" t="s">
        <v>1895</v>
      </c>
      <c r="H1041" s="194"/>
      <c r="I1041" s="18" t="s">
        <v>1066</v>
      </c>
      <c r="J1041" s="23"/>
      <c r="L1041" s="4" t="s">
        <v>2</v>
      </c>
      <c r="M1041" s="5"/>
      <c r="O1041" s="147">
        <v>1</v>
      </c>
      <c r="P1041" s="15">
        <v>2</v>
      </c>
      <c r="Q1041" s="148">
        <f t="shared" si="32"/>
        <v>3</v>
      </c>
    </row>
    <row r="1042" spans="1:17" ht="16.5" hidden="1" x14ac:dyDescent="0.5">
      <c r="A1042" s="53">
        <v>1041</v>
      </c>
      <c r="B1042" s="18" t="s">
        <v>1877</v>
      </c>
      <c r="C1042" s="18" t="s">
        <v>663</v>
      </c>
      <c r="D1042" s="17" t="s">
        <v>1894</v>
      </c>
      <c r="E1042" s="17" t="s">
        <v>1895</v>
      </c>
      <c r="H1042" s="194"/>
      <c r="I1042" s="18" t="s">
        <v>1066</v>
      </c>
      <c r="J1042" s="23"/>
      <c r="L1042" s="4" t="s">
        <v>2</v>
      </c>
      <c r="M1042" s="5"/>
      <c r="O1042" s="149">
        <v>0</v>
      </c>
      <c r="P1042" s="149">
        <v>0</v>
      </c>
      <c r="Q1042" s="148">
        <f t="shared" si="32"/>
        <v>0</v>
      </c>
    </row>
    <row r="1043" spans="1:17" ht="16.5" hidden="1" x14ac:dyDescent="0.35">
      <c r="A1043" s="53">
        <v>1042</v>
      </c>
      <c r="B1043" s="351" t="s">
        <v>1878</v>
      </c>
      <c r="C1043" s="18" t="s">
        <v>663</v>
      </c>
      <c r="D1043" s="17" t="s">
        <v>1894</v>
      </c>
      <c r="E1043" s="17" t="s">
        <v>1895</v>
      </c>
      <c r="H1043" s="194"/>
      <c r="I1043" s="18" t="s">
        <v>1066</v>
      </c>
      <c r="J1043" s="24"/>
      <c r="L1043" s="4" t="s">
        <v>2</v>
      </c>
      <c r="M1043" s="27"/>
      <c r="O1043" s="151">
        <v>2</v>
      </c>
      <c r="P1043" s="151">
        <v>0</v>
      </c>
      <c r="Q1043" s="148">
        <f t="shared" si="32"/>
        <v>2</v>
      </c>
    </row>
    <row r="1044" spans="1:17" ht="16.5" hidden="1" x14ac:dyDescent="0.35">
      <c r="A1044" s="53">
        <v>1043</v>
      </c>
      <c r="B1044" s="18" t="s">
        <v>1896</v>
      </c>
      <c r="C1044" s="18" t="s">
        <v>663</v>
      </c>
      <c r="D1044" s="17" t="s">
        <v>1934</v>
      </c>
      <c r="E1044" s="17" t="s">
        <v>1935</v>
      </c>
      <c r="H1044" s="25"/>
      <c r="I1044" s="18" t="s">
        <v>1066</v>
      </c>
      <c r="J1044" s="23" t="s">
        <v>1924</v>
      </c>
      <c r="L1044" s="4" t="s">
        <v>9</v>
      </c>
      <c r="M1044" s="5"/>
      <c r="O1044" s="147">
        <v>0</v>
      </c>
      <c r="P1044" s="15">
        <v>0</v>
      </c>
      <c r="Q1044" s="148">
        <f>(O1044+P1044)</f>
        <v>0</v>
      </c>
    </row>
    <row r="1045" spans="1:17" ht="16.5" hidden="1" x14ac:dyDescent="0.35">
      <c r="A1045" s="53">
        <v>1044</v>
      </c>
      <c r="B1045" s="18" t="s">
        <v>1897</v>
      </c>
      <c r="C1045" s="18" t="s">
        <v>663</v>
      </c>
      <c r="D1045" s="17" t="s">
        <v>1934</v>
      </c>
      <c r="E1045" s="17" t="s">
        <v>1935</v>
      </c>
      <c r="H1045" s="194"/>
      <c r="I1045" s="18" t="s">
        <v>1066</v>
      </c>
      <c r="J1045" s="23" t="s">
        <v>1925</v>
      </c>
      <c r="L1045" s="4" t="s">
        <v>2</v>
      </c>
      <c r="M1045" s="5"/>
      <c r="O1045" s="147">
        <v>2</v>
      </c>
      <c r="P1045" s="15">
        <v>3</v>
      </c>
      <c r="Q1045" s="148">
        <f t="shared" ref="Q1045:Q1071" si="33">(O1045+P1045)</f>
        <v>5</v>
      </c>
    </row>
    <row r="1046" spans="1:17" ht="16.5" hidden="1" x14ac:dyDescent="0.35">
      <c r="A1046" s="53">
        <v>1045</v>
      </c>
      <c r="B1046" s="18" t="s">
        <v>1898</v>
      </c>
      <c r="C1046" s="18" t="s">
        <v>663</v>
      </c>
      <c r="D1046" s="17" t="s">
        <v>1934</v>
      </c>
      <c r="E1046" s="17" t="s">
        <v>1935</v>
      </c>
      <c r="H1046" s="194"/>
      <c r="I1046" s="18" t="s">
        <v>1066</v>
      </c>
      <c r="J1046" s="23" t="s">
        <v>1926</v>
      </c>
      <c r="L1046" s="4" t="s">
        <v>2</v>
      </c>
      <c r="M1046" s="5"/>
      <c r="O1046" s="147">
        <v>0</v>
      </c>
      <c r="P1046" s="15">
        <v>1</v>
      </c>
      <c r="Q1046" s="148">
        <f t="shared" si="33"/>
        <v>1</v>
      </c>
    </row>
    <row r="1047" spans="1:17" ht="16.5" hidden="1" x14ac:dyDescent="0.35">
      <c r="A1047" s="53">
        <v>1046</v>
      </c>
      <c r="B1047" s="18" t="s">
        <v>1899</v>
      </c>
      <c r="C1047" s="18" t="s">
        <v>663</v>
      </c>
      <c r="D1047" s="17" t="s">
        <v>1934</v>
      </c>
      <c r="E1047" s="17" t="s">
        <v>1935</v>
      </c>
      <c r="H1047" s="194"/>
      <c r="I1047" s="18" t="s">
        <v>1066</v>
      </c>
      <c r="J1047" s="23" t="s">
        <v>1927</v>
      </c>
      <c r="L1047" s="4" t="s">
        <v>9</v>
      </c>
      <c r="M1047" s="5"/>
      <c r="O1047" s="147">
        <v>0</v>
      </c>
      <c r="P1047" s="15">
        <v>0</v>
      </c>
      <c r="Q1047" s="148">
        <f t="shared" si="33"/>
        <v>0</v>
      </c>
    </row>
    <row r="1048" spans="1:17" ht="16.5" hidden="1" x14ac:dyDescent="0.35">
      <c r="A1048" s="53">
        <v>1047</v>
      </c>
      <c r="B1048" s="18" t="s">
        <v>1900</v>
      </c>
      <c r="C1048" s="18" t="s">
        <v>663</v>
      </c>
      <c r="D1048" s="17" t="s">
        <v>1934</v>
      </c>
      <c r="E1048" s="17" t="s">
        <v>1935</v>
      </c>
      <c r="H1048" s="194"/>
      <c r="I1048" s="18" t="s">
        <v>1066</v>
      </c>
      <c r="J1048" s="23"/>
      <c r="L1048" s="4" t="s">
        <v>2</v>
      </c>
      <c r="M1048" s="5"/>
      <c r="O1048" s="147">
        <v>0</v>
      </c>
      <c r="P1048" s="15">
        <v>2</v>
      </c>
      <c r="Q1048" s="148">
        <f t="shared" si="33"/>
        <v>2</v>
      </c>
    </row>
    <row r="1049" spans="1:17" ht="16.5" hidden="1" x14ac:dyDescent="0.35">
      <c r="A1049" s="53">
        <v>1048</v>
      </c>
      <c r="B1049" s="18" t="s">
        <v>1901</v>
      </c>
      <c r="C1049" s="18" t="s">
        <v>663</v>
      </c>
      <c r="D1049" s="17" t="s">
        <v>1934</v>
      </c>
      <c r="E1049" s="17" t="s">
        <v>1935</v>
      </c>
      <c r="H1049" s="194"/>
      <c r="I1049" s="18" t="s">
        <v>1066</v>
      </c>
      <c r="J1049" s="23"/>
      <c r="L1049" s="4" t="s">
        <v>2</v>
      </c>
      <c r="M1049" s="5"/>
      <c r="O1049" s="147">
        <v>1</v>
      </c>
      <c r="P1049" s="15">
        <v>3</v>
      </c>
      <c r="Q1049" s="148">
        <f t="shared" si="33"/>
        <v>4</v>
      </c>
    </row>
    <row r="1050" spans="1:17" ht="16.5" hidden="1" x14ac:dyDescent="0.35">
      <c r="A1050" s="53">
        <v>1049</v>
      </c>
      <c r="B1050" s="18" t="s">
        <v>1902</v>
      </c>
      <c r="C1050" s="18" t="s">
        <v>663</v>
      </c>
      <c r="D1050" s="17" t="s">
        <v>1934</v>
      </c>
      <c r="E1050" s="17" t="s">
        <v>1935</v>
      </c>
      <c r="H1050" s="194"/>
      <c r="I1050" s="18" t="s">
        <v>1066</v>
      </c>
      <c r="J1050" s="23"/>
      <c r="L1050" s="4" t="s">
        <v>2</v>
      </c>
      <c r="M1050" s="5"/>
      <c r="O1050" s="147">
        <v>1</v>
      </c>
      <c r="P1050" s="15">
        <v>2</v>
      </c>
      <c r="Q1050" s="148">
        <f t="shared" si="33"/>
        <v>3</v>
      </c>
    </row>
    <row r="1051" spans="1:17" ht="16.5" hidden="1" x14ac:dyDescent="0.35">
      <c r="A1051" s="53">
        <v>1050</v>
      </c>
      <c r="B1051" s="18" t="s">
        <v>1903</v>
      </c>
      <c r="C1051" s="18" t="s">
        <v>663</v>
      </c>
      <c r="D1051" s="17" t="s">
        <v>1934</v>
      </c>
      <c r="E1051" s="17" t="s">
        <v>1935</v>
      </c>
      <c r="H1051" s="194"/>
      <c r="I1051" s="18" t="s">
        <v>1066</v>
      </c>
      <c r="J1051" s="23" t="s">
        <v>1928</v>
      </c>
      <c r="L1051" s="4" t="s">
        <v>9</v>
      </c>
      <c r="M1051" s="5"/>
      <c r="O1051" s="147">
        <v>0</v>
      </c>
      <c r="P1051" s="15">
        <v>0</v>
      </c>
      <c r="Q1051" s="148">
        <f t="shared" si="33"/>
        <v>0</v>
      </c>
    </row>
    <row r="1052" spans="1:17" ht="16.5" hidden="1" x14ac:dyDescent="0.35">
      <c r="A1052" s="53">
        <v>1051</v>
      </c>
      <c r="B1052" s="18" t="s">
        <v>1904</v>
      </c>
      <c r="C1052" s="18" t="s">
        <v>663</v>
      </c>
      <c r="D1052" s="17" t="s">
        <v>1934</v>
      </c>
      <c r="E1052" s="17" t="s">
        <v>1935</v>
      </c>
      <c r="H1052" s="194"/>
      <c r="I1052" s="18" t="s">
        <v>1066</v>
      </c>
      <c r="J1052" s="23"/>
      <c r="L1052" s="4" t="s">
        <v>2</v>
      </c>
      <c r="M1052" s="5"/>
      <c r="O1052" s="147">
        <v>3</v>
      </c>
      <c r="P1052" s="15">
        <v>4</v>
      </c>
      <c r="Q1052" s="148">
        <f t="shared" si="33"/>
        <v>7</v>
      </c>
    </row>
    <row r="1053" spans="1:17" ht="16.5" hidden="1" x14ac:dyDescent="0.35">
      <c r="A1053" s="53">
        <v>1052</v>
      </c>
      <c r="B1053" s="18" t="s">
        <v>1905</v>
      </c>
      <c r="C1053" s="18" t="s">
        <v>663</v>
      </c>
      <c r="D1053" s="17" t="s">
        <v>1934</v>
      </c>
      <c r="E1053" s="17" t="s">
        <v>1935</v>
      </c>
      <c r="H1053" s="194"/>
      <c r="I1053" s="18" t="s">
        <v>1066</v>
      </c>
      <c r="J1053" s="23" t="s">
        <v>1929</v>
      </c>
      <c r="L1053" s="4" t="s">
        <v>9</v>
      </c>
      <c r="M1053" s="5"/>
      <c r="O1053" s="147">
        <v>0</v>
      </c>
      <c r="P1053" s="15">
        <v>0</v>
      </c>
      <c r="Q1053" s="148">
        <f t="shared" si="33"/>
        <v>0</v>
      </c>
    </row>
    <row r="1054" spans="1:17" ht="16.5" hidden="1" x14ac:dyDescent="0.35">
      <c r="A1054" s="53">
        <v>1053</v>
      </c>
      <c r="B1054" s="18" t="s">
        <v>1906</v>
      </c>
      <c r="C1054" s="18" t="s">
        <v>663</v>
      </c>
      <c r="D1054" s="17" t="s">
        <v>1934</v>
      </c>
      <c r="E1054" s="17" t="s">
        <v>1935</v>
      </c>
      <c r="H1054" s="194"/>
      <c r="I1054" s="18" t="s">
        <v>1066</v>
      </c>
      <c r="J1054" s="23"/>
      <c r="L1054" s="4" t="s">
        <v>9</v>
      </c>
      <c r="M1054" s="5"/>
      <c r="O1054" s="147">
        <v>0</v>
      </c>
      <c r="P1054" s="15">
        <v>0</v>
      </c>
      <c r="Q1054" s="148">
        <f t="shared" si="33"/>
        <v>0</v>
      </c>
    </row>
    <row r="1055" spans="1:17" ht="16.5" hidden="1" x14ac:dyDescent="0.35">
      <c r="A1055" s="53">
        <v>1054</v>
      </c>
      <c r="B1055" s="18" t="s">
        <v>1907</v>
      </c>
      <c r="C1055" s="18" t="s">
        <v>663</v>
      </c>
      <c r="D1055" s="17" t="s">
        <v>1934</v>
      </c>
      <c r="E1055" s="17" t="s">
        <v>1935</v>
      </c>
      <c r="H1055" s="194"/>
      <c r="I1055" s="18" t="s">
        <v>1066</v>
      </c>
      <c r="J1055" s="23"/>
      <c r="L1055" s="4" t="s">
        <v>2</v>
      </c>
      <c r="M1055" s="5"/>
      <c r="O1055" s="147">
        <v>2</v>
      </c>
      <c r="P1055" s="15">
        <v>2</v>
      </c>
      <c r="Q1055" s="148">
        <f t="shared" si="33"/>
        <v>4</v>
      </c>
    </row>
    <row r="1056" spans="1:17" ht="16.5" hidden="1" x14ac:dyDescent="0.35">
      <c r="A1056" s="53">
        <v>1055</v>
      </c>
      <c r="B1056" s="18" t="s">
        <v>1908</v>
      </c>
      <c r="C1056" s="18" t="s">
        <v>663</v>
      </c>
      <c r="D1056" s="17" t="s">
        <v>1934</v>
      </c>
      <c r="E1056" s="17" t="s">
        <v>1935</v>
      </c>
      <c r="H1056" s="194"/>
      <c r="I1056" s="18" t="s">
        <v>1066</v>
      </c>
      <c r="J1056" s="23"/>
      <c r="L1056" s="4" t="s">
        <v>9</v>
      </c>
      <c r="M1056" s="5"/>
      <c r="O1056" s="147">
        <v>0</v>
      </c>
      <c r="P1056" s="15">
        <v>0</v>
      </c>
      <c r="Q1056" s="148">
        <f t="shared" si="33"/>
        <v>0</v>
      </c>
    </row>
    <row r="1057" spans="1:17" ht="16.5" hidden="1" x14ac:dyDescent="0.35">
      <c r="A1057" s="53">
        <v>1056</v>
      </c>
      <c r="B1057" s="18" t="s">
        <v>1909</v>
      </c>
      <c r="C1057" s="18" t="s">
        <v>663</v>
      </c>
      <c r="D1057" s="17" t="s">
        <v>1934</v>
      </c>
      <c r="E1057" s="17" t="s">
        <v>1935</v>
      </c>
      <c r="H1057" s="194"/>
      <c r="I1057" s="18" t="s">
        <v>1066</v>
      </c>
      <c r="J1057" s="23"/>
      <c r="L1057" s="4" t="s">
        <v>2</v>
      </c>
      <c r="M1057" s="5"/>
      <c r="O1057" s="147">
        <v>2</v>
      </c>
      <c r="P1057" s="15">
        <v>2</v>
      </c>
      <c r="Q1057" s="148">
        <f t="shared" si="33"/>
        <v>4</v>
      </c>
    </row>
    <row r="1058" spans="1:17" ht="16.5" hidden="1" x14ac:dyDescent="0.35">
      <c r="A1058" s="53">
        <v>1057</v>
      </c>
      <c r="B1058" s="18" t="s">
        <v>1910</v>
      </c>
      <c r="C1058" s="18" t="s">
        <v>663</v>
      </c>
      <c r="D1058" s="17" t="s">
        <v>1934</v>
      </c>
      <c r="E1058" s="17" t="s">
        <v>1935</v>
      </c>
      <c r="H1058" s="194"/>
      <c r="I1058" s="18" t="s">
        <v>1066</v>
      </c>
      <c r="J1058" s="23" t="s">
        <v>1930</v>
      </c>
      <c r="L1058" s="4" t="s">
        <v>9</v>
      </c>
      <c r="M1058" s="5"/>
      <c r="O1058" s="147">
        <v>1</v>
      </c>
      <c r="P1058" s="15">
        <v>2</v>
      </c>
      <c r="Q1058" s="148">
        <f t="shared" si="33"/>
        <v>3</v>
      </c>
    </row>
    <row r="1059" spans="1:17" ht="16.5" hidden="1" x14ac:dyDescent="0.35">
      <c r="A1059" s="53">
        <v>1058</v>
      </c>
      <c r="B1059" s="18" t="s">
        <v>1911</v>
      </c>
      <c r="C1059" s="18" t="s">
        <v>663</v>
      </c>
      <c r="D1059" s="17" t="s">
        <v>1934</v>
      </c>
      <c r="E1059" s="17" t="s">
        <v>1935</v>
      </c>
      <c r="H1059" s="194"/>
      <c r="I1059" s="18" t="s">
        <v>1066</v>
      </c>
      <c r="J1059" s="23"/>
      <c r="L1059" s="4" t="s">
        <v>2</v>
      </c>
      <c r="M1059" s="5"/>
      <c r="O1059" s="147">
        <v>2</v>
      </c>
      <c r="P1059" s="15">
        <v>1</v>
      </c>
      <c r="Q1059" s="148">
        <f t="shared" si="33"/>
        <v>3</v>
      </c>
    </row>
    <row r="1060" spans="1:17" ht="16.5" hidden="1" x14ac:dyDescent="0.35">
      <c r="A1060" s="53">
        <v>1059</v>
      </c>
      <c r="B1060" s="18" t="s">
        <v>1912</v>
      </c>
      <c r="C1060" s="18" t="s">
        <v>663</v>
      </c>
      <c r="D1060" s="17" t="s">
        <v>1934</v>
      </c>
      <c r="E1060" s="17" t="s">
        <v>1935</v>
      </c>
      <c r="H1060" s="194"/>
      <c r="I1060" s="18" t="s">
        <v>1066</v>
      </c>
      <c r="J1060" s="23"/>
      <c r="L1060" s="4" t="s">
        <v>2</v>
      </c>
      <c r="M1060" s="5"/>
      <c r="O1060" s="147">
        <v>2</v>
      </c>
      <c r="P1060" s="15">
        <v>2</v>
      </c>
      <c r="Q1060" s="148">
        <f t="shared" si="33"/>
        <v>4</v>
      </c>
    </row>
    <row r="1061" spans="1:17" ht="16.5" hidden="1" x14ac:dyDescent="0.35">
      <c r="A1061" s="53">
        <v>1060</v>
      </c>
      <c r="B1061" s="18" t="s">
        <v>1913</v>
      </c>
      <c r="C1061" s="18" t="s">
        <v>663</v>
      </c>
      <c r="D1061" s="17" t="s">
        <v>1934</v>
      </c>
      <c r="E1061" s="17" t="s">
        <v>1935</v>
      </c>
      <c r="H1061" s="194"/>
      <c r="I1061" s="18" t="s">
        <v>1066</v>
      </c>
      <c r="J1061" s="23" t="s">
        <v>1931</v>
      </c>
      <c r="L1061" s="4" t="s">
        <v>9</v>
      </c>
      <c r="M1061" s="5"/>
      <c r="O1061" s="147">
        <v>2</v>
      </c>
      <c r="P1061" s="15">
        <v>2</v>
      </c>
      <c r="Q1061" s="148">
        <f t="shared" si="33"/>
        <v>4</v>
      </c>
    </row>
    <row r="1062" spans="1:17" ht="16.5" hidden="1" x14ac:dyDescent="0.35">
      <c r="A1062" s="53">
        <v>1061</v>
      </c>
      <c r="B1062" s="18" t="s">
        <v>1914</v>
      </c>
      <c r="C1062" s="18" t="s">
        <v>663</v>
      </c>
      <c r="D1062" s="17" t="s">
        <v>1934</v>
      </c>
      <c r="E1062" s="17" t="s">
        <v>1935</v>
      </c>
      <c r="H1062" s="194"/>
      <c r="I1062" s="18" t="s">
        <v>1066</v>
      </c>
      <c r="J1062" s="23"/>
      <c r="L1062" s="4" t="s">
        <v>2</v>
      </c>
      <c r="M1062" s="5"/>
      <c r="O1062" s="147">
        <v>0</v>
      </c>
      <c r="P1062" s="15">
        <v>0</v>
      </c>
      <c r="Q1062" s="148">
        <f t="shared" si="33"/>
        <v>0</v>
      </c>
    </row>
    <row r="1063" spans="1:17" ht="16.5" hidden="1" x14ac:dyDescent="0.35">
      <c r="A1063" s="53">
        <v>1062</v>
      </c>
      <c r="B1063" s="18" t="s">
        <v>1915</v>
      </c>
      <c r="C1063" s="18" t="s">
        <v>663</v>
      </c>
      <c r="D1063" s="17" t="s">
        <v>1934</v>
      </c>
      <c r="E1063" s="17" t="s">
        <v>1935</v>
      </c>
      <c r="H1063" s="194"/>
      <c r="I1063" s="18" t="s">
        <v>1066</v>
      </c>
      <c r="J1063" s="23" t="s">
        <v>1932</v>
      </c>
      <c r="L1063" s="4" t="s">
        <v>9</v>
      </c>
      <c r="M1063" s="5"/>
      <c r="O1063" s="147">
        <v>0</v>
      </c>
      <c r="P1063" s="15">
        <v>0</v>
      </c>
      <c r="Q1063" s="148">
        <f t="shared" si="33"/>
        <v>0</v>
      </c>
    </row>
    <row r="1064" spans="1:17" ht="16.5" hidden="1" x14ac:dyDescent="0.35">
      <c r="A1064" s="53">
        <v>1063</v>
      </c>
      <c r="B1064" s="18" t="s">
        <v>1916</v>
      </c>
      <c r="C1064" s="18" t="s">
        <v>663</v>
      </c>
      <c r="D1064" s="17" t="s">
        <v>1934</v>
      </c>
      <c r="E1064" s="17" t="s">
        <v>1935</v>
      </c>
      <c r="H1064" s="194"/>
      <c r="I1064" s="18" t="s">
        <v>1066</v>
      </c>
      <c r="J1064" s="23"/>
      <c r="L1064" s="4" t="s">
        <v>2</v>
      </c>
      <c r="M1064" s="5"/>
      <c r="O1064" s="147">
        <v>2</v>
      </c>
      <c r="P1064" s="15">
        <v>0</v>
      </c>
      <c r="Q1064" s="148">
        <f t="shared" si="33"/>
        <v>2</v>
      </c>
    </row>
    <row r="1065" spans="1:17" ht="16.5" hidden="1" x14ac:dyDescent="0.35">
      <c r="A1065" s="53">
        <v>1064</v>
      </c>
      <c r="B1065" s="18" t="s">
        <v>1917</v>
      </c>
      <c r="C1065" s="18" t="s">
        <v>663</v>
      </c>
      <c r="D1065" s="17" t="s">
        <v>1934</v>
      </c>
      <c r="E1065" s="17" t="s">
        <v>1935</v>
      </c>
      <c r="H1065" s="194"/>
      <c r="I1065" s="18" t="s">
        <v>1066</v>
      </c>
      <c r="J1065" s="23"/>
      <c r="L1065" s="4" t="s">
        <v>2</v>
      </c>
      <c r="M1065" s="5"/>
      <c r="O1065" s="147">
        <v>1</v>
      </c>
      <c r="P1065" s="15">
        <v>1</v>
      </c>
      <c r="Q1065" s="148">
        <f t="shared" si="33"/>
        <v>2</v>
      </c>
    </row>
    <row r="1066" spans="1:17" ht="16.5" hidden="1" x14ac:dyDescent="0.35">
      <c r="A1066" s="53">
        <v>1065</v>
      </c>
      <c r="B1066" s="18" t="s">
        <v>1918</v>
      </c>
      <c r="C1066" s="18" t="s">
        <v>663</v>
      </c>
      <c r="D1066" s="17" t="s">
        <v>1934</v>
      </c>
      <c r="E1066" s="17" t="s">
        <v>1935</v>
      </c>
      <c r="H1066" s="194"/>
      <c r="I1066" s="18" t="s">
        <v>1066</v>
      </c>
      <c r="J1066" s="23"/>
      <c r="L1066" s="4" t="s">
        <v>2</v>
      </c>
      <c r="M1066" s="5"/>
      <c r="O1066" s="147">
        <v>2</v>
      </c>
      <c r="P1066" s="15">
        <v>1</v>
      </c>
      <c r="Q1066" s="148">
        <f t="shared" si="33"/>
        <v>3</v>
      </c>
    </row>
    <row r="1067" spans="1:17" ht="16.5" hidden="1" x14ac:dyDescent="0.5">
      <c r="A1067" s="53">
        <v>1066</v>
      </c>
      <c r="B1067" s="18" t="s">
        <v>1919</v>
      </c>
      <c r="C1067" s="18" t="s">
        <v>663</v>
      </c>
      <c r="D1067" s="17" t="s">
        <v>1934</v>
      </c>
      <c r="E1067" s="17" t="s">
        <v>1935</v>
      </c>
      <c r="H1067" s="194"/>
      <c r="I1067" s="18" t="s">
        <v>1066</v>
      </c>
      <c r="J1067" s="23"/>
      <c r="L1067" s="4" t="s">
        <v>9</v>
      </c>
      <c r="M1067" s="5"/>
      <c r="O1067" s="149">
        <v>0</v>
      </c>
      <c r="P1067" s="149">
        <v>3</v>
      </c>
      <c r="Q1067" s="148">
        <f t="shared" si="33"/>
        <v>3</v>
      </c>
    </row>
    <row r="1068" spans="1:17" ht="16.5" hidden="1" x14ac:dyDescent="0.5">
      <c r="A1068" s="53">
        <v>1067</v>
      </c>
      <c r="B1068" s="18" t="s">
        <v>1920</v>
      </c>
      <c r="C1068" s="18" t="s">
        <v>663</v>
      </c>
      <c r="D1068" s="17" t="s">
        <v>1934</v>
      </c>
      <c r="E1068" s="17" t="s">
        <v>1935</v>
      </c>
      <c r="H1068" s="194"/>
      <c r="I1068" s="18" t="s">
        <v>1066</v>
      </c>
      <c r="J1068" s="23" t="s">
        <v>1933</v>
      </c>
      <c r="L1068" s="4" t="s">
        <v>2</v>
      </c>
      <c r="M1068" s="5"/>
      <c r="O1068" s="149">
        <v>1</v>
      </c>
      <c r="P1068" s="149">
        <v>2</v>
      </c>
      <c r="Q1068" s="148">
        <f t="shared" si="33"/>
        <v>3</v>
      </c>
    </row>
    <row r="1069" spans="1:17" ht="16.5" hidden="1" x14ac:dyDescent="0.5">
      <c r="A1069" s="53">
        <v>1068</v>
      </c>
      <c r="B1069" s="18" t="s">
        <v>1921</v>
      </c>
      <c r="C1069" s="18" t="s">
        <v>663</v>
      </c>
      <c r="D1069" s="17" t="s">
        <v>1934</v>
      </c>
      <c r="E1069" s="17" t="s">
        <v>1935</v>
      </c>
      <c r="H1069" s="194"/>
      <c r="I1069" s="18" t="s">
        <v>1066</v>
      </c>
      <c r="J1069" s="23"/>
      <c r="L1069" s="4" t="s">
        <v>2</v>
      </c>
      <c r="M1069" s="5"/>
      <c r="O1069" s="149">
        <v>0</v>
      </c>
      <c r="P1069" s="149">
        <v>0</v>
      </c>
      <c r="Q1069" s="148">
        <f t="shared" si="33"/>
        <v>0</v>
      </c>
    </row>
    <row r="1070" spans="1:17" ht="16.5" hidden="1" x14ac:dyDescent="0.5">
      <c r="A1070" s="53">
        <v>1069</v>
      </c>
      <c r="B1070" s="18" t="s">
        <v>1922</v>
      </c>
      <c r="C1070" s="18" t="s">
        <v>663</v>
      </c>
      <c r="D1070" s="17" t="s">
        <v>1934</v>
      </c>
      <c r="E1070" s="17" t="s">
        <v>1935</v>
      </c>
      <c r="H1070" s="194"/>
      <c r="I1070" s="18" t="s">
        <v>1066</v>
      </c>
      <c r="J1070" s="23"/>
      <c r="L1070" s="4" t="s">
        <v>2</v>
      </c>
      <c r="M1070" s="5"/>
      <c r="O1070" s="149">
        <v>1</v>
      </c>
      <c r="P1070" s="149">
        <v>1</v>
      </c>
      <c r="Q1070" s="148">
        <f t="shared" si="33"/>
        <v>2</v>
      </c>
    </row>
    <row r="1071" spans="1:17" ht="16.5" hidden="1" x14ac:dyDescent="0.35">
      <c r="A1071" s="53">
        <v>1070</v>
      </c>
      <c r="B1071" s="351" t="s">
        <v>1923</v>
      </c>
      <c r="C1071" s="18" t="s">
        <v>663</v>
      </c>
      <c r="D1071" s="17" t="s">
        <v>1934</v>
      </c>
      <c r="E1071" s="17" t="s">
        <v>1935</v>
      </c>
      <c r="H1071" s="194"/>
      <c r="I1071" s="18" t="s">
        <v>1066</v>
      </c>
      <c r="J1071" s="24"/>
      <c r="L1071" s="4" t="s">
        <v>9</v>
      </c>
      <c r="M1071" s="27"/>
      <c r="O1071" s="151">
        <v>0</v>
      </c>
      <c r="P1071" s="151">
        <v>2</v>
      </c>
      <c r="Q1071" s="148">
        <f t="shared" si="33"/>
        <v>2</v>
      </c>
    </row>
    <row r="1072" spans="1:17" ht="16.5" hidden="1" x14ac:dyDescent="0.35">
      <c r="A1072" s="53">
        <v>1071</v>
      </c>
      <c r="B1072" s="18" t="s">
        <v>1936</v>
      </c>
      <c r="C1072" s="18" t="s">
        <v>663</v>
      </c>
      <c r="D1072" s="17" t="s">
        <v>1966</v>
      </c>
      <c r="E1072" s="17" t="s">
        <v>1935</v>
      </c>
      <c r="H1072" s="25"/>
      <c r="I1072" s="18" t="s">
        <v>1066</v>
      </c>
      <c r="J1072" s="23"/>
      <c r="L1072" s="4" t="s">
        <v>2</v>
      </c>
      <c r="M1072" s="5"/>
      <c r="O1072" s="147">
        <v>0</v>
      </c>
      <c r="P1072" s="15">
        <v>0</v>
      </c>
      <c r="Q1072" s="148">
        <f>(O1072+P1072)</f>
        <v>0</v>
      </c>
    </row>
    <row r="1073" spans="1:17" ht="16.5" hidden="1" x14ac:dyDescent="0.35">
      <c r="A1073" s="53">
        <v>1072</v>
      </c>
      <c r="B1073" s="18" t="s">
        <v>1937</v>
      </c>
      <c r="C1073" s="18" t="s">
        <v>663</v>
      </c>
      <c r="D1073" s="17" t="s">
        <v>1966</v>
      </c>
      <c r="E1073" s="17" t="s">
        <v>1935</v>
      </c>
      <c r="H1073" s="194"/>
      <c r="I1073" s="18" t="s">
        <v>1066</v>
      </c>
      <c r="J1073" s="23" t="s">
        <v>1963</v>
      </c>
      <c r="L1073" s="4" t="s">
        <v>2</v>
      </c>
      <c r="M1073" s="5"/>
      <c r="O1073" s="147">
        <v>0</v>
      </c>
      <c r="P1073" s="15">
        <v>0</v>
      </c>
      <c r="Q1073" s="148">
        <f t="shared" ref="Q1073:Q1098" si="34">(O1073+P1073)</f>
        <v>0</v>
      </c>
    </row>
    <row r="1074" spans="1:17" ht="16.5" hidden="1" x14ac:dyDescent="0.35">
      <c r="A1074" s="53">
        <v>1073</v>
      </c>
      <c r="B1074" s="18" t="s">
        <v>1938</v>
      </c>
      <c r="C1074" s="18" t="s">
        <v>663</v>
      </c>
      <c r="D1074" s="17" t="s">
        <v>1966</v>
      </c>
      <c r="E1074" s="17" t="s">
        <v>1935</v>
      </c>
      <c r="H1074" s="194"/>
      <c r="I1074" s="18" t="s">
        <v>1066</v>
      </c>
      <c r="J1074" s="23"/>
      <c r="L1074" s="4" t="s">
        <v>2</v>
      </c>
      <c r="M1074" s="5"/>
      <c r="O1074" s="147">
        <v>1</v>
      </c>
      <c r="P1074" s="15">
        <v>1</v>
      </c>
      <c r="Q1074" s="148">
        <f t="shared" si="34"/>
        <v>2</v>
      </c>
    </row>
    <row r="1075" spans="1:17" ht="16.5" hidden="1" x14ac:dyDescent="0.35">
      <c r="A1075" s="53">
        <v>1074</v>
      </c>
      <c r="B1075" s="18" t="s">
        <v>1939</v>
      </c>
      <c r="C1075" s="18" t="s">
        <v>663</v>
      </c>
      <c r="D1075" s="17" t="s">
        <v>1966</v>
      </c>
      <c r="E1075" s="17" t="s">
        <v>1935</v>
      </c>
      <c r="H1075" s="194"/>
      <c r="I1075" s="18" t="s">
        <v>1066</v>
      </c>
      <c r="J1075" s="23" t="s">
        <v>1964</v>
      </c>
      <c r="L1075" s="4" t="s">
        <v>2</v>
      </c>
      <c r="M1075" s="5"/>
      <c r="O1075" s="147">
        <v>0</v>
      </c>
      <c r="P1075" s="15">
        <v>2</v>
      </c>
      <c r="Q1075" s="148">
        <f t="shared" si="34"/>
        <v>2</v>
      </c>
    </row>
    <row r="1076" spans="1:17" ht="16.5" hidden="1" x14ac:dyDescent="0.35">
      <c r="A1076" s="53">
        <v>1075</v>
      </c>
      <c r="B1076" s="18" t="s">
        <v>1940</v>
      </c>
      <c r="C1076" s="18" t="s">
        <v>663</v>
      </c>
      <c r="D1076" s="17" t="s">
        <v>1966</v>
      </c>
      <c r="E1076" s="17" t="s">
        <v>1935</v>
      </c>
      <c r="H1076" s="194"/>
      <c r="I1076" s="18" t="s">
        <v>1066</v>
      </c>
      <c r="J1076" s="23"/>
      <c r="L1076" s="4" t="s">
        <v>2</v>
      </c>
      <c r="M1076" s="5"/>
      <c r="O1076" s="147">
        <v>3</v>
      </c>
      <c r="P1076" s="15">
        <v>0</v>
      </c>
      <c r="Q1076" s="148">
        <f t="shared" si="34"/>
        <v>3</v>
      </c>
    </row>
    <row r="1077" spans="1:17" ht="16.5" hidden="1" x14ac:dyDescent="0.35">
      <c r="A1077" s="53">
        <v>1076</v>
      </c>
      <c r="B1077" s="18" t="s">
        <v>1941</v>
      </c>
      <c r="C1077" s="18" t="s">
        <v>663</v>
      </c>
      <c r="D1077" s="17" t="s">
        <v>1966</v>
      </c>
      <c r="E1077" s="17" t="s">
        <v>1935</v>
      </c>
      <c r="H1077" s="194"/>
      <c r="I1077" s="18" t="s">
        <v>1066</v>
      </c>
      <c r="J1077" s="23"/>
      <c r="L1077" s="4" t="s">
        <v>2</v>
      </c>
      <c r="M1077" s="5"/>
      <c r="O1077" s="147">
        <v>1</v>
      </c>
      <c r="P1077" s="15">
        <v>1</v>
      </c>
      <c r="Q1077" s="148">
        <f t="shared" si="34"/>
        <v>2</v>
      </c>
    </row>
    <row r="1078" spans="1:17" ht="16.5" hidden="1" x14ac:dyDescent="0.35">
      <c r="A1078" s="53">
        <v>1077</v>
      </c>
      <c r="B1078" s="18" t="s">
        <v>1942</v>
      </c>
      <c r="C1078" s="18" t="s">
        <v>663</v>
      </c>
      <c r="D1078" s="17" t="s">
        <v>1966</v>
      </c>
      <c r="E1078" s="17" t="s">
        <v>1935</v>
      </c>
      <c r="H1078" s="194"/>
      <c r="I1078" s="18" t="s">
        <v>1066</v>
      </c>
      <c r="J1078" s="23"/>
      <c r="L1078" s="4" t="s">
        <v>2</v>
      </c>
      <c r="M1078" s="5"/>
      <c r="O1078" s="147">
        <v>1</v>
      </c>
      <c r="P1078" s="15">
        <v>2</v>
      </c>
      <c r="Q1078" s="148">
        <f t="shared" si="34"/>
        <v>3</v>
      </c>
    </row>
    <row r="1079" spans="1:17" ht="16.5" hidden="1" x14ac:dyDescent="0.35">
      <c r="A1079" s="53">
        <v>1078</v>
      </c>
      <c r="B1079" s="18" t="s">
        <v>1943</v>
      </c>
      <c r="C1079" s="18" t="s">
        <v>663</v>
      </c>
      <c r="D1079" s="17" t="s">
        <v>1966</v>
      </c>
      <c r="E1079" s="17" t="s">
        <v>1935</v>
      </c>
      <c r="H1079" s="194"/>
      <c r="I1079" s="18" t="s">
        <v>1066</v>
      </c>
      <c r="J1079" s="23"/>
      <c r="L1079" s="4" t="s">
        <v>2</v>
      </c>
      <c r="M1079" s="5"/>
      <c r="O1079" s="147">
        <v>1</v>
      </c>
      <c r="P1079" s="15">
        <v>1</v>
      </c>
      <c r="Q1079" s="148">
        <f t="shared" si="34"/>
        <v>2</v>
      </c>
    </row>
    <row r="1080" spans="1:17" ht="16.5" hidden="1" x14ac:dyDescent="0.35">
      <c r="A1080" s="53">
        <v>1079</v>
      </c>
      <c r="B1080" s="18" t="s">
        <v>1944</v>
      </c>
      <c r="C1080" s="18" t="s">
        <v>663</v>
      </c>
      <c r="D1080" s="17" t="s">
        <v>1966</v>
      </c>
      <c r="E1080" s="17" t="s">
        <v>1935</v>
      </c>
      <c r="H1080" s="194"/>
      <c r="I1080" s="18" t="s">
        <v>1066</v>
      </c>
      <c r="J1080" s="23"/>
      <c r="L1080" s="4" t="s">
        <v>2</v>
      </c>
      <c r="M1080" s="5"/>
      <c r="O1080" s="147">
        <v>1</v>
      </c>
      <c r="P1080" s="15">
        <v>0</v>
      </c>
      <c r="Q1080" s="148">
        <f t="shared" si="34"/>
        <v>1</v>
      </c>
    </row>
    <row r="1081" spans="1:17" ht="16.5" hidden="1" x14ac:dyDescent="0.35">
      <c r="A1081" s="53">
        <v>1080</v>
      </c>
      <c r="B1081" s="18" t="s">
        <v>1945</v>
      </c>
      <c r="C1081" s="18" t="s">
        <v>663</v>
      </c>
      <c r="D1081" s="17" t="s">
        <v>1966</v>
      </c>
      <c r="E1081" s="17" t="s">
        <v>1935</v>
      </c>
      <c r="H1081" s="194"/>
      <c r="I1081" s="18" t="s">
        <v>1066</v>
      </c>
      <c r="J1081" s="23"/>
      <c r="L1081" s="4" t="s">
        <v>2</v>
      </c>
      <c r="M1081" s="5"/>
      <c r="O1081" s="147">
        <v>3</v>
      </c>
      <c r="P1081" s="15">
        <v>2</v>
      </c>
      <c r="Q1081" s="148">
        <f t="shared" si="34"/>
        <v>5</v>
      </c>
    </row>
    <row r="1082" spans="1:17" ht="16.5" hidden="1" x14ac:dyDescent="0.35">
      <c r="A1082" s="53">
        <v>1081</v>
      </c>
      <c r="B1082" s="18" t="s">
        <v>1946</v>
      </c>
      <c r="C1082" s="18" t="s">
        <v>663</v>
      </c>
      <c r="D1082" s="17" t="s">
        <v>1966</v>
      </c>
      <c r="E1082" s="17" t="s">
        <v>1935</v>
      </c>
      <c r="H1082" s="194"/>
      <c r="I1082" s="18" t="s">
        <v>1066</v>
      </c>
      <c r="J1082" s="23"/>
      <c r="L1082" s="4" t="s">
        <v>2</v>
      </c>
      <c r="M1082" s="5"/>
      <c r="O1082" s="147">
        <v>1</v>
      </c>
      <c r="P1082" s="15">
        <v>1</v>
      </c>
      <c r="Q1082" s="148">
        <f t="shared" si="34"/>
        <v>2</v>
      </c>
    </row>
    <row r="1083" spans="1:17" ht="16.5" hidden="1" x14ac:dyDescent="0.35">
      <c r="A1083" s="53">
        <v>1082</v>
      </c>
      <c r="B1083" s="18" t="s">
        <v>1947</v>
      </c>
      <c r="C1083" s="18" t="s">
        <v>663</v>
      </c>
      <c r="D1083" s="17" t="s">
        <v>1966</v>
      </c>
      <c r="E1083" s="17" t="s">
        <v>1935</v>
      </c>
      <c r="H1083" s="194"/>
      <c r="I1083" s="18" t="s">
        <v>1066</v>
      </c>
      <c r="J1083" s="23"/>
      <c r="L1083" s="4" t="s">
        <v>2</v>
      </c>
      <c r="M1083" s="5"/>
      <c r="O1083" s="147">
        <v>0</v>
      </c>
      <c r="P1083" s="15">
        <v>2</v>
      </c>
      <c r="Q1083" s="148">
        <f t="shared" si="34"/>
        <v>2</v>
      </c>
    </row>
    <row r="1084" spans="1:17" ht="16.5" hidden="1" x14ac:dyDescent="0.35">
      <c r="A1084" s="53">
        <v>1083</v>
      </c>
      <c r="B1084" s="18" t="s">
        <v>1948</v>
      </c>
      <c r="C1084" s="18" t="s">
        <v>663</v>
      </c>
      <c r="D1084" s="17" t="s">
        <v>1966</v>
      </c>
      <c r="E1084" s="17" t="s">
        <v>1935</v>
      </c>
      <c r="H1084" s="194"/>
      <c r="I1084" s="18" t="s">
        <v>1066</v>
      </c>
      <c r="J1084" s="23"/>
      <c r="L1084" s="4" t="s">
        <v>2</v>
      </c>
      <c r="M1084" s="5"/>
      <c r="O1084" s="147">
        <v>4</v>
      </c>
      <c r="P1084" s="15">
        <v>2</v>
      </c>
      <c r="Q1084" s="148">
        <f t="shared" si="34"/>
        <v>6</v>
      </c>
    </row>
    <row r="1085" spans="1:17" ht="16.5" hidden="1" x14ac:dyDescent="0.35">
      <c r="A1085" s="53">
        <v>1084</v>
      </c>
      <c r="B1085" s="18" t="s">
        <v>1949</v>
      </c>
      <c r="C1085" s="18" t="s">
        <v>663</v>
      </c>
      <c r="D1085" s="17" t="s">
        <v>1966</v>
      </c>
      <c r="E1085" s="17" t="s">
        <v>1935</v>
      </c>
      <c r="H1085" s="194"/>
      <c r="I1085" s="18" t="s">
        <v>1066</v>
      </c>
      <c r="J1085" s="23" t="s">
        <v>1965</v>
      </c>
      <c r="L1085" s="4" t="s">
        <v>9</v>
      </c>
      <c r="M1085" s="5"/>
      <c r="O1085" s="147">
        <v>0</v>
      </c>
      <c r="P1085" s="15">
        <v>0</v>
      </c>
      <c r="Q1085" s="148">
        <f t="shared" si="34"/>
        <v>0</v>
      </c>
    </row>
    <row r="1086" spans="1:17" ht="16.5" hidden="1" x14ac:dyDescent="0.35">
      <c r="A1086" s="53">
        <v>1085</v>
      </c>
      <c r="B1086" s="18" t="s">
        <v>1950</v>
      </c>
      <c r="C1086" s="18" t="s">
        <v>663</v>
      </c>
      <c r="D1086" s="17" t="s">
        <v>1966</v>
      </c>
      <c r="E1086" s="17" t="s">
        <v>1935</v>
      </c>
      <c r="H1086" s="194"/>
      <c r="I1086" s="18" t="s">
        <v>1066</v>
      </c>
      <c r="J1086" s="23"/>
      <c r="L1086" s="4" t="s">
        <v>2</v>
      </c>
      <c r="M1086" s="5"/>
      <c r="O1086" s="147">
        <v>2</v>
      </c>
      <c r="P1086" s="15">
        <v>2</v>
      </c>
      <c r="Q1086" s="148">
        <f t="shared" si="34"/>
        <v>4</v>
      </c>
    </row>
    <row r="1087" spans="1:17" ht="16.5" hidden="1" x14ac:dyDescent="0.35">
      <c r="A1087" s="53">
        <v>1086</v>
      </c>
      <c r="B1087" s="18" t="s">
        <v>1951</v>
      </c>
      <c r="C1087" s="18" t="s">
        <v>663</v>
      </c>
      <c r="D1087" s="17" t="s">
        <v>1966</v>
      </c>
      <c r="E1087" s="17" t="s">
        <v>1935</v>
      </c>
      <c r="H1087" s="194"/>
      <c r="I1087" s="18" t="s">
        <v>1066</v>
      </c>
      <c r="J1087" s="23"/>
      <c r="L1087" s="4" t="s">
        <v>2</v>
      </c>
      <c r="M1087" s="5"/>
      <c r="O1087" s="147">
        <v>1</v>
      </c>
      <c r="P1087" s="15">
        <v>1</v>
      </c>
      <c r="Q1087" s="148">
        <f t="shared" si="34"/>
        <v>2</v>
      </c>
    </row>
    <row r="1088" spans="1:17" ht="16.5" hidden="1" x14ac:dyDescent="0.35">
      <c r="A1088" s="53">
        <v>1087</v>
      </c>
      <c r="B1088" s="18" t="s">
        <v>1952</v>
      </c>
      <c r="C1088" s="18" t="s">
        <v>663</v>
      </c>
      <c r="D1088" s="17" t="s">
        <v>1966</v>
      </c>
      <c r="E1088" s="17" t="s">
        <v>1935</v>
      </c>
      <c r="H1088" s="194"/>
      <c r="I1088" s="18" t="s">
        <v>1066</v>
      </c>
      <c r="J1088" s="23"/>
      <c r="L1088" s="4" t="s">
        <v>2</v>
      </c>
      <c r="M1088" s="5"/>
      <c r="O1088" s="147">
        <v>2</v>
      </c>
      <c r="P1088" s="15">
        <v>2</v>
      </c>
      <c r="Q1088" s="148">
        <f t="shared" si="34"/>
        <v>4</v>
      </c>
    </row>
    <row r="1089" spans="1:17" ht="16.5" hidden="1" x14ac:dyDescent="0.35">
      <c r="A1089" s="53">
        <v>1088</v>
      </c>
      <c r="B1089" s="18" t="s">
        <v>1953</v>
      </c>
      <c r="C1089" s="18" t="s">
        <v>663</v>
      </c>
      <c r="D1089" s="17" t="s">
        <v>1966</v>
      </c>
      <c r="E1089" s="17" t="s">
        <v>1935</v>
      </c>
      <c r="H1089" s="194"/>
      <c r="I1089" s="18" t="s">
        <v>1066</v>
      </c>
      <c r="J1089" s="23"/>
      <c r="L1089" s="4" t="s">
        <v>9</v>
      </c>
      <c r="M1089" s="5"/>
      <c r="O1089" s="147">
        <v>2</v>
      </c>
      <c r="P1089" s="15">
        <v>2</v>
      </c>
      <c r="Q1089" s="148">
        <f t="shared" si="34"/>
        <v>4</v>
      </c>
    </row>
    <row r="1090" spans="1:17" ht="16.5" hidden="1" x14ac:dyDescent="0.35">
      <c r="A1090" s="53">
        <v>1089</v>
      </c>
      <c r="B1090" s="18" t="s">
        <v>1954</v>
      </c>
      <c r="C1090" s="18" t="s">
        <v>663</v>
      </c>
      <c r="D1090" s="17" t="s">
        <v>1966</v>
      </c>
      <c r="E1090" s="17" t="s">
        <v>1935</v>
      </c>
      <c r="H1090" s="194"/>
      <c r="I1090" s="18" t="s">
        <v>1066</v>
      </c>
      <c r="J1090" s="23"/>
      <c r="L1090" s="4" t="s">
        <v>9</v>
      </c>
      <c r="M1090" s="5"/>
      <c r="O1090" s="147">
        <v>1</v>
      </c>
      <c r="P1090" s="15">
        <v>0</v>
      </c>
      <c r="Q1090" s="148">
        <f t="shared" si="34"/>
        <v>1</v>
      </c>
    </row>
    <row r="1091" spans="1:17" ht="16.5" hidden="1" x14ac:dyDescent="0.35">
      <c r="A1091" s="53">
        <v>1090</v>
      </c>
      <c r="B1091" s="18" t="s">
        <v>1955</v>
      </c>
      <c r="C1091" s="18" t="s">
        <v>663</v>
      </c>
      <c r="D1091" s="17" t="s">
        <v>1966</v>
      </c>
      <c r="E1091" s="17" t="s">
        <v>1935</v>
      </c>
      <c r="H1091" s="194"/>
      <c r="I1091" s="18" t="s">
        <v>1066</v>
      </c>
      <c r="J1091" s="23"/>
      <c r="L1091" s="4" t="s">
        <v>9</v>
      </c>
      <c r="M1091" s="5"/>
      <c r="O1091" s="147">
        <v>0</v>
      </c>
      <c r="P1091" s="15">
        <v>0</v>
      </c>
      <c r="Q1091" s="148">
        <f t="shared" si="34"/>
        <v>0</v>
      </c>
    </row>
    <row r="1092" spans="1:17" ht="16.5" hidden="1" x14ac:dyDescent="0.35">
      <c r="A1092" s="53">
        <v>1091</v>
      </c>
      <c r="B1092" s="18" t="s">
        <v>1956</v>
      </c>
      <c r="C1092" s="18" t="s">
        <v>663</v>
      </c>
      <c r="D1092" s="17" t="s">
        <v>1966</v>
      </c>
      <c r="E1092" s="17" t="s">
        <v>1935</v>
      </c>
      <c r="H1092" s="194"/>
      <c r="I1092" s="18" t="s">
        <v>1066</v>
      </c>
      <c r="J1092" s="23"/>
      <c r="L1092" s="4" t="s">
        <v>2</v>
      </c>
      <c r="M1092" s="5"/>
      <c r="O1092" s="147">
        <v>1</v>
      </c>
      <c r="P1092" s="15">
        <v>0</v>
      </c>
      <c r="Q1092" s="148">
        <f t="shared" si="34"/>
        <v>1</v>
      </c>
    </row>
    <row r="1093" spans="1:17" ht="16.5" hidden="1" x14ac:dyDescent="0.35">
      <c r="A1093" s="53">
        <v>1092</v>
      </c>
      <c r="B1093" s="18" t="s">
        <v>1957</v>
      </c>
      <c r="C1093" s="18" t="s">
        <v>663</v>
      </c>
      <c r="D1093" s="17" t="s">
        <v>1966</v>
      </c>
      <c r="E1093" s="17" t="s">
        <v>1935</v>
      </c>
      <c r="H1093" s="194"/>
      <c r="I1093" s="18" t="s">
        <v>1066</v>
      </c>
      <c r="J1093" s="23"/>
      <c r="L1093" s="4" t="s">
        <v>9</v>
      </c>
      <c r="M1093" s="5"/>
      <c r="O1093" s="147">
        <v>0</v>
      </c>
      <c r="P1093" s="15">
        <v>0</v>
      </c>
      <c r="Q1093" s="148">
        <f t="shared" si="34"/>
        <v>0</v>
      </c>
    </row>
    <row r="1094" spans="1:17" ht="16.5" hidden="1" x14ac:dyDescent="0.35">
      <c r="A1094" s="53">
        <v>1093</v>
      </c>
      <c r="B1094" s="18" t="s">
        <v>1958</v>
      </c>
      <c r="C1094" s="18" t="s">
        <v>663</v>
      </c>
      <c r="D1094" s="17" t="s">
        <v>1966</v>
      </c>
      <c r="E1094" s="17" t="s">
        <v>1935</v>
      </c>
      <c r="H1094" s="194"/>
      <c r="I1094" s="18" t="s">
        <v>1066</v>
      </c>
      <c r="J1094" s="23"/>
      <c r="L1094" s="4" t="s">
        <v>2</v>
      </c>
      <c r="M1094" s="5"/>
      <c r="O1094" s="147">
        <v>2</v>
      </c>
      <c r="P1094" s="15">
        <v>0</v>
      </c>
      <c r="Q1094" s="148">
        <f t="shared" si="34"/>
        <v>2</v>
      </c>
    </row>
    <row r="1095" spans="1:17" ht="16.5" hidden="1" x14ac:dyDescent="0.5">
      <c r="A1095" s="53">
        <v>1094</v>
      </c>
      <c r="B1095" s="18" t="s">
        <v>1959</v>
      </c>
      <c r="C1095" s="18" t="s">
        <v>663</v>
      </c>
      <c r="D1095" s="17" t="s">
        <v>1966</v>
      </c>
      <c r="E1095" s="17" t="s">
        <v>1935</v>
      </c>
      <c r="H1095" s="194"/>
      <c r="I1095" s="18" t="s">
        <v>1066</v>
      </c>
      <c r="J1095" s="23"/>
      <c r="L1095" s="4" t="s">
        <v>9</v>
      </c>
      <c r="M1095" s="5"/>
      <c r="O1095" s="149">
        <v>0</v>
      </c>
      <c r="P1095" s="149">
        <v>0</v>
      </c>
      <c r="Q1095" s="148">
        <f t="shared" si="34"/>
        <v>0</v>
      </c>
    </row>
    <row r="1096" spans="1:17" ht="16.5" hidden="1" x14ac:dyDescent="0.5">
      <c r="A1096" s="53">
        <v>1095</v>
      </c>
      <c r="B1096" s="18" t="s">
        <v>1960</v>
      </c>
      <c r="C1096" s="18" t="s">
        <v>663</v>
      </c>
      <c r="D1096" s="17" t="s">
        <v>1966</v>
      </c>
      <c r="E1096" s="17" t="s">
        <v>1935</v>
      </c>
      <c r="H1096" s="194"/>
      <c r="I1096" s="18" t="s">
        <v>1066</v>
      </c>
      <c r="J1096" s="23"/>
      <c r="L1096" s="4" t="s">
        <v>2</v>
      </c>
      <c r="M1096" s="5"/>
      <c r="O1096" s="149">
        <v>1</v>
      </c>
      <c r="P1096" s="149">
        <v>3</v>
      </c>
      <c r="Q1096" s="148">
        <f t="shared" si="34"/>
        <v>4</v>
      </c>
    </row>
    <row r="1097" spans="1:17" ht="16.5" hidden="1" x14ac:dyDescent="0.5">
      <c r="A1097" s="53">
        <v>1096</v>
      </c>
      <c r="B1097" s="18" t="s">
        <v>1961</v>
      </c>
      <c r="C1097" s="18" t="s">
        <v>663</v>
      </c>
      <c r="D1097" s="17" t="s">
        <v>1966</v>
      </c>
      <c r="E1097" s="17" t="s">
        <v>1935</v>
      </c>
      <c r="H1097" s="194"/>
      <c r="I1097" s="18" t="s">
        <v>1066</v>
      </c>
      <c r="J1097" s="23"/>
      <c r="L1097" s="4" t="s">
        <v>2</v>
      </c>
      <c r="M1097" s="5"/>
      <c r="O1097" s="149">
        <v>1</v>
      </c>
      <c r="P1097" s="149">
        <v>1</v>
      </c>
      <c r="Q1097" s="148">
        <f t="shared" si="34"/>
        <v>2</v>
      </c>
    </row>
    <row r="1098" spans="1:17" ht="16.5" hidden="1" x14ac:dyDescent="0.5">
      <c r="A1098" s="53">
        <v>1097</v>
      </c>
      <c r="B1098" s="351" t="s">
        <v>1962</v>
      </c>
      <c r="C1098" s="18" t="s">
        <v>663</v>
      </c>
      <c r="D1098" s="17" t="s">
        <v>1966</v>
      </c>
      <c r="E1098" s="17" t="s">
        <v>1935</v>
      </c>
      <c r="H1098" s="194"/>
      <c r="I1098" s="18" t="s">
        <v>1066</v>
      </c>
      <c r="J1098" s="23"/>
      <c r="L1098" s="4" t="s">
        <v>2</v>
      </c>
      <c r="M1098" s="27"/>
      <c r="O1098" s="149">
        <v>0</v>
      </c>
      <c r="P1098" s="149">
        <v>0</v>
      </c>
      <c r="Q1098" s="148">
        <f t="shared" si="34"/>
        <v>0</v>
      </c>
    </row>
    <row r="1099" spans="1:17" ht="16.5" hidden="1" x14ac:dyDescent="0.35">
      <c r="A1099" s="53">
        <v>1098</v>
      </c>
      <c r="B1099" s="351" t="s">
        <v>130</v>
      </c>
      <c r="C1099" s="18" t="s">
        <v>661</v>
      </c>
      <c r="D1099" s="17" t="s">
        <v>2752</v>
      </c>
      <c r="E1099" s="17" t="s">
        <v>2708</v>
      </c>
      <c r="H1099" s="25"/>
      <c r="I1099" s="18" t="s">
        <v>1066</v>
      </c>
      <c r="J1099" s="3"/>
      <c r="L1099" s="15" t="s">
        <v>2</v>
      </c>
      <c r="M1099" s="5"/>
      <c r="O1099" s="156">
        <v>4</v>
      </c>
      <c r="P1099" s="377">
        <v>2</v>
      </c>
      <c r="Q1099" s="378">
        <f>SUM(O1099,P1099)</f>
        <v>6</v>
      </c>
    </row>
    <row r="1100" spans="1:17" ht="16.5" hidden="1" x14ac:dyDescent="0.35">
      <c r="A1100" s="53">
        <v>1099</v>
      </c>
      <c r="B1100" s="351" t="s">
        <v>2728</v>
      </c>
      <c r="C1100" s="18" t="s">
        <v>661</v>
      </c>
      <c r="D1100" s="17" t="s">
        <v>2752</v>
      </c>
      <c r="E1100" s="17" t="s">
        <v>2708</v>
      </c>
      <c r="H1100" s="25"/>
      <c r="I1100" s="18" t="s">
        <v>1066</v>
      </c>
      <c r="J1100" s="3" t="s">
        <v>2753</v>
      </c>
      <c r="L1100" s="15" t="s">
        <v>2</v>
      </c>
      <c r="M1100" s="5"/>
      <c r="O1100" s="156">
        <v>0</v>
      </c>
      <c r="P1100" s="377">
        <v>0</v>
      </c>
      <c r="Q1100" s="378">
        <f t="shared" ref="Q1100:Q1123" si="35">SUM(O1100,P1100)</f>
        <v>0</v>
      </c>
    </row>
    <row r="1101" spans="1:17" ht="16.5" hidden="1" x14ac:dyDescent="0.35">
      <c r="A1101" s="53">
        <v>1100</v>
      </c>
      <c r="B1101" s="351" t="s">
        <v>2729</v>
      </c>
      <c r="C1101" s="18" t="s">
        <v>661</v>
      </c>
      <c r="D1101" s="17" t="s">
        <v>2752</v>
      </c>
      <c r="E1101" s="17" t="s">
        <v>2708</v>
      </c>
      <c r="H1101" s="25"/>
      <c r="I1101" s="18" t="s">
        <v>1066</v>
      </c>
      <c r="J1101" s="5" t="s">
        <v>2754</v>
      </c>
      <c r="L1101" s="15" t="s">
        <v>2</v>
      </c>
      <c r="M1101" s="5"/>
      <c r="O1101" s="156">
        <v>1</v>
      </c>
      <c r="P1101" s="377">
        <v>0</v>
      </c>
      <c r="Q1101" s="378">
        <f t="shared" si="35"/>
        <v>1</v>
      </c>
    </row>
    <row r="1102" spans="1:17" ht="16.5" hidden="1" x14ac:dyDescent="0.35">
      <c r="A1102" s="53">
        <v>1101</v>
      </c>
      <c r="B1102" s="351" t="s">
        <v>2730</v>
      </c>
      <c r="C1102" s="18" t="s">
        <v>661</v>
      </c>
      <c r="D1102" s="17" t="s">
        <v>2752</v>
      </c>
      <c r="E1102" s="17" t="s">
        <v>2708</v>
      </c>
      <c r="H1102" s="25"/>
      <c r="I1102" s="18" t="s">
        <v>1066</v>
      </c>
      <c r="J1102" s="3" t="s">
        <v>2755</v>
      </c>
      <c r="L1102" s="15" t="s">
        <v>2</v>
      </c>
      <c r="M1102" s="5"/>
      <c r="O1102" s="156">
        <v>2</v>
      </c>
      <c r="P1102" s="377">
        <v>3</v>
      </c>
      <c r="Q1102" s="378">
        <f t="shared" si="35"/>
        <v>5</v>
      </c>
    </row>
    <row r="1103" spans="1:17" ht="16.5" hidden="1" x14ac:dyDescent="0.35">
      <c r="A1103" s="53">
        <v>1102</v>
      </c>
      <c r="B1103" s="351" t="s">
        <v>2731</v>
      </c>
      <c r="C1103" s="18" t="s">
        <v>661</v>
      </c>
      <c r="D1103" s="17" t="s">
        <v>2752</v>
      </c>
      <c r="E1103" s="17" t="s">
        <v>2708</v>
      </c>
      <c r="H1103" s="25"/>
      <c r="I1103" s="18" t="s">
        <v>1066</v>
      </c>
      <c r="J1103" s="3"/>
      <c r="L1103" s="15" t="s">
        <v>2</v>
      </c>
      <c r="M1103" s="5"/>
      <c r="O1103" s="156">
        <v>1</v>
      </c>
      <c r="P1103" s="377">
        <v>1</v>
      </c>
      <c r="Q1103" s="378">
        <f t="shared" si="35"/>
        <v>2</v>
      </c>
    </row>
    <row r="1104" spans="1:17" ht="16.5" hidden="1" x14ac:dyDescent="0.35">
      <c r="A1104" s="53">
        <v>1103</v>
      </c>
      <c r="B1104" s="351" t="s">
        <v>2732</v>
      </c>
      <c r="C1104" s="18" t="s">
        <v>661</v>
      </c>
      <c r="D1104" s="17" t="s">
        <v>2752</v>
      </c>
      <c r="E1104" s="17" t="s">
        <v>2708</v>
      </c>
      <c r="H1104" s="25"/>
      <c r="I1104" s="18" t="s">
        <v>1066</v>
      </c>
      <c r="J1104" s="3" t="s">
        <v>2756</v>
      </c>
      <c r="L1104" s="15" t="s">
        <v>2</v>
      </c>
      <c r="M1104" s="5"/>
      <c r="O1104" s="156">
        <v>2</v>
      </c>
      <c r="P1104" s="377">
        <v>0</v>
      </c>
      <c r="Q1104" s="378">
        <f t="shared" si="35"/>
        <v>2</v>
      </c>
    </row>
    <row r="1105" spans="1:17" ht="16.5" hidden="1" x14ac:dyDescent="0.35">
      <c r="A1105" s="53">
        <v>1104</v>
      </c>
      <c r="B1105" s="351" t="s">
        <v>2733</v>
      </c>
      <c r="C1105" s="18" t="s">
        <v>661</v>
      </c>
      <c r="D1105" s="17" t="s">
        <v>2752</v>
      </c>
      <c r="E1105" s="17" t="s">
        <v>2708</v>
      </c>
      <c r="H1105" s="25"/>
      <c r="I1105" s="18" t="s">
        <v>1066</v>
      </c>
      <c r="J1105" s="3"/>
      <c r="L1105" s="15" t="s">
        <v>2</v>
      </c>
      <c r="M1105" s="5"/>
      <c r="O1105" s="156">
        <v>1</v>
      </c>
      <c r="P1105" s="377">
        <v>2</v>
      </c>
      <c r="Q1105" s="378">
        <f t="shared" si="35"/>
        <v>3</v>
      </c>
    </row>
    <row r="1106" spans="1:17" ht="16.5" hidden="1" x14ac:dyDescent="0.35">
      <c r="A1106" s="53">
        <v>1105</v>
      </c>
      <c r="B1106" s="351" t="s">
        <v>2734</v>
      </c>
      <c r="C1106" s="18" t="s">
        <v>661</v>
      </c>
      <c r="D1106" s="17" t="s">
        <v>2752</v>
      </c>
      <c r="E1106" s="17" t="s">
        <v>2708</v>
      </c>
      <c r="H1106" s="25"/>
      <c r="I1106" s="18" t="s">
        <v>1066</v>
      </c>
      <c r="J1106" s="3" t="s">
        <v>2757</v>
      </c>
      <c r="L1106" s="15" t="s">
        <v>2</v>
      </c>
      <c r="M1106" s="5"/>
      <c r="O1106" s="156">
        <v>4</v>
      </c>
      <c r="P1106" s="377">
        <v>1</v>
      </c>
      <c r="Q1106" s="378">
        <f t="shared" si="35"/>
        <v>5</v>
      </c>
    </row>
    <row r="1107" spans="1:17" ht="16.5" hidden="1" x14ac:dyDescent="0.35">
      <c r="A1107" s="53">
        <v>1106</v>
      </c>
      <c r="B1107" s="351" t="s">
        <v>2735</v>
      </c>
      <c r="C1107" s="18" t="s">
        <v>661</v>
      </c>
      <c r="D1107" s="17" t="s">
        <v>2752</v>
      </c>
      <c r="E1107" s="17" t="s">
        <v>2708</v>
      </c>
      <c r="H1107" s="25"/>
      <c r="I1107" s="18" t="s">
        <v>1066</v>
      </c>
      <c r="J1107" s="3" t="s">
        <v>2758</v>
      </c>
      <c r="L1107" s="15" t="s">
        <v>9</v>
      </c>
      <c r="M1107" s="5"/>
      <c r="O1107" s="156">
        <v>2</v>
      </c>
      <c r="P1107" s="377">
        <v>1</v>
      </c>
      <c r="Q1107" s="378">
        <f t="shared" si="35"/>
        <v>3</v>
      </c>
    </row>
    <row r="1108" spans="1:17" ht="16.5" hidden="1" x14ac:dyDescent="0.35">
      <c r="A1108" s="53">
        <v>1107</v>
      </c>
      <c r="B1108" s="351" t="s">
        <v>2736</v>
      </c>
      <c r="C1108" s="18" t="s">
        <v>661</v>
      </c>
      <c r="D1108" s="17" t="s">
        <v>2752</v>
      </c>
      <c r="E1108" s="17" t="s">
        <v>2708</v>
      </c>
      <c r="H1108" s="25"/>
      <c r="I1108" s="18" t="s">
        <v>1066</v>
      </c>
      <c r="J1108" s="3"/>
      <c r="L1108" s="15" t="s">
        <v>2</v>
      </c>
      <c r="M1108" s="5"/>
      <c r="O1108" s="156">
        <v>1</v>
      </c>
      <c r="P1108" s="377">
        <v>1</v>
      </c>
      <c r="Q1108" s="378">
        <f t="shared" si="35"/>
        <v>2</v>
      </c>
    </row>
    <row r="1109" spans="1:17" ht="16.5" hidden="1" x14ac:dyDescent="0.35">
      <c r="A1109" s="53">
        <v>1108</v>
      </c>
      <c r="B1109" s="351" t="s">
        <v>2737</v>
      </c>
      <c r="C1109" s="18" t="s">
        <v>661</v>
      </c>
      <c r="D1109" s="17" t="s">
        <v>2752</v>
      </c>
      <c r="E1109" s="17" t="s">
        <v>2708</v>
      </c>
      <c r="H1109" s="25"/>
      <c r="I1109" s="18" t="s">
        <v>1066</v>
      </c>
      <c r="J1109" s="3"/>
      <c r="L1109" s="15" t="s">
        <v>2</v>
      </c>
      <c r="M1109" s="5"/>
      <c r="O1109" s="156">
        <v>2</v>
      </c>
      <c r="P1109" s="377">
        <v>2</v>
      </c>
      <c r="Q1109" s="378">
        <f t="shared" si="35"/>
        <v>4</v>
      </c>
    </row>
    <row r="1110" spans="1:17" ht="16.5" hidden="1" x14ac:dyDescent="0.35">
      <c r="A1110" s="53">
        <v>1109</v>
      </c>
      <c r="B1110" s="351" t="s">
        <v>2738</v>
      </c>
      <c r="C1110" s="18" t="s">
        <v>661</v>
      </c>
      <c r="D1110" s="17" t="s">
        <v>2752</v>
      </c>
      <c r="E1110" s="17" t="s">
        <v>2708</v>
      </c>
      <c r="H1110" s="25"/>
      <c r="I1110" s="18" t="s">
        <v>1066</v>
      </c>
      <c r="J1110" s="3"/>
      <c r="L1110" s="15" t="s">
        <v>2</v>
      </c>
      <c r="M1110" s="5"/>
      <c r="O1110" s="156">
        <v>1</v>
      </c>
      <c r="P1110" s="377">
        <v>1</v>
      </c>
      <c r="Q1110" s="378">
        <f t="shared" si="35"/>
        <v>2</v>
      </c>
    </row>
    <row r="1111" spans="1:17" ht="16.5" hidden="1" x14ac:dyDescent="0.35">
      <c r="A1111" s="53">
        <v>1110</v>
      </c>
      <c r="B1111" s="351" t="s">
        <v>2739</v>
      </c>
      <c r="C1111" s="18" t="s">
        <v>661</v>
      </c>
      <c r="D1111" s="17" t="s">
        <v>2752</v>
      </c>
      <c r="E1111" s="17" t="s">
        <v>2708</v>
      </c>
      <c r="H1111" s="25"/>
      <c r="I1111" s="18" t="s">
        <v>1066</v>
      </c>
      <c r="J1111" s="3" t="s">
        <v>2759</v>
      </c>
      <c r="L1111" s="15" t="s">
        <v>9</v>
      </c>
      <c r="M1111" s="5"/>
      <c r="O1111" s="156">
        <v>0</v>
      </c>
      <c r="P1111" s="377">
        <v>0</v>
      </c>
      <c r="Q1111" s="378">
        <f t="shared" si="35"/>
        <v>0</v>
      </c>
    </row>
    <row r="1112" spans="1:17" ht="16.5" hidden="1" x14ac:dyDescent="0.35">
      <c r="A1112" s="53">
        <v>1111</v>
      </c>
      <c r="B1112" s="351" t="s">
        <v>2740</v>
      </c>
      <c r="C1112" s="18" t="s">
        <v>661</v>
      </c>
      <c r="D1112" s="17" t="s">
        <v>2752</v>
      </c>
      <c r="E1112" s="17" t="s">
        <v>2708</v>
      </c>
      <c r="H1112" s="25"/>
      <c r="I1112" s="18" t="s">
        <v>1066</v>
      </c>
      <c r="J1112" s="3"/>
      <c r="L1112" s="15" t="s">
        <v>9</v>
      </c>
      <c r="M1112" s="5"/>
      <c r="O1112" s="156">
        <v>0</v>
      </c>
      <c r="P1112" s="377">
        <v>0</v>
      </c>
      <c r="Q1112" s="378">
        <f t="shared" si="35"/>
        <v>0</v>
      </c>
    </row>
    <row r="1113" spans="1:17" ht="16.5" hidden="1" x14ac:dyDescent="0.35">
      <c r="A1113" s="53">
        <v>1112</v>
      </c>
      <c r="B1113" s="351" t="s">
        <v>2741</v>
      </c>
      <c r="C1113" s="18" t="s">
        <v>661</v>
      </c>
      <c r="D1113" s="17" t="s">
        <v>2752</v>
      </c>
      <c r="E1113" s="17" t="s">
        <v>2708</v>
      </c>
      <c r="H1113" s="25"/>
      <c r="I1113" s="18" t="s">
        <v>1066</v>
      </c>
      <c r="J1113" s="3"/>
      <c r="L1113" s="15" t="s">
        <v>2</v>
      </c>
      <c r="M1113" s="5"/>
      <c r="O1113" s="156">
        <v>0</v>
      </c>
      <c r="P1113" s="377">
        <v>0</v>
      </c>
      <c r="Q1113" s="378">
        <f t="shared" si="35"/>
        <v>0</v>
      </c>
    </row>
    <row r="1114" spans="1:17" ht="16.5" hidden="1" x14ac:dyDescent="0.35">
      <c r="A1114" s="53">
        <v>1113</v>
      </c>
      <c r="B1114" s="351" t="s">
        <v>2742</v>
      </c>
      <c r="C1114" s="18" t="s">
        <v>661</v>
      </c>
      <c r="D1114" s="17" t="s">
        <v>2752</v>
      </c>
      <c r="E1114" s="17" t="s">
        <v>2708</v>
      </c>
      <c r="H1114" s="25"/>
      <c r="I1114" s="18" t="s">
        <v>1066</v>
      </c>
      <c r="J1114" s="3" t="s">
        <v>2760</v>
      </c>
      <c r="L1114" s="15" t="s">
        <v>2</v>
      </c>
      <c r="M1114" s="5"/>
      <c r="O1114" s="156">
        <v>1</v>
      </c>
      <c r="P1114" s="377">
        <v>0</v>
      </c>
      <c r="Q1114" s="378">
        <f t="shared" si="35"/>
        <v>1</v>
      </c>
    </row>
    <row r="1115" spans="1:17" ht="16.5" hidden="1" x14ac:dyDescent="0.35">
      <c r="A1115" s="53">
        <v>1114</v>
      </c>
      <c r="B1115" s="351" t="s">
        <v>2743</v>
      </c>
      <c r="C1115" s="18" t="s">
        <v>661</v>
      </c>
      <c r="D1115" s="17" t="s">
        <v>2752</v>
      </c>
      <c r="E1115" s="17" t="s">
        <v>2708</v>
      </c>
      <c r="H1115" s="25"/>
      <c r="I1115" s="18" t="s">
        <v>1066</v>
      </c>
      <c r="J1115" s="3"/>
      <c r="L1115" s="15" t="s">
        <v>9</v>
      </c>
      <c r="M1115" s="5"/>
      <c r="O1115" s="156">
        <v>0</v>
      </c>
      <c r="P1115" s="377">
        <v>1</v>
      </c>
      <c r="Q1115" s="378">
        <f t="shared" si="35"/>
        <v>1</v>
      </c>
    </row>
    <row r="1116" spans="1:17" ht="16.5" hidden="1" x14ac:dyDescent="0.35">
      <c r="A1116" s="53">
        <v>1115</v>
      </c>
      <c r="B1116" s="351" t="s">
        <v>2744</v>
      </c>
      <c r="C1116" s="18" t="s">
        <v>661</v>
      </c>
      <c r="D1116" s="17" t="s">
        <v>2752</v>
      </c>
      <c r="E1116" s="17" t="s">
        <v>2708</v>
      </c>
      <c r="H1116" s="25"/>
      <c r="I1116" s="18" t="s">
        <v>1066</v>
      </c>
      <c r="J1116" s="3"/>
      <c r="L1116" s="15" t="s">
        <v>9</v>
      </c>
      <c r="M1116" s="5"/>
      <c r="O1116" s="156">
        <v>0</v>
      </c>
      <c r="P1116" s="377">
        <v>0</v>
      </c>
      <c r="Q1116" s="378">
        <f t="shared" si="35"/>
        <v>0</v>
      </c>
    </row>
    <row r="1117" spans="1:17" ht="16.5" hidden="1" x14ac:dyDescent="0.35">
      <c r="A1117" s="53">
        <v>1116</v>
      </c>
      <c r="B1117" s="351" t="s">
        <v>2745</v>
      </c>
      <c r="C1117" s="18" t="s">
        <v>661</v>
      </c>
      <c r="D1117" s="17" t="s">
        <v>2752</v>
      </c>
      <c r="E1117" s="17" t="s">
        <v>2708</v>
      </c>
      <c r="H1117" s="25"/>
      <c r="I1117" s="18" t="s">
        <v>1066</v>
      </c>
      <c r="J1117" s="3"/>
      <c r="L1117" s="15" t="s">
        <v>2</v>
      </c>
      <c r="M1117" s="5"/>
      <c r="O1117" s="156">
        <v>1</v>
      </c>
      <c r="P1117" s="377">
        <v>2</v>
      </c>
      <c r="Q1117" s="378">
        <f t="shared" si="35"/>
        <v>3</v>
      </c>
    </row>
    <row r="1118" spans="1:17" ht="16.5" hidden="1" x14ac:dyDescent="0.35">
      <c r="A1118" s="53">
        <v>1117</v>
      </c>
      <c r="B1118" s="351" t="s">
        <v>2746</v>
      </c>
      <c r="C1118" s="18" t="s">
        <v>661</v>
      </c>
      <c r="D1118" s="17" t="s">
        <v>2752</v>
      </c>
      <c r="E1118" s="17" t="s">
        <v>2708</v>
      </c>
      <c r="H1118" s="25"/>
      <c r="I1118" s="18" t="s">
        <v>1066</v>
      </c>
      <c r="J1118" s="3" t="s">
        <v>2761</v>
      </c>
      <c r="L1118" s="15" t="s">
        <v>9</v>
      </c>
      <c r="M1118" s="5"/>
      <c r="O1118" s="156">
        <v>0</v>
      </c>
      <c r="P1118" s="377">
        <v>0</v>
      </c>
      <c r="Q1118" s="378">
        <f t="shared" si="35"/>
        <v>0</v>
      </c>
    </row>
    <row r="1119" spans="1:17" ht="16.5" hidden="1" x14ac:dyDescent="0.35">
      <c r="A1119" s="53">
        <v>1118</v>
      </c>
      <c r="B1119" s="351" t="s">
        <v>2747</v>
      </c>
      <c r="C1119" s="18" t="s">
        <v>661</v>
      </c>
      <c r="D1119" s="17" t="s">
        <v>2752</v>
      </c>
      <c r="E1119" s="17" t="s">
        <v>2708</v>
      </c>
      <c r="H1119" s="25"/>
      <c r="I1119" s="18" t="s">
        <v>1066</v>
      </c>
      <c r="J1119" s="3"/>
      <c r="L1119" s="15" t="s">
        <v>2</v>
      </c>
      <c r="M1119" s="5"/>
      <c r="O1119" s="156">
        <v>3</v>
      </c>
      <c r="P1119" s="377">
        <v>2</v>
      </c>
      <c r="Q1119" s="378">
        <f t="shared" si="35"/>
        <v>5</v>
      </c>
    </row>
    <row r="1120" spans="1:17" ht="16.5" hidden="1" x14ac:dyDescent="0.35">
      <c r="A1120" s="53">
        <v>1119</v>
      </c>
      <c r="B1120" s="351" t="s">
        <v>2748</v>
      </c>
      <c r="C1120" s="18" t="s">
        <v>661</v>
      </c>
      <c r="D1120" s="17" t="s">
        <v>2752</v>
      </c>
      <c r="E1120" s="17" t="s">
        <v>2708</v>
      </c>
      <c r="H1120" s="25"/>
      <c r="I1120" s="18" t="s">
        <v>1066</v>
      </c>
      <c r="J1120" s="3" t="s">
        <v>2762</v>
      </c>
      <c r="L1120" s="15" t="s">
        <v>9</v>
      </c>
      <c r="M1120" s="5"/>
      <c r="O1120" s="156">
        <v>0</v>
      </c>
      <c r="P1120" s="377">
        <v>0</v>
      </c>
      <c r="Q1120" s="378">
        <f t="shared" si="35"/>
        <v>0</v>
      </c>
    </row>
    <row r="1121" spans="1:17" ht="16.5" hidden="1" x14ac:dyDescent="0.35">
      <c r="A1121" s="53">
        <v>1120</v>
      </c>
      <c r="B1121" s="351" t="s">
        <v>2749</v>
      </c>
      <c r="C1121" s="18" t="s">
        <v>661</v>
      </c>
      <c r="D1121" s="17" t="s">
        <v>2752</v>
      </c>
      <c r="E1121" s="17" t="s">
        <v>2708</v>
      </c>
      <c r="H1121" s="25"/>
      <c r="I1121" s="18" t="s">
        <v>1066</v>
      </c>
      <c r="J1121" s="3"/>
      <c r="L1121" s="15" t="s">
        <v>9</v>
      </c>
      <c r="M1121" s="5"/>
      <c r="O1121" s="156">
        <v>0</v>
      </c>
      <c r="P1121" s="377">
        <v>0</v>
      </c>
      <c r="Q1121" s="378">
        <f t="shared" si="35"/>
        <v>0</v>
      </c>
    </row>
    <row r="1122" spans="1:17" ht="16.5" hidden="1" x14ac:dyDescent="0.35">
      <c r="A1122" s="53">
        <v>1121</v>
      </c>
      <c r="B1122" s="351" t="s">
        <v>2750</v>
      </c>
      <c r="C1122" s="18" t="s">
        <v>661</v>
      </c>
      <c r="D1122" s="17" t="s">
        <v>2752</v>
      </c>
      <c r="E1122" s="17" t="s">
        <v>2708</v>
      </c>
      <c r="H1122" s="25"/>
      <c r="I1122" s="18" t="s">
        <v>1066</v>
      </c>
      <c r="J1122" s="3"/>
      <c r="L1122" s="15" t="s">
        <v>9</v>
      </c>
      <c r="M1122" s="5"/>
      <c r="O1122" s="156">
        <v>0</v>
      </c>
      <c r="P1122" s="377">
        <v>0</v>
      </c>
      <c r="Q1122" s="378">
        <f t="shared" si="35"/>
        <v>0</v>
      </c>
    </row>
    <row r="1123" spans="1:17" ht="16.5" hidden="1" x14ac:dyDescent="0.35">
      <c r="A1123" s="53">
        <v>1122</v>
      </c>
      <c r="B1123" s="351" t="s">
        <v>2751</v>
      </c>
      <c r="C1123" s="18" t="s">
        <v>661</v>
      </c>
      <c r="D1123" s="17" t="s">
        <v>2752</v>
      </c>
      <c r="E1123" s="17" t="s">
        <v>2708</v>
      </c>
      <c r="H1123" s="25"/>
      <c r="I1123" s="18" t="s">
        <v>1066</v>
      </c>
      <c r="J1123" s="3"/>
      <c r="L1123" s="15" t="s">
        <v>2</v>
      </c>
      <c r="M1123" s="27"/>
      <c r="O1123" s="156">
        <v>0</v>
      </c>
      <c r="P1123" s="377">
        <v>0</v>
      </c>
      <c r="Q1123" s="378">
        <f t="shared" si="35"/>
        <v>0</v>
      </c>
    </row>
    <row r="1124" spans="1:17" ht="16.5" hidden="1" x14ac:dyDescent="0.35">
      <c r="A1124" s="53">
        <v>1123</v>
      </c>
      <c r="B1124" s="351" t="s">
        <v>2763</v>
      </c>
      <c r="C1124" s="18" t="s">
        <v>661</v>
      </c>
      <c r="D1124" s="17" t="s">
        <v>2793</v>
      </c>
      <c r="E1124" s="17" t="s">
        <v>2708</v>
      </c>
      <c r="H1124" s="25"/>
      <c r="I1124" s="18"/>
      <c r="J1124" s="3"/>
      <c r="L1124" s="15" t="s">
        <v>2</v>
      </c>
      <c r="M1124" s="5"/>
      <c r="O1124" s="156">
        <v>1</v>
      </c>
      <c r="P1124" s="377">
        <v>2</v>
      </c>
      <c r="Q1124" s="378">
        <f>SUM(O1124,P1124)</f>
        <v>3</v>
      </c>
    </row>
    <row r="1125" spans="1:17" ht="16.5" hidden="1" x14ac:dyDescent="0.35">
      <c r="A1125" s="53">
        <v>1124</v>
      </c>
      <c r="B1125" s="351" t="s">
        <v>2764</v>
      </c>
      <c r="C1125" s="18" t="s">
        <v>661</v>
      </c>
      <c r="D1125" s="17" t="s">
        <v>2793</v>
      </c>
      <c r="E1125" s="17" t="s">
        <v>2708</v>
      </c>
      <c r="H1125" s="25"/>
      <c r="I1125" s="18"/>
      <c r="J1125" s="3"/>
      <c r="L1125" s="15" t="s">
        <v>2</v>
      </c>
      <c r="M1125" s="5"/>
      <c r="O1125" s="156">
        <v>0</v>
      </c>
      <c r="P1125" s="377">
        <v>0</v>
      </c>
      <c r="Q1125" s="378">
        <f>SUM(O1125,P1125)</f>
        <v>0</v>
      </c>
    </row>
    <row r="1126" spans="1:17" ht="16.5" hidden="1" x14ac:dyDescent="0.35">
      <c r="A1126" s="53">
        <v>1125</v>
      </c>
      <c r="B1126" s="351" t="s">
        <v>2765</v>
      </c>
      <c r="C1126" s="18" t="s">
        <v>661</v>
      </c>
      <c r="D1126" s="17" t="s">
        <v>2793</v>
      </c>
      <c r="E1126" s="17" t="s">
        <v>2708</v>
      </c>
      <c r="H1126" s="25"/>
      <c r="I1126" s="18"/>
      <c r="J1126" s="5"/>
      <c r="L1126" s="15" t="s">
        <v>2</v>
      </c>
      <c r="M1126" s="5"/>
      <c r="O1126" s="156">
        <v>2</v>
      </c>
      <c r="P1126" s="377">
        <v>1</v>
      </c>
      <c r="Q1126" s="378">
        <f t="shared" ref="Q1126:Q1153" si="36">SUM(O1126,P1126)</f>
        <v>3</v>
      </c>
    </row>
    <row r="1127" spans="1:17" ht="16.5" hidden="1" x14ac:dyDescent="0.35">
      <c r="A1127" s="53">
        <v>1126</v>
      </c>
      <c r="B1127" s="351" t="s">
        <v>2766</v>
      </c>
      <c r="C1127" s="18" t="s">
        <v>661</v>
      </c>
      <c r="D1127" s="17" t="s">
        <v>2793</v>
      </c>
      <c r="E1127" s="17" t="s">
        <v>2708</v>
      </c>
      <c r="H1127" s="25"/>
      <c r="I1127" s="18"/>
      <c r="J1127" s="3"/>
      <c r="L1127" s="15" t="s">
        <v>2</v>
      </c>
      <c r="M1127" s="5"/>
      <c r="O1127" s="156">
        <v>3</v>
      </c>
      <c r="P1127" s="377">
        <v>1</v>
      </c>
      <c r="Q1127" s="378">
        <f t="shared" si="36"/>
        <v>4</v>
      </c>
    </row>
    <row r="1128" spans="1:17" ht="16.5" hidden="1" x14ac:dyDescent="0.35">
      <c r="A1128" s="53">
        <v>1127</v>
      </c>
      <c r="B1128" s="351" t="s">
        <v>2767</v>
      </c>
      <c r="C1128" s="18" t="s">
        <v>661</v>
      </c>
      <c r="D1128" s="17" t="s">
        <v>2793</v>
      </c>
      <c r="E1128" s="17" t="s">
        <v>2708</v>
      </c>
      <c r="H1128" s="25"/>
      <c r="I1128" s="18"/>
      <c r="J1128" s="3"/>
      <c r="L1128" s="15" t="s">
        <v>2</v>
      </c>
      <c r="M1128" s="5"/>
      <c r="O1128" s="156">
        <v>1</v>
      </c>
      <c r="P1128" s="377">
        <v>2</v>
      </c>
      <c r="Q1128" s="378">
        <f t="shared" si="36"/>
        <v>3</v>
      </c>
    </row>
    <row r="1129" spans="1:17" ht="16.5" hidden="1" x14ac:dyDescent="0.35">
      <c r="A1129" s="53">
        <v>1128</v>
      </c>
      <c r="B1129" s="351" t="s">
        <v>2768</v>
      </c>
      <c r="C1129" s="18" t="s">
        <v>661</v>
      </c>
      <c r="D1129" s="17" t="s">
        <v>2793</v>
      </c>
      <c r="E1129" s="17" t="s">
        <v>2708</v>
      </c>
      <c r="H1129" s="25"/>
      <c r="I1129" s="18"/>
      <c r="J1129" s="3"/>
      <c r="L1129" s="15" t="s">
        <v>2</v>
      </c>
      <c r="M1129" s="5"/>
      <c r="O1129" s="156">
        <v>0</v>
      </c>
      <c r="P1129" s="377">
        <v>0</v>
      </c>
      <c r="Q1129" s="378">
        <f t="shared" si="36"/>
        <v>0</v>
      </c>
    </row>
    <row r="1130" spans="1:17" ht="16.5" hidden="1" x14ac:dyDescent="0.35">
      <c r="A1130" s="53">
        <v>1129</v>
      </c>
      <c r="B1130" s="351" t="s">
        <v>2769</v>
      </c>
      <c r="C1130" s="18" t="s">
        <v>661</v>
      </c>
      <c r="D1130" s="17" t="s">
        <v>2793</v>
      </c>
      <c r="E1130" s="17" t="s">
        <v>2708</v>
      </c>
      <c r="H1130" s="25"/>
      <c r="I1130" s="18"/>
      <c r="J1130" s="3"/>
      <c r="L1130" s="15" t="s">
        <v>2</v>
      </c>
      <c r="M1130" s="5"/>
      <c r="O1130" s="156">
        <v>1</v>
      </c>
      <c r="P1130" s="377">
        <v>0</v>
      </c>
      <c r="Q1130" s="378">
        <f t="shared" si="36"/>
        <v>1</v>
      </c>
    </row>
    <row r="1131" spans="1:17" ht="16.5" hidden="1" x14ac:dyDescent="0.35">
      <c r="A1131" s="53">
        <v>1130</v>
      </c>
      <c r="B1131" s="351" t="s">
        <v>2770</v>
      </c>
      <c r="C1131" s="18" t="s">
        <v>661</v>
      </c>
      <c r="D1131" s="17" t="s">
        <v>2793</v>
      </c>
      <c r="E1131" s="17" t="s">
        <v>2708</v>
      </c>
      <c r="H1131" s="25"/>
      <c r="I1131" s="18"/>
      <c r="J1131" s="3"/>
      <c r="L1131" s="15" t="s">
        <v>2</v>
      </c>
      <c r="M1131" s="5"/>
      <c r="O1131" s="156">
        <v>3</v>
      </c>
      <c r="P1131" s="377">
        <v>2</v>
      </c>
      <c r="Q1131" s="378">
        <f t="shared" si="36"/>
        <v>5</v>
      </c>
    </row>
    <row r="1132" spans="1:17" ht="16.5" hidden="1" x14ac:dyDescent="0.35">
      <c r="A1132" s="53">
        <v>1131</v>
      </c>
      <c r="B1132" s="351" t="s">
        <v>2771</v>
      </c>
      <c r="C1132" s="18" t="s">
        <v>661</v>
      </c>
      <c r="D1132" s="17" t="s">
        <v>2793</v>
      </c>
      <c r="E1132" s="17" t="s">
        <v>2708</v>
      </c>
      <c r="H1132" s="25"/>
      <c r="I1132" s="18"/>
      <c r="J1132" s="3"/>
      <c r="L1132" s="15" t="s">
        <v>2</v>
      </c>
      <c r="M1132" s="5"/>
      <c r="O1132" s="156">
        <v>2</v>
      </c>
      <c r="P1132" s="377">
        <v>1</v>
      </c>
      <c r="Q1132" s="378">
        <f t="shared" si="36"/>
        <v>3</v>
      </c>
    </row>
    <row r="1133" spans="1:17" ht="16.5" hidden="1" x14ac:dyDescent="0.35">
      <c r="A1133" s="53">
        <v>1132</v>
      </c>
      <c r="B1133" s="351" t="s">
        <v>2772</v>
      </c>
      <c r="C1133" s="18" t="s">
        <v>661</v>
      </c>
      <c r="D1133" s="17" t="s">
        <v>2793</v>
      </c>
      <c r="E1133" s="17" t="s">
        <v>2708</v>
      </c>
      <c r="H1133" s="25"/>
      <c r="I1133" s="18"/>
      <c r="J1133" s="3"/>
      <c r="L1133" s="15" t="s">
        <v>2</v>
      </c>
      <c r="M1133" s="5"/>
      <c r="O1133" s="156">
        <v>2</v>
      </c>
      <c r="P1133" s="377">
        <v>3</v>
      </c>
      <c r="Q1133" s="378">
        <f t="shared" si="36"/>
        <v>5</v>
      </c>
    </row>
    <row r="1134" spans="1:17" ht="16.5" hidden="1" x14ac:dyDescent="0.35">
      <c r="A1134" s="53">
        <v>1133</v>
      </c>
      <c r="B1134" s="351" t="s">
        <v>2773</v>
      </c>
      <c r="C1134" s="18" t="s">
        <v>661</v>
      </c>
      <c r="D1134" s="17" t="s">
        <v>2793</v>
      </c>
      <c r="E1134" s="17" t="s">
        <v>2708</v>
      </c>
      <c r="H1134" s="25"/>
      <c r="I1134" s="18"/>
      <c r="J1134" s="3"/>
      <c r="L1134" s="15" t="s">
        <v>2</v>
      </c>
      <c r="M1134" s="5"/>
      <c r="O1134" s="156">
        <v>1</v>
      </c>
      <c r="P1134" s="377">
        <v>1</v>
      </c>
      <c r="Q1134" s="378">
        <f t="shared" si="36"/>
        <v>2</v>
      </c>
    </row>
    <row r="1135" spans="1:17" ht="16.5" hidden="1" x14ac:dyDescent="0.35">
      <c r="A1135" s="53">
        <v>1134</v>
      </c>
      <c r="B1135" s="351" t="s">
        <v>2774</v>
      </c>
      <c r="C1135" s="18" t="s">
        <v>661</v>
      </c>
      <c r="D1135" s="17" t="s">
        <v>2793</v>
      </c>
      <c r="E1135" s="17" t="s">
        <v>2708</v>
      </c>
      <c r="H1135" s="25"/>
      <c r="I1135" s="18"/>
      <c r="J1135" s="3"/>
      <c r="L1135" s="15" t="s">
        <v>9</v>
      </c>
      <c r="M1135" s="5"/>
      <c r="O1135" s="156">
        <v>2</v>
      </c>
      <c r="P1135" s="377">
        <v>1</v>
      </c>
      <c r="Q1135" s="378">
        <f t="shared" si="36"/>
        <v>3</v>
      </c>
    </row>
    <row r="1136" spans="1:17" ht="16.5" hidden="1" x14ac:dyDescent="0.35">
      <c r="A1136" s="53">
        <v>1135</v>
      </c>
      <c r="B1136" s="351" t="s">
        <v>2775</v>
      </c>
      <c r="C1136" s="18" t="s">
        <v>661</v>
      </c>
      <c r="D1136" s="17" t="s">
        <v>2793</v>
      </c>
      <c r="E1136" s="17" t="s">
        <v>2708</v>
      </c>
      <c r="H1136" s="25"/>
      <c r="I1136" s="18"/>
      <c r="J1136" s="3"/>
      <c r="L1136" s="15" t="s">
        <v>2</v>
      </c>
      <c r="M1136" s="5"/>
      <c r="O1136" s="156">
        <v>1</v>
      </c>
      <c r="P1136" s="377">
        <v>0</v>
      </c>
      <c r="Q1136" s="378">
        <f t="shared" si="36"/>
        <v>1</v>
      </c>
    </row>
    <row r="1137" spans="1:17" ht="16.5" hidden="1" x14ac:dyDescent="0.35">
      <c r="A1137" s="53">
        <v>1136</v>
      </c>
      <c r="B1137" s="351" t="s">
        <v>2776</v>
      </c>
      <c r="C1137" s="18" t="s">
        <v>661</v>
      </c>
      <c r="D1137" s="17" t="s">
        <v>2793</v>
      </c>
      <c r="E1137" s="17" t="s">
        <v>2708</v>
      </c>
      <c r="H1137" s="25"/>
      <c r="I1137" s="18"/>
      <c r="J1137" s="3"/>
      <c r="L1137" s="15" t="s">
        <v>2</v>
      </c>
      <c r="M1137" s="5"/>
      <c r="O1137" s="156">
        <v>1</v>
      </c>
      <c r="P1137" s="377">
        <v>3</v>
      </c>
      <c r="Q1137" s="378">
        <f t="shared" si="36"/>
        <v>4</v>
      </c>
    </row>
    <row r="1138" spans="1:17" ht="16.5" hidden="1" x14ac:dyDescent="0.35">
      <c r="A1138" s="53">
        <v>1137</v>
      </c>
      <c r="B1138" s="351" t="s">
        <v>2777</v>
      </c>
      <c r="C1138" s="18" t="s">
        <v>661</v>
      </c>
      <c r="D1138" s="17" t="s">
        <v>2793</v>
      </c>
      <c r="E1138" s="17" t="s">
        <v>2708</v>
      </c>
      <c r="H1138" s="25"/>
      <c r="I1138" s="18"/>
      <c r="J1138" s="3" t="s">
        <v>2794</v>
      </c>
      <c r="L1138" s="15" t="s">
        <v>2</v>
      </c>
      <c r="M1138" s="5"/>
      <c r="O1138" s="156">
        <v>2</v>
      </c>
      <c r="P1138" s="377">
        <v>0</v>
      </c>
      <c r="Q1138" s="378">
        <f t="shared" si="36"/>
        <v>2</v>
      </c>
    </row>
    <row r="1139" spans="1:17" ht="16.5" hidden="1" x14ac:dyDescent="0.35">
      <c r="A1139" s="53">
        <v>1138</v>
      </c>
      <c r="B1139" s="351" t="s">
        <v>2778</v>
      </c>
      <c r="C1139" s="18" t="s">
        <v>661</v>
      </c>
      <c r="D1139" s="17" t="s">
        <v>2793</v>
      </c>
      <c r="E1139" s="17" t="s">
        <v>2708</v>
      </c>
      <c r="H1139" s="25"/>
      <c r="I1139" s="18"/>
      <c r="J1139" s="3"/>
      <c r="L1139" s="15" t="s">
        <v>2</v>
      </c>
      <c r="M1139" s="5"/>
      <c r="O1139" s="156">
        <v>1</v>
      </c>
      <c r="P1139" s="377">
        <v>3</v>
      </c>
      <c r="Q1139" s="378">
        <f t="shared" si="36"/>
        <v>4</v>
      </c>
    </row>
    <row r="1140" spans="1:17" ht="16.5" hidden="1" x14ac:dyDescent="0.35">
      <c r="A1140" s="53">
        <v>1139</v>
      </c>
      <c r="B1140" s="351" t="s">
        <v>2779</v>
      </c>
      <c r="C1140" s="18" t="s">
        <v>661</v>
      </c>
      <c r="D1140" s="17" t="s">
        <v>2793</v>
      </c>
      <c r="E1140" s="17" t="s">
        <v>2708</v>
      </c>
      <c r="H1140" s="25"/>
      <c r="I1140" s="18"/>
      <c r="J1140" s="3"/>
      <c r="L1140" s="15" t="s">
        <v>2</v>
      </c>
      <c r="M1140" s="5"/>
      <c r="O1140" s="156">
        <v>1</v>
      </c>
      <c r="P1140" s="377">
        <v>1</v>
      </c>
      <c r="Q1140" s="378">
        <f t="shared" si="36"/>
        <v>2</v>
      </c>
    </row>
    <row r="1141" spans="1:17" ht="16.5" hidden="1" x14ac:dyDescent="0.35">
      <c r="A1141" s="53">
        <v>1140</v>
      </c>
      <c r="B1141" s="351" t="s">
        <v>2780</v>
      </c>
      <c r="C1141" s="18" t="s">
        <v>661</v>
      </c>
      <c r="D1141" s="17" t="s">
        <v>2793</v>
      </c>
      <c r="E1141" s="17" t="s">
        <v>2708</v>
      </c>
      <c r="H1141" s="25"/>
      <c r="I1141" s="18"/>
      <c r="J1141" s="3"/>
      <c r="L1141" s="15" t="s">
        <v>2</v>
      </c>
      <c r="M1141" s="5"/>
      <c r="O1141" s="156">
        <v>2</v>
      </c>
      <c r="P1141" s="377">
        <v>1</v>
      </c>
      <c r="Q1141" s="378">
        <f t="shared" si="36"/>
        <v>3</v>
      </c>
    </row>
    <row r="1142" spans="1:17" ht="16.5" hidden="1" x14ac:dyDescent="0.35">
      <c r="A1142" s="53">
        <v>1141</v>
      </c>
      <c r="B1142" s="351" t="s">
        <v>2781</v>
      </c>
      <c r="C1142" s="18" t="s">
        <v>661</v>
      </c>
      <c r="D1142" s="17" t="s">
        <v>2793</v>
      </c>
      <c r="E1142" s="17" t="s">
        <v>2708</v>
      </c>
      <c r="H1142" s="25"/>
      <c r="I1142" s="18"/>
      <c r="J1142" s="3"/>
      <c r="L1142" s="15" t="s">
        <v>2</v>
      </c>
      <c r="M1142" s="5"/>
      <c r="O1142" s="156">
        <v>1</v>
      </c>
      <c r="P1142" s="377">
        <v>0</v>
      </c>
      <c r="Q1142" s="378">
        <f t="shared" si="36"/>
        <v>1</v>
      </c>
    </row>
    <row r="1143" spans="1:17" ht="16.5" hidden="1" x14ac:dyDescent="0.35">
      <c r="A1143" s="53">
        <v>1142</v>
      </c>
      <c r="B1143" s="351" t="s">
        <v>2782</v>
      </c>
      <c r="C1143" s="18" t="s">
        <v>661</v>
      </c>
      <c r="D1143" s="17" t="s">
        <v>2793</v>
      </c>
      <c r="E1143" s="17" t="s">
        <v>2708</v>
      </c>
      <c r="H1143" s="25"/>
      <c r="I1143" s="18"/>
      <c r="J1143" s="3"/>
      <c r="L1143" s="15" t="s">
        <v>2</v>
      </c>
      <c r="M1143" s="5"/>
      <c r="O1143" s="156">
        <v>1</v>
      </c>
      <c r="P1143" s="377">
        <v>2</v>
      </c>
      <c r="Q1143" s="378">
        <f t="shared" si="36"/>
        <v>3</v>
      </c>
    </row>
    <row r="1144" spans="1:17" ht="16.5" hidden="1" x14ac:dyDescent="0.35">
      <c r="A1144" s="53">
        <v>1143</v>
      </c>
      <c r="B1144" s="351" t="s">
        <v>2783</v>
      </c>
      <c r="C1144" s="18" t="s">
        <v>661</v>
      </c>
      <c r="D1144" s="17" t="s">
        <v>2793</v>
      </c>
      <c r="E1144" s="17" t="s">
        <v>2708</v>
      </c>
      <c r="H1144" s="25"/>
      <c r="I1144" s="18"/>
      <c r="J1144" s="3"/>
      <c r="L1144" s="15" t="s">
        <v>2</v>
      </c>
      <c r="M1144" s="5"/>
      <c r="O1144" s="156">
        <v>1</v>
      </c>
      <c r="P1144" s="377">
        <v>1</v>
      </c>
      <c r="Q1144" s="378">
        <f t="shared" si="36"/>
        <v>2</v>
      </c>
    </row>
    <row r="1145" spans="1:17" ht="16.5" hidden="1" x14ac:dyDescent="0.35">
      <c r="A1145" s="53">
        <v>1144</v>
      </c>
      <c r="B1145" s="351" t="s">
        <v>2784</v>
      </c>
      <c r="C1145" s="18" t="s">
        <v>661</v>
      </c>
      <c r="D1145" s="17" t="s">
        <v>2793</v>
      </c>
      <c r="E1145" s="17" t="s">
        <v>2708</v>
      </c>
      <c r="H1145" s="25"/>
      <c r="I1145" s="18"/>
      <c r="J1145" s="3"/>
      <c r="L1145" s="15" t="s">
        <v>2</v>
      </c>
      <c r="M1145" s="5"/>
      <c r="O1145" s="156">
        <v>0</v>
      </c>
      <c r="P1145" s="377">
        <v>0</v>
      </c>
      <c r="Q1145" s="378">
        <f t="shared" si="36"/>
        <v>0</v>
      </c>
    </row>
    <row r="1146" spans="1:17" ht="16.5" hidden="1" x14ac:dyDescent="0.35">
      <c r="A1146" s="53">
        <v>1145</v>
      </c>
      <c r="B1146" s="351" t="s">
        <v>2785</v>
      </c>
      <c r="C1146" s="18" t="s">
        <v>661</v>
      </c>
      <c r="D1146" s="17" t="s">
        <v>2793</v>
      </c>
      <c r="E1146" s="17" t="s">
        <v>2708</v>
      </c>
      <c r="H1146" s="25"/>
      <c r="I1146" s="18"/>
      <c r="J1146" s="3"/>
      <c r="L1146" s="15" t="s">
        <v>2</v>
      </c>
      <c r="M1146" s="5"/>
      <c r="O1146" s="156">
        <v>0</v>
      </c>
      <c r="P1146" s="377">
        <v>2</v>
      </c>
      <c r="Q1146" s="378">
        <f t="shared" si="36"/>
        <v>2</v>
      </c>
    </row>
    <row r="1147" spans="1:17" ht="16.5" hidden="1" x14ac:dyDescent="0.35">
      <c r="A1147" s="53">
        <v>1146</v>
      </c>
      <c r="B1147" s="351" t="s">
        <v>2786</v>
      </c>
      <c r="C1147" s="18" t="s">
        <v>661</v>
      </c>
      <c r="D1147" s="17" t="s">
        <v>2793</v>
      </c>
      <c r="E1147" s="17" t="s">
        <v>2708</v>
      </c>
      <c r="H1147" s="25"/>
      <c r="I1147" s="18"/>
      <c r="J1147" s="3"/>
      <c r="L1147" s="15" t="s">
        <v>2</v>
      </c>
      <c r="M1147" s="5"/>
      <c r="O1147" s="156">
        <v>0</v>
      </c>
      <c r="P1147" s="377">
        <v>0</v>
      </c>
      <c r="Q1147" s="378">
        <f t="shared" si="36"/>
        <v>0</v>
      </c>
    </row>
    <row r="1148" spans="1:17" ht="16.5" hidden="1" x14ac:dyDescent="0.35">
      <c r="A1148" s="53">
        <v>1147</v>
      </c>
      <c r="B1148" s="351" t="s">
        <v>2787</v>
      </c>
      <c r="C1148" s="18" t="s">
        <v>661</v>
      </c>
      <c r="D1148" s="17" t="s">
        <v>2793</v>
      </c>
      <c r="E1148" s="17" t="s">
        <v>2708</v>
      </c>
      <c r="H1148" s="25"/>
      <c r="I1148" s="18"/>
      <c r="J1148" s="3"/>
      <c r="L1148" s="15" t="s">
        <v>2</v>
      </c>
      <c r="M1148" s="5"/>
      <c r="O1148" s="156">
        <v>3</v>
      </c>
      <c r="P1148" s="377">
        <v>1</v>
      </c>
      <c r="Q1148" s="378">
        <f t="shared" si="36"/>
        <v>4</v>
      </c>
    </row>
    <row r="1149" spans="1:17" ht="16.5" hidden="1" x14ac:dyDescent="0.35">
      <c r="A1149" s="53">
        <v>1148</v>
      </c>
      <c r="B1149" s="351" t="s">
        <v>2788</v>
      </c>
      <c r="C1149" s="18" t="s">
        <v>661</v>
      </c>
      <c r="D1149" s="17" t="s">
        <v>2793</v>
      </c>
      <c r="E1149" s="17" t="s">
        <v>2708</v>
      </c>
      <c r="H1149" s="25"/>
      <c r="I1149" s="18"/>
      <c r="J1149" s="3"/>
      <c r="L1149" s="15" t="s">
        <v>2</v>
      </c>
      <c r="M1149" s="5"/>
      <c r="O1149" s="156">
        <v>0</v>
      </c>
      <c r="P1149" s="377">
        <v>2</v>
      </c>
      <c r="Q1149" s="378">
        <f t="shared" si="36"/>
        <v>2</v>
      </c>
    </row>
    <row r="1150" spans="1:17" ht="16.5" hidden="1" x14ac:dyDescent="0.5">
      <c r="A1150" s="53">
        <v>1149</v>
      </c>
      <c r="B1150" s="351" t="s">
        <v>2789</v>
      </c>
      <c r="C1150" s="18" t="s">
        <v>661</v>
      </c>
      <c r="D1150" s="17" t="s">
        <v>2793</v>
      </c>
      <c r="E1150" s="17" t="s">
        <v>2708</v>
      </c>
      <c r="H1150" s="25"/>
      <c r="I1150" s="18"/>
      <c r="J1150" s="3"/>
      <c r="L1150" s="15" t="s">
        <v>2</v>
      </c>
      <c r="M1150" s="5"/>
      <c r="O1150" s="379">
        <v>0</v>
      </c>
      <c r="P1150" s="379">
        <v>1</v>
      </c>
      <c r="Q1150" s="380">
        <f t="shared" si="36"/>
        <v>1</v>
      </c>
    </row>
    <row r="1151" spans="1:17" ht="16.5" hidden="1" x14ac:dyDescent="0.35">
      <c r="A1151" s="53">
        <v>1150</v>
      </c>
      <c r="B1151" s="351" t="s">
        <v>2790</v>
      </c>
      <c r="C1151" s="18" t="s">
        <v>661</v>
      </c>
      <c r="D1151" s="17" t="s">
        <v>2793</v>
      </c>
      <c r="E1151" s="17" t="s">
        <v>2708</v>
      </c>
      <c r="H1151" s="25"/>
      <c r="I1151" s="18"/>
      <c r="J1151" s="7"/>
      <c r="L1151" s="15" t="s">
        <v>2</v>
      </c>
      <c r="M1151" s="5"/>
      <c r="O1151" s="381">
        <v>1</v>
      </c>
      <c r="P1151" s="381">
        <v>2</v>
      </c>
      <c r="Q1151" s="382">
        <f t="shared" si="36"/>
        <v>3</v>
      </c>
    </row>
    <row r="1152" spans="1:17" ht="16.5" hidden="1" x14ac:dyDescent="0.35">
      <c r="A1152" s="53">
        <v>1151</v>
      </c>
      <c r="B1152" s="351" t="s">
        <v>2791</v>
      </c>
      <c r="C1152" s="18" t="s">
        <v>661</v>
      </c>
      <c r="D1152" s="17" t="s">
        <v>2793</v>
      </c>
      <c r="E1152" s="17" t="s">
        <v>2708</v>
      </c>
      <c r="H1152" s="25"/>
      <c r="I1152" s="18"/>
      <c r="J1152" s="10"/>
      <c r="L1152" s="16" t="s">
        <v>2</v>
      </c>
      <c r="M1152" s="5"/>
      <c r="O1152" s="383">
        <v>0</v>
      </c>
      <c r="P1152" s="383">
        <v>0</v>
      </c>
      <c r="Q1152" s="384">
        <f t="shared" si="36"/>
        <v>0</v>
      </c>
    </row>
    <row r="1153" spans="1:17" ht="16.5" hidden="1" x14ac:dyDescent="0.35">
      <c r="A1153" s="53">
        <v>1152</v>
      </c>
      <c r="B1153" s="351" t="s">
        <v>2792</v>
      </c>
      <c r="C1153" s="18" t="s">
        <v>661</v>
      </c>
      <c r="D1153" s="17" t="s">
        <v>2793</v>
      </c>
      <c r="E1153" s="17" t="s">
        <v>2708</v>
      </c>
      <c r="H1153" s="25"/>
      <c r="I1153" s="351"/>
      <c r="J1153" s="10"/>
      <c r="L1153" s="143" t="s">
        <v>9</v>
      </c>
      <c r="M1153" s="27"/>
      <c r="O1153" s="383">
        <v>1</v>
      </c>
      <c r="P1153" s="383">
        <v>2</v>
      </c>
      <c r="Q1153" s="384">
        <f t="shared" si="36"/>
        <v>3</v>
      </c>
    </row>
    <row r="1154" spans="1:17" ht="16.5" hidden="1" x14ac:dyDescent="0.35">
      <c r="A1154" s="53">
        <v>1153</v>
      </c>
      <c r="B1154" s="351" t="s">
        <v>2795</v>
      </c>
      <c r="C1154" s="18" t="s">
        <v>661</v>
      </c>
      <c r="D1154" s="17" t="s">
        <v>2825</v>
      </c>
      <c r="E1154" s="17" t="s">
        <v>2708</v>
      </c>
      <c r="H1154" s="25"/>
      <c r="I1154" s="18"/>
      <c r="J1154" s="3" t="s">
        <v>2826</v>
      </c>
      <c r="L1154" s="15" t="s">
        <v>2</v>
      </c>
      <c r="M1154" s="5"/>
      <c r="O1154" s="156">
        <v>1</v>
      </c>
      <c r="P1154" s="377">
        <v>0</v>
      </c>
      <c r="Q1154" s="378">
        <f>SUM(O1154,P1154)</f>
        <v>1</v>
      </c>
    </row>
    <row r="1155" spans="1:17" ht="16.5" hidden="1" x14ac:dyDescent="0.35">
      <c r="A1155" s="53">
        <v>1154</v>
      </c>
      <c r="B1155" s="351" t="s">
        <v>2796</v>
      </c>
      <c r="C1155" s="18" t="s">
        <v>661</v>
      </c>
      <c r="D1155" s="17" t="s">
        <v>2825</v>
      </c>
      <c r="E1155" s="17" t="s">
        <v>2708</v>
      </c>
      <c r="H1155" s="25"/>
      <c r="I1155" s="18"/>
      <c r="J1155" s="3"/>
      <c r="L1155" s="15" t="s">
        <v>9</v>
      </c>
      <c r="M1155" s="5"/>
      <c r="O1155" s="156">
        <v>0</v>
      </c>
      <c r="P1155" s="377"/>
      <c r="Q1155" s="378">
        <f>SUM(O1155,P1155)</f>
        <v>0</v>
      </c>
    </row>
    <row r="1156" spans="1:17" ht="16.5" hidden="1" x14ac:dyDescent="0.35">
      <c r="A1156" s="53">
        <v>1155</v>
      </c>
      <c r="B1156" s="351" t="s">
        <v>2797</v>
      </c>
      <c r="C1156" s="18" t="s">
        <v>661</v>
      </c>
      <c r="D1156" s="17" t="s">
        <v>2825</v>
      </c>
      <c r="E1156" s="17" t="s">
        <v>2708</v>
      </c>
      <c r="H1156" s="25"/>
      <c r="I1156" s="18"/>
      <c r="J1156" s="5"/>
      <c r="L1156" s="15" t="s">
        <v>2</v>
      </c>
      <c r="M1156" s="5"/>
      <c r="O1156" s="156">
        <v>3</v>
      </c>
      <c r="P1156" s="377">
        <v>1</v>
      </c>
      <c r="Q1156" s="378">
        <f t="shared" ref="Q1156:Q1183" si="37">SUM(O1156,P1156)</f>
        <v>4</v>
      </c>
    </row>
    <row r="1157" spans="1:17" ht="16.5" hidden="1" x14ac:dyDescent="0.35">
      <c r="A1157" s="53">
        <v>1156</v>
      </c>
      <c r="B1157" s="351" t="s">
        <v>2798</v>
      </c>
      <c r="C1157" s="18" t="s">
        <v>661</v>
      </c>
      <c r="D1157" s="17" t="s">
        <v>2825</v>
      </c>
      <c r="E1157" s="17" t="s">
        <v>2708</v>
      </c>
      <c r="H1157" s="25"/>
      <c r="I1157" s="18"/>
      <c r="J1157" s="3"/>
      <c r="L1157" s="15" t="s">
        <v>2</v>
      </c>
      <c r="M1157" s="5"/>
      <c r="O1157" s="156">
        <v>1</v>
      </c>
      <c r="P1157" s="377">
        <v>3</v>
      </c>
      <c r="Q1157" s="378">
        <f t="shared" si="37"/>
        <v>4</v>
      </c>
    </row>
    <row r="1158" spans="1:17" ht="16.5" hidden="1" x14ac:dyDescent="0.35">
      <c r="A1158" s="53">
        <v>1157</v>
      </c>
      <c r="B1158" s="351" t="s">
        <v>2799</v>
      </c>
      <c r="C1158" s="18" t="s">
        <v>661</v>
      </c>
      <c r="D1158" s="17" t="s">
        <v>2825</v>
      </c>
      <c r="E1158" s="17" t="s">
        <v>2708</v>
      </c>
      <c r="H1158" s="25"/>
      <c r="I1158" s="18"/>
      <c r="J1158" s="3" t="s">
        <v>2827</v>
      </c>
      <c r="L1158" s="15" t="s">
        <v>2</v>
      </c>
      <c r="M1158" s="5"/>
      <c r="O1158" s="156">
        <v>2</v>
      </c>
      <c r="P1158" s="377">
        <v>2</v>
      </c>
      <c r="Q1158" s="378">
        <f t="shared" si="37"/>
        <v>4</v>
      </c>
    </row>
    <row r="1159" spans="1:17" ht="16.5" hidden="1" x14ac:dyDescent="0.35">
      <c r="A1159" s="53">
        <v>1158</v>
      </c>
      <c r="B1159" s="351" t="s">
        <v>2800</v>
      </c>
      <c r="C1159" s="18" t="s">
        <v>661</v>
      </c>
      <c r="D1159" s="17" t="s">
        <v>2825</v>
      </c>
      <c r="E1159" s="17" t="s">
        <v>2708</v>
      </c>
      <c r="H1159" s="25"/>
      <c r="I1159" s="18"/>
      <c r="J1159" s="3"/>
      <c r="L1159" s="15" t="s">
        <v>2</v>
      </c>
      <c r="M1159" s="5"/>
      <c r="O1159" s="156">
        <v>1</v>
      </c>
      <c r="P1159" s="377">
        <v>1</v>
      </c>
      <c r="Q1159" s="378">
        <f t="shared" si="37"/>
        <v>2</v>
      </c>
    </row>
    <row r="1160" spans="1:17" ht="16.5" hidden="1" x14ac:dyDescent="0.35">
      <c r="A1160" s="53">
        <v>1159</v>
      </c>
      <c r="B1160" s="351" t="s">
        <v>2801</v>
      </c>
      <c r="C1160" s="18" t="s">
        <v>661</v>
      </c>
      <c r="D1160" s="17" t="s">
        <v>2825</v>
      </c>
      <c r="E1160" s="17" t="s">
        <v>2708</v>
      </c>
      <c r="H1160" s="25"/>
      <c r="I1160" s="18"/>
      <c r="J1160" s="3" t="s">
        <v>2828</v>
      </c>
      <c r="L1160" s="15" t="s">
        <v>2</v>
      </c>
      <c r="M1160" s="5"/>
      <c r="O1160" s="156">
        <v>1</v>
      </c>
      <c r="P1160" s="377">
        <v>1</v>
      </c>
      <c r="Q1160" s="378">
        <f t="shared" si="37"/>
        <v>2</v>
      </c>
    </row>
    <row r="1161" spans="1:17" ht="16.5" hidden="1" x14ac:dyDescent="0.35">
      <c r="A1161" s="53">
        <v>1160</v>
      </c>
      <c r="B1161" s="351" t="s">
        <v>2802</v>
      </c>
      <c r="C1161" s="18" t="s">
        <v>661</v>
      </c>
      <c r="D1161" s="17" t="s">
        <v>2825</v>
      </c>
      <c r="E1161" s="17" t="s">
        <v>2708</v>
      </c>
      <c r="H1161" s="25"/>
      <c r="I1161" s="18"/>
      <c r="J1161" s="3"/>
      <c r="L1161" s="15" t="s">
        <v>2</v>
      </c>
      <c r="M1161" s="5"/>
      <c r="O1161" s="156">
        <v>1</v>
      </c>
      <c r="P1161" s="377">
        <v>2</v>
      </c>
      <c r="Q1161" s="378">
        <f t="shared" si="37"/>
        <v>3</v>
      </c>
    </row>
    <row r="1162" spans="1:17" ht="16.5" hidden="1" x14ac:dyDescent="0.35">
      <c r="A1162" s="53">
        <v>1161</v>
      </c>
      <c r="B1162" s="351" t="s">
        <v>2803</v>
      </c>
      <c r="C1162" s="18" t="s">
        <v>661</v>
      </c>
      <c r="D1162" s="17" t="s">
        <v>2825</v>
      </c>
      <c r="E1162" s="17" t="s">
        <v>2708</v>
      </c>
      <c r="H1162" s="25"/>
      <c r="I1162" s="18"/>
      <c r="J1162" s="3" t="s">
        <v>2829</v>
      </c>
      <c r="L1162" s="15" t="s">
        <v>2</v>
      </c>
      <c r="M1162" s="5"/>
      <c r="O1162" s="156">
        <v>2</v>
      </c>
      <c r="P1162" s="377">
        <v>1</v>
      </c>
      <c r="Q1162" s="378">
        <f t="shared" si="37"/>
        <v>3</v>
      </c>
    </row>
    <row r="1163" spans="1:17" ht="16.5" hidden="1" x14ac:dyDescent="0.35">
      <c r="A1163" s="53">
        <v>1162</v>
      </c>
      <c r="B1163" s="351" t="s">
        <v>2804</v>
      </c>
      <c r="C1163" s="18" t="s">
        <v>661</v>
      </c>
      <c r="D1163" s="17" t="s">
        <v>2825</v>
      </c>
      <c r="E1163" s="17" t="s">
        <v>2708</v>
      </c>
      <c r="H1163" s="25"/>
      <c r="I1163" s="18"/>
      <c r="J1163" s="3"/>
      <c r="L1163" s="15" t="s">
        <v>9</v>
      </c>
      <c r="M1163" s="5"/>
      <c r="O1163" s="156">
        <v>4</v>
      </c>
      <c r="P1163" s="377">
        <v>3</v>
      </c>
      <c r="Q1163" s="378">
        <f t="shared" si="37"/>
        <v>7</v>
      </c>
    </row>
    <row r="1164" spans="1:17" ht="16.5" hidden="1" x14ac:dyDescent="0.35">
      <c r="A1164" s="53">
        <v>1163</v>
      </c>
      <c r="B1164" s="351" t="s">
        <v>2805</v>
      </c>
      <c r="C1164" s="18" t="s">
        <v>661</v>
      </c>
      <c r="D1164" s="17" t="s">
        <v>2825</v>
      </c>
      <c r="E1164" s="17" t="s">
        <v>2708</v>
      </c>
      <c r="H1164" s="25"/>
      <c r="I1164" s="18"/>
      <c r="J1164" s="3" t="s">
        <v>2830</v>
      </c>
      <c r="L1164" s="15" t="s">
        <v>2</v>
      </c>
      <c r="M1164" s="5"/>
      <c r="O1164" s="156">
        <v>0</v>
      </c>
      <c r="P1164" s="377">
        <v>1</v>
      </c>
      <c r="Q1164" s="378">
        <f t="shared" si="37"/>
        <v>1</v>
      </c>
    </row>
    <row r="1165" spans="1:17" ht="16.5" hidden="1" x14ac:dyDescent="0.35">
      <c r="A1165" s="53">
        <v>1164</v>
      </c>
      <c r="B1165" s="351" t="s">
        <v>2806</v>
      </c>
      <c r="C1165" s="18" t="s">
        <v>661</v>
      </c>
      <c r="D1165" s="17" t="s">
        <v>2825</v>
      </c>
      <c r="E1165" s="17" t="s">
        <v>2708</v>
      </c>
      <c r="H1165" s="25"/>
      <c r="I1165" s="18"/>
      <c r="J1165" s="3"/>
      <c r="L1165" s="15" t="s">
        <v>9</v>
      </c>
      <c r="M1165" s="5"/>
      <c r="O1165" s="156">
        <v>0</v>
      </c>
      <c r="P1165" s="377">
        <v>0</v>
      </c>
      <c r="Q1165" s="378">
        <f t="shared" si="37"/>
        <v>0</v>
      </c>
    </row>
    <row r="1166" spans="1:17" ht="16.5" hidden="1" x14ac:dyDescent="0.35">
      <c r="A1166" s="53">
        <v>1165</v>
      </c>
      <c r="B1166" s="351" t="s">
        <v>2807</v>
      </c>
      <c r="C1166" s="18" t="s">
        <v>661</v>
      </c>
      <c r="D1166" s="17" t="s">
        <v>2825</v>
      </c>
      <c r="E1166" s="17" t="s">
        <v>2708</v>
      </c>
      <c r="H1166" s="25"/>
      <c r="I1166" s="18"/>
      <c r="J1166" s="3" t="s">
        <v>2831</v>
      </c>
      <c r="L1166" s="15" t="s">
        <v>9</v>
      </c>
      <c r="M1166" s="5"/>
      <c r="O1166" s="156">
        <v>2</v>
      </c>
      <c r="P1166" s="377">
        <v>3</v>
      </c>
      <c r="Q1166" s="378">
        <f t="shared" si="37"/>
        <v>5</v>
      </c>
    </row>
    <row r="1167" spans="1:17" ht="16.5" hidden="1" x14ac:dyDescent="0.35">
      <c r="A1167" s="53">
        <v>1166</v>
      </c>
      <c r="B1167" s="351" t="s">
        <v>2808</v>
      </c>
      <c r="C1167" s="18" t="s">
        <v>661</v>
      </c>
      <c r="D1167" s="17" t="s">
        <v>2825</v>
      </c>
      <c r="E1167" s="17" t="s">
        <v>2708</v>
      </c>
      <c r="H1167" s="25"/>
      <c r="I1167" s="18"/>
      <c r="J1167" s="3"/>
      <c r="L1167" s="15" t="s">
        <v>9</v>
      </c>
      <c r="M1167" s="5"/>
      <c r="O1167" s="156">
        <v>0</v>
      </c>
      <c r="P1167" s="377">
        <v>3</v>
      </c>
      <c r="Q1167" s="378">
        <f t="shared" si="37"/>
        <v>3</v>
      </c>
    </row>
    <row r="1168" spans="1:17" ht="16.5" hidden="1" x14ac:dyDescent="0.35">
      <c r="A1168" s="53">
        <v>1167</v>
      </c>
      <c r="B1168" s="351" t="s">
        <v>2809</v>
      </c>
      <c r="C1168" s="18" t="s">
        <v>661</v>
      </c>
      <c r="D1168" s="17" t="s">
        <v>2825</v>
      </c>
      <c r="E1168" s="17" t="s">
        <v>2708</v>
      </c>
      <c r="H1168" s="25"/>
      <c r="I1168" s="18"/>
      <c r="J1168" s="3" t="s">
        <v>2832</v>
      </c>
      <c r="L1168" s="15" t="s">
        <v>9</v>
      </c>
      <c r="M1168" s="5"/>
      <c r="O1168" s="156">
        <v>0</v>
      </c>
      <c r="P1168" s="377">
        <v>0</v>
      </c>
      <c r="Q1168" s="378">
        <f t="shared" si="37"/>
        <v>0</v>
      </c>
    </row>
    <row r="1169" spans="1:17" ht="16.5" hidden="1" x14ac:dyDescent="0.35">
      <c r="A1169" s="53">
        <v>1168</v>
      </c>
      <c r="B1169" s="351" t="s">
        <v>2810</v>
      </c>
      <c r="C1169" s="18" t="s">
        <v>661</v>
      </c>
      <c r="D1169" s="17" t="s">
        <v>2825</v>
      </c>
      <c r="E1169" s="17" t="s">
        <v>2708</v>
      </c>
      <c r="H1169" s="25"/>
      <c r="I1169" s="18"/>
      <c r="J1169" s="3" t="s">
        <v>2833</v>
      </c>
      <c r="L1169" s="15" t="s">
        <v>9</v>
      </c>
      <c r="M1169" s="5"/>
      <c r="O1169" s="156">
        <v>0</v>
      </c>
      <c r="P1169" s="377">
        <v>0</v>
      </c>
      <c r="Q1169" s="378">
        <f t="shared" si="37"/>
        <v>0</v>
      </c>
    </row>
    <row r="1170" spans="1:17" ht="16.5" hidden="1" x14ac:dyDescent="0.35">
      <c r="A1170" s="53">
        <v>1169</v>
      </c>
      <c r="B1170" s="351" t="s">
        <v>2811</v>
      </c>
      <c r="C1170" s="18" t="s">
        <v>661</v>
      </c>
      <c r="D1170" s="17" t="s">
        <v>2825</v>
      </c>
      <c r="E1170" s="17" t="s">
        <v>2708</v>
      </c>
      <c r="H1170" s="25"/>
      <c r="I1170" s="18"/>
      <c r="J1170" s="3"/>
      <c r="L1170" s="15" t="s">
        <v>9</v>
      </c>
      <c r="M1170" s="5"/>
      <c r="O1170" s="156">
        <v>2</v>
      </c>
      <c r="P1170" s="377">
        <v>0</v>
      </c>
      <c r="Q1170" s="378">
        <f t="shared" si="37"/>
        <v>2</v>
      </c>
    </row>
    <row r="1171" spans="1:17" ht="16.5" hidden="1" x14ac:dyDescent="0.35">
      <c r="A1171" s="53">
        <v>1170</v>
      </c>
      <c r="B1171" s="351" t="s">
        <v>2812</v>
      </c>
      <c r="C1171" s="18" t="s">
        <v>661</v>
      </c>
      <c r="D1171" s="17" t="s">
        <v>2825</v>
      </c>
      <c r="E1171" s="17" t="s">
        <v>2708</v>
      </c>
      <c r="H1171" s="25"/>
      <c r="I1171" s="18"/>
      <c r="J1171" s="3"/>
      <c r="L1171" s="15" t="s">
        <v>2</v>
      </c>
      <c r="M1171" s="5"/>
      <c r="O1171" s="156">
        <v>1</v>
      </c>
      <c r="P1171" s="377">
        <v>2</v>
      </c>
      <c r="Q1171" s="378">
        <f t="shared" si="37"/>
        <v>3</v>
      </c>
    </row>
    <row r="1172" spans="1:17" ht="16.5" hidden="1" x14ac:dyDescent="0.35">
      <c r="A1172" s="53">
        <v>1171</v>
      </c>
      <c r="B1172" s="351" t="s">
        <v>2813</v>
      </c>
      <c r="C1172" s="18" t="s">
        <v>661</v>
      </c>
      <c r="D1172" s="17" t="s">
        <v>2825</v>
      </c>
      <c r="E1172" s="17" t="s">
        <v>2708</v>
      </c>
      <c r="H1172" s="25"/>
      <c r="I1172" s="18"/>
      <c r="J1172" s="3" t="s">
        <v>2834</v>
      </c>
      <c r="L1172" s="15" t="s">
        <v>9</v>
      </c>
      <c r="M1172" s="5"/>
      <c r="O1172" s="156">
        <v>0</v>
      </c>
      <c r="P1172" s="377">
        <v>0</v>
      </c>
      <c r="Q1172" s="378">
        <f t="shared" si="37"/>
        <v>0</v>
      </c>
    </row>
    <row r="1173" spans="1:17" ht="16.5" hidden="1" x14ac:dyDescent="0.35">
      <c r="A1173" s="53">
        <v>1172</v>
      </c>
      <c r="B1173" s="351" t="s">
        <v>2814</v>
      </c>
      <c r="C1173" s="18" t="s">
        <v>661</v>
      </c>
      <c r="D1173" s="17" t="s">
        <v>2825</v>
      </c>
      <c r="E1173" s="17" t="s">
        <v>2708</v>
      </c>
      <c r="H1173" s="25"/>
      <c r="I1173" s="18"/>
      <c r="J1173" s="3"/>
      <c r="L1173" s="15" t="s">
        <v>2</v>
      </c>
      <c r="M1173" s="5"/>
      <c r="O1173" s="156">
        <v>0</v>
      </c>
      <c r="P1173" s="377">
        <v>0</v>
      </c>
      <c r="Q1173" s="378">
        <f t="shared" si="37"/>
        <v>0</v>
      </c>
    </row>
    <row r="1174" spans="1:17" ht="16.5" hidden="1" x14ac:dyDescent="0.35">
      <c r="A1174" s="53">
        <v>1173</v>
      </c>
      <c r="B1174" s="351" t="s">
        <v>2815</v>
      </c>
      <c r="C1174" s="18" t="s">
        <v>661</v>
      </c>
      <c r="D1174" s="17" t="s">
        <v>2825</v>
      </c>
      <c r="E1174" s="17" t="s">
        <v>2708</v>
      </c>
      <c r="H1174" s="25"/>
      <c r="I1174" s="18"/>
      <c r="J1174" s="3"/>
      <c r="L1174" s="15" t="s">
        <v>2</v>
      </c>
      <c r="M1174" s="5"/>
      <c r="O1174" s="156">
        <v>1</v>
      </c>
      <c r="P1174" s="377">
        <v>1</v>
      </c>
      <c r="Q1174" s="378">
        <f t="shared" si="37"/>
        <v>2</v>
      </c>
    </row>
    <row r="1175" spans="1:17" ht="16.5" hidden="1" x14ac:dyDescent="0.35">
      <c r="A1175" s="53">
        <v>1174</v>
      </c>
      <c r="B1175" s="351" t="s">
        <v>2816</v>
      </c>
      <c r="C1175" s="18" t="s">
        <v>661</v>
      </c>
      <c r="D1175" s="17" t="s">
        <v>2825</v>
      </c>
      <c r="E1175" s="17" t="s">
        <v>2708</v>
      </c>
      <c r="H1175" s="25"/>
      <c r="I1175" s="18"/>
      <c r="J1175" s="3"/>
      <c r="L1175" s="15" t="s">
        <v>2</v>
      </c>
      <c r="M1175" s="5"/>
      <c r="O1175" s="156">
        <v>0</v>
      </c>
      <c r="P1175" s="377">
        <v>0</v>
      </c>
      <c r="Q1175" s="378">
        <f t="shared" si="37"/>
        <v>0</v>
      </c>
    </row>
    <row r="1176" spans="1:17" ht="16.5" hidden="1" x14ac:dyDescent="0.35">
      <c r="A1176" s="53">
        <v>1175</v>
      </c>
      <c r="B1176" s="351" t="s">
        <v>2817</v>
      </c>
      <c r="C1176" s="18" t="s">
        <v>661</v>
      </c>
      <c r="D1176" s="17" t="s">
        <v>2825</v>
      </c>
      <c r="E1176" s="17" t="s">
        <v>2708</v>
      </c>
      <c r="H1176" s="25"/>
      <c r="I1176" s="18"/>
      <c r="J1176" s="3"/>
      <c r="L1176" s="15" t="s">
        <v>2</v>
      </c>
      <c r="M1176" s="5"/>
      <c r="O1176" s="156">
        <v>0</v>
      </c>
      <c r="P1176" s="377">
        <v>2</v>
      </c>
      <c r="Q1176" s="378">
        <f t="shared" si="37"/>
        <v>2</v>
      </c>
    </row>
    <row r="1177" spans="1:17" ht="16.5" hidden="1" x14ac:dyDescent="0.35">
      <c r="A1177" s="53">
        <v>1176</v>
      </c>
      <c r="B1177" s="351" t="s">
        <v>2818</v>
      </c>
      <c r="C1177" s="18" t="s">
        <v>661</v>
      </c>
      <c r="D1177" s="17" t="s">
        <v>2825</v>
      </c>
      <c r="E1177" s="17" t="s">
        <v>2708</v>
      </c>
      <c r="H1177" s="25"/>
      <c r="I1177" s="18"/>
      <c r="J1177" s="3"/>
      <c r="L1177" s="15" t="s">
        <v>2</v>
      </c>
      <c r="M1177" s="5"/>
      <c r="O1177" s="156">
        <v>0</v>
      </c>
      <c r="P1177" s="377">
        <v>0</v>
      </c>
      <c r="Q1177" s="378">
        <f t="shared" si="37"/>
        <v>0</v>
      </c>
    </row>
    <row r="1178" spans="1:17" ht="16.5" hidden="1" x14ac:dyDescent="0.35">
      <c r="A1178" s="53">
        <v>1177</v>
      </c>
      <c r="B1178" s="351" t="s">
        <v>2819</v>
      </c>
      <c r="C1178" s="18" t="s">
        <v>661</v>
      </c>
      <c r="D1178" s="17" t="s">
        <v>2825</v>
      </c>
      <c r="E1178" s="17" t="s">
        <v>2708</v>
      </c>
      <c r="H1178" s="25"/>
      <c r="I1178" s="18"/>
      <c r="J1178" s="3"/>
      <c r="L1178" s="15" t="s">
        <v>2</v>
      </c>
      <c r="M1178" s="5"/>
      <c r="O1178" s="156">
        <v>1</v>
      </c>
      <c r="P1178" s="377">
        <v>0</v>
      </c>
      <c r="Q1178" s="378">
        <f t="shared" si="37"/>
        <v>1</v>
      </c>
    </row>
    <row r="1179" spans="1:17" ht="16.5" hidden="1" x14ac:dyDescent="0.35">
      <c r="A1179" s="53">
        <v>1178</v>
      </c>
      <c r="B1179" s="351" t="s">
        <v>2820</v>
      </c>
      <c r="C1179" s="18" t="s">
        <v>661</v>
      </c>
      <c r="D1179" s="17" t="s">
        <v>2825</v>
      </c>
      <c r="E1179" s="17" t="s">
        <v>2708</v>
      </c>
      <c r="H1179" s="25"/>
      <c r="I1179" s="18"/>
      <c r="J1179" s="3" t="s">
        <v>2835</v>
      </c>
      <c r="L1179" s="15" t="s">
        <v>2</v>
      </c>
      <c r="M1179" s="5"/>
      <c r="O1179" s="156">
        <v>1</v>
      </c>
      <c r="P1179" s="377">
        <v>1</v>
      </c>
      <c r="Q1179" s="378">
        <f t="shared" si="37"/>
        <v>2</v>
      </c>
    </row>
    <row r="1180" spans="1:17" ht="16.5" hidden="1" x14ac:dyDescent="0.5">
      <c r="A1180" s="53">
        <v>1179</v>
      </c>
      <c r="B1180" s="351" t="s">
        <v>2821</v>
      </c>
      <c r="C1180" s="18" t="s">
        <v>661</v>
      </c>
      <c r="D1180" s="17" t="s">
        <v>2825</v>
      </c>
      <c r="E1180" s="17" t="s">
        <v>2708</v>
      </c>
      <c r="H1180" s="25"/>
      <c r="I1180" s="18"/>
      <c r="J1180" s="3"/>
      <c r="L1180" s="15" t="s">
        <v>9</v>
      </c>
      <c r="M1180" s="5"/>
      <c r="O1180" s="379">
        <v>1</v>
      </c>
      <c r="P1180" s="379">
        <v>0</v>
      </c>
      <c r="Q1180" s="380">
        <f t="shared" si="37"/>
        <v>1</v>
      </c>
    </row>
    <row r="1181" spans="1:17" ht="16.5" hidden="1" x14ac:dyDescent="0.5">
      <c r="A1181" s="53">
        <v>1180</v>
      </c>
      <c r="B1181" s="351" t="s">
        <v>2822</v>
      </c>
      <c r="C1181" s="18" t="s">
        <v>661</v>
      </c>
      <c r="D1181" s="17" t="s">
        <v>2825</v>
      </c>
      <c r="E1181" s="17" t="s">
        <v>2708</v>
      </c>
      <c r="H1181" s="25"/>
      <c r="I1181" s="18"/>
      <c r="J1181" s="363" t="s">
        <v>2836</v>
      </c>
      <c r="L1181" s="15" t="s">
        <v>9</v>
      </c>
      <c r="M1181" s="5"/>
      <c r="O1181" s="381">
        <v>1</v>
      </c>
      <c r="P1181" s="381">
        <v>0</v>
      </c>
      <c r="Q1181" s="382">
        <f t="shared" si="37"/>
        <v>1</v>
      </c>
    </row>
    <row r="1182" spans="1:17" ht="16.5" hidden="1" x14ac:dyDescent="0.35">
      <c r="A1182" s="53">
        <v>1181</v>
      </c>
      <c r="B1182" s="351" t="s">
        <v>2823</v>
      </c>
      <c r="C1182" s="18" t="s">
        <v>661</v>
      </c>
      <c r="D1182" s="17" t="s">
        <v>2825</v>
      </c>
      <c r="E1182" s="17" t="s">
        <v>2708</v>
      </c>
      <c r="H1182" s="25"/>
      <c r="I1182" s="18"/>
      <c r="J1182" s="10"/>
      <c r="L1182" s="16" t="s">
        <v>2</v>
      </c>
      <c r="M1182" s="5"/>
      <c r="O1182" s="383">
        <v>2</v>
      </c>
      <c r="P1182" s="383">
        <v>0</v>
      </c>
      <c r="Q1182" s="384">
        <f t="shared" si="37"/>
        <v>2</v>
      </c>
    </row>
    <row r="1183" spans="1:17" ht="16.5" hidden="1" x14ac:dyDescent="0.5">
      <c r="A1183" s="53">
        <v>1182</v>
      </c>
      <c r="B1183" s="351" t="s">
        <v>2824</v>
      </c>
      <c r="C1183" s="18" t="s">
        <v>661</v>
      </c>
      <c r="D1183" s="17" t="s">
        <v>2825</v>
      </c>
      <c r="E1183" s="17" t="s">
        <v>2708</v>
      </c>
      <c r="H1183" s="25"/>
      <c r="I1183" s="351"/>
      <c r="J1183" s="364" t="s">
        <v>2837</v>
      </c>
      <c r="L1183" s="143" t="s">
        <v>9</v>
      </c>
      <c r="M1183" s="27"/>
      <c r="O1183" s="383">
        <v>2</v>
      </c>
      <c r="P1183" s="383">
        <v>2</v>
      </c>
      <c r="Q1183" s="384">
        <f t="shared" si="37"/>
        <v>4</v>
      </c>
    </row>
    <row r="1184" spans="1:17" ht="16.5" hidden="1" x14ac:dyDescent="0.35">
      <c r="A1184" s="53">
        <v>1183</v>
      </c>
      <c r="B1184" s="351" t="s">
        <v>2838</v>
      </c>
      <c r="C1184" s="18" t="s">
        <v>661</v>
      </c>
      <c r="D1184" s="17" t="s">
        <v>2862</v>
      </c>
      <c r="E1184" s="17" t="s">
        <v>2708</v>
      </c>
      <c r="H1184" s="25"/>
      <c r="I1184" s="18"/>
      <c r="J1184" s="25"/>
      <c r="L1184" s="15" t="s">
        <v>9</v>
      </c>
      <c r="M1184" s="5"/>
      <c r="O1184" s="156">
        <v>2</v>
      </c>
      <c r="P1184" s="377">
        <v>0</v>
      </c>
      <c r="Q1184" s="378">
        <f>SUM(O1184:P1184)</f>
        <v>2</v>
      </c>
    </row>
    <row r="1185" spans="1:17" ht="16.5" hidden="1" x14ac:dyDescent="0.35">
      <c r="A1185" s="53">
        <v>1184</v>
      </c>
      <c r="B1185" s="351" t="s">
        <v>2839</v>
      </c>
      <c r="C1185" s="18" t="s">
        <v>661</v>
      </c>
      <c r="D1185" s="17" t="s">
        <v>2862</v>
      </c>
      <c r="E1185" s="17" t="s">
        <v>2708</v>
      </c>
      <c r="H1185" s="25"/>
      <c r="I1185" s="18"/>
      <c r="J1185" s="25"/>
      <c r="L1185" s="15" t="s">
        <v>2</v>
      </c>
      <c r="M1185" s="5"/>
      <c r="O1185" s="156">
        <v>1</v>
      </c>
      <c r="P1185" s="377">
        <v>1</v>
      </c>
      <c r="Q1185" s="378">
        <f t="shared" ref="Q1185:Q1207" si="38">SUM(O1185:P1185)</f>
        <v>2</v>
      </c>
    </row>
    <row r="1186" spans="1:17" ht="16.5" hidden="1" x14ac:dyDescent="0.35">
      <c r="A1186" s="53">
        <v>1185</v>
      </c>
      <c r="B1186" s="351" t="s">
        <v>2840</v>
      </c>
      <c r="C1186" s="18" t="s">
        <v>661</v>
      </c>
      <c r="D1186" s="17" t="s">
        <v>2862</v>
      </c>
      <c r="E1186" s="17" t="s">
        <v>2708</v>
      </c>
      <c r="H1186" s="25"/>
      <c r="I1186" s="18"/>
      <c r="J1186" s="25"/>
      <c r="L1186" s="15" t="s">
        <v>2</v>
      </c>
      <c r="M1186" s="5"/>
      <c r="O1186" s="156">
        <v>1</v>
      </c>
      <c r="P1186" s="377">
        <v>3</v>
      </c>
      <c r="Q1186" s="378">
        <f t="shared" si="38"/>
        <v>4</v>
      </c>
    </row>
    <row r="1187" spans="1:17" ht="16.5" hidden="1" x14ac:dyDescent="0.35">
      <c r="A1187" s="53">
        <v>1186</v>
      </c>
      <c r="B1187" s="351" t="s">
        <v>2841</v>
      </c>
      <c r="C1187" s="18" t="s">
        <v>661</v>
      </c>
      <c r="D1187" s="17" t="s">
        <v>2862</v>
      </c>
      <c r="E1187" s="17" t="s">
        <v>2708</v>
      </c>
      <c r="H1187" s="25"/>
      <c r="I1187" s="18"/>
      <c r="J1187" s="25"/>
      <c r="L1187" s="15" t="s">
        <v>9</v>
      </c>
      <c r="M1187" s="5"/>
      <c r="O1187" s="156">
        <v>3</v>
      </c>
      <c r="P1187" s="377">
        <v>1</v>
      </c>
      <c r="Q1187" s="378">
        <f t="shared" si="38"/>
        <v>4</v>
      </c>
    </row>
    <row r="1188" spans="1:17" ht="16.5" hidden="1" x14ac:dyDescent="0.35">
      <c r="A1188" s="53">
        <v>1187</v>
      </c>
      <c r="B1188" s="351" t="s">
        <v>2842</v>
      </c>
      <c r="C1188" s="18" t="s">
        <v>661</v>
      </c>
      <c r="D1188" s="17" t="s">
        <v>2862</v>
      </c>
      <c r="E1188" s="17" t="s">
        <v>2708</v>
      </c>
      <c r="H1188" s="25"/>
      <c r="I1188" s="18"/>
      <c r="J1188" s="25"/>
      <c r="L1188" s="15" t="s">
        <v>2</v>
      </c>
      <c r="M1188" s="5"/>
      <c r="O1188" s="156">
        <v>0</v>
      </c>
      <c r="P1188" s="377">
        <v>1</v>
      </c>
      <c r="Q1188" s="378">
        <f t="shared" si="38"/>
        <v>1</v>
      </c>
    </row>
    <row r="1189" spans="1:17" ht="16.5" hidden="1" x14ac:dyDescent="0.35">
      <c r="A1189" s="53">
        <v>1188</v>
      </c>
      <c r="B1189" s="351" t="s">
        <v>2843</v>
      </c>
      <c r="C1189" s="18" t="s">
        <v>661</v>
      </c>
      <c r="D1189" s="17" t="s">
        <v>2862</v>
      </c>
      <c r="E1189" s="17" t="s">
        <v>2708</v>
      </c>
      <c r="H1189" s="25"/>
      <c r="I1189" s="18"/>
      <c r="J1189" s="25"/>
      <c r="L1189" s="15" t="s">
        <v>9</v>
      </c>
      <c r="M1189" s="5"/>
      <c r="O1189" s="156">
        <v>0</v>
      </c>
      <c r="P1189" s="377">
        <v>0</v>
      </c>
      <c r="Q1189" s="378">
        <f t="shared" si="38"/>
        <v>0</v>
      </c>
    </row>
    <row r="1190" spans="1:17" ht="16.5" hidden="1" x14ac:dyDescent="0.35">
      <c r="A1190" s="53">
        <v>1189</v>
      </c>
      <c r="B1190" s="351" t="s">
        <v>2844</v>
      </c>
      <c r="C1190" s="18" t="s">
        <v>661</v>
      </c>
      <c r="D1190" s="17" t="s">
        <v>2862</v>
      </c>
      <c r="E1190" s="17" t="s">
        <v>2708</v>
      </c>
      <c r="H1190" s="25"/>
      <c r="I1190" s="18"/>
      <c r="J1190" s="25"/>
      <c r="L1190" s="15" t="s">
        <v>9</v>
      </c>
      <c r="M1190" s="5"/>
      <c r="O1190" s="156">
        <v>1</v>
      </c>
      <c r="P1190" s="377">
        <v>2</v>
      </c>
      <c r="Q1190" s="378">
        <f t="shared" si="38"/>
        <v>3</v>
      </c>
    </row>
    <row r="1191" spans="1:17" ht="16.5" hidden="1" x14ac:dyDescent="0.35">
      <c r="A1191" s="53">
        <v>1190</v>
      </c>
      <c r="B1191" s="351" t="s">
        <v>2845</v>
      </c>
      <c r="C1191" s="18" t="s">
        <v>661</v>
      </c>
      <c r="D1191" s="17" t="s">
        <v>2862</v>
      </c>
      <c r="E1191" s="17" t="s">
        <v>2708</v>
      </c>
      <c r="H1191" s="25"/>
      <c r="I1191" s="18"/>
      <c r="J1191" s="25"/>
      <c r="L1191" s="15" t="s">
        <v>9</v>
      </c>
      <c r="M1191" s="5"/>
      <c r="O1191" s="156">
        <v>0</v>
      </c>
      <c r="P1191" s="377">
        <v>0</v>
      </c>
      <c r="Q1191" s="378">
        <f t="shared" si="38"/>
        <v>0</v>
      </c>
    </row>
    <row r="1192" spans="1:17" ht="16.5" hidden="1" x14ac:dyDescent="0.35">
      <c r="A1192" s="53">
        <v>1191</v>
      </c>
      <c r="B1192" s="351" t="s">
        <v>2846</v>
      </c>
      <c r="C1192" s="18" t="s">
        <v>661</v>
      </c>
      <c r="D1192" s="17" t="s">
        <v>2862</v>
      </c>
      <c r="E1192" s="17" t="s">
        <v>2708</v>
      </c>
      <c r="H1192" s="25"/>
      <c r="I1192" s="18"/>
      <c r="J1192" s="25"/>
      <c r="L1192" s="15" t="s">
        <v>2</v>
      </c>
      <c r="M1192" s="5"/>
      <c r="O1192" s="156">
        <v>1</v>
      </c>
      <c r="P1192" s="377">
        <v>3</v>
      </c>
      <c r="Q1192" s="378">
        <f t="shared" si="38"/>
        <v>4</v>
      </c>
    </row>
    <row r="1193" spans="1:17" ht="16.5" hidden="1" x14ac:dyDescent="0.35">
      <c r="A1193" s="53">
        <v>1192</v>
      </c>
      <c r="B1193" s="351" t="s">
        <v>2847</v>
      </c>
      <c r="C1193" s="18" t="s">
        <v>661</v>
      </c>
      <c r="D1193" s="17" t="s">
        <v>2862</v>
      </c>
      <c r="E1193" s="17" t="s">
        <v>2708</v>
      </c>
      <c r="H1193" s="25"/>
      <c r="I1193" s="18"/>
      <c r="J1193" s="25"/>
      <c r="L1193" s="15" t="s">
        <v>2</v>
      </c>
      <c r="M1193" s="5"/>
      <c r="O1193" s="156">
        <v>1</v>
      </c>
      <c r="P1193" s="377">
        <v>2</v>
      </c>
      <c r="Q1193" s="378">
        <f t="shared" si="38"/>
        <v>3</v>
      </c>
    </row>
    <row r="1194" spans="1:17" ht="16.5" hidden="1" x14ac:dyDescent="0.35">
      <c r="A1194" s="53">
        <v>1193</v>
      </c>
      <c r="B1194" s="351" t="s">
        <v>2848</v>
      </c>
      <c r="C1194" s="18" t="s">
        <v>661</v>
      </c>
      <c r="D1194" s="17" t="s">
        <v>2862</v>
      </c>
      <c r="E1194" s="17" t="s">
        <v>2708</v>
      </c>
      <c r="H1194" s="25"/>
      <c r="I1194" s="18"/>
      <c r="J1194" s="25"/>
      <c r="L1194" s="15" t="s">
        <v>9</v>
      </c>
      <c r="M1194" s="5"/>
      <c r="O1194" s="156">
        <v>2</v>
      </c>
      <c r="P1194" s="377">
        <v>2</v>
      </c>
      <c r="Q1194" s="378">
        <f t="shared" si="38"/>
        <v>4</v>
      </c>
    </row>
    <row r="1195" spans="1:17" ht="16.5" hidden="1" x14ac:dyDescent="0.35">
      <c r="A1195" s="53">
        <v>1194</v>
      </c>
      <c r="B1195" s="351" t="s">
        <v>2849</v>
      </c>
      <c r="C1195" s="18" t="s">
        <v>661</v>
      </c>
      <c r="D1195" s="17" t="s">
        <v>2862</v>
      </c>
      <c r="E1195" s="17" t="s">
        <v>2708</v>
      </c>
      <c r="H1195" s="25"/>
      <c r="I1195" s="18"/>
      <c r="J1195" s="25"/>
      <c r="L1195" s="15" t="s">
        <v>9</v>
      </c>
      <c r="M1195" s="5"/>
      <c r="O1195" s="156">
        <v>0</v>
      </c>
      <c r="P1195" s="377">
        <v>0</v>
      </c>
      <c r="Q1195" s="378">
        <f t="shared" si="38"/>
        <v>0</v>
      </c>
    </row>
    <row r="1196" spans="1:17" ht="16.5" hidden="1" x14ac:dyDescent="0.35">
      <c r="A1196" s="53">
        <v>1195</v>
      </c>
      <c r="B1196" s="351" t="s">
        <v>2850</v>
      </c>
      <c r="C1196" s="18" t="s">
        <v>661</v>
      </c>
      <c r="D1196" s="17" t="s">
        <v>2862</v>
      </c>
      <c r="E1196" s="17" t="s">
        <v>2708</v>
      </c>
      <c r="H1196" s="25"/>
      <c r="I1196" s="18"/>
      <c r="J1196" s="25"/>
      <c r="L1196" s="15" t="s">
        <v>2</v>
      </c>
      <c r="M1196" s="5"/>
      <c r="O1196" s="156">
        <v>0</v>
      </c>
      <c r="P1196" s="377">
        <v>0</v>
      </c>
      <c r="Q1196" s="378">
        <f t="shared" si="38"/>
        <v>0</v>
      </c>
    </row>
    <row r="1197" spans="1:17" ht="16.5" hidden="1" x14ac:dyDescent="0.35">
      <c r="A1197" s="53">
        <v>1196</v>
      </c>
      <c r="B1197" s="351" t="s">
        <v>2851</v>
      </c>
      <c r="C1197" s="18" t="s">
        <v>661</v>
      </c>
      <c r="D1197" s="17" t="s">
        <v>2862</v>
      </c>
      <c r="E1197" s="17" t="s">
        <v>2708</v>
      </c>
      <c r="H1197" s="25"/>
      <c r="I1197" s="18"/>
      <c r="J1197" s="25"/>
      <c r="L1197" s="15" t="s">
        <v>2</v>
      </c>
      <c r="M1197" s="5"/>
      <c r="O1197" s="156">
        <v>1</v>
      </c>
      <c r="P1197" s="377">
        <v>0</v>
      </c>
      <c r="Q1197" s="378">
        <f t="shared" si="38"/>
        <v>1</v>
      </c>
    </row>
    <row r="1198" spans="1:17" ht="16.5" hidden="1" x14ac:dyDescent="0.35">
      <c r="A1198" s="53">
        <v>1197</v>
      </c>
      <c r="B1198" s="351" t="s">
        <v>2852</v>
      </c>
      <c r="C1198" s="18" t="s">
        <v>661</v>
      </c>
      <c r="D1198" s="17" t="s">
        <v>2862</v>
      </c>
      <c r="E1198" s="17" t="s">
        <v>2708</v>
      </c>
      <c r="H1198" s="25"/>
      <c r="I1198" s="18"/>
      <c r="J1198" s="25"/>
      <c r="L1198" s="15" t="s">
        <v>2</v>
      </c>
      <c r="M1198" s="5"/>
      <c r="O1198" s="156">
        <v>0</v>
      </c>
      <c r="P1198" s="377">
        <v>1</v>
      </c>
      <c r="Q1198" s="378">
        <f t="shared" si="38"/>
        <v>1</v>
      </c>
    </row>
    <row r="1199" spans="1:17" ht="16.5" hidden="1" x14ac:dyDescent="0.35">
      <c r="A1199" s="53">
        <v>1198</v>
      </c>
      <c r="B1199" s="351" t="s">
        <v>2853</v>
      </c>
      <c r="C1199" s="18" t="s">
        <v>661</v>
      </c>
      <c r="D1199" s="17" t="s">
        <v>2862</v>
      </c>
      <c r="E1199" s="17" t="s">
        <v>2708</v>
      </c>
      <c r="H1199" s="25"/>
      <c r="I1199" s="18"/>
      <c r="J1199" s="25"/>
      <c r="L1199" s="15" t="s">
        <v>9</v>
      </c>
      <c r="M1199" s="5"/>
      <c r="O1199" s="156">
        <v>1</v>
      </c>
      <c r="P1199" s="377">
        <v>0</v>
      </c>
      <c r="Q1199" s="378">
        <f t="shared" si="38"/>
        <v>1</v>
      </c>
    </row>
    <row r="1200" spans="1:17" ht="16.5" hidden="1" x14ac:dyDescent="0.35">
      <c r="A1200" s="53">
        <v>1199</v>
      </c>
      <c r="B1200" s="351" t="s">
        <v>2854</v>
      </c>
      <c r="C1200" s="18" t="s">
        <v>661</v>
      </c>
      <c r="D1200" s="17" t="s">
        <v>2862</v>
      </c>
      <c r="E1200" s="17" t="s">
        <v>2708</v>
      </c>
      <c r="H1200" s="25"/>
      <c r="I1200" s="18"/>
      <c r="J1200" s="25"/>
      <c r="L1200" s="15" t="s">
        <v>9</v>
      </c>
      <c r="M1200" s="5"/>
      <c r="O1200" s="156">
        <v>0</v>
      </c>
      <c r="P1200" s="377">
        <v>0</v>
      </c>
      <c r="Q1200" s="378">
        <f t="shared" si="38"/>
        <v>0</v>
      </c>
    </row>
    <row r="1201" spans="1:17" ht="16.5" hidden="1" x14ac:dyDescent="0.35">
      <c r="A1201" s="53">
        <v>1200</v>
      </c>
      <c r="B1201" s="351" t="s">
        <v>2855</v>
      </c>
      <c r="C1201" s="18" t="s">
        <v>661</v>
      </c>
      <c r="D1201" s="17" t="s">
        <v>2862</v>
      </c>
      <c r="E1201" s="17" t="s">
        <v>2708</v>
      </c>
      <c r="H1201" s="25"/>
      <c r="I1201" s="18"/>
      <c r="J1201" s="25"/>
      <c r="L1201" s="15" t="s">
        <v>2</v>
      </c>
      <c r="M1201" s="5"/>
      <c r="O1201" s="156">
        <v>0</v>
      </c>
      <c r="P1201" s="377">
        <v>2</v>
      </c>
      <c r="Q1201" s="378">
        <f t="shared" si="38"/>
        <v>2</v>
      </c>
    </row>
    <row r="1202" spans="1:17" ht="16.5" hidden="1" x14ac:dyDescent="0.35">
      <c r="A1202" s="53">
        <v>1201</v>
      </c>
      <c r="B1202" s="351" t="s">
        <v>2856</v>
      </c>
      <c r="C1202" s="18" t="s">
        <v>661</v>
      </c>
      <c r="D1202" s="17" t="s">
        <v>2862</v>
      </c>
      <c r="E1202" s="17" t="s">
        <v>2708</v>
      </c>
      <c r="H1202" s="25"/>
      <c r="I1202" s="18"/>
      <c r="J1202" s="25"/>
      <c r="L1202" s="15" t="s">
        <v>2</v>
      </c>
      <c r="M1202" s="5"/>
      <c r="O1202" s="156">
        <v>0</v>
      </c>
      <c r="P1202" s="377">
        <v>0</v>
      </c>
      <c r="Q1202" s="378">
        <f t="shared" si="38"/>
        <v>0</v>
      </c>
    </row>
    <row r="1203" spans="1:17" ht="16.5" hidden="1" x14ac:dyDescent="0.35">
      <c r="A1203" s="53">
        <v>1202</v>
      </c>
      <c r="B1203" s="351" t="s">
        <v>2857</v>
      </c>
      <c r="C1203" s="18" t="s">
        <v>661</v>
      </c>
      <c r="D1203" s="17" t="s">
        <v>2862</v>
      </c>
      <c r="E1203" s="17" t="s">
        <v>2708</v>
      </c>
      <c r="H1203" s="25"/>
      <c r="I1203" s="18"/>
      <c r="J1203" s="25"/>
      <c r="L1203" s="15" t="s">
        <v>2</v>
      </c>
      <c r="M1203" s="5"/>
      <c r="O1203" s="156">
        <v>0</v>
      </c>
      <c r="P1203" s="377">
        <v>0</v>
      </c>
      <c r="Q1203" s="378">
        <f t="shared" si="38"/>
        <v>0</v>
      </c>
    </row>
    <row r="1204" spans="1:17" ht="16.5" hidden="1" x14ac:dyDescent="0.35">
      <c r="A1204" s="53">
        <v>1203</v>
      </c>
      <c r="B1204" s="351" t="s">
        <v>2858</v>
      </c>
      <c r="C1204" s="18" t="s">
        <v>661</v>
      </c>
      <c r="D1204" s="17" t="s">
        <v>2862</v>
      </c>
      <c r="E1204" s="17" t="s">
        <v>2708</v>
      </c>
      <c r="H1204" s="25"/>
      <c r="I1204" s="18"/>
      <c r="J1204" s="25"/>
      <c r="L1204" s="15" t="s">
        <v>2</v>
      </c>
      <c r="M1204" s="5"/>
      <c r="O1204" s="156">
        <v>0</v>
      </c>
      <c r="P1204" s="377">
        <v>0</v>
      </c>
      <c r="Q1204" s="378">
        <f t="shared" si="38"/>
        <v>0</v>
      </c>
    </row>
    <row r="1205" spans="1:17" ht="16.5" hidden="1" x14ac:dyDescent="0.35">
      <c r="A1205" s="53">
        <v>1204</v>
      </c>
      <c r="B1205" s="351" t="s">
        <v>2859</v>
      </c>
      <c r="C1205" s="18" t="s">
        <v>661</v>
      </c>
      <c r="D1205" s="17" t="s">
        <v>2862</v>
      </c>
      <c r="E1205" s="17" t="s">
        <v>2708</v>
      </c>
      <c r="H1205" s="25"/>
      <c r="I1205" s="18"/>
      <c r="J1205" s="25"/>
      <c r="L1205" s="15" t="s">
        <v>9</v>
      </c>
      <c r="M1205" s="5"/>
      <c r="O1205" s="156">
        <v>0</v>
      </c>
      <c r="P1205" s="377">
        <v>1</v>
      </c>
      <c r="Q1205" s="378">
        <f t="shared" si="38"/>
        <v>1</v>
      </c>
    </row>
    <row r="1206" spans="1:17" ht="16.5" hidden="1" x14ac:dyDescent="0.35">
      <c r="A1206" s="53">
        <v>1205</v>
      </c>
      <c r="B1206" s="351" t="s">
        <v>2860</v>
      </c>
      <c r="C1206" s="18" t="s">
        <v>661</v>
      </c>
      <c r="D1206" s="17" t="s">
        <v>2862</v>
      </c>
      <c r="E1206" s="17" t="s">
        <v>2708</v>
      </c>
      <c r="H1206" s="25"/>
      <c r="I1206" s="18"/>
      <c r="J1206" s="25"/>
      <c r="L1206" s="15" t="s">
        <v>9</v>
      </c>
      <c r="M1206" s="5"/>
      <c r="O1206" s="156">
        <v>0</v>
      </c>
      <c r="P1206" s="377">
        <v>0</v>
      </c>
      <c r="Q1206" s="378">
        <f t="shared" si="38"/>
        <v>0</v>
      </c>
    </row>
    <row r="1207" spans="1:17" ht="16.5" hidden="1" x14ac:dyDescent="0.35">
      <c r="A1207" s="53">
        <v>1206</v>
      </c>
      <c r="B1207" s="351" t="s">
        <v>2861</v>
      </c>
      <c r="C1207" s="18" t="s">
        <v>661</v>
      </c>
      <c r="D1207" s="17" t="s">
        <v>2862</v>
      </c>
      <c r="E1207" s="17" t="s">
        <v>2708</v>
      </c>
      <c r="H1207" s="25"/>
      <c r="I1207" s="351"/>
      <c r="J1207" s="25"/>
      <c r="L1207" s="15" t="s">
        <v>9</v>
      </c>
      <c r="M1207" s="27"/>
      <c r="O1207" s="156">
        <v>0</v>
      </c>
      <c r="P1207" s="377">
        <v>0</v>
      </c>
      <c r="Q1207" s="378">
        <f t="shared" si="38"/>
        <v>0</v>
      </c>
    </row>
    <row r="1208" spans="1:17" ht="16.5" hidden="1" x14ac:dyDescent="0.35">
      <c r="A1208" s="53">
        <v>1207</v>
      </c>
      <c r="B1208" s="351" t="s">
        <v>2863</v>
      </c>
      <c r="C1208" s="18" t="s">
        <v>661</v>
      </c>
      <c r="D1208" s="17" t="s">
        <v>2892</v>
      </c>
      <c r="E1208" s="17" t="s">
        <v>2708</v>
      </c>
      <c r="H1208" s="25"/>
      <c r="I1208" s="18"/>
      <c r="J1208" s="25"/>
      <c r="L1208" s="15" t="s">
        <v>9</v>
      </c>
      <c r="M1208" s="5"/>
      <c r="O1208" s="156">
        <v>0</v>
      </c>
      <c r="P1208" s="377">
        <v>1</v>
      </c>
      <c r="Q1208" s="378">
        <f>SUM(O1208:P1208)</f>
        <v>1</v>
      </c>
    </row>
    <row r="1209" spans="1:17" ht="16.5" hidden="1" x14ac:dyDescent="0.35">
      <c r="A1209" s="53">
        <v>1208</v>
      </c>
      <c r="B1209" s="351" t="s">
        <v>2864</v>
      </c>
      <c r="C1209" s="18" t="s">
        <v>661</v>
      </c>
      <c r="D1209" s="17" t="s">
        <v>2892</v>
      </c>
      <c r="E1209" s="17" t="s">
        <v>2708</v>
      </c>
      <c r="H1209" s="25"/>
      <c r="I1209" s="18"/>
      <c r="J1209" s="25"/>
      <c r="L1209" s="15" t="s">
        <v>9</v>
      </c>
      <c r="M1209" s="5"/>
      <c r="O1209" s="156">
        <v>2</v>
      </c>
      <c r="P1209" s="377">
        <v>1</v>
      </c>
      <c r="Q1209" s="378">
        <f t="shared" ref="Q1209:Q1236" si="39">SUM(O1209:P1209)</f>
        <v>3</v>
      </c>
    </row>
    <row r="1210" spans="1:17" ht="16.5" hidden="1" x14ac:dyDescent="0.35">
      <c r="A1210" s="53">
        <v>1209</v>
      </c>
      <c r="B1210" s="351" t="s">
        <v>2865</v>
      </c>
      <c r="C1210" s="18" t="s">
        <v>661</v>
      </c>
      <c r="D1210" s="17" t="s">
        <v>2892</v>
      </c>
      <c r="E1210" s="17" t="s">
        <v>2708</v>
      </c>
      <c r="H1210" s="25"/>
      <c r="I1210" s="18"/>
      <c r="J1210" s="25"/>
      <c r="L1210" s="15" t="s">
        <v>9</v>
      </c>
      <c r="M1210" s="5"/>
      <c r="O1210" s="156">
        <v>1</v>
      </c>
      <c r="P1210" s="377">
        <v>3</v>
      </c>
      <c r="Q1210" s="378">
        <f t="shared" si="39"/>
        <v>4</v>
      </c>
    </row>
    <row r="1211" spans="1:17" ht="16.5" hidden="1" x14ac:dyDescent="0.35">
      <c r="A1211" s="53">
        <v>1210</v>
      </c>
      <c r="B1211" s="351" t="s">
        <v>2866</v>
      </c>
      <c r="C1211" s="18" t="s">
        <v>661</v>
      </c>
      <c r="D1211" s="17" t="s">
        <v>2892</v>
      </c>
      <c r="E1211" s="17" t="s">
        <v>2708</v>
      </c>
      <c r="H1211" s="25"/>
      <c r="I1211" s="18"/>
      <c r="J1211" s="25"/>
      <c r="L1211" s="15" t="s">
        <v>2</v>
      </c>
      <c r="M1211" s="5"/>
      <c r="O1211" s="156">
        <v>2</v>
      </c>
      <c r="P1211" s="377">
        <v>0</v>
      </c>
      <c r="Q1211" s="378">
        <f t="shared" si="39"/>
        <v>2</v>
      </c>
    </row>
    <row r="1212" spans="1:17" ht="16.5" hidden="1" x14ac:dyDescent="0.35">
      <c r="A1212" s="53">
        <v>1211</v>
      </c>
      <c r="B1212" s="351" t="s">
        <v>2867</v>
      </c>
      <c r="C1212" s="18" t="s">
        <v>661</v>
      </c>
      <c r="D1212" s="17" t="s">
        <v>2892</v>
      </c>
      <c r="E1212" s="17" t="s">
        <v>2708</v>
      </c>
      <c r="H1212" s="25"/>
      <c r="I1212" s="18"/>
      <c r="J1212" s="25"/>
      <c r="L1212" s="15" t="s">
        <v>9</v>
      </c>
      <c r="M1212" s="5"/>
      <c r="O1212" s="156">
        <v>2</v>
      </c>
      <c r="P1212" s="377">
        <v>3</v>
      </c>
      <c r="Q1212" s="378">
        <f t="shared" si="39"/>
        <v>5</v>
      </c>
    </row>
    <row r="1213" spans="1:17" ht="16.5" hidden="1" x14ac:dyDescent="0.35">
      <c r="A1213" s="53">
        <v>1212</v>
      </c>
      <c r="B1213" s="351" t="s">
        <v>2868</v>
      </c>
      <c r="C1213" s="18" t="s">
        <v>661</v>
      </c>
      <c r="D1213" s="17" t="s">
        <v>2892</v>
      </c>
      <c r="E1213" s="17" t="s">
        <v>2708</v>
      </c>
      <c r="H1213" s="25"/>
      <c r="I1213" s="18"/>
      <c r="J1213" s="25"/>
      <c r="L1213" s="15" t="s">
        <v>2</v>
      </c>
      <c r="M1213" s="5"/>
      <c r="O1213" s="156">
        <v>1</v>
      </c>
      <c r="P1213" s="377">
        <v>1</v>
      </c>
      <c r="Q1213" s="378">
        <f t="shared" si="39"/>
        <v>2</v>
      </c>
    </row>
    <row r="1214" spans="1:17" ht="16.5" hidden="1" x14ac:dyDescent="0.35">
      <c r="A1214" s="53">
        <v>1213</v>
      </c>
      <c r="B1214" s="351" t="s">
        <v>2869</v>
      </c>
      <c r="C1214" s="18" t="s">
        <v>661</v>
      </c>
      <c r="D1214" s="17" t="s">
        <v>2892</v>
      </c>
      <c r="E1214" s="17" t="s">
        <v>2708</v>
      </c>
      <c r="H1214" s="25"/>
      <c r="I1214" s="18"/>
      <c r="J1214" s="25"/>
      <c r="L1214" s="15" t="s">
        <v>2</v>
      </c>
      <c r="M1214" s="5"/>
      <c r="O1214" s="156">
        <v>3</v>
      </c>
      <c r="P1214" s="377">
        <v>0</v>
      </c>
      <c r="Q1214" s="378">
        <f t="shared" si="39"/>
        <v>3</v>
      </c>
    </row>
    <row r="1215" spans="1:17" ht="16.5" hidden="1" x14ac:dyDescent="0.35">
      <c r="A1215" s="53">
        <v>1214</v>
      </c>
      <c r="B1215" s="351" t="s">
        <v>2870</v>
      </c>
      <c r="C1215" s="18" t="s">
        <v>661</v>
      </c>
      <c r="D1215" s="17" t="s">
        <v>2892</v>
      </c>
      <c r="E1215" s="17" t="s">
        <v>2708</v>
      </c>
      <c r="H1215" s="25"/>
      <c r="I1215" s="18"/>
      <c r="J1215" s="25"/>
      <c r="L1215" s="15" t="s">
        <v>2</v>
      </c>
      <c r="M1215" s="5"/>
      <c r="O1215" s="156">
        <v>1</v>
      </c>
      <c r="P1215" s="377">
        <v>2</v>
      </c>
      <c r="Q1215" s="378">
        <f t="shared" si="39"/>
        <v>3</v>
      </c>
    </row>
    <row r="1216" spans="1:17" ht="16.5" hidden="1" x14ac:dyDescent="0.35">
      <c r="A1216" s="53">
        <v>1215</v>
      </c>
      <c r="B1216" s="351" t="s">
        <v>2871</v>
      </c>
      <c r="C1216" s="18" t="s">
        <v>661</v>
      </c>
      <c r="D1216" s="17" t="s">
        <v>2892</v>
      </c>
      <c r="E1216" s="17" t="s">
        <v>2708</v>
      </c>
      <c r="H1216" s="25"/>
      <c r="I1216" s="18"/>
      <c r="J1216" s="25"/>
      <c r="L1216" s="15" t="s">
        <v>2</v>
      </c>
      <c r="M1216" s="5"/>
      <c r="O1216" s="156">
        <v>1</v>
      </c>
      <c r="P1216" s="377">
        <v>4</v>
      </c>
      <c r="Q1216" s="378">
        <f t="shared" si="39"/>
        <v>5</v>
      </c>
    </row>
    <row r="1217" spans="1:17" ht="16.5" hidden="1" x14ac:dyDescent="0.35">
      <c r="A1217" s="53">
        <v>1216</v>
      </c>
      <c r="B1217" s="351" t="s">
        <v>2872</v>
      </c>
      <c r="C1217" s="18" t="s">
        <v>661</v>
      </c>
      <c r="D1217" s="17" t="s">
        <v>2892</v>
      </c>
      <c r="E1217" s="17" t="s">
        <v>2708</v>
      </c>
      <c r="H1217" s="25"/>
      <c r="I1217" s="18"/>
      <c r="J1217" s="25"/>
      <c r="L1217" s="15" t="s">
        <v>2</v>
      </c>
      <c r="M1217" s="5"/>
      <c r="O1217" s="156">
        <v>1</v>
      </c>
      <c r="P1217" s="377">
        <v>2</v>
      </c>
      <c r="Q1217" s="378">
        <f t="shared" si="39"/>
        <v>3</v>
      </c>
    </row>
    <row r="1218" spans="1:17" ht="16.5" hidden="1" x14ac:dyDescent="0.35">
      <c r="A1218" s="53">
        <v>1217</v>
      </c>
      <c r="B1218" s="351" t="s">
        <v>2873</v>
      </c>
      <c r="C1218" s="18" t="s">
        <v>661</v>
      </c>
      <c r="D1218" s="17" t="s">
        <v>2892</v>
      </c>
      <c r="E1218" s="17" t="s">
        <v>2708</v>
      </c>
      <c r="H1218" s="25"/>
      <c r="I1218" s="18"/>
      <c r="J1218" s="25"/>
      <c r="L1218" s="15" t="s">
        <v>9</v>
      </c>
      <c r="M1218" s="5"/>
      <c r="O1218" s="156">
        <v>0</v>
      </c>
      <c r="P1218" s="377">
        <v>1</v>
      </c>
      <c r="Q1218" s="378">
        <f t="shared" si="39"/>
        <v>1</v>
      </c>
    </row>
    <row r="1219" spans="1:17" ht="16.5" hidden="1" x14ac:dyDescent="0.35">
      <c r="A1219" s="53">
        <v>1218</v>
      </c>
      <c r="B1219" s="351" t="s">
        <v>2874</v>
      </c>
      <c r="C1219" s="18" t="s">
        <v>661</v>
      </c>
      <c r="D1219" s="17" t="s">
        <v>2892</v>
      </c>
      <c r="E1219" s="17" t="s">
        <v>2708</v>
      </c>
      <c r="H1219" s="25"/>
      <c r="I1219" s="18"/>
      <c r="J1219" s="25"/>
      <c r="L1219" s="15" t="s">
        <v>9</v>
      </c>
      <c r="M1219" s="5"/>
      <c r="O1219" s="156">
        <v>1</v>
      </c>
      <c r="P1219" s="377">
        <v>2</v>
      </c>
      <c r="Q1219" s="378">
        <f t="shared" si="39"/>
        <v>3</v>
      </c>
    </row>
    <row r="1220" spans="1:17" ht="16.5" hidden="1" x14ac:dyDescent="0.35">
      <c r="A1220" s="53">
        <v>1219</v>
      </c>
      <c r="B1220" s="351" t="s">
        <v>2875</v>
      </c>
      <c r="C1220" s="18" t="s">
        <v>661</v>
      </c>
      <c r="D1220" s="17" t="s">
        <v>2892</v>
      </c>
      <c r="E1220" s="17" t="s">
        <v>2708</v>
      </c>
      <c r="H1220" s="25"/>
      <c r="I1220" s="18"/>
      <c r="J1220" s="25"/>
      <c r="L1220" s="15" t="s">
        <v>9</v>
      </c>
      <c r="M1220" s="5"/>
      <c r="O1220" s="156">
        <v>0</v>
      </c>
      <c r="P1220" s="377">
        <v>0</v>
      </c>
      <c r="Q1220" s="378">
        <f t="shared" si="39"/>
        <v>0</v>
      </c>
    </row>
    <row r="1221" spans="1:17" ht="16.5" hidden="1" x14ac:dyDescent="0.35">
      <c r="A1221" s="53">
        <v>1220</v>
      </c>
      <c r="B1221" s="351" t="s">
        <v>2876</v>
      </c>
      <c r="C1221" s="18" t="s">
        <v>661</v>
      </c>
      <c r="D1221" s="17" t="s">
        <v>2892</v>
      </c>
      <c r="E1221" s="17" t="s">
        <v>2708</v>
      </c>
      <c r="H1221" s="25"/>
      <c r="I1221" s="18"/>
      <c r="J1221" s="25"/>
      <c r="L1221" s="15" t="s">
        <v>9</v>
      </c>
      <c r="M1221" s="5"/>
      <c r="O1221" s="156">
        <v>1</v>
      </c>
      <c r="P1221" s="377">
        <v>1</v>
      </c>
      <c r="Q1221" s="378">
        <f t="shared" si="39"/>
        <v>2</v>
      </c>
    </row>
    <row r="1222" spans="1:17" ht="16.5" hidden="1" x14ac:dyDescent="0.35">
      <c r="A1222" s="53">
        <v>1221</v>
      </c>
      <c r="B1222" s="351" t="s">
        <v>2877</v>
      </c>
      <c r="C1222" s="18" t="s">
        <v>661</v>
      </c>
      <c r="D1222" s="17" t="s">
        <v>2892</v>
      </c>
      <c r="E1222" s="17" t="s">
        <v>2708</v>
      </c>
      <c r="H1222" s="25"/>
      <c r="I1222" s="18"/>
      <c r="J1222" s="25"/>
      <c r="L1222" s="15" t="s">
        <v>9</v>
      </c>
      <c r="M1222" s="5"/>
      <c r="O1222" s="156">
        <v>0</v>
      </c>
      <c r="P1222" s="377">
        <v>0</v>
      </c>
      <c r="Q1222" s="378">
        <f t="shared" si="39"/>
        <v>0</v>
      </c>
    </row>
    <row r="1223" spans="1:17" ht="16.5" hidden="1" x14ac:dyDescent="0.35">
      <c r="A1223" s="53">
        <v>1222</v>
      </c>
      <c r="B1223" s="351" t="s">
        <v>2878</v>
      </c>
      <c r="C1223" s="18" t="s">
        <v>661</v>
      </c>
      <c r="D1223" s="17" t="s">
        <v>2892</v>
      </c>
      <c r="E1223" s="17" t="s">
        <v>2708</v>
      </c>
      <c r="H1223" s="25"/>
      <c r="I1223" s="18"/>
      <c r="J1223" s="25"/>
      <c r="L1223" s="15" t="s">
        <v>9</v>
      </c>
      <c r="M1223" s="5"/>
      <c r="O1223" s="156">
        <v>2</v>
      </c>
      <c r="P1223" s="377">
        <v>2</v>
      </c>
      <c r="Q1223" s="378">
        <f t="shared" si="39"/>
        <v>4</v>
      </c>
    </row>
    <row r="1224" spans="1:17" ht="16.5" hidden="1" x14ac:dyDescent="0.35">
      <c r="A1224" s="53">
        <v>1223</v>
      </c>
      <c r="B1224" s="351" t="s">
        <v>2879</v>
      </c>
      <c r="C1224" s="18" t="s">
        <v>661</v>
      </c>
      <c r="D1224" s="17" t="s">
        <v>2892</v>
      </c>
      <c r="E1224" s="17" t="s">
        <v>2708</v>
      </c>
      <c r="H1224" s="25"/>
      <c r="I1224" s="18"/>
      <c r="J1224" s="25"/>
      <c r="L1224" s="15" t="s">
        <v>2</v>
      </c>
      <c r="M1224" s="5"/>
      <c r="O1224" s="156">
        <v>1</v>
      </c>
      <c r="P1224" s="377">
        <v>0</v>
      </c>
      <c r="Q1224" s="378">
        <f t="shared" si="39"/>
        <v>1</v>
      </c>
    </row>
    <row r="1225" spans="1:17" ht="16.5" hidden="1" x14ac:dyDescent="0.35">
      <c r="A1225" s="53">
        <v>1224</v>
      </c>
      <c r="B1225" s="351" t="s">
        <v>2880</v>
      </c>
      <c r="C1225" s="18" t="s">
        <v>661</v>
      </c>
      <c r="D1225" s="17" t="s">
        <v>2892</v>
      </c>
      <c r="E1225" s="17" t="s">
        <v>2708</v>
      </c>
      <c r="H1225" s="25"/>
      <c r="I1225" s="18"/>
      <c r="J1225" s="25"/>
      <c r="L1225" s="15" t="s">
        <v>9</v>
      </c>
      <c r="M1225" s="5"/>
      <c r="O1225" s="156">
        <v>2</v>
      </c>
      <c r="P1225" s="377">
        <v>3</v>
      </c>
      <c r="Q1225" s="378">
        <f t="shared" si="39"/>
        <v>5</v>
      </c>
    </row>
    <row r="1226" spans="1:17" ht="16.5" hidden="1" x14ac:dyDescent="0.35">
      <c r="A1226" s="53">
        <v>1225</v>
      </c>
      <c r="B1226" s="351" t="s">
        <v>2881</v>
      </c>
      <c r="C1226" s="18" t="s">
        <v>661</v>
      </c>
      <c r="D1226" s="17" t="s">
        <v>2892</v>
      </c>
      <c r="E1226" s="17" t="s">
        <v>2708</v>
      </c>
      <c r="H1226" s="25"/>
      <c r="I1226" s="18"/>
      <c r="J1226" s="25"/>
      <c r="L1226" s="15" t="s">
        <v>2</v>
      </c>
      <c r="M1226" s="5"/>
      <c r="O1226" s="156">
        <v>2</v>
      </c>
      <c r="P1226" s="377">
        <v>0</v>
      </c>
      <c r="Q1226" s="378">
        <f t="shared" si="39"/>
        <v>2</v>
      </c>
    </row>
    <row r="1227" spans="1:17" ht="16.5" hidden="1" x14ac:dyDescent="0.35">
      <c r="A1227" s="53">
        <v>1226</v>
      </c>
      <c r="B1227" s="351" t="s">
        <v>2882</v>
      </c>
      <c r="C1227" s="18" t="s">
        <v>661</v>
      </c>
      <c r="D1227" s="17" t="s">
        <v>2892</v>
      </c>
      <c r="E1227" s="17" t="s">
        <v>2708</v>
      </c>
      <c r="H1227" s="25"/>
      <c r="I1227" s="18"/>
      <c r="J1227" s="25"/>
      <c r="L1227" s="15" t="s">
        <v>9</v>
      </c>
      <c r="M1227" s="5"/>
      <c r="O1227" s="156">
        <v>1</v>
      </c>
      <c r="P1227" s="377">
        <v>2</v>
      </c>
      <c r="Q1227" s="378">
        <f t="shared" si="39"/>
        <v>3</v>
      </c>
    </row>
    <row r="1228" spans="1:17" ht="16.5" hidden="1" x14ac:dyDescent="0.35">
      <c r="A1228" s="53">
        <v>1227</v>
      </c>
      <c r="B1228" s="351" t="s">
        <v>2883</v>
      </c>
      <c r="C1228" s="18" t="s">
        <v>661</v>
      </c>
      <c r="D1228" s="17" t="s">
        <v>2892</v>
      </c>
      <c r="E1228" s="17" t="s">
        <v>2708</v>
      </c>
      <c r="H1228" s="25"/>
      <c r="I1228" s="18"/>
      <c r="J1228" s="25"/>
      <c r="L1228" s="15" t="s">
        <v>9</v>
      </c>
      <c r="M1228" s="5"/>
      <c r="O1228" s="156">
        <v>1</v>
      </c>
      <c r="P1228" s="377">
        <v>2</v>
      </c>
      <c r="Q1228" s="378">
        <f t="shared" si="39"/>
        <v>3</v>
      </c>
    </row>
    <row r="1229" spans="1:17" ht="16.5" hidden="1" x14ac:dyDescent="0.35">
      <c r="A1229" s="53">
        <v>1228</v>
      </c>
      <c r="B1229" s="351" t="s">
        <v>2884</v>
      </c>
      <c r="C1229" s="18" t="s">
        <v>661</v>
      </c>
      <c r="D1229" s="17" t="s">
        <v>2892</v>
      </c>
      <c r="E1229" s="17" t="s">
        <v>2708</v>
      </c>
      <c r="H1229" s="25"/>
      <c r="I1229" s="18"/>
      <c r="J1229" s="25"/>
      <c r="L1229" s="15" t="s">
        <v>2</v>
      </c>
      <c r="M1229" s="5"/>
      <c r="O1229" s="156">
        <v>1</v>
      </c>
      <c r="P1229" s="377">
        <v>3</v>
      </c>
      <c r="Q1229" s="378">
        <f t="shared" si="39"/>
        <v>4</v>
      </c>
    </row>
    <row r="1230" spans="1:17" ht="16.5" hidden="1" x14ac:dyDescent="0.35">
      <c r="A1230" s="53">
        <v>1229</v>
      </c>
      <c r="B1230" s="351" t="s">
        <v>2885</v>
      </c>
      <c r="C1230" s="18" t="s">
        <v>661</v>
      </c>
      <c r="D1230" s="17" t="s">
        <v>2892</v>
      </c>
      <c r="E1230" s="17" t="s">
        <v>2708</v>
      </c>
      <c r="H1230" s="25"/>
      <c r="I1230" s="18"/>
      <c r="J1230" s="25"/>
      <c r="L1230" s="15" t="s">
        <v>9</v>
      </c>
      <c r="M1230" s="5"/>
      <c r="O1230" s="156">
        <v>0</v>
      </c>
      <c r="P1230" s="377">
        <v>1</v>
      </c>
      <c r="Q1230" s="378">
        <f t="shared" si="39"/>
        <v>1</v>
      </c>
    </row>
    <row r="1231" spans="1:17" ht="16.5" hidden="1" x14ac:dyDescent="0.35">
      <c r="A1231" s="53">
        <v>1230</v>
      </c>
      <c r="B1231" s="351" t="s">
        <v>2886</v>
      </c>
      <c r="C1231" s="18" t="s">
        <v>661</v>
      </c>
      <c r="D1231" s="17" t="s">
        <v>2892</v>
      </c>
      <c r="E1231" s="17" t="s">
        <v>2708</v>
      </c>
      <c r="H1231" s="25"/>
      <c r="I1231" s="18"/>
      <c r="J1231" s="25"/>
      <c r="L1231" s="15" t="s">
        <v>2</v>
      </c>
      <c r="M1231" s="5"/>
      <c r="O1231" s="156">
        <v>1</v>
      </c>
      <c r="P1231" s="377">
        <v>1</v>
      </c>
      <c r="Q1231" s="378">
        <f t="shared" si="39"/>
        <v>2</v>
      </c>
    </row>
    <row r="1232" spans="1:17" ht="16.5" hidden="1" x14ac:dyDescent="0.35">
      <c r="A1232" s="53">
        <v>1231</v>
      </c>
      <c r="B1232" s="351" t="s">
        <v>2887</v>
      </c>
      <c r="C1232" s="18" t="s">
        <v>661</v>
      </c>
      <c r="D1232" s="17" t="s">
        <v>2892</v>
      </c>
      <c r="E1232" s="17" t="s">
        <v>2708</v>
      </c>
      <c r="H1232" s="25"/>
      <c r="I1232" s="18"/>
      <c r="J1232" s="25"/>
      <c r="L1232" s="15" t="s">
        <v>2</v>
      </c>
      <c r="M1232" s="5"/>
      <c r="O1232" s="156">
        <v>1</v>
      </c>
      <c r="P1232" s="377">
        <v>2</v>
      </c>
      <c r="Q1232" s="378">
        <f t="shared" si="39"/>
        <v>3</v>
      </c>
    </row>
    <row r="1233" spans="1:17" ht="16.5" hidden="1" x14ac:dyDescent="0.35">
      <c r="A1233" s="53">
        <v>1232</v>
      </c>
      <c r="B1233" s="351" t="s">
        <v>2888</v>
      </c>
      <c r="C1233" s="18" t="s">
        <v>661</v>
      </c>
      <c r="D1233" s="17" t="s">
        <v>2892</v>
      </c>
      <c r="E1233" s="17" t="s">
        <v>2708</v>
      </c>
      <c r="H1233" s="25"/>
      <c r="I1233" s="18"/>
      <c r="J1233" s="25"/>
      <c r="L1233" s="15" t="s">
        <v>9</v>
      </c>
      <c r="M1233" s="5"/>
      <c r="O1233" s="156">
        <v>0</v>
      </c>
      <c r="P1233" s="377">
        <v>2</v>
      </c>
      <c r="Q1233" s="378">
        <f t="shared" si="39"/>
        <v>2</v>
      </c>
    </row>
    <row r="1234" spans="1:17" ht="16.5" hidden="1" x14ac:dyDescent="0.5">
      <c r="A1234" s="53">
        <v>1233</v>
      </c>
      <c r="B1234" s="351" t="s">
        <v>2889</v>
      </c>
      <c r="C1234" s="18" t="s">
        <v>661</v>
      </c>
      <c r="D1234" s="17" t="s">
        <v>2892</v>
      </c>
      <c r="E1234" s="17" t="s">
        <v>2708</v>
      </c>
      <c r="H1234" s="25"/>
      <c r="I1234" s="18"/>
      <c r="J1234" s="25"/>
      <c r="L1234" s="15" t="s">
        <v>2</v>
      </c>
      <c r="M1234" s="5"/>
      <c r="O1234" s="379">
        <v>1</v>
      </c>
      <c r="P1234" s="379">
        <v>1</v>
      </c>
      <c r="Q1234" s="380">
        <f t="shared" si="39"/>
        <v>2</v>
      </c>
    </row>
    <row r="1235" spans="1:17" ht="16.5" hidden="1" x14ac:dyDescent="0.35">
      <c r="A1235" s="53">
        <v>1234</v>
      </c>
      <c r="B1235" s="351" t="s">
        <v>2890</v>
      </c>
      <c r="C1235" s="18" t="s">
        <v>661</v>
      </c>
      <c r="D1235" s="17" t="s">
        <v>2892</v>
      </c>
      <c r="E1235" s="17" t="s">
        <v>2708</v>
      </c>
      <c r="H1235" s="25"/>
      <c r="I1235" s="18"/>
      <c r="J1235" s="25"/>
      <c r="L1235" s="15" t="s">
        <v>2</v>
      </c>
      <c r="M1235" s="5"/>
      <c r="O1235" s="381">
        <v>1</v>
      </c>
      <c r="P1235" s="381">
        <v>3</v>
      </c>
      <c r="Q1235" s="382">
        <f t="shared" si="39"/>
        <v>4</v>
      </c>
    </row>
    <row r="1236" spans="1:17" ht="16.5" hidden="1" x14ac:dyDescent="0.35">
      <c r="A1236" s="53">
        <v>1235</v>
      </c>
      <c r="B1236" s="351" t="s">
        <v>2891</v>
      </c>
      <c r="C1236" s="18" t="s">
        <v>661</v>
      </c>
      <c r="D1236" s="17" t="s">
        <v>2892</v>
      </c>
      <c r="E1236" s="17" t="s">
        <v>2708</v>
      </c>
      <c r="H1236" s="25"/>
      <c r="I1236" s="351"/>
      <c r="J1236" s="25"/>
      <c r="L1236" s="16" t="s">
        <v>9</v>
      </c>
      <c r="M1236" s="27"/>
      <c r="O1236" s="383">
        <v>0</v>
      </c>
      <c r="P1236" s="383">
        <v>0</v>
      </c>
      <c r="Q1236" s="384">
        <f t="shared" si="39"/>
        <v>0</v>
      </c>
    </row>
    <row r="1237" spans="1:17" ht="16.5" hidden="1" x14ac:dyDescent="0.35">
      <c r="A1237" s="53">
        <v>1236</v>
      </c>
      <c r="B1237" s="351" t="s">
        <v>2893</v>
      </c>
      <c r="C1237" s="18" t="s">
        <v>661</v>
      </c>
      <c r="D1237" s="17" t="s">
        <v>2920</v>
      </c>
      <c r="E1237" s="17" t="s">
        <v>2708</v>
      </c>
      <c r="H1237" s="25"/>
      <c r="I1237" s="18"/>
      <c r="J1237" s="25"/>
      <c r="L1237" s="15" t="s">
        <v>9</v>
      </c>
      <c r="M1237" s="5"/>
      <c r="O1237" s="156">
        <v>1</v>
      </c>
      <c r="P1237" s="377">
        <v>1</v>
      </c>
      <c r="Q1237" s="378">
        <f>SUM(O1237:P1237)</f>
        <v>2</v>
      </c>
    </row>
    <row r="1238" spans="1:17" ht="16.5" hidden="1" x14ac:dyDescent="0.35">
      <c r="A1238" s="53">
        <v>1237</v>
      </c>
      <c r="B1238" s="351" t="s">
        <v>130</v>
      </c>
      <c r="C1238" s="18" t="s">
        <v>661</v>
      </c>
      <c r="D1238" s="17" t="s">
        <v>2920</v>
      </c>
      <c r="E1238" s="17" t="s">
        <v>2708</v>
      </c>
      <c r="H1238" s="25"/>
      <c r="I1238" s="18"/>
      <c r="J1238" s="25"/>
      <c r="L1238" s="15" t="s">
        <v>2</v>
      </c>
      <c r="M1238" s="5"/>
      <c r="O1238" s="156">
        <v>1</v>
      </c>
      <c r="P1238" s="377">
        <v>2</v>
      </c>
      <c r="Q1238" s="378">
        <f t="shared" ref="Q1238:Q1266" si="40">SUM(O1238:P1238)</f>
        <v>3</v>
      </c>
    </row>
    <row r="1239" spans="1:17" ht="16.5" hidden="1" x14ac:dyDescent="0.35">
      <c r="A1239" s="53">
        <v>1238</v>
      </c>
      <c r="B1239" s="351" t="s">
        <v>237</v>
      </c>
      <c r="C1239" s="18" t="s">
        <v>661</v>
      </c>
      <c r="D1239" s="17" t="s">
        <v>2920</v>
      </c>
      <c r="E1239" s="17" t="s">
        <v>2708</v>
      </c>
      <c r="H1239" s="25"/>
      <c r="I1239" s="18"/>
      <c r="J1239" s="25"/>
      <c r="L1239" s="15" t="s">
        <v>2</v>
      </c>
      <c r="M1239" s="5"/>
      <c r="O1239" s="156">
        <v>1</v>
      </c>
      <c r="P1239" s="377">
        <v>3</v>
      </c>
      <c r="Q1239" s="378">
        <f t="shared" si="40"/>
        <v>4</v>
      </c>
    </row>
    <row r="1240" spans="1:17" ht="16.5" hidden="1" x14ac:dyDescent="0.35">
      <c r="A1240" s="53">
        <v>1239</v>
      </c>
      <c r="B1240" s="351" t="s">
        <v>2894</v>
      </c>
      <c r="C1240" s="18" t="s">
        <v>661</v>
      </c>
      <c r="D1240" s="17" t="s">
        <v>2920</v>
      </c>
      <c r="E1240" s="17" t="s">
        <v>2708</v>
      </c>
      <c r="H1240" s="25"/>
      <c r="I1240" s="18"/>
      <c r="J1240" s="25"/>
      <c r="L1240" s="15" t="s">
        <v>2</v>
      </c>
      <c r="M1240" s="5"/>
      <c r="O1240" s="156">
        <v>3</v>
      </c>
      <c r="P1240" s="377">
        <v>0</v>
      </c>
      <c r="Q1240" s="378">
        <f t="shared" si="40"/>
        <v>3</v>
      </c>
    </row>
    <row r="1241" spans="1:17" ht="16.5" hidden="1" x14ac:dyDescent="0.35">
      <c r="A1241" s="53">
        <v>1240</v>
      </c>
      <c r="B1241" s="351" t="s">
        <v>2895</v>
      </c>
      <c r="C1241" s="18" t="s">
        <v>661</v>
      </c>
      <c r="D1241" s="17" t="s">
        <v>2920</v>
      </c>
      <c r="E1241" s="17" t="s">
        <v>2708</v>
      </c>
      <c r="H1241" s="25"/>
      <c r="I1241" s="18"/>
      <c r="J1241" s="25"/>
      <c r="L1241" s="15" t="s">
        <v>9</v>
      </c>
      <c r="M1241" s="5"/>
      <c r="O1241" s="156">
        <v>2</v>
      </c>
      <c r="P1241" s="377">
        <v>3</v>
      </c>
      <c r="Q1241" s="378">
        <f t="shared" si="40"/>
        <v>5</v>
      </c>
    </row>
    <row r="1242" spans="1:17" ht="16.5" hidden="1" x14ac:dyDescent="0.35">
      <c r="A1242" s="53">
        <v>1241</v>
      </c>
      <c r="B1242" s="351" t="s">
        <v>2896</v>
      </c>
      <c r="C1242" s="18" t="s">
        <v>661</v>
      </c>
      <c r="D1242" s="17" t="s">
        <v>2920</v>
      </c>
      <c r="E1242" s="17" t="s">
        <v>2708</v>
      </c>
      <c r="H1242" s="25"/>
      <c r="I1242" s="18"/>
      <c r="J1242" s="25"/>
      <c r="L1242" s="15" t="s">
        <v>2</v>
      </c>
      <c r="M1242" s="5"/>
      <c r="O1242" s="156">
        <v>0</v>
      </c>
      <c r="P1242" s="377">
        <v>0</v>
      </c>
      <c r="Q1242" s="378">
        <f t="shared" si="40"/>
        <v>0</v>
      </c>
    </row>
    <row r="1243" spans="1:17" ht="16.5" hidden="1" x14ac:dyDescent="0.35">
      <c r="A1243" s="53">
        <v>1242</v>
      </c>
      <c r="B1243" s="351" t="s">
        <v>2897</v>
      </c>
      <c r="C1243" s="18" t="s">
        <v>661</v>
      </c>
      <c r="D1243" s="17" t="s">
        <v>2920</v>
      </c>
      <c r="E1243" s="17" t="s">
        <v>2708</v>
      </c>
      <c r="H1243" s="25"/>
      <c r="I1243" s="18"/>
      <c r="J1243" s="25"/>
      <c r="L1243" s="15" t="s">
        <v>9</v>
      </c>
      <c r="M1243" s="5"/>
      <c r="O1243" s="156">
        <v>0</v>
      </c>
      <c r="P1243" s="377">
        <v>0</v>
      </c>
      <c r="Q1243" s="378">
        <f t="shared" si="40"/>
        <v>0</v>
      </c>
    </row>
    <row r="1244" spans="1:17" ht="16.5" hidden="1" x14ac:dyDescent="0.35">
      <c r="A1244" s="53">
        <v>1243</v>
      </c>
      <c r="B1244" s="351" t="s">
        <v>2898</v>
      </c>
      <c r="C1244" s="18" t="s">
        <v>661</v>
      </c>
      <c r="D1244" s="17" t="s">
        <v>2920</v>
      </c>
      <c r="E1244" s="17" t="s">
        <v>2708</v>
      </c>
      <c r="H1244" s="25"/>
      <c r="I1244" s="18"/>
      <c r="J1244" s="25"/>
      <c r="L1244" s="15" t="s">
        <v>2</v>
      </c>
      <c r="M1244" s="5"/>
      <c r="O1244" s="156">
        <v>0</v>
      </c>
      <c r="P1244" s="377">
        <v>0</v>
      </c>
      <c r="Q1244" s="378">
        <f t="shared" si="40"/>
        <v>0</v>
      </c>
    </row>
    <row r="1245" spans="1:17" ht="16.5" hidden="1" x14ac:dyDescent="0.35">
      <c r="A1245" s="53">
        <v>1244</v>
      </c>
      <c r="B1245" s="351" t="s">
        <v>2899</v>
      </c>
      <c r="C1245" s="18" t="s">
        <v>661</v>
      </c>
      <c r="D1245" s="17" t="s">
        <v>2920</v>
      </c>
      <c r="E1245" s="17" t="s">
        <v>2708</v>
      </c>
      <c r="H1245" s="25"/>
      <c r="I1245" s="18"/>
      <c r="J1245" s="25"/>
      <c r="L1245" s="15" t="s">
        <v>9</v>
      </c>
      <c r="M1245" s="5"/>
      <c r="O1245" s="156">
        <v>0</v>
      </c>
      <c r="P1245" s="377">
        <v>0</v>
      </c>
      <c r="Q1245" s="378">
        <f t="shared" si="40"/>
        <v>0</v>
      </c>
    </row>
    <row r="1246" spans="1:17" ht="16.5" hidden="1" x14ac:dyDescent="0.35">
      <c r="A1246" s="53">
        <v>1245</v>
      </c>
      <c r="B1246" s="351" t="s">
        <v>2900</v>
      </c>
      <c r="C1246" s="18" t="s">
        <v>661</v>
      </c>
      <c r="D1246" s="17" t="s">
        <v>2920</v>
      </c>
      <c r="E1246" s="17" t="s">
        <v>2708</v>
      </c>
      <c r="H1246" s="25"/>
      <c r="I1246" s="18"/>
      <c r="J1246" s="25"/>
      <c r="L1246" s="15" t="s">
        <v>9</v>
      </c>
      <c r="M1246" s="5"/>
      <c r="O1246" s="156">
        <v>0</v>
      </c>
      <c r="P1246" s="377">
        <v>0</v>
      </c>
      <c r="Q1246" s="378">
        <f t="shared" si="40"/>
        <v>0</v>
      </c>
    </row>
    <row r="1247" spans="1:17" ht="16.5" hidden="1" x14ac:dyDescent="0.35">
      <c r="A1247" s="53">
        <v>1246</v>
      </c>
      <c r="B1247" s="351" t="s">
        <v>2901</v>
      </c>
      <c r="C1247" s="18" t="s">
        <v>661</v>
      </c>
      <c r="D1247" s="17" t="s">
        <v>2920</v>
      </c>
      <c r="E1247" s="17" t="s">
        <v>2708</v>
      </c>
      <c r="H1247" s="25"/>
      <c r="I1247" s="18"/>
      <c r="J1247" s="25"/>
      <c r="L1247" s="15" t="s">
        <v>9</v>
      </c>
      <c r="M1247" s="5"/>
      <c r="O1247" s="156">
        <v>0</v>
      </c>
      <c r="P1247" s="377">
        <v>1</v>
      </c>
      <c r="Q1247" s="378">
        <f t="shared" si="40"/>
        <v>1</v>
      </c>
    </row>
    <row r="1248" spans="1:17" ht="16.5" hidden="1" x14ac:dyDescent="0.35">
      <c r="A1248" s="53">
        <v>1247</v>
      </c>
      <c r="B1248" s="351" t="s">
        <v>2902</v>
      </c>
      <c r="C1248" s="18" t="s">
        <v>661</v>
      </c>
      <c r="D1248" s="17" t="s">
        <v>2920</v>
      </c>
      <c r="E1248" s="17" t="s">
        <v>2708</v>
      </c>
      <c r="H1248" s="25"/>
      <c r="I1248" s="18"/>
      <c r="J1248" s="25"/>
      <c r="L1248" s="15" t="s">
        <v>2</v>
      </c>
      <c r="M1248" s="5"/>
      <c r="O1248" s="156">
        <v>0</v>
      </c>
      <c r="P1248" s="377">
        <v>0</v>
      </c>
      <c r="Q1248" s="378">
        <f t="shared" si="40"/>
        <v>0</v>
      </c>
    </row>
    <row r="1249" spans="1:17" ht="16.5" hidden="1" x14ac:dyDescent="0.35">
      <c r="A1249" s="53">
        <v>1248</v>
      </c>
      <c r="B1249" s="351" t="s">
        <v>2903</v>
      </c>
      <c r="C1249" s="18" t="s">
        <v>661</v>
      </c>
      <c r="D1249" s="17" t="s">
        <v>2920</v>
      </c>
      <c r="E1249" s="17" t="s">
        <v>2708</v>
      </c>
      <c r="H1249" s="25"/>
      <c r="I1249" s="18"/>
      <c r="J1249" s="25"/>
      <c r="L1249" s="15" t="s">
        <v>2</v>
      </c>
      <c r="M1249" s="5"/>
      <c r="O1249" s="156">
        <v>0</v>
      </c>
      <c r="P1249" s="377">
        <v>2</v>
      </c>
      <c r="Q1249" s="378">
        <f t="shared" si="40"/>
        <v>2</v>
      </c>
    </row>
    <row r="1250" spans="1:17" ht="16.5" hidden="1" x14ac:dyDescent="0.35">
      <c r="A1250" s="53">
        <v>1249</v>
      </c>
      <c r="B1250" s="351" t="s">
        <v>392</v>
      </c>
      <c r="C1250" s="18" t="s">
        <v>661</v>
      </c>
      <c r="D1250" s="17" t="s">
        <v>2920</v>
      </c>
      <c r="E1250" s="17" t="s">
        <v>2708</v>
      </c>
      <c r="H1250" s="25"/>
      <c r="I1250" s="18"/>
      <c r="J1250" s="25"/>
      <c r="L1250" s="15" t="s">
        <v>2</v>
      </c>
      <c r="M1250" s="5"/>
      <c r="O1250" s="156">
        <v>0</v>
      </c>
      <c r="P1250" s="377">
        <v>0</v>
      </c>
      <c r="Q1250" s="378">
        <f t="shared" si="40"/>
        <v>0</v>
      </c>
    </row>
    <row r="1251" spans="1:17" ht="16.5" hidden="1" x14ac:dyDescent="0.35">
      <c r="A1251" s="53">
        <v>1250</v>
      </c>
      <c r="B1251" s="351" t="s">
        <v>2904</v>
      </c>
      <c r="C1251" s="18" t="s">
        <v>661</v>
      </c>
      <c r="D1251" s="17" t="s">
        <v>2920</v>
      </c>
      <c r="E1251" s="17" t="s">
        <v>2708</v>
      </c>
      <c r="H1251" s="25"/>
      <c r="I1251" s="18"/>
      <c r="J1251" s="25"/>
      <c r="L1251" s="15" t="s">
        <v>2</v>
      </c>
      <c r="M1251" s="5"/>
      <c r="O1251" s="156">
        <v>0</v>
      </c>
      <c r="P1251" s="377">
        <v>0</v>
      </c>
      <c r="Q1251" s="378">
        <f t="shared" si="40"/>
        <v>0</v>
      </c>
    </row>
    <row r="1252" spans="1:17" ht="16.5" hidden="1" x14ac:dyDescent="0.35">
      <c r="A1252" s="53">
        <v>1251</v>
      </c>
      <c r="B1252" s="351" t="s">
        <v>2905</v>
      </c>
      <c r="C1252" s="18" t="s">
        <v>661</v>
      </c>
      <c r="D1252" s="17" t="s">
        <v>2920</v>
      </c>
      <c r="E1252" s="17" t="s">
        <v>2708</v>
      </c>
      <c r="H1252" s="25"/>
      <c r="I1252" s="18"/>
      <c r="J1252" s="25"/>
      <c r="L1252" s="15" t="s">
        <v>2</v>
      </c>
      <c r="M1252" s="5"/>
      <c r="O1252" s="156">
        <v>0</v>
      </c>
      <c r="P1252" s="377">
        <v>5</v>
      </c>
      <c r="Q1252" s="378">
        <f t="shared" si="40"/>
        <v>5</v>
      </c>
    </row>
    <row r="1253" spans="1:17" ht="16.5" hidden="1" x14ac:dyDescent="0.35">
      <c r="A1253" s="53">
        <v>1252</v>
      </c>
      <c r="B1253" s="351" t="s">
        <v>2906</v>
      </c>
      <c r="C1253" s="18" t="s">
        <v>661</v>
      </c>
      <c r="D1253" s="17" t="s">
        <v>2920</v>
      </c>
      <c r="E1253" s="17" t="s">
        <v>2708</v>
      </c>
      <c r="H1253" s="25"/>
      <c r="I1253" s="18"/>
      <c r="J1253" s="25"/>
      <c r="L1253" s="15" t="s">
        <v>9</v>
      </c>
      <c r="M1253" s="5"/>
      <c r="O1253" s="156">
        <v>2</v>
      </c>
      <c r="P1253" s="377">
        <v>0</v>
      </c>
      <c r="Q1253" s="378">
        <f t="shared" si="40"/>
        <v>2</v>
      </c>
    </row>
    <row r="1254" spans="1:17" ht="16.5" hidden="1" x14ac:dyDescent="0.35">
      <c r="A1254" s="53">
        <v>1253</v>
      </c>
      <c r="B1254" s="351" t="s">
        <v>2907</v>
      </c>
      <c r="C1254" s="18" t="s">
        <v>661</v>
      </c>
      <c r="D1254" s="17" t="s">
        <v>2920</v>
      </c>
      <c r="E1254" s="17" t="s">
        <v>2708</v>
      </c>
      <c r="H1254" s="25"/>
      <c r="I1254" s="18"/>
      <c r="J1254" s="25"/>
      <c r="L1254" s="15" t="s">
        <v>9</v>
      </c>
      <c r="M1254" s="5"/>
      <c r="O1254" s="156">
        <v>2</v>
      </c>
      <c r="P1254" s="377">
        <v>2</v>
      </c>
      <c r="Q1254" s="378">
        <f t="shared" si="40"/>
        <v>4</v>
      </c>
    </row>
    <row r="1255" spans="1:17" ht="16.5" hidden="1" x14ac:dyDescent="0.35">
      <c r="A1255" s="53">
        <v>1254</v>
      </c>
      <c r="B1255" s="351" t="s">
        <v>2908</v>
      </c>
      <c r="C1255" s="18" t="s">
        <v>661</v>
      </c>
      <c r="D1255" s="17" t="s">
        <v>2920</v>
      </c>
      <c r="E1255" s="17" t="s">
        <v>2708</v>
      </c>
      <c r="H1255" s="25"/>
      <c r="I1255" s="18"/>
      <c r="J1255" s="25"/>
      <c r="L1255" s="15" t="s">
        <v>9</v>
      </c>
      <c r="M1255" s="5"/>
      <c r="O1255" s="156">
        <v>0</v>
      </c>
      <c r="P1255" s="377">
        <v>0</v>
      </c>
      <c r="Q1255" s="378">
        <f t="shared" si="40"/>
        <v>0</v>
      </c>
    </row>
    <row r="1256" spans="1:17" ht="16.5" hidden="1" x14ac:dyDescent="0.35">
      <c r="A1256" s="53">
        <v>1255</v>
      </c>
      <c r="B1256" s="351" t="s">
        <v>2909</v>
      </c>
      <c r="C1256" s="18" t="s">
        <v>661</v>
      </c>
      <c r="D1256" s="17" t="s">
        <v>2920</v>
      </c>
      <c r="E1256" s="17" t="s">
        <v>2708</v>
      </c>
      <c r="H1256" s="25"/>
      <c r="I1256" s="18"/>
      <c r="J1256" s="25"/>
      <c r="L1256" s="15" t="s">
        <v>2</v>
      </c>
      <c r="M1256" s="5"/>
      <c r="O1256" s="156">
        <v>2</v>
      </c>
      <c r="P1256" s="377">
        <v>3</v>
      </c>
      <c r="Q1256" s="378">
        <f t="shared" si="40"/>
        <v>5</v>
      </c>
    </row>
    <row r="1257" spans="1:17" ht="16.5" hidden="1" x14ac:dyDescent="0.35">
      <c r="A1257" s="53">
        <v>1256</v>
      </c>
      <c r="B1257" s="351" t="s">
        <v>2910</v>
      </c>
      <c r="C1257" s="18" t="s">
        <v>661</v>
      </c>
      <c r="D1257" s="17" t="s">
        <v>2920</v>
      </c>
      <c r="E1257" s="17" t="s">
        <v>2708</v>
      </c>
      <c r="H1257" s="25"/>
      <c r="I1257" s="18"/>
      <c r="J1257" s="25"/>
      <c r="L1257" s="15" t="s">
        <v>9</v>
      </c>
      <c r="M1257" s="5"/>
      <c r="O1257" s="156">
        <v>0</v>
      </c>
      <c r="P1257" s="377">
        <v>0</v>
      </c>
      <c r="Q1257" s="378">
        <f t="shared" si="40"/>
        <v>0</v>
      </c>
    </row>
    <row r="1258" spans="1:17" ht="16.5" hidden="1" x14ac:dyDescent="0.35">
      <c r="A1258" s="53">
        <v>1257</v>
      </c>
      <c r="B1258" s="351" t="s">
        <v>2911</v>
      </c>
      <c r="C1258" s="18" t="s">
        <v>661</v>
      </c>
      <c r="D1258" s="17" t="s">
        <v>2920</v>
      </c>
      <c r="E1258" s="17" t="s">
        <v>2708</v>
      </c>
      <c r="H1258" s="25"/>
      <c r="I1258" s="18"/>
      <c r="J1258" s="25"/>
      <c r="L1258" s="15" t="s">
        <v>2</v>
      </c>
      <c r="M1258" s="5"/>
      <c r="O1258" s="156">
        <v>0</v>
      </c>
      <c r="P1258" s="377">
        <v>0</v>
      </c>
      <c r="Q1258" s="378">
        <f t="shared" si="40"/>
        <v>0</v>
      </c>
    </row>
    <row r="1259" spans="1:17" ht="16.5" hidden="1" x14ac:dyDescent="0.35">
      <c r="A1259" s="53">
        <v>1258</v>
      </c>
      <c r="B1259" s="351" t="s">
        <v>2912</v>
      </c>
      <c r="C1259" s="18" t="s">
        <v>661</v>
      </c>
      <c r="D1259" s="17" t="s">
        <v>2920</v>
      </c>
      <c r="E1259" s="17" t="s">
        <v>2708</v>
      </c>
      <c r="H1259" s="25"/>
      <c r="I1259" s="18"/>
      <c r="J1259" s="25"/>
      <c r="L1259" s="15" t="s">
        <v>2</v>
      </c>
      <c r="M1259" s="5"/>
      <c r="O1259" s="156">
        <v>0</v>
      </c>
      <c r="P1259" s="377">
        <v>1</v>
      </c>
      <c r="Q1259" s="378">
        <f t="shared" si="40"/>
        <v>1</v>
      </c>
    </row>
    <row r="1260" spans="1:17" ht="16.5" hidden="1" x14ac:dyDescent="0.35">
      <c r="A1260" s="53">
        <v>1259</v>
      </c>
      <c r="B1260" s="351" t="s">
        <v>2913</v>
      </c>
      <c r="C1260" s="18" t="s">
        <v>661</v>
      </c>
      <c r="D1260" s="17" t="s">
        <v>2920</v>
      </c>
      <c r="E1260" s="17" t="s">
        <v>2708</v>
      </c>
      <c r="H1260" s="25"/>
      <c r="I1260" s="18"/>
      <c r="J1260" s="25"/>
      <c r="L1260" s="15" t="s">
        <v>2</v>
      </c>
      <c r="M1260" s="5"/>
      <c r="O1260" s="156">
        <v>1</v>
      </c>
      <c r="P1260" s="377">
        <v>0</v>
      </c>
      <c r="Q1260" s="378">
        <f t="shared" si="40"/>
        <v>1</v>
      </c>
    </row>
    <row r="1261" spans="1:17" ht="16.5" hidden="1" x14ac:dyDescent="0.35">
      <c r="A1261" s="53">
        <v>1260</v>
      </c>
      <c r="B1261" s="351" t="s">
        <v>2914</v>
      </c>
      <c r="C1261" s="18" t="s">
        <v>661</v>
      </c>
      <c r="D1261" s="17" t="s">
        <v>2920</v>
      </c>
      <c r="E1261" s="17" t="s">
        <v>2708</v>
      </c>
      <c r="H1261" s="25"/>
      <c r="I1261" s="18"/>
      <c r="J1261" s="25"/>
      <c r="L1261" s="15" t="s">
        <v>2</v>
      </c>
      <c r="M1261" s="5"/>
      <c r="O1261" s="156">
        <v>1</v>
      </c>
      <c r="P1261" s="377">
        <v>2</v>
      </c>
      <c r="Q1261" s="378">
        <f t="shared" si="40"/>
        <v>3</v>
      </c>
    </row>
    <row r="1262" spans="1:17" ht="16.5" hidden="1" x14ac:dyDescent="0.35">
      <c r="A1262" s="53">
        <v>1261</v>
      </c>
      <c r="B1262" s="351" t="s">
        <v>2915</v>
      </c>
      <c r="C1262" s="18" t="s">
        <v>661</v>
      </c>
      <c r="D1262" s="17" t="s">
        <v>2920</v>
      </c>
      <c r="E1262" s="17" t="s">
        <v>2708</v>
      </c>
      <c r="H1262" s="25"/>
      <c r="I1262" s="18"/>
      <c r="J1262" s="25"/>
      <c r="L1262" s="15" t="s">
        <v>2</v>
      </c>
      <c r="M1262" s="5"/>
      <c r="O1262" s="156">
        <v>0</v>
      </c>
      <c r="P1262" s="377">
        <v>2</v>
      </c>
      <c r="Q1262" s="378">
        <f t="shared" si="40"/>
        <v>2</v>
      </c>
    </row>
    <row r="1263" spans="1:17" ht="16.5" hidden="1" x14ac:dyDescent="0.5">
      <c r="A1263" s="53">
        <v>1262</v>
      </c>
      <c r="B1263" s="351" t="s">
        <v>2916</v>
      </c>
      <c r="C1263" s="18" t="s">
        <v>661</v>
      </c>
      <c r="D1263" s="17" t="s">
        <v>2920</v>
      </c>
      <c r="E1263" s="17" t="s">
        <v>2708</v>
      </c>
      <c r="H1263" s="25"/>
      <c r="I1263" s="18"/>
      <c r="J1263" s="25"/>
      <c r="L1263" s="15" t="s">
        <v>2</v>
      </c>
      <c r="M1263" s="5"/>
      <c r="O1263" s="379">
        <v>0</v>
      </c>
      <c r="P1263" s="379">
        <v>0</v>
      </c>
      <c r="Q1263" s="380">
        <f t="shared" si="40"/>
        <v>0</v>
      </c>
    </row>
    <row r="1264" spans="1:17" ht="16.5" hidden="1" x14ac:dyDescent="0.35">
      <c r="A1264" s="53">
        <v>1263</v>
      </c>
      <c r="B1264" s="351" t="s">
        <v>2917</v>
      </c>
      <c r="C1264" s="18" t="s">
        <v>661</v>
      </c>
      <c r="D1264" s="17" t="s">
        <v>2920</v>
      </c>
      <c r="E1264" s="17" t="s">
        <v>2708</v>
      </c>
      <c r="H1264" s="25"/>
      <c r="I1264" s="18"/>
      <c r="J1264" s="25"/>
      <c r="L1264" s="15" t="s">
        <v>9</v>
      </c>
      <c r="M1264" s="5"/>
      <c r="O1264" s="381">
        <v>2</v>
      </c>
      <c r="P1264" s="381">
        <v>3</v>
      </c>
      <c r="Q1264" s="382">
        <f t="shared" si="40"/>
        <v>5</v>
      </c>
    </row>
    <row r="1265" spans="1:17" ht="16.5" hidden="1" x14ac:dyDescent="0.35">
      <c r="A1265" s="53">
        <v>1264</v>
      </c>
      <c r="B1265" s="351" t="s">
        <v>2918</v>
      </c>
      <c r="C1265" s="18" t="s">
        <v>661</v>
      </c>
      <c r="D1265" s="17" t="s">
        <v>2920</v>
      </c>
      <c r="E1265" s="17" t="s">
        <v>2708</v>
      </c>
      <c r="H1265" s="25"/>
      <c r="I1265" s="18"/>
      <c r="J1265" s="25"/>
      <c r="L1265" s="16" t="s">
        <v>2</v>
      </c>
      <c r="M1265" s="5"/>
      <c r="O1265" s="383">
        <v>2</v>
      </c>
      <c r="P1265" s="383">
        <v>0</v>
      </c>
      <c r="Q1265" s="384">
        <f t="shared" si="40"/>
        <v>2</v>
      </c>
    </row>
    <row r="1266" spans="1:17" ht="17" hidden="1" thickBot="1" x14ac:dyDescent="0.4">
      <c r="A1266" s="53">
        <v>1265</v>
      </c>
      <c r="B1266" s="351" t="s">
        <v>2919</v>
      </c>
      <c r="C1266" s="18" t="s">
        <v>661</v>
      </c>
      <c r="D1266" s="17" t="s">
        <v>2920</v>
      </c>
      <c r="E1266" s="17" t="s">
        <v>2708</v>
      </c>
      <c r="H1266" s="25"/>
      <c r="I1266" s="351"/>
      <c r="J1266" s="25"/>
      <c r="L1266" s="141" t="s">
        <v>9</v>
      </c>
      <c r="M1266" s="27"/>
      <c r="O1266" s="385">
        <v>0</v>
      </c>
      <c r="P1266" s="385">
        <v>0</v>
      </c>
      <c r="Q1266" s="386">
        <f t="shared" si="40"/>
        <v>0</v>
      </c>
    </row>
    <row r="1267" spans="1:17" ht="16.5" x14ac:dyDescent="0.35">
      <c r="A1267" s="53">
        <v>1266</v>
      </c>
      <c r="B1267" s="351" t="s">
        <v>2921</v>
      </c>
      <c r="C1267" s="18" t="s">
        <v>662</v>
      </c>
      <c r="D1267" s="17" t="s">
        <v>2950</v>
      </c>
      <c r="E1267" s="17" t="s">
        <v>2951</v>
      </c>
      <c r="H1267" s="25"/>
      <c r="I1267" s="18"/>
      <c r="J1267" s="25"/>
      <c r="L1267" s="4" t="s">
        <v>2</v>
      </c>
      <c r="M1267" s="5"/>
      <c r="O1267" s="143"/>
      <c r="P1267" s="143"/>
      <c r="Q1267" s="153">
        <f t="shared" ref="Q1267:Q1296" si="41">SUM(M1267:P1267)</f>
        <v>0</v>
      </c>
    </row>
    <row r="1268" spans="1:17" ht="16.5" x14ac:dyDescent="0.35">
      <c r="A1268" s="53">
        <v>1267</v>
      </c>
      <c r="B1268" s="351" t="s">
        <v>2922</v>
      </c>
      <c r="C1268" s="18" t="s">
        <v>662</v>
      </c>
      <c r="D1268" s="17" t="s">
        <v>2950</v>
      </c>
      <c r="E1268" s="17" t="s">
        <v>2951</v>
      </c>
      <c r="H1268" s="25"/>
      <c r="I1268" s="18"/>
      <c r="J1268" s="25"/>
      <c r="L1268" s="4" t="s">
        <v>9</v>
      </c>
      <c r="M1268" s="5"/>
      <c r="O1268" s="143"/>
      <c r="P1268" s="143"/>
      <c r="Q1268" s="153">
        <f t="shared" si="41"/>
        <v>0</v>
      </c>
    </row>
    <row r="1269" spans="1:17" ht="16.5" x14ac:dyDescent="0.35">
      <c r="A1269" s="53">
        <v>1268</v>
      </c>
      <c r="B1269" s="351" t="s">
        <v>2923</v>
      </c>
      <c r="C1269" s="18" t="s">
        <v>662</v>
      </c>
      <c r="D1269" s="17" t="s">
        <v>2950</v>
      </c>
      <c r="E1269" s="17" t="s">
        <v>2951</v>
      </c>
      <c r="H1269" s="25"/>
      <c r="I1269" s="18"/>
      <c r="J1269" s="25"/>
      <c r="L1269" s="4" t="s">
        <v>2</v>
      </c>
      <c r="M1269" s="5"/>
      <c r="O1269" s="143"/>
      <c r="P1269" s="143"/>
      <c r="Q1269" s="153">
        <f t="shared" si="41"/>
        <v>0</v>
      </c>
    </row>
    <row r="1270" spans="1:17" ht="16.5" x14ac:dyDescent="0.35">
      <c r="A1270" s="53">
        <v>1269</v>
      </c>
      <c r="B1270" s="351" t="s">
        <v>2924</v>
      </c>
      <c r="C1270" s="18" t="s">
        <v>662</v>
      </c>
      <c r="D1270" s="17" t="s">
        <v>2950</v>
      </c>
      <c r="E1270" s="17" t="s">
        <v>2951</v>
      </c>
      <c r="H1270" s="25"/>
      <c r="I1270" s="18"/>
      <c r="J1270" s="25"/>
      <c r="L1270" s="4" t="s">
        <v>2</v>
      </c>
      <c r="M1270" s="5"/>
      <c r="O1270" s="143"/>
      <c r="P1270" s="143"/>
      <c r="Q1270" s="153">
        <f t="shared" si="41"/>
        <v>0</v>
      </c>
    </row>
    <row r="1271" spans="1:17" ht="16.5" x14ac:dyDescent="0.35">
      <c r="A1271" s="53">
        <v>1270</v>
      </c>
      <c r="B1271" s="351" t="s">
        <v>2925</v>
      </c>
      <c r="C1271" s="18" t="s">
        <v>662</v>
      </c>
      <c r="D1271" s="17" t="s">
        <v>2950</v>
      </c>
      <c r="E1271" s="17" t="s">
        <v>2951</v>
      </c>
      <c r="H1271" s="25"/>
      <c r="I1271" s="18"/>
      <c r="J1271" s="25"/>
      <c r="L1271" s="4" t="s">
        <v>9</v>
      </c>
      <c r="M1271" s="5"/>
      <c r="O1271" s="143"/>
      <c r="P1271" s="143"/>
      <c r="Q1271" s="153">
        <f t="shared" si="41"/>
        <v>0</v>
      </c>
    </row>
    <row r="1272" spans="1:17" ht="16.5" x14ac:dyDescent="0.35">
      <c r="A1272" s="53">
        <v>1271</v>
      </c>
      <c r="B1272" s="351" t="s">
        <v>2926</v>
      </c>
      <c r="C1272" s="18" t="s">
        <v>662</v>
      </c>
      <c r="D1272" s="17" t="s">
        <v>2950</v>
      </c>
      <c r="E1272" s="17" t="s">
        <v>2951</v>
      </c>
      <c r="H1272" s="25"/>
      <c r="I1272" s="18"/>
      <c r="J1272" s="25"/>
      <c r="L1272" s="4" t="s">
        <v>2</v>
      </c>
      <c r="M1272" s="5"/>
      <c r="O1272" s="143"/>
      <c r="P1272" s="143"/>
      <c r="Q1272" s="153">
        <f t="shared" si="41"/>
        <v>0</v>
      </c>
    </row>
    <row r="1273" spans="1:17" ht="16.5" x14ac:dyDescent="0.35">
      <c r="A1273" s="53">
        <v>1272</v>
      </c>
      <c r="B1273" s="351" t="s">
        <v>2108</v>
      </c>
      <c r="C1273" s="18" t="s">
        <v>662</v>
      </c>
      <c r="D1273" s="17" t="s">
        <v>2950</v>
      </c>
      <c r="E1273" s="17" t="s">
        <v>2951</v>
      </c>
      <c r="H1273" s="25"/>
      <c r="I1273" s="18"/>
      <c r="J1273" s="25"/>
      <c r="L1273" s="4" t="s">
        <v>2</v>
      </c>
      <c r="M1273" s="5"/>
      <c r="O1273" s="143"/>
      <c r="P1273" s="143"/>
      <c r="Q1273" s="153">
        <f t="shared" si="41"/>
        <v>0</v>
      </c>
    </row>
    <row r="1274" spans="1:17" ht="16.5" x14ac:dyDescent="0.35">
      <c r="A1274" s="53">
        <v>1273</v>
      </c>
      <c r="B1274" s="351" t="s">
        <v>2927</v>
      </c>
      <c r="C1274" s="18" t="s">
        <v>662</v>
      </c>
      <c r="D1274" s="17" t="s">
        <v>2950</v>
      </c>
      <c r="E1274" s="17" t="s">
        <v>2951</v>
      </c>
      <c r="H1274" s="25"/>
      <c r="I1274" s="18"/>
      <c r="J1274" s="25"/>
      <c r="L1274" s="4" t="s">
        <v>9</v>
      </c>
      <c r="M1274" s="5"/>
      <c r="O1274" s="143"/>
      <c r="P1274" s="143"/>
      <c r="Q1274" s="153">
        <f t="shared" si="41"/>
        <v>0</v>
      </c>
    </row>
    <row r="1275" spans="1:17" ht="16.5" x14ac:dyDescent="0.35">
      <c r="A1275" s="53">
        <v>1274</v>
      </c>
      <c r="B1275" s="351" t="s">
        <v>2928</v>
      </c>
      <c r="C1275" s="18" t="s">
        <v>662</v>
      </c>
      <c r="D1275" s="17" t="s">
        <v>2950</v>
      </c>
      <c r="E1275" s="17" t="s">
        <v>2951</v>
      </c>
      <c r="H1275" s="25"/>
      <c r="I1275" s="18"/>
      <c r="J1275" s="25"/>
      <c r="L1275" s="4" t="s">
        <v>2</v>
      </c>
      <c r="M1275" s="5"/>
      <c r="O1275" s="143"/>
      <c r="P1275" s="143"/>
      <c r="Q1275" s="153">
        <f t="shared" si="41"/>
        <v>0</v>
      </c>
    </row>
    <row r="1276" spans="1:17" ht="16.5" x14ac:dyDescent="0.35">
      <c r="A1276" s="53">
        <v>1275</v>
      </c>
      <c r="B1276" s="351" t="s">
        <v>2929</v>
      </c>
      <c r="C1276" s="18" t="s">
        <v>662</v>
      </c>
      <c r="D1276" s="17" t="s">
        <v>2950</v>
      </c>
      <c r="E1276" s="17" t="s">
        <v>2951</v>
      </c>
      <c r="H1276" s="25"/>
      <c r="I1276" s="18"/>
      <c r="J1276" s="25"/>
      <c r="L1276" s="4" t="s">
        <v>9</v>
      </c>
      <c r="M1276" s="5"/>
      <c r="O1276" s="143"/>
      <c r="P1276" s="143"/>
      <c r="Q1276" s="153">
        <f t="shared" si="41"/>
        <v>0</v>
      </c>
    </row>
    <row r="1277" spans="1:17" ht="16.5" x14ac:dyDescent="0.35">
      <c r="A1277" s="53">
        <v>1276</v>
      </c>
      <c r="B1277" s="351" t="s">
        <v>2930</v>
      </c>
      <c r="C1277" s="18" t="s">
        <v>662</v>
      </c>
      <c r="D1277" s="17" t="s">
        <v>2950</v>
      </c>
      <c r="E1277" s="17" t="s">
        <v>2951</v>
      </c>
      <c r="H1277" s="25"/>
      <c r="I1277" s="18"/>
      <c r="J1277" s="25"/>
      <c r="L1277" s="4" t="s">
        <v>2</v>
      </c>
      <c r="M1277" s="5"/>
      <c r="O1277" s="143"/>
      <c r="P1277" s="143"/>
      <c r="Q1277" s="153">
        <f t="shared" si="41"/>
        <v>0</v>
      </c>
    </row>
    <row r="1278" spans="1:17" ht="16.5" x14ac:dyDescent="0.35">
      <c r="A1278" s="53">
        <v>1277</v>
      </c>
      <c r="B1278" s="351" t="s">
        <v>2931</v>
      </c>
      <c r="C1278" s="18" t="s">
        <v>662</v>
      </c>
      <c r="D1278" s="17" t="s">
        <v>2950</v>
      </c>
      <c r="E1278" s="17" t="s">
        <v>2951</v>
      </c>
      <c r="H1278" s="25"/>
      <c r="I1278" s="18"/>
      <c r="J1278" s="25"/>
      <c r="L1278" s="4" t="s">
        <v>2</v>
      </c>
      <c r="M1278" s="5"/>
      <c r="O1278" s="143"/>
      <c r="P1278" s="143"/>
      <c r="Q1278" s="153">
        <f t="shared" si="41"/>
        <v>0</v>
      </c>
    </row>
    <row r="1279" spans="1:17" ht="16.5" x14ac:dyDescent="0.35">
      <c r="A1279" s="53">
        <v>1278</v>
      </c>
      <c r="B1279" s="351" t="s">
        <v>2932</v>
      </c>
      <c r="C1279" s="18" t="s">
        <v>662</v>
      </c>
      <c r="D1279" s="17" t="s">
        <v>2950</v>
      </c>
      <c r="E1279" s="17" t="s">
        <v>2951</v>
      </c>
      <c r="H1279" s="25"/>
      <c r="I1279" s="18"/>
      <c r="J1279" s="25"/>
      <c r="L1279" s="4" t="s">
        <v>9</v>
      </c>
      <c r="M1279" s="5"/>
      <c r="O1279" s="143"/>
      <c r="P1279" s="143"/>
      <c r="Q1279" s="153">
        <f t="shared" si="41"/>
        <v>0</v>
      </c>
    </row>
    <row r="1280" spans="1:17" ht="16.5" x14ac:dyDescent="0.35">
      <c r="A1280" s="53">
        <v>1279</v>
      </c>
      <c r="B1280" s="351" t="s">
        <v>2933</v>
      </c>
      <c r="C1280" s="18" t="s">
        <v>662</v>
      </c>
      <c r="D1280" s="17" t="s">
        <v>2950</v>
      </c>
      <c r="E1280" s="17" t="s">
        <v>2951</v>
      </c>
      <c r="H1280" s="25"/>
      <c r="I1280" s="18"/>
      <c r="J1280" s="25"/>
      <c r="L1280" s="4" t="s">
        <v>9</v>
      </c>
      <c r="M1280" s="5"/>
      <c r="O1280" s="143"/>
      <c r="P1280" s="143"/>
      <c r="Q1280" s="153">
        <f t="shared" si="41"/>
        <v>0</v>
      </c>
    </row>
    <row r="1281" spans="1:17" ht="16.5" x14ac:dyDescent="0.35">
      <c r="A1281" s="53">
        <v>1280</v>
      </c>
      <c r="B1281" s="351" t="s">
        <v>2934</v>
      </c>
      <c r="C1281" s="18" t="s">
        <v>662</v>
      </c>
      <c r="D1281" s="17" t="s">
        <v>2950</v>
      </c>
      <c r="E1281" s="17" t="s">
        <v>2951</v>
      </c>
      <c r="H1281" s="25"/>
      <c r="I1281" s="18"/>
      <c r="J1281" s="25"/>
      <c r="L1281" s="4" t="s">
        <v>2</v>
      </c>
      <c r="M1281" s="5"/>
      <c r="O1281" s="143"/>
      <c r="P1281" s="143"/>
      <c r="Q1281" s="153">
        <f t="shared" si="41"/>
        <v>0</v>
      </c>
    </row>
    <row r="1282" spans="1:17" ht="16.5" x14ac:dyDescent="0.35">
      <c r="A1282" s="53">
        <v>1281</v>
      </c>
      <c r="B1282" s="351" t="s">
        <v>2935</v>
      </c>
      <c r="C1282" s="18" t="s">
        <v>662</v>
      </c>
      <c r="D1282" s="17" t="s">
        <v>2950</v>
      </c>
      <c r="E1282" s="17" t="s">
        <v>2951</v>
      </c>
      <c r="H1282" s="25"/>
      <c r="I1282" s="18"/>
      <c r="J1282" s="25"/>
      <c r="L1282" s="4" t="s">
        <v>2</v>
      </c>
      <c r="M1282" s="5"/>
      <c r="O1282" s="143"/>
      <c r="P1282" s="143"/>
      <c r="Q1282" s="153">
        <f t="shared" si="41"/>
        <v>0</v>
      </c>
    </row>
    <row r="1283" spans="1:17" ht="16.5" x14ac:dyDescent="0.35">
      <c r="A1283" s="53">
        <v>1282</v>
      </c>
      <c r="B1283" s="351" t="s">
        <v>2936</v>
      </c>
      <c r="C1283" s="18" t="s">
        <v>662</v>
      </c>
      <c r="D1283" s="17" t="s">
        <v>2950</v>
      </c>
      <c r="E1283" s="17" t="s">
        <v>2951</v>
      </c>
      <c r="H1283" s="25"/>
      <c r="I1283" s="18"/>
      <c r="J1283" s="25"/>
      <c r="L1283" s="4" t="s">
        <v>2</v>
      </c>
      <c r="M1283" s="5"/>
      <c r="O1283" s="143"/>
      <c r="P1283" s="143"/>
      <c r="Q1283" s="153">
        <f t="shared" si="41"/>
        <v>0</v>
      </c>
    </row>
    <row r="1284" spans="1:17" ht="16.5" x14ac:dyDescent="0.35">
      <c r="A1284" s="53">
        <v>1283</v>
      </c>
      <c r="B1284" s="351" t="s">
        <v>2937</v>
      </c>
      <c r="C1284" s="18" t="s">
        <v>662</v>
      </c>
      <c r="D1284" s="17" t="s">
        <v>2950</v>
      </c>
      <c r="E1284" s="17" t="s">
        <v>2951</v>
      </c>
      <c r="H1284" s="25"/>
      <c r="I1284" s="18"/>
      <c r="J1284" s="25"/>
      <c r="L1284" s="4" t="s">
        <v>2</v>
      </c>
      <c r="M1284" s="5"/>
      <c r="O1284" s="143"/>
      <c r="P1284" s="143"/>
      <c r="Q1284" s="153">
        <f t="shared" si="41"/>
        <v>0</v>
      </c>
    </row>
    <row r="1285" spans="1:17" ht="16.5" x14ac:dyDescent="0.35">
      <c r="A1285" s="53">
        <v>1284</v>
      </c>
      <c r="B1285" s="351" t="s">
        <v>2938</v>
      </c>
      <c r="C1285" s="18" t="s">
        <v>662</v>
      </c>
      <c r="D1285" s="17" t="s">
        <v>2950</v>
      </c>
      <c r="E1285" s="17" t="s">
        <v>2951</v>
      </c>
      <c r="H1285" s="25"/>
      <c r="I1285" s="18"/>
      <c r="J1285" s="25"/>
      <c r="L1285" s="4" t="s">
        <v>9</v>
      </c>
      <c r="M1285" s="5"/>
      <c r="O1285" s="143"/>
      <c r="P1285" s="143"/>
      <c r="Q1285" s="153">
        <f t="shared" si="41"/>
        <v>0</v>
      </c>
    </row>
    <row r="1286" spans="1:17" ht="16.5" x14ac:dyDescent="0.35">
      <c r="A1286" s="53">
        <v>1285</v>
      </c>
      <c r="B1286" s="351" t="s">
        <v>2939</v>
      </c>
      <c r="C1286" s="18" t="s">
        <v>662</v>
      </c>
      <c r="D1286" s="17" t="s">
        <v>2950</v>
      </c>
      <c r="E1286" s="17" t="s">
        <v>2951</v>
      </c>
      <c r="H1286" s="25"/>
      <c r="I1286" s="18"/>
      <c r="J1286" s="25"/>
      <c r="L1286" s="4" t="s">
        <v>2</v>
      </c>
      <c r="M1286" s="5"/>
      <c r="O1286" s="143"/>
      <c r="P1286" s="143"/>
      <c r="Q1286" s="153">
        <f t="shared" si="41"/>
        <v>0</v>
      </c>
    </row>
    <row r="1287" spans="1:17" ht="16.5" x14ac:dyDescent="0.35">
      <c r="A1287" s="53">
        <v>1286</v>
      </c>
      <c r="B1287" s="351" t="s">
        <v>2940</v>
      </c>
      <c r="C1287" s="18" t="s">
        <v>662</v>
      </c>
      <c r="D1287" s="17" t="s">
        <v>2950</v>
      </c>
      <c r="E1287" s="17" t="s">
        <v>2951</v>
      </c>
      <c r="H1287" s="25"/>
      <c r="I1287" s="18"/>
      <c r="J1287" s="25"/>
      <c r="L1287" s="4" t="s">
        <v>9</v>
      </c>
      <c r="M1287" s="5"/>
      <c r="O1287" s="143"/>
      <c r="P1287" s="143"/>
      <c r="Q1287" s="153">
        <f t="shared" si="41"/>
        <v>0</v>
      </c>
    </row>
    <row r="1288" spans="1:17" ht="16.5" x14ac:dyDescent="0.35">
      <c r="A1288" s="53">
        <v>1287</v>
      </c>
      <c r="B1288" s="351" t="s">
        <v>2941</v>
      </c>
      <c r="C1288" s="18" t="s">
        <v>662</v>
      </c>
      <c r="D1288" s="17" t="s">
        <v>2950</v>
      </c>
      <c r="E1288" s="17" t="s">
        <v>2951</v>
      </c>
      <c r="H1288" s="25"/>
      <c r="I1288" s="18"/>
      <c r="J1288" s="25"/>
      <c r="L1288" s="4" t="s">
        <v>2</v>
      </c>
      <c r="M1288" s="5"/>
      <c r="O1288" s="143"/>
      <c r="P1288" s="143"/>
      <c r="Q1288" s="153">
        <f t="shared" si="41"/>
        <v>0</v>
      </c>
    </row>
    <row r="1289" spans="1:17" ht="16.5" x14ac:dyDescent="0.35">
      <c r="A1289" s="53">
        <v>1288</v>
      </c>
      <c r="B1289" s="351" t="s">
        <v>2942</v>
      </c>
      <c r="C1289" s="18" t="s">
        <v>662</v>
      </c>
      <c r="D1289" s="17" t="s">
        <v>2950</v>
      </c>
      <c r="E1289" s="17" t="s">
        <v>2951</v>
      </c>
      <c r="H1289" s="25"/>
      <c r="I1289" s="18"/>
      <c r="J1289" s="25"/>
      <c r="L1289" s="4" t="s">
        <v>2</v>
      </c>
      <c r="M1289" s="5"/>
      <c r="O1289" s="143"/>
      <c r="P1289" s="143"/>
      <c r="Q1289" s="153">
        <f t="shared" si="41"/>
        <v>0</v>
      </c>
    </row>
    <row r="1290" spans="1:17" ht="16.5" x14ac:dyDescent="0.35">
      <c r="A1290" s="53">
        <v>1289</v>
      </c>
      <c r="B1290" s="351" t="s">
        <v>2943</v>
      </c>
      <c r="C1290" s="18" t="s">
        <v>662</v>
      </c>
      <c r="D1290" s="17" t="s">
        <v>2950</v>
      </c>
      <c r="E1290" s="17" t="s">
        <v>2951</v>
      </c>
      <c r="H1290" s="25"/>
      <c r="I1290" s="18"/>
      <c r="J1290" s="25"/>
      <c r="L1290" s="4" t="s">
        <v>2</v>
      </c>
      <c r="M1290" s="5"/>
      <c r="O1290" s="143"/>
      <c r="P1290" s="143"/>
      <c r="Q1290" s="153">
        <f t="shared" si="41"/>
        <v>0</v>
      </c>
    </row>
    <row r="1291" spans="1:17" ht="16.5" x14ac:dyDescent="0.35">
      <c r="A1291" s="53">
        <v>1290</v>
      </c>
      <c r="B1291" s="351" t="s">
        <v>2944</v>
      </c>
      <c r="C1291" s="18" t="s">
        <v>662</v>
      </c>
      <c r="D1291" s="17" t="s">
        <v>2950</v>
      </c>
      <c r="E1291" s="17" t="s">
        <v>2951</v>
      </c>
      <c r="H1291" s="25"/>
      <c r="I1291" s="18"/>
      <c r="J1291" s="25"/>
      <c r="L1291" s="4" t="s">
        <v>9</v>
      </c>
      <c r="M1291" s="5"/>
      <c r="O1291" s="143"/>
      <c r="P1291" s="143"/>
      <c r="Q1291" s="153">
        <f t="shared" si="41"/>
        <v>0</v>
      </c>
    </row>
    <row r="1292" spans="1:17" ht="16.5" x14ac:dyDescent="0.35">
      <c r="A1292" s="53">
        <v>1291</v>
      </c>
      <c r="B1292" s="351" t="s">
        <v>2945</v>
      </c>
      <c r="C1292" s="18" t="s">
        <v>662</v>
      </c>
      <c r="D1292" s="17" t="s">
        <v>2950</v>
      </c>
      <c r="E1292" s="17" t="s">
        <v>2951</v>
      </c>
      <c r="H1292" s="25"/>
      <c r="I1292" s="18"/>
      <c r="J1292" s="25"/>
      <c r="L1292" s="4" t="s">
        <v>9</v>
      </c>
      <c r="M1292" s="5"/>
      <c r="O1292" s="143"/>
      <c r="P1292" s="143"/>
      <c r="Q1292" s="153">
        <f t="shared" si="41"/>
        <v>0</v>
      </c>
    </row>
    <row r="1293" spans="1:17" ht="16.5" x14ac:dyDescent="0.35">
      <c r="A1293" s="53">
        <v>1292</v>
      </c>
      <c r="B1293" s="351" t="s">
        <v>2946</v>
      </c>
      <c r="C1293" s="18" t="s">
        <v>662</v>
      </c>
      <c r="D1293" s="17" t="s">
        <v>2950</v>
      </c>
      <c r="E1293" s="17" t="s">
        <v>2951</v>
      </c>
      <c r="H1293" s="25"/>
      <c r="I1293" s="18"/>
      <c r="J1293" s="25"/>
      <c r="L1293" s="4" t="s">
        <v>2</v>
      </c>
      <c r="M1293" s="5"/>
      <c r="O1293" s="143"/>
      <c r="P1293" s="143"/>
      <c r="Q1293" s="153">
        <f t="shared" si="41"/>
        <v>0</v>
      </c>
    </row>
    <row r="1294" spans="1:17" ht="16.5" x14ac:dyDescent="0.35">
      <c r="A1294" s="53">
        <v>1293</v>
      </c>
      <c r="B1294" s="351" t="s">
        <v>2947</v>
      </c>
      <c r="C1294" s="18" t="s">
        <v>662</v>
      </c>
      <c r="D1294" s="17" t="s">
        <v>2950</v>
      </c>
      <c r="E1294" s="17" t="s">
        <v>2951</v>
      </c>
      <c r="H1294" s="25"/>
      <c r="I1294" s="18"/>
      <c r="J1294" s="25"/>
      <c r="L1294" s="4" t="s">
        <v>2</v>
      </c>
      <c r="M1294" s="5"/>
      <c r="O1294" s="143"/>
      <c r="P1294" s="143"/>
      <c r="Q1294" s="153">
        <f t="shared" si="41"/>
        <v>0</v>
      </c>
    </row>
    <row r="1295" spans="1:17" ht="16.5" x14ac:dyDescent="0.35">
      <c r="A1295" s="53">
        <v>1294</v>
      </c>
      <c r="B1295" s="351" t="s">
        <v>2948</v>
      </c>
      <c r="C1295" s="18" t="s">
        <v>662</v>
      </c>
      <c r="D1295" s="17" t="s">
        <v>2950</v>
      </c>
      <c r="E1295" s="17" t="s">
        <v>2951</v>
      </c>
      <c r="H1295" s="25"/>
      <c r="I1295" s="18"/>
      <c r="J1295" s="25"/>
      <c r="L1295" s="178" t="s">
        <v>2</v>
      </c>
      <c r="M1295" s="5"/>
      <c r="O1295" s="143"/>
      <c r="P1295" s="143"/>
      <c r="Q1295" s="153">
        <f t="shared" si="41"/>
        <v>0</v>
      </c>
    </row>
    <row r="1296" spans="1:17" ht="17" thickBot="1" x14ac:dyDescent="0.4">
      <c r="A1296" s="53">
        <v>1295</v>
      </c>
      <c r="B1296" s="351" t="s">
        <v>2949</v>
      </c>
      <c r="C1296" s="18" t="s">
        <v>662</v>
      </c>
      <c r="D1296" s="17" t="s">
        <v>2950</v>
      </c>
      <c r="E1296" s="17" t="s">
        <v>2951</v>
      </c>
      <c r="H1296" s="25"/>
      <c r="I1296" s="351"/>
      <c r="J1296" s="25"/>
      <c r="L1296" s="14" t="s">
        <v>2</v>
      </c>
      <c r="M1296" s="27"/>
      <c r="O1296" s="143"/>
      <c r="P1296" s="143"/>
      <c r="Q1296" s="153">
        <f t="shared" si="41"/>
        <v>0</v>
      </c>
    </row>
    <row r="1297" spans="1:17" ht="16.5" x14ac:dyDescent="0.35">
      <c r="A1297" s="53">
        <v>1296</v>
      </c>
      <c r="B1297" s="351" t="s">
        <v>2952</v>
      </c>
      <c r="C1297" s="18" t="s">
        <v>662</v>
      </c>
      <c r="D1297" s="17" t="s">
        <v>2980</v>
      </c>
      <c r="E1297" s="17" t="s">
        <v>2951</v>
      </c>
      <c r="H1297" s="25"/>
      <c r="I1297" s="18"/>
      <c r="J1297" s="25"/>
      <c r="L1297" s="4" t="s">
        <v>2</v>
      </c>
      <c r="M1297" s="5"/>
      <c r="O1297" s="143"/>
      <c r="P1297" s="143"/>
      <c r="Q1297" s="153">
        <f t="shared" ref="Q1297:Q1326" si="42">SUM(M1297:P1297)</f>
        <v>0</v>
      </c>
    </row>
    <row r="1298" spans="1:17" ht="16.5" x14ac:dyDescent="0.35">
      <c r="A1298" s="53">
        <v>1297</v>
      </c>
      <c r="B1298" s="351" t="s">
        <v>2953</v>
      </c>
      <c r="C1298" s="18" t="s">
        <v>662</v>
      </c>
      <c r="D1298" s="17" t="s">
        <v>2980</v>
      </c>
      <c r="E1298" s="17" t="s">
        <v>2951</v>
      </c>
      <c r="H1298" s="25"/>
      <c r="I1298" s="18"/>
      <c r="J1298" s="25"/>
      <c r="L1298" s="4" t="s">
        <v>2</v>
      </c>
      <c r="M1298" s="5"/>
      <c r="O1298" s="143"/>
      <c r="P1298" s="143"/>
      <c r="Q1298" s="153">
        <f t="shared" si="42"/>
        <v>0</v>
      </c>
    </row>
    <row r="1299" spans="1:17" ht="16.5" x14ac:dyDescent="0.35">
      <c r="A1299" s="53">
        <v>1298</v>
      </c>
      <c r="B1299" s="351" t="s">
        <v>2925</v>
      </c>
      <c r="C1299" s="18" t="s">
        <v>662</v>
      </c>
      <c r="D1299" s="17" t="s">
        <v>2980</v>
      </c>
      <c r="E1299" s="17" t="s">
        <v>2951</v>
      </c>
      <c r="H1299" s="25"/>
      <c r="I1299" s="18"/>
      <c r="J1299" s="25"/>
      <c r="L1299" s="4" t="s">
        <v>9</v>
      </c>
      <c r="M1299" s="5"/>
      <c r="O1299" s="143"/>
      <c r="P1299" s="143"/>
      <c r="Q1299" s="153">
        <f t="shared" si="42"/>
        <v>0</v>
      </c>
    </row>
    <row r="1300" spans="1:17" ht="16.5" x14ac:dyDescent="0.35">
      <c r="A1300" s="53">
        <v>1299</v>
      </c>
      <c r="B1300" s="351" t="s">
        <v>2954</v>
      </c>
      <c r="C1300" s="18" t="s">
        <v>662</v>
      </c>
      <c r="D1300" s="17" t="s">
        <v>2980</v>
      </c>
      <c r="E1300" s="17" t="s">
        <v>2951</v>
      </c>
      <c r="H1300" s="25"/>
      <c r="I1300" s="18"/>
      <c r="J1300" s="25"/>
      <c r="L1300" s="4" t="s">
        <v>9</v>
      </c>
      <c r="M1300" s="5"/>
      <c r="O1300" s="143"/>
      <c r="P1300" s="143"/>
      <c r="Q1300" s="153">
        <f t="shared" si="42"/>
        <v>0</v>
      </c>
    </row>
    <row r="1301" spans="1:17" ht="16.5" x14ac:dyDescent="0.35">
      <c r="A1301" s="53">
        <v>1300</v>
      </c>
      <c r="B1301" s="351" t="s">
        <v>2955</v>
      </c>
      <c r="C1301" s="18" t="s">
        <v>662</v>
      </c>
      <c r="D1301" s="17" t="s">
        <v>2980</v>
      </c>
      <c r="E1301" s="17" t="s">
        <v>2951</v>
      </c>
      <c r="H1301" s="25"/>
      <c r="I1301" s="18"/>
      <c r="J1301" s="25"/>
      <c r="L1301" s="4" t="s">
        <v>9</v>
      </c>
      <c r="M1301" s="5"/>
      <c r="O1301" s="143"/>
      <c r="P1301" s="143"/>
      <c r="Q1301" s="153">
        <f t="shared" si="42"/>
        <v>0</v>
      </c>
    </row>
    <row r="1302" spans="1:17" ht="16.5" x14ac:dyDescent="0.35">
      <c r="A1302" s="53">
        <v>1301</v>
      </c>
      <c r="B1302" s="351" t="s">
        <v>2956</v>
      </c>
      <c r="C1302" s="18" t="s">
        <v>662</v>
      </c>
      <c r="D1302" s="17" t="s">
        <v>2980</v>
      </c>
      <c r="E1302" s="17" t="s">
        <v>2951</v>
      </c>
      <c r="H1302" s="25"/>
      <c r="I1302" s="18"/>
      <c r="J1302" s="25"/>
      <c r="L1302" s="4" t="s">
        <v>9</v>
      </c>
      <c r="M1302" s="5"/>
      <c r="O1302" s="143"/>
      <c r="P1302" s="143"/>
      <c r="Q1302" s="153">
        <f t="shared" si="42"/>
        <v>0</v>
      </c>
    </row>
    <row r="1303" spans="1:17" ht="16.5" x14ac:dyDescent="0.35">
      <c r="A1303" s="53">
        <v>1302</v>
      </c>
      <c r="B1303" s="351" t="s">
        <v>2957</v>
      </c>
      <c r="C1303" s="18" t="s">
        <v>662</v>
      </c>
      <c r="D1303" s="17" t="s">
        <v>2980</v>
      </c>
      <c r="E1303" s="17" t="s">
        <v>2951</v>
      </c>
      <c r="H1303" s="25"/>
      <c r="I1303" s="18"/>
      <c r="J1303" s="25"/>
      <c r="L1303" s="4" t="s">
        <v>9</v>
      </c>
      <c r="M1303" s="5"/>
      <c r="O1303" s="143"/>
      <c r="P1303" s="143"/>
      <c r="Q1303" s="153">
        <f t="shared" si="42"/>
        <v>0</v>
      </c>
    </row>
    <row r="1304" spans="1:17" ht="16.5" x14ac:dyDescent="0.35">
      <c r="A1304" s="53">
        <v>1303</v>
      </c>
      <c r="B1304" s="351" t="s">
        <v>2958</v>
      </c>
      <c r="C1304" s="18" t="s">
        <v>662</v>
      </c>
      <c r="D1304" s="17" t="s">
        <v>2980</v>
      </c>
      <c r="E1304" s="17" t="s">
        <v>2951</v>
      </c>
      <c r="H1304" s="25"/>
      <c r="I1304" s="18"/>
      <c r="J1304" s="25"/>
      <c r="L1304" s="4" t="s">
        <v>2</v>
      </c>
      <c r="M1304" s="5"/>
      <c r="O1304" s="143"/>
      <c r="P1304" s="143"/>
      <c r="Q1304" s="153">
        <f t="shared" si="42"/>
        <v>0</v>
      </c>
    </row>
    <row r="1305" spans="1:17" ht="16.5" x14ac:dyDescent="0.35">
      <c r="A1305" s="53">
        <v>1304</v>
      </c>
      <c r="B1305" s="351" t="s">
        <v>2959</v>
      </c>
      <c r="C1305" s="18" t="s">
        <v>662</v>
      </c>
      <c r="D1305" s="17" t="s">
        <v>2980</v>
      </c>
      <c r="E1305" s="17" t="s">
        <v>2951</v>
      </c>
      <c r="H1305" s="25"/>
      <c r="I1305" s="18"/>
      <c r="J1305" s="25"/>
      <c r="L1305" s="4" t="s">
        <v>2</v>
      </c>
      <c r="M1305" s="5"/>
      <c r="O1305" s="143"/>
      <c r="P1305" s="143"/>
      <c r="Q1305" s="153">
        <f t="shared" si="42"/>
        <v>0</v>
      </c>
    </row>
    <row r="1306" spans="1:17" ht="16.5" x14ac:dyDescent="0.35">
      <c r="A1306" s="53">
        <v>1305</v>
      </c>
      <c r="B1306" s="351" t="s">
        <v>2960</v>
      </c>
      <c r="C1306" s="18" t="s">
        <v>662</v>
      </c>
      <c r="D1306" s="17" t="s">
        <v>2980</v>
      </c>
      <c r="E1306" s="17" t="s">
        <v>2951</v>
      </c>
      <c r="H1306" s="25"/>
      <c r="I1306" s="18"/>
      <c r="J1306" s="25"/>
      <c r="L1306" s="4" t="s">
        <v>9</v>
      </c>
      <c r="M1306" s="5"/>
      <c r="O1306" s="143"/>
      <c r="P1306" s="143"/>
      <c r="Q1306" s="153">
        <f t="shared" si="42"/>
        <v>0</v>
      </c>
    </row>
    <row r="1307" spans="1:17" ht="16.5" x14ac:dyDescent="0.35">
      <c r="A1307" s="53">
        <v>1306</v>
      </c>
      <c r="B1307" s="351" t="s">
        <v>2961</v>
      </c>
      <c r="C1307" s="18" t="s">
        <v>662</v>
      </c>
      <c r="D1307" s="17" t="s">
        <v>2980</v>
      </c>
      <c r="E1307" s="17" t="s">
        <v>2951</v>
      </c>
      <c r="H1307" s="25"/>
      <c r="I1307" s="18"/>
      <c r="J1307" s="25"/>
      <c r="L1307" s="4" t="s">
        <v>9</v>
      </c>
      <c r="M1307" s="5"/>
      <c r="O1307" s="143"/>
      <c r="P1307" s="143"/>
      <c r="Q1307" s="153">
        <f t="shared" si="42"/>
        <v>0</v>
      </c>
    </row>
    <row r="1308" spans="1:17" ht="16.5" x14ac:dyDescent="0.35">
      <c r="A1308" s="53">
        <v>1307</v>
      </c>
      <c r="B1308" s="351" t="s">
        <v>2962</v>
      </c>
      <c r="C1308" s="18" t="s">
        <v>662</v>
      </c>
      <c r="D1308" s="17" t="s">
        <v>2980</v>
      </c>
      <c r="E1308" s="17" t="s">
        <v>2951</v>
      </c>
      <c r="H1308" s="25"/>
      <c r="I1308" s="18"/>
      <c r="J1308" s="25"/>
      <c r="L1308" s="4" t="s">
        <v>2</v>
      </c>
      <c r="M1308" s="5"/>
      <c r="O1308" s="143"/>
      <c r="P1308" s="143"/>
      <c r="Q1308" s="153">
        <f t="shared" si="42"/>
        <v>0</v>
      </c>
    </row>
    <row r="1309" spans="1:17" ht="16.5" x14ac:dyDescent="0.35">
      <c r="A1309" s="53">
        <v>1308</v>
      </c>
      <c r="B1309" s="351" t="s">
        <v>2963</v>
      </c>
      <c r="C1309" s="18" t="s">
        <v>662</v>
      </c>
      <c r="D1309" s="17" t="s">
        <v>2980</v>
      </c>
      <c r="E1309" s="17" t="s">
        <v>2951</v>
      </c>
      <c r="H1309" s="25"/>
      <c r="I1309" s="18"/>
      <c r="J1309" s="25"/>
      <c r="L1309" s="4" t="s">
        <v>2</v>
      </c>
      <c r="M1309" s="5"/>
      <c r="O1309" s="143"/>
      <c r="P1309" s="143"/>
      <c r="Q1309" s="153">
        <f t="shared" si="42"/>
        <v>0</v>
      </c>
    </row>
    <row r="1310" spans="1:17" ht="16.5" x14ac:dyDescent="0.35">
      <c r="A1310" s="53">
        <v>1309</v>
      </c>
      <c r="B1310" s="351" t="s">
        <v>2964</v>
      </c>
      <c r="C1310" s="18" t="s">
        <v>662</v>
      </c>
      <c r="D1310" s="17" t="s">
        <v>2980</v>
      </c>
      <c r="E1310" s="17" t="s">
        <v>2951</v>
      </c>
      <c r="H1310" s="25"/>
      <c r="I1310" s="18"/>
      <c r="J1310" s="25"/>
      <c r="L1310" s="4" t="s">
        <v>2</v>
      </c>
      <c r="M1310" s="5"/>
      <c r="O1310" s="143"/>
      <c r="P1310" s="143"/>
      <c r="Q1310" s="153">
        <f t="shared" si="42"/>
        <v>0</v>
      </c>
    </row>
    <row r="1311" spans="1:17" ht="16.5" x14ac:dyDescent="0.35">
      <c r="A1311" s="53">
        <v>1310</v>
      </c>
      <c r="B1311" s="351" t="s">
        <v>2965</v>
      </c>
      <c r="C1311" s="18" t="s">
        <v>662</v>
      </c>
      <c r="D1311" s="17" t="s">
        <v>2980</v>
      </c>
      <c r="E1311" s="17" t="s">
        <v>2951</v>
      </c>
      <c r="H1311" s="25"/>
      <c r="I1311" s="18"/>
      <c r="J1311" s="25"/>
      <c r="L1311" s="4" t="s">
        <v>2</v>
      </c>
      <c r="M1311" s="5"/>
      <c r="O1311" s="143"/>
      <c r="P1311" s="143"/>
      <c r="Q1311" s="153">
        <f t="shared" si="42"/>
        <v>0</v>
      </c>
    </row>
    <row r="1312" spans="1:17" ht="16.5" x14ac:dyDescent="0.35">
      <c r="A1312" s="53">
        <v>1311</v>
      </c>
      <c r="B1312" s="351" t="s">
        <v>1642</v>
      </c>
      <c r="C1312" s="18" t="s">
        <v>662</v>
      </c>
      <c r="D1312" s="17" t="s">
        <v>2980</v>
      </c>
      <c r="E1312" s="17" t="s">
        <v>2951</v>
      </c>
      <c r="H1312" s="25"/>
      <c r="I1312" s="18"/>
      <c r="J1312" s="25"/>
      <c r="L1312" s="4" t="s">
        <v>2</v>
      </c>
      <c r="M1312" s="5"/>
      <c r="O1312" s="143"/>
      <c r="P1312" s="143"/>
      <c r="Q1312" s="153">
        <f t="shared" si="42"/>
        <v>0</v>
      </c>
    </row>
    <row r="1313" spans="1:17" ht="16.5" x14ac:dyDescent="0.35">
      <c r="A1313" s="53">
        <v>1312</v>
      </c>
      <c r="B1313" s="351" t="s">
        <v>2966</v>
      </c>
      <c r="C1313" s="18" t="s">
        <v>662</v>
      </c>
      <c r="D1313" s="17" t="s">
        <v>2980</v>
      </c>
      <c r="E1313" s="17" t="s">
        <v>2951</v>
      </c>
      <c r="H1313" s="25"/>
      <c r="I1313" s="18"/>
      <c r="J1313" s="25"/>
      <c r="L1313" s="4" t="s">
        <v>2</v>
      </c>
      <c r="M1313" s="5"/>
      <c r="O1313" s="143"/>
      <c r="P1313" s="143"/>
      <c r="Q1313" s="153">
        <f t="shared" si="42"/>
        <v>0</v>
      </c>
    </row>
    <row r="1314" spans="1:17" ht="16.5" x14ac:dyDescent="0.35">
      <c r="A1314" s="53">
        <v>1313</v>
      </c>
      <c r="B1314" s="351" t="s">
        <v>2967</v>
      </c>
      <c r="C1314" s="18" t="s">
        <v>662</v>
      </c>
      <c r="D1314" s="17" t="s">
        <v>2980</v>
      </c>
      <c r="E1314" s="17" t="s">
        <v>2951</v>
      </c>
      <c r="H1314" s="25"/>
      <c r="I1314" s="18"/>
      <c r="J1314" s="25"/>
      <c r="L1314" s="4" t="s">
        <v>2</v>
      </c>
      <c r="M1314" s="5"/>
      <c r="O1314" s="143"/>
      <c r="P1314" s="143"/>
      <c r="Q1314" s="153">
        <f t="shared" si="42"/>
        <v>0</v>
      </c>
    </row>
    <row r="1315" spans="1:17" ht="16.5" x14ac:dyDescent="0.35">
      <c r="A1315" s="53">
        <v>1314</v>
      </c>
      <c r="B1315" s="351" t="s">
        <v>2968</v>
      </c>
      <c r="C1315" s="18" t="s">
        <v>662</v>
      </c>
      <c r="D1315" s="17" t="s">
        <v>2980</v>
      </c>
      <c r="E1315" s="17" t="s">
        <v>2951</v>
      </c>
      <c r="H1315" s="25"/>
      <c r="I1315" s="18"/>
      <c r="J1315" s="25"/>
      <c r="L1315" s="4" t="s">
        <v>9</v>
      </c>
      <c r="M1315" s="5"/>
      <c r="O1315" s="143"/>
      <c r="P1315" s="143"/>
      <c r="Q1315" s="153">
        <f t="shared" si="42"/>
        <v>0</v>
      </c>
    </row>
    <row r="1316" spans="1:17" ht="16.5" x14ac:dyDescent="0.35">
      <c r="A1316" s="53">
        <v>1315</v>
      </c>
      <c r="B1316" s="351" t="s">
        <v>2969</v>
      </c>
      <c r="C1316" s="18" t="s">
        <v>662</v>
      </c>
      <c r="D1316" s="17" t="s">
        <v>2980</v>
      </c>
      <c r="E1316" s="17" t="s">
        <v>2951</v>
      </c>
      <c r="H1316" s="25"/>
      <c r="I1316" s="18"/>
      <c r="J1316" s="25"/>
      <c r="L1316" s="4" t="s">
        <v>2</v>
      </c>
      <c r="M1316" s="5"/>
      <c r="O1316" s="143"/>
      <c r="P1316" s="143"/>
      <c r="Q1316" s="153">
        <f t="shared" si="42"/>
        <v>0</v>
      </c>
    </row>
    <row r="1317" spans="1:17" ht="16.5" x14ac:dyDescent="0.35">
      <c r="A1317" s="53">
        <v>1316</v>
      </c>
      <c r="B1317" s="351" t="s">
        <v>2970</v>
      </c>
      <c r="C1317" s="18" t="s">
        <v>662</v>
      </c>
      <c r="D1317" s="17" t="s">
        <v>2980</v>
      </c>
      <c r="E1317" s="17" t="s">
        <v>2951</v>
      </c>
      <c r="H1317" s="25"/>
      <c r="I1317" s="18"/>
      <c r="J1317" s="25"/>
      <c r="L1317" s="4" t="s">
        <v>2</v>
      </c>
      <c r="M1317" s="5"/>
      <c r="O1317" s="143"/>
      <c r="P1317" s="143"/>
      <c r="Q1317" s="153">
        <f t="shared" si="42"/>
        <v>0</v>
      </c>
    </row>
    <row r="1318" spans="1:17" ht="16.5" x14ac:dyDescent="0.35">
      <c r="A1318" s="53">
        <v>1317</v>
      </c>
      <c r="B1318" s="351" t="s">
        <v>2971</v>
      </c>
      <c r="C1318" s="18" t="s">
        <v>662</v>
      </c>
      <c r="D1318" s="17" t="s">
        <v>2980</v>
      </c>
      <c r="E1318" s="17" t="s">
        <v>2951</v>
      </c>
      <c r="H1318" s="25"/>
      <c r="I1318" s="18"/>
      <c r="J1318" s="25"/>
      <c r="L1318" s="4" t="s">
        <v>9</v>
      </c>
      <c r="M1318" s="5"/>
      <c r="O1318" s="143"/>
      <c r="P1318" s="143"/>
      <c r="Q1318" s="153">
        <f t="shared" si="42"/>
        <v>0</v>
      </c>
    </row>
    <row r="1319" spans="1:17" ht="16.5" x14ac:dyDescent="0.35">
      <c r="A1319" s="53">
        <v>1318</v>
      </c>
      <c r="B1319" s="351" t="s">
        <v>2972</v>
      </c>
      <c r="C1319" s="18" t="s">
        <v>662</v>
      </c>
      <c r="D1319" s="17" t="s">
        <v>2980</v>
      </c>
      <c r="E1319" s="17" t="s">
        <v>2951</v>
      </c>
      <c r="H1319" s="25"/>
      <c r="I1319" s="18"/>
      <c r="J1319" s="25"/>
      <c r="L1319" s="4" t="s">
        <v>9</v>
      </c>
      <c r="M1319" s="5"/>
      <c r="O1319" s="143"/>
      <c r="P1319" s="143"/>
      <c r="Q1319" s="153">
        <f t="shared" si="42"/>
        <v>0</v>
      </c>
    </row>
    <row r="1320" spans="1:17" ht="16.5" x14ac:dyDescent="0.35">
      <c r="A1320" s="53">
        <v>1319</v>
      </c>
      <c r="B1320" s="351" t="s">
        <v>2973</v>
      </c>
      <c r="C1320" s="18" t="s">
        <v>662</v>
      </c>
      <c r="D1320" s="17" t="s">
        <v>2980</v>
      </c>
      <c r="E1320" s="17" t="s">
        <v>2951</v>
      </c>
      <c r="H1320" s="25"/>
      <c r="I1320" s="18"/>
      <c r="J1320" s="25"/>
      <c r="L1320" s="4" t="s">
        <v>2</v>
      </c>
      <c r="M1320" s="5"/>
      <c r="O1320" s="143"/>
      <c r="P1320" s="143"/>
      <c r="Q1320" s="153">
        <f t="shared" si="42"/>
        <v>0</v>
      </c>
    </row>
    <row r="1321" spans="1:17" ht="16.5" x14ac:dyDescent="0.35">
      <c r="A1321" s="53">
        <v>1320</v>
      </c>
      <c r="B1321" s="351" t="s">
        <v>2974</v>
      </c>
      <c r="C1321" s="18" t="s">
        <v>662</v>
      </c>
      <c r="D1321" s="17" t="s">
        <v>2980</v>
      </c>
      <c r="E1321" s="17" t="s">
        <v>2951</v>
      </c>
      <c r="H1321" s="25"/>
      <c r="I1321" s="18"/>
      <c r="J1321" s="25"/>
      <c r="L1321" s="4" t="s">
        <v>9</v>
      </c>
      <c r="M1321" s="5"/>
      <c r="O1321" s="143"/>
      <c r="P1321" s="143"/>
      <c r="Q1321" s="153">
        <f t="shared" si="42"/>
        <v>0</v>
      </c>
    </row>
    <row r="1322" spans="1:17" ht="16.5" x14ac:dyDescent="0.35">
      <c r="A1322" s="53">
        <v>1321</v>
      </c>
      <c r="B1322" s="351" t="s">
        <v>2975</v>
      </c>
      <c r="C1322" s="18" t="s">
        <v>662</v>
      </c>
      <c r="D1322" s="17" t="s">
        <v>2980</v>
      </c>
      <c r="E1322" s="17" t="s">
        <v>2951</v>
      </c>
      <c r="H1322" s="25"/>
      <c r="I1322" s="18"/>
      <c r="J1322" s="25"/>
      <c r="L1322" s="4" t="s">
        <v>2</v>
      </c>
      <c r="M1322" s="5"/>
      <c r="O1322" s="143"/>
      <c r="P1322" s="143"/>
      <c r="Q1322" s="153">
        <f t="shared" si="42"/>
        <v>0</v>
      </c>
    </row>
    <row r="1323" spans="1:17" ht="16.5" x14ac:dyDescent="0.35">
      <c r="A1323" s="53">
        <v>1322</v>
      </c>
      <c r="B1323" s="351" t="s">
        <v>2976</v>
      </c>
      <c r="C1323" s="18" t="s">
        <v>662</v>
      </c>
      <c r="D1323" s="17" t="s">
        <v>2980</v>
      </c>
      <c r="E1323" s="17" t="s">
        <v>2951</v>
      </c>
      <c r="H1323" s="25"/>
      <c r="I1323" s="18"/>
      <c r="J1323" s="25"/>
      <c r="L1323" s="4" t="s">
        <v>9</v>
      </c>
      <c r="M1323" s="5"/>
      <c r="O1323" s="143"/>
      <c r="P1323" s="143"/>
      <c r="Q1323" s="153">
        <f t="shared" si="42"/>
        <v>0</v>
      </c>
    </row>
    <row r="1324" spans="1:17" ht="16.5" x14ac:dyDescent="0.35">
      <c r="A1324" s="53">
        <v>1323</v>
      </c>
      <c r="B1324" s="351" t="s">
        <v>2977</v>
      </c>
      <c r="C1324" s="18" t="s">
        <v>662</v>
      </c>
      <c r="D1324" s="17" t="s">
        <v>2980</v>
      </c>
      <c r="E1324" s="17" t="s">
        <v>2951</v>
      </c>
      <c r="H1324" s="25"/>
      <c r="I1324" s="18"/>
      <c r="J1324" s="25"/>
      <c r="L1324" s="4" t="s">
        <v>2</v>
      </c>
      <c r="M1324" s="5"/>
      <c r="O1324" s="143"/>
      <c r="P1324" s="143"/>
      <c r="Q1324" s="153">
        <f t="shared" si="42"/>
        <v>0</v>
      </c>
    </row>
    <row r="1325" spans="1:17" ht="16.5" x14ac:dyDescent="0.35">
      <c r="A1325" s="53">
        <v>1324</v>
      </c>
      <c r="B1325" s="351" t="s">
        <v>2978</v>
      </c>
      <c r="C1325" s="18" t="s">
        <v>662</v>
      </c>
      <c r="D1325" s="17" t="s">
        <v>2980</v>
      </c>
      <c r="E1325" s="17" t="s">
        <v>2951</v>
      </c>
      <c r="H1325" s="25"/>
      <c r="I1325" s="18"/>
      <c r="J1325" s="25"/>
      <c r="L1325" s="178" t="s">
        <v>2</v>
      </c>
      <c r="M1325" s="5"/>
      <c r="O1325" s="143"/>
      <c r="P1325" s="143"/>
      <c r="Q1325" s="153">
        <f t="shared" si="42"/>
        <v>0</v>
      </c>
    </row>
    <row r="1326" spans="1:17" ht="17" thickBot="1" x14ac:dyDescent="0.4">
      <c r="A1326" s="53">
        <v>1325</v>
      </c>
      <c r="B1326" s="351" t="s">
        <v>2979</v>
      </c>
      <c r="C1326" s="18" t="s">
        <v>662</v>
      </c>
      <c r="D1326" s="17" t="s">
        <v>2980</v>
      </c>
      <c r="E1326" s="17" t="s">
        <v>2951</v>
      </c>
      <c r="H1326" s="25"/>
      <c r="I1326" s="351"/>
      <c r="J1326" s="25"/>
      <c r="L1326" s="14" t="s">
        <v>2</v>
      </c>
      <c r="M1326" s="27"/>
      <c r="O1326" s="143"/>
      <c r="P1326" s="143"/>
      <c r="Q1326" s="153">
        <f t="shared" si="42"/>
        <v>0</v>
      </c>
    </row>
    <row r="1327" spans="1:17" ht="16.5" x14ac:dyDescent="0.35">
      <c r="A1327" s="53">
        <v>1326</v>
      </c>
      <c r="B1327" s="351" t="s">
        <v>2981</v>
      </c>
      <c r="C1327" s="18" t="s">
        <v>662</v>
      </c>
      <c r="D1327" s="17" t="s">
        <v>3011</v>
      </c>
      <c r="E1327" s="17" t="s">
        <v>2951</v>
      </c>
      <c r="H1327" s="25"/>
      <c r="I1327" s="18"/>
      <c r="J1327" s="25"/>
      <c r="L1327" s="4" t="s">
        <v>9</v>
      </c>
      <c r="M1327" s="5"/>
      <c r="O1327" s="143"/>
      <c r="P1327" s="143"/>
      <c r="Q1327" s="153">
        <f t="shared" ref="Q1327:Q1356" si="43">SUM(M1327:P1327)</f>
        <v>0</v>
      </c>
    </row>
    <row r="1328" spans="1:17" ht="16.5" x14ac:dyDescent="0.35">
      <c r="A1328" s="53">
        <v>1327</v>
      </c>
      <c r="B1328" s="351" t="s">
        <v>2982</v>
      </c>
      <c r="C1328" s="18" t="s">
        <v>662</v>
      </c>
      <c r="D1328" s="17" t="s">
        <v>3011</v>
      </c>
      <c r="E1328" s="17" t="s">
        <v>2951</v>
      </c>
      <c r="H1328" s="25"/>
      <c r="I1328" s="18"/>
      <c r="J1328" s="25"/>
      <c r="L1328" s="4" t="s">
        <v>9</v>
      </c>
      <c r="M1328" s="5"/>
      <c r="O1328" s="143"/>
      <c r="P1328" s="143"/>
      <c r="Q1328" s="153">
        <f t="shared" si="43"/>
        <v>0</v>
      </c>
    </row>
    <row r="1329" spans="1:17" ht="16.5" x14ac:dyDescent="0.35">
      <c r="A1329" s="53">
        <v>1328</v>
      </c>
      <c r="B1329" s="351" t="s">
        <v>2983</v>
      </c>
      <c r="C1329" s="18" t="s">
        <v>662</v>
      </c>
      <c r="D1329" s="17" t="s">
        <v>3011</v>
      </c>
      <c r="E1329" s="17" t="s">
        <v>2951</v>
      </c>
      <c r="H1329" s="25"/>
      <c r="I1329" s="18"/>
      <c r="J1329" s="25"/>
      <c r="L1329" s="4" t="s">
        <v>2</v>
      </c>
      <c r="M1329" s="5"/>
      <c r="O1329" s="143"/>
      <c r="P1329" s="143"/>
      <c r="Q1329" s="153">
        <f t="shared" si="43"/>
        <v>0</v>
      </c>
    </row>
    <row r="1330" spans="1:17" ht="16.5" x14ac:dyDescent="0.35">
      <c r="A1330" s="53">
        <v>1329</v>
      </c>
      <c r="B1330" s="351" t="s">
        <v>2984</v>
      </c>
      <c r="C1330" s="18" t="s">
        <v>662</v>
      </c>
      <c r="D1330" s="17" t="s">
        <v>3011</v>
      </c>
      <c r="E1330" s="17" t="s">
        <v>2951</v>
      </c>
      <c r="H1330" s="25"/>
      <c r="I1330" s="18"/>
      <c r="J1330" s="25"/>
      <c r="L1330" s="4" t="s">
        <v>2</v>
      </c>
      <c r="M1330" s="5"/>
      <c r="O1330" s="143"/>
      <c r="P1330" s="143"/>
      <c r="Q1330" s="153">
        <f t="shared" si="43"/>
        <v>0</v>
      </c>
    </row>
    <row r="1331" spans="1:17" ht="16.5" x14ac:dyDescent="0.35">
      <c r="A1331" s="53">
        <v>1330</v>
      </c>
      <c r="B1331" s="351" t="s">
        <v>2985</v>
      </c>
      <c r="C1331" s="18" t="s">
        <v>662</v>
      </c>
      <c r="D1331" s="17" t="s">
        <v>3011</v>
      </c>
      <c r="E1331" s="17" t="s">
        <v>2951</v>
      </c>
      <c r="H1331" s="25"/>
      <c r="I1331" s="18"/>
      <c r="J1331" s="25"/>
      <c r="L1331" s="4" t="s">
        <v>9</v>
      </c>
      <c r="M1331" s="5"/>
      <c r="O1331" s="143"/>
      <c r="P1331" s="143"/>
      <c r="Q1331" s="153">
        <f t="shared" si="43"/>
        <v>0</v>
      </c>
    </row>
    <row r="1332" spans="1:17" ht="16.5" x14ac:dyDescent="0.35">
      <c r="A1332" s="53">
        <v>1331</v>
      </c>
      <c r="B1332" s="351" t="s">
        <v>2986</v>
      </c>
      <c r="C1332" s="18" t="s">
        <v>662</v>
      </c>
      <c r="D1332" s="17" t="s">
        <v>3011</v>
      </c>
      <c r="E1332" s="17" t="s">
        <v>2951</v>
      </c>
      <c r="H1332" s="25"/>
      <c r="I1332" s="18"/>
      <c r="J1332" s="25"/>
      <c r="L1332" s="4" t="s">
        <v>2</v>
      </c>
      <c r="M1332" s="5"/>
      <c r="O1332" s="143"/>
      <c r="P1332" s="143"/>
      <c r="Q1332" s="153">
        <f t="shared" si="43"/>
        <v>0</v>
      </c>
    </row>
    <row r="1333" spans="1:17" ht="16.5" x14ac:dyDescent="0.35">
      <c r="A1333" s="53">
        <v>1332</v>
      </c>
      <c r="B1333" s="351" t="s">
        <v>2987</v>
      </c>
      <c r="C1333" s="18" t="s">
        <v>662</v>
      </c>
      <c r="D1333" s="17" t="s">
        <v>3011</v>
      </c>
      <c r="E1333" s="17" t="s">
        <v>2951</v>
      </c>
      <c r="H1333" s="25"/>
      <c r="I1333" s="18"/>
      <c r="J1333" s="25"/>
      <c r="L1333" s="4" t="s">
        <v>9</v>
      </c>
      <c r="M1333" s="5"/>
      <c r="O1333" s="143"/>
      <c r="P1333" s="143"/>
      <c r="Q1333" s="153">
        <f t="shared" si="43"/>
        <v>0</v>
      </c>
    </row>
    <row r="1334" spans="1:17" ht="16.5" x14ac:dyDescent="0.35">
      <c r="A1334" s="53">
        <v>1333</v>
      </c>
      <c r="B1334" s="351" t="s">
        <v>2988</v>
      </c>
      <c r="C1334" s="18" t="s">
        <v>662</v>
      </c>
      <c r="D1334" s="17" t="s">
        <v>3011</v>
      </c>
      <c r="E1334" s="17" t="s">
        <v>2951</v>
      </c>
      <c r="H1334" s="25"/>
      <c r="I1334" s="18"/>
      <c r="J1334" s="25"/>
      <c r="L1334" s="4" t="s">
        <v>2</v>
      </c>
      <c r="M1334" s="5"/>
      <c r="O1334" s="143"/>
      <c r="P1334" s="143"/>
      <c r="Q1334" s="153">
        <f t="shared" si="43"/>
        <v>0</v>
      </c>
    </row>
    <row r="1335" spans="1:17" ht="16.5" x14ac:dyDescent="0.35">
      <c r="A1335" s="53">
        <v>1334</v>
      </c>
      <c r="B1335" s="351" t="s">
        <v>2989</v>
      </c>
      <c r="C1335" s="18" t="s">
        <v>662</v>
      </c>
      <c r="D1335" s="17" t="s">
        <v>3011</v>
      </c>
      <c r="E1335" s="17" t="s">
        <v>2951</v>
      </c>
      <c r="H1335" s="25"/>
      <c r="I1335" s="18"/>
      <c r="J1335" s="25"/>
      <c r="L1335" s="4" t="s">
        <v>2</v>
      </c>
      <c r="M1335" s="5"/>
      <c r="O1335" s="143"/>
      <c r="P1335" s="143"/>
      <c r="Q1335" s="153">
        <f t="shared" si="43"/>
        <v>0</v>
      </c>
    </row>
    <row r="1336" spans="1:17" ht="16.5" x14ac:dyDescent="0.35">
      <c r="A1336" s="53">
        <v>1335</v>
      </c>
      <c r="B1336" s="351" t="s">
        <v>2990</v>
      </c>
      <c r="C1336" s="18" t="s">
        <v>662</v>
      </c>
      <c r="D1336" s="17" t="s">
        <v>3011</v>
      </c>
      <c r="E1336" s="17" t="s">
        <v>2951</v>
      </c>
      <c r="H1336" s="25"/>
      <c r="I1336" s="18"/>
      <c r="J1336" s="25"/>
      <c r="L1336" s="4" t="s">
        <v>2</v>
      </c>
      <c r="M1336" s="5"/>
      <c r="O1336" s="143"/>
      <c r="P1336" s="143"/>
      <c r="Q1336" s="153">
        <f t="shared" si="43"/>
        <v>0</v>
      </c>
    </row>
    <row r="1337" spans="1:17" ht="16.5" x14ac:dyDescent="0.35">
      <c r="A1337" s="53">
        <v>1336</v>
      </c>
      <c r="B1337" s="351" t="s">
        <v>2991</v>
      </c>
      <c r="C1337" s="18" t="s">
        <v>662</v>
      </c>
      <c r="D1337" s="17" t="s">
        <v>3011</v>
      </c>
      <c r="E1337" s="17" t="s">
        <v>2951</v>
      </c>
      <c r="H1337" s="25"/>
      <c r="I1337" s="18"/>
      <c r="J1337" s="25"/>
      <c r="L1337" s="4" t="s">
        <v>9</v>
      </c>
      <c r="M1337" s="5"/>
      <c r="O1337" s="143"/>
      <c r="P1337" s="143"/>
      <c r="Q1337" s="153">
        <f t="shared" si="43"/>
        <v>0</v>
      </c>
    </row>
    <row r="1338" spans="1:17" ht="16.5" x14ac:dyDescent="0.35">
      <c r="A1338" s="53">
        <v>1337</v>
      </c>
      <c r="B1338" s="351" t="s">
        <v>2992</v>
      </c>
      <c r="C1338" s="18" t="s">
        <v>662</v>
      </c>
      <c r="D1338" s="17" t="s">
        <v>3011</v>
      </c>
      <c r="E1338" s="17" t="s">
        <v>2951</v>
      </c>
      <c r="H1338" s="25"/>
      <c r="I1338" s="18"/>
      <c r="J1338" s="25"/>
      <c r="L1338" s="4" t="s">
        <v>2</v>
      </c>
      <c r="M1338" s="5"/>
      <c r="O1338" s="143"/>
      <c r="P1338" s="143"/>
      <c r="Q1338" s="153">
        <f t="shared" si="43"/>
        <v>0</v>
      </c>
    </row>
    <row r="1339" spans="1:17" ht="16.5" x14ac:dyDescent="0.35">
      <c r="A1339" s="53">
        <v>1338</v>
      </c>
      <c r="B1339" s="351" t="s">
        <v>2993</v>
      </c>
      <c r="C1339" s="18" t="s">
        <v>662</v>
      </c>
      <c r="D1339" s="17" t="s">
        <v>3011</v>
      </c>
      <c r="E1339" s="17" t="s">
        <v>2951</v>
      </c>
      <c r="H1339" s="25"/>
      <c r="I1339" s="18"/>
      <c r="J1339" s="25"/>
      <c r="L1339" s="4" t="s">
        <v>2</v>
      </c>
      <c r="M1339" s="5"/>
      <c r="O1339" s="143"/>
      <c r="P1339" s="143"/>
      <c r="Q1339" s="153">
        <f t="shared" si="43"/>
        <v>0</v>
      </c>
    </row>
    <row r="1340" spans="1:17" ht="16.5" x14ac:dyDescent="0.35">
      <c r="A1340" s="53">
        <v>1339</v>
      </c>
      <c r="B1340" s="351" t="s">
        <v>2994</v>
      </c>
      <c r="C1340" s="18" t="s">
        <v>662</v>
      </c>
      <c r="D1340" s="17" t="s">
        <v>3011</v>
      </c>
      <c r="E1340" s="17" t="s">
        <v>2951</v>
      </c>
      <c r="H1340" s="25"/>
      <c r="I1340" s="18"/>
      <c r="J1340" s="25"/>
      <c r="L1340" s="4" t="s">
        <v>2</v>
      </c>
      <c r="M1340" s="5"/>
      <c r="O1340" s="143"/>
      <c r="P1340" s="143"/>
      <c r="Q1340" s="153">
        <f t="shared" si="43"/>
        <v>0</v>
      </c>
    </row>
    <row r="1341" spans="1:17" ht="16.5" x14ac:dyDescent="0.35">
      <c r="A1341" s="53">
        <v>1340</v>
      </c>
      <c r="B1341" s="351" t="s">
        <v>2995</v>
      </c>
      <c r="C1341" s="18" t="s">
        <v>662</v>
      </c>
      <c r="D1341" s="17" t="s">
        <v>3011</v>
      </c>
      <c r="E1341" s="17" t="s">
        <v>2951</v>
      </c>
      <c r="H1341" s="25"/>
      <c r="I1341" s="18"/>
      <c r="J1341" s="25"/>
      <c r="L1341" s="4" t="s">
        <v>2</v>
      </c>
      <c r="M1341" s="5"/>
      <c r="O1341" s="143"/>
      <c r="P1341" s="143"/>
      <c r="Q1341" s="153">
        <f t="shared" si="43"/>
        <v>0</v>
      </c>
    </row>
    <row r="1342" spans="1:17" ht="16.5" x14ac:dyDescent="0.35">
      <c r="A1342" s="53">
        <v>1341</v>
      </c>
      <c r="B1342" s="351" t="s">
        <v>2996</v>
      </c>
      <c r="C1342" s="18" t="s">
        <v>662</v>
      </c>
      <c r="D1342" s="17" t="s">
        <v>3011</v>
      </c>
      <c r="E1342" s="17" t="s">
        <v>2951</v>
      </c>
      <c r="H1342" s="25"/>
      <c r="I1342" s="18"/>
      <c r="J1342" s="25"/>
      <c r="L1342" s="4" t="s">
        <v>9</v>
      </c>
      <c r="M1342" s="5"/>
      <c r="O1342" s="143"/>
      <c r="P1342" s="143"/>
      <c r="Q1342" s="153">
        <f t="shared" si="43"/>
        <v>0</v>
      </c>
    </row>
    <row r="1343" spans="1:17" ht="16.5" x14ac:dyDescent="0.35">
      <c r="A1343" s="53">
        <v>1342</v>
      </c>
      <c r="B1343" s="351" t="s">
        <v>2997</v>
      </c>
      <c r="C1343" s="18" t="s">
        <v>662</v>
      </c>
      <c r="D1343" s="17" t="s">
        <v>3011</v>
      </c>
      <c r="E1343" s="17" t="s">
        <v>2951</v>
      </c>
      <c r="H1343" s="25"/>
      <c r="I1343" s="18"/>
      <c r="J1343" s="25"/>
      <c r="L1343" s="4" t="s">
        <v>2</v>
      </c>
      <c r="M1343" s="5"/>
      <c r="O1343" s="143"/>
      <c r="P1343" s="143"/>
      <c r="Q1343" s="153">
        <f t="shared" si="43"/>
        <v>0</v>
      </c>
    </row>
    <row r="1344" spans="1:17" ht="16.5" x14ac:dyDescent="0.35">
      <c r="A1344" s="53">
        <v>1343</v>
      </c>
      <c r="B1344" s="351" t="s">
        <v>2998</v>
      </c>
      <c r="C1344" s="18" t="s">
        <v>662</v>
      </c>
      <c r="D1344" s="17" t="s">
        <v>3011</v>
      </c>
      <c r="E1344" s="17" t="s">
        <v>2951</v>
      </c>
      <c r="H1344" s="25"/>
      <c r="I1344" s="18"/>
      <c r="J1344" s="25"/>
      <c r="L1344" s="4" t="s">
        <v>2</v>
      </c>
      <c r="M1344" s="5"/>
      <c r="O1344" s="143"/>
      <c r="P1344" s="143"/>
      <c r="Q1344" s="153">
        <f t="shared" si="43"/>
        <v>0</v>
      </c>
    </row>
    <row r="1345" spans="1:17" ht="16.5" x14ac:dyDescent="0.35">
      <c r="A1345" s="53">
        <v>1344</v>
      </c>
      <c r="B1345" s="351" t="s">
        <v>2999</v>
      </c>
      <c r="C1345" s="18" t="s">
        <v>662</v>
      </c>
      <c r="D1345" s="17" t="s">
        <v>3011</v>
      </c>
      <c r="E1345" s="17" t="s">
        <v>2951</v>
      </c>
      <c r="H1345" s="25"/>
      <c r="I1345" s="18"/>
      <c r="J1345" s="25"/>
      <c r="L1345" s="4" t="s">
        <v>2</v>
      </c>
      <c r="M1345" s="5"/>
      <c r="O1345" s="143"/>
      <c r="P1345" s="143"/>
      <c r="Q1345" s="153">
        <f t="shared" si="43"/>
        <v>0</v>
      </c>
    </row>
    <row r="1346" spans="1:17" ht="16.5" x14ac:dyDescent="0.35">
      <c r="A1346" s="53">
        <v>1345</v>
      </c>
      <c r="B1346" s="351" t="s">
        <v>3000</v>
      </c>
      <c r="C1346" s="18" t="s">
        <v>662</v>
      </c>
      <c r="D1346" s="17" t="s">
        <v>3011</v>
      </c>
      <c r="E1346" s="17" t="s">
        <v>2951</v>
      </c>
      <c r="H1346" s="25"/>
      <c r="I1346" s="18"/>
      <c r="J1346" s="25"/>
      <c r="L1346" s="4" t="s">
        <v>2</v>
      </c>
      <c r="M1346" s="5"/>
      <c r="O1346" s="143"/>
      <c r="P1346" s="143"/>
      <c r="Q1346" s="153">
        <f t="shared" si="43"/>
        <v>0</v>
      </c>
    </row>
    <row r="1347" spans="1:17" ht="16.5" x14ac:dyDescent="0.35">
      <c r="A1347" s="53">
        <v>1346</v>
      </c>
      <c r="B1347" s="351" t="s">
        <v>3001</v>
      </c>
      <c r="C1347" s="18" t="s">
        <v>662</v>
      </c>
      <c r="D1347" s="17" t="s">
        <v>3011</v>
      </c>
      <c r="E1347" s="17" t="s">
        <v>2951</v>
      </c>
      <c r="H1347" s="25"/>
      <c r="I1347" s="18"/>
      <c r="J1347" s="25"/>
      <c r="L1347" s="4" t="s">
        <v>2</v>
      </c>
      <c r="M1347" s="5"/>
      <c r="O1347" s="143"/>
      <c r="P1347" s="143"/>
      <c r="Q1347" s="153">
        <f t="shared" si="43"/>
        <v>0</v>
      </c>
    </row>
    <row r="1348" spans="1:17" ht="16.5" x14ac:dyDescent="0.35">
      <c r="A1348" s="53">
        <v>1347</v>
      </c>
      <c r="B1348" s="351" t="s">
        <v>3002</v>
      </c>
      <c r="C1348" s="18" t="s">
        <v>662</v>
      </c>
      <c r="D1348" s="17" t="s">
        <v>3011</v>
      </c>
      <c r="E1348" s="17" t="s">
        <v>2951</v>
      </c>
      <c r="H1348" s="25"/>
      <c r="I1348" s="18"/>
      <c r="J1348" s="25"/>
      <c r="L1348" s="4" t="s">
        <v>2</v>
      </c>
      <c r="M1348" s="5"/>
      <c r="O1348" s="143"/>
      <c r="P1348" s="143"/>
      <c r="Q1348" s="153">
        <f t="shared" si="43"/>
        <v>0</v>
      </c>
    </row>
    <row r="1349" spans="1:17" ht="16.5" x14ac:dyDescent="0.35">
      <c r="A1349" s="53">
        <v>1348</v>
      </c>
      <c r="B1349" s="351" t="s">
        <v>3003</v>
      </c>
      <c r="C1349" s="18" t="s">
        <v>662</v>
      </c>
      <c r="D1349" s="17" t="s">
        <v>3011</v>
      </c>
      <c r="E1349" s="17" t="s">
        <v>2951</v>
      </c>
      <c r="H1349" s="25"/>
      <c r="I1349" s="18"/>
      <c r="J1349" s="25"/>
      <c r="L1349" s="4" t="s">
        <v>2</v>
      </c>
      <c r="M1349" s="5"/>
      <c r="O1349" s="143"/>
      <c r="P1349" s="143"/>
      <c r="Q1349" s="153">
        <f t="shared" si="43"/>
        <v>0</v>
      </c>
    </row>
    <row r="1350" spans="1:17" ht="16.5" x14ac:dyDescent="0.35">
      <c r="A1350" s="53">
        <v>1349</v>
      </c>
      <c r="B1350" s="351" t="s">
        <v>3004</v>
      </c>
      <c r="C1350" s="18" t="s">
        <v>662</v>
      </c>
      <c r="D1350" s="17" t="s">
        <v>3011</v>
      </c>
      <c r="E1350" s="17" t="s">
        <v>2951</v>
      </c>
      <c r="H1350" s="25"/>
      <c r="I1350" s="18"/>
      <c r="J1350" s="25"/>
      <c r="L1350" s="4" t="s">
        <v>2</v>
      </c>
      <c r="M1350" s="5"/>
      <c r="O1350" s="143"/>
      <c r="P1350" s="143"/>
      <c r="Q1350" s="153">
        <f t="shared" si="43"/>
        <v>0</v>
      </c>
    </row>
    <row r="1351" spans="1:17" ht="16.5" x14ac:dyDescent="0.35">
      <c r="A1351" s="53">
        <v>1350</v>
      </c>
      <c r="B1351" s="351" t="s">
        <v>3005</v>
      </c>
      <c r="C1351" s="18" t="s">
        <v>662</v>
      </c>
      <c r="D1351" s="17" t="s">
        <v>3011</v>
      </c>
      <c r="E1351" s="17" t="s">
        <v>2951</v>
      </c>
      <c r="H1351" s="25"/>
      <c r="I1351" s="18"/>
      <c r="J1351" s="25"/>
      <c r="L1351" s="4" t="s">
        <v>9</v>
      </c>
      <c r="M1351" s="5"/>
      <c r="O1351" s="143"/>
      <c r="P1351" s="143"/>
      <c r="Q1351" s="153">
        <f t="shared" si="43"/>
        <v>0</v>
      </c>
    </row>
    <row r="1352" spans="1:17" ht="16.5" x14ac:dyDescent="0.35">
      <c r="A1352" s="53">
        <v>1351</v>
      </c>
      <c r="B1352" s="351" t="s">
        <v>3006</v>
      </c>
      <c r="C1352" s="18" t="s">
        <v>662</v>
      </c>
      <c r="D1352" s="17" t="s">
        <v>3011</v>
      </c>
      <c r="E1352" s="17" t="s">
        <v>2951</v>
      </c>
      <c r="H1352" s="25"/>
      <c r="I1352" s="18"/>
      <c r="J1352" s="25"/>
      <c r="L1352" s="4" t="s">
        <v>2</v>
      </c>
      <c r="M1352" s="5"/>
      <c r="O1352" s="143"/>
      <c r="P1352" s="143"/>
      <c r="Q1352" s="153">
        <f t="shared" si="43"/>
        <v>0</v>
      </c>
    </row>
    <row r="1353" spans="1:17" ht="16.5" x14ac:dyDescent="0.35">
      <c r="A1353" s="53">
        <v>1352</v>
      </c>
      <c r="B1353" s="351" t="s">
        <v>3007</v>
      </c>
      <c r="C1353" s="18" t="s">
        <v>662</v>
      </c>
      <c r="D1353" s="17" t="s">
        <v>3011</v>
      </c>
      <c r="E1353" s="17" t="s">
        <v>2951</v>
      </c>
      <c r="H1353" s="25"/>
      <c r="I1353" s="18"/>
      <c r="J1353" s="25"/>
      <c r="L1353" s="4" t="s">
        <v>2</v>
      </c>
      <c r="M1353" s="5"/>
      <c r="O1353" s="143"/>
      <c r="P1353" s="143"/>
      <c r="Q1353" s="153">
        <f t="shared" si="43"/>
        <v>0</v>
      </c>
    </row>
    <row r="1354" spans="1:17" ht="16.5" x14ac:dyDescent="0.35">
      <c r="A1354" s="53">
        <v>1353</v>
      </c>
      <c r="B1354" s="351" t="s">
        <v>3008</v>
      </c>
      <c r="C1354" s="18" t="s">
        <v>662</v>
      </c>
      <c r="D1354" s="17" t="s">
        <v>3011</v>
      </c>
      <c r="E1354" s="17" t="s">
        <v>2951</v>
      </c>
      <c r="H1354" s="25"/>
      <c r="I1354" s="18"/>
      <c r="J1354" s="25"/>
      <c r="L1354" s="4" t="s">
        <v>2</v>
      </c>
      <c r="M1354" s="5"/>
      <c r="O1354" s="143"/>
      <c r="P1354" s="143"/>
      <c r="Q1354" s="153">
        <f t="shared" si="43"/>
        <v>0</v>
      </c>
    </row>
    <row r="1355" spans="1:17" ht="16.5" x14ac:dyDescent="0.35">
      <c r="A1355" s="53">
        <v>1354</v>
      </c>
      <c r="B1355" s="351" t="s">
        <v>3009</v>
      </c>
      <c r="C1355" s="18" t="s">
        <v>662</v>
      </c>
      <c r="D1355" s="17" t="s">
        <v>3011</v>
      </c>
      <c r="E1355" s="17" t="s">
        <v>2951</v>
      </c>
      <c r="H1355" s="25"/>
      <c r="I1355" s="18"/>
      <c r="J1355" s="25"/>
      <c r="L1355" s="178" t="s">
        <v>2</v>
      </c>
      <c r="M1355" s="5"/>
      <c r="O1355" s="143"/>
      <c r="P1355" s="143"/>
      <c r="Q1355" s="153">
        <f t="shared" si="43"/>
        <v>0</v>
      </c>
    </row>
    <row r="1356" spans="1:17" ht="17" thickBot="1" x14ac:dyDescent="0.4">
      <c r="A1356" s="53">
        <v>1355</v>
      </c>
      <c r="B1356" s="351" t="s">
        <v>3010</v>
      </c>
      <c r="C1356" s="18" t="s">
        <v>662</v>
      </c>
      <c r="D1356" s="17" t="s">
        <v>3011</v>
      </c>
      <c r="E1356" s="17" t="s">
        <v>2951</v>
      </c>
      <c r="H1356" s="25"/>
      <c r="I1356" s="351"/>
      <c r="J1356" s="25"/>
      <c r="L1356" s="14" t="s">
        <v>2</v>
      </c>
      <c r="M1356" s="27"/>
      <c r="O1356" s="143"/>
      <c r="P1356" s="143"/>
      <c r="Q1356" s="153">
        <f t="shared" si="43"/>
        <v>0</v>
      </c>
    </row>
    <row r="1357" spans="1:17" ht="16.5" x14ac:dyDescent="0.35">
      <c r="A1357" s="53">
        <v>1356</v>
      </c>
      <c r="B1357" s="351" t="s">
        <v>3012</v>
      </c>
      <c r="C1357" s="18" t="s">
        <v>662</v>
      </c>
      <c r="D1357" s="17" t="s">
        <v>3038</v>
      </c>
      <c r="E1357" s="17" t="s">
        <v>3039</v>
      </c>
      <c r="H1357" s="25"/>
      <c r="I1357" s="18"/>
      <c r="J1357" s="25"/>
      <c r="L1357" s="4" t="s">
        <v>2</v>
      </c>
      <c r="M1357" s="5"/>
      <c r="O1357" s="143"/>
      <c r="P1357" s="143"/>
      <c r="Q1357" s="153">
        <f t="shared" ref="Q1357:Q1382" si="44">SUM(M1357:P1357)</f>
        <v>0</v>
      </c>
    </row>
    <row r="1358" spans="1:17" ht="16.5" x14ac:dyDescent="0.35">
      <c r="A1358" s="53">
        <v>1357</v>
      </c>
      <c r="B1358" s="351" t="s">
        <v>3013</v>
      </c>
      <c r="C1358" s="18" t="s">
        <v>662</v>
      </c>
      <c r="D1358" s="17" t="s">
        <v>3040</v>
      </c>
      <c r="E1358" s="17" t="s">
        <v>3041</v>
      </c>
      <c r="H1358" s="25"/>
      <c r="I1358" s="18"/>
      <c r="J1358" s="25"/>
      <c r="L1358" s="4" t="s">
        <v>9</v>
      </c>
      <c r="M1358" s="5"/>
      <c r="O1358" s="143"/>
      <c r="P1358" s="143"/>
      <c r="Q1358" s="153">
        <f t="shared" si="44"/>
        <v>0</v>
      </c>
    </row>
    <row r="1359" spans="1:17" ht="16.5" x14ac:dyDescent="0.35">
      <c r="A1359" s="53">
        <v>1358</v>
      </c>
      <c r="B1359" s="351" t="s">
        <v>3014</v>
      </c>
      <c r="C1359" s="18" t="s">
        <v>662</v>
      </c>
      <c r="D1359" s="17" t="s">
        <v>3042</v>
      </c>
      <c r="E1359" s="17" t="s">
        <v>3043</v>
      </c>
      <c r="H1359" s="25"/>
      <c r="I1359" s="18"/>
      <c r="J1359" s="25"/>
      <c r="L1359" s="4" t="s">
        <v>2</v>
      </c>
      <c r="M1359" s="5"/>
      <c r="O1359" s="143"/>
      <c r="P1359" s="143"/>
      <c r="Q1359" s="153">
        <f t="shared" si="44"/>
        <v>0</v>
      </c>
    </row>
    <row r="1360" spans="1:17" ht="16.5" x14ac:dyDescent="0.35">
      <c r="A1360" s="53">
        <v>1359</v>
      </c>
      <c r="B1360" s="351" t="s">
        <v>3015</v>
      </c>
      <c r="C1360" s="18" t="s">
        <v>662</v>
      </c>
      <c r="D1360" s="17" t="s">
        <v>3044</v>
      </c>
      <c r="E1360" s="17" t="s">
        <v>3045</v>
      </c>
      <c r="H1360" s="25"/>
      <c r="I1360" s="18"/>
      <c r="J1360" s="25"/>
      <c r="L1360" s="4" t="s">
        <v>2</v>
      </c>
      <c r="M1360" s="5"/>
      <c r="O1360" s="143"/>
      <c r="P1360" s="143"/>
      <c r="Q1360" s="153">
        <f t="shared" si="44"/>
        <v>0</v>
      </c>
    </row>
    <row r="1361" spans="1:17" ht="16.5" x14ac:dyDescent="0.35">
      <c r="A1361" s="53">
        <v>1360</v>
      </c>
      <c r="B1361" s="351" t="s">
        <v>3016</v>
      </c>
      <c r="C1361" s="18" t="s">
        <v>662</v>
      </c>
      <c r="D1361" s="17" t="s">
        <v>3046</v>
      </c>
      <c r="E1361" s="17" t="s">
        <v>3047</v>
      </c>
      <c r="H1361" s="25"/>
      <c r="I1361" s="18"/>
      <c r="J1361" s="25"/>
      <c r="L1361" s="4" t="s">
        <v>2</v>
      </c>
      <c r="M1361" s="5"/>
      <c r="O1361" s="143"/>
      <c r="P1361" s="143"/>
      <c r="Q1361" s="153">
        <f t="shared" si="44"/>
        <v>0</v>
      </c>
    </row>
    <row r="1362" spans="1:17" ht="16.5" x14ac:dyDescent="0.35">
      <c r="A1362" s="53">
        <v>1361</v>
      </c>
      <c r="B1362" s="351" t="s">
        <v>3017</v>
      </c>
      <c r="C1362" s="18" t="s">
        <v>662</v>
      </c>
      <c r="D1362" s="17" t="s">
        <v>3048</v>
      </c>
      <c r="E1362" s="17" t="s">
        <v>3049</v>
      </c>
      <c r="H1362" s="25"/>
      <c r="I1362" s="18"/>
      <c r="J1362" s="25"/>
      <c r="L1362" s="4" t="s">
        <v>9</v>
      </c>
      <c r="M1362" s="5"/>
      <c r="O1362" s="143"/>
      <c r="P1362" s="143"/>
      <c r="Q1362" s="153">
        <f t="shared" si="44"/>
        <v>0</v>
      </c>
    </row>
    <row r="1363" spans="1:17" ht="16.5" x14ac:dyDescent="0.35">
      <c r="A1363" s="53">
        <v>1362</v>
      </c>
      <c r="B1363" s="351" t="s">
        <v>3018</v>
      </c>
      <c r="C1363" s="18" t="s">
        <v>662</v>
      </c>
      <c r="D1363" s="17" t="s">
        <v>3050</v>
      </c>
      <c r="E1363" s="17" t="s">
        <v>3051</v>
      </c>
      <c r="H1363" s="25"/>
      <c r="I1363" s="18"/>
      <c r="J1363" s="25"/>
      <c r="L1363" s="4" t="s">
        <v>2</v>
      </c>
      <c r="M1363" s="5"/>
      <c r="O1363" s="143"/>
      <c r="P1363" s="143"/>
      <c r="Q1363" s="153">
        <f t="shared" si="44"/>
        <v>0</v>
      </c>
    </row>
    <row r="1364" spans="1:17" ht="16.5" x14ac:dyDescent="0.35">
      <c r="A1364" s="53">
        <v>1363</v>
      </c>
      <c r="B1364" s="351" t="s">
        <v>3019</v>
      </c>
      <c r="C1364" s="18" t="s">
        <v>662</v>
      </c>
      <c r="D1364" s="17" t="s">
        <v>3052</v>
      </c>
      <c r="E1364" s="17" t="s">
        <v>3053</v>
      </c>
      <c r="H1364" s="25"/>
      <c r="I1364" s="18"/>
      <c r="J1364" s="25"/>
      <c r="L1364" s="4" t="s">
        <v>9</v>
      </c>
      <c r="M1364" s="5"/>
      <c r="O1364" s="143"/>
      <c r="P1364" s="143"/>
      <c r="Q1364" s="153">
        <f t="shared" si="44"/>
        <v>0</v>
      </c>
    </row>
    <row r="1365" spans="1:17" ht="16.5" x14ac:dyDescent="0.35">
      <c r="A1365" s="53">
        <v>1364</v>
      </c>
      <c r="B1365" s="351" t="s">
        <v>3020</v>
      </c>
      <c r="C1365" s="18" t="s">
        <v>662</v>
      </c>
      <c r="D1365" s="17" t="s">
        <v>3054</v>
      </c>
      <c r="E1365" s="17" t="s">
        <v>3055</v>
      </c>
      <c r="H1365" s="25"/>
      <c r="I1365" s="18"/>
      <c r="J1365" s="25"/>
      <c r="L1365" s="4" t="s">
        <v>2</v>
      </c>
      <c r="M1365" s="5"/>
      <c r="O1365" s="143"/>
      <c r="P1365" s="143"/>
      <c r="Q1365" s="153">
        <f t="shared" si="44"/>
        <v>0</v>
      </c>
    </row>
    <row r="1366" spans="1:17" ht="16.5" x14ac:dyDescent="0.35">
      <c r="A1366" s="53">
        <v>1365</v>
      </c>
      <c r="B1366" s="351" t="s">
        <v>3021</v>
      </c>
      <c r="C1366" s="18" t="s">
        <v>662</v>
      </c>
      <c r="D1366" s="17" t="s">
        <v>3056</v>
      </c>
      <c r="E1366" s="17" t="s">
        <v>3057</v>
      </c>
      <c r="H1366" s="25"/>
      <c r="I1366" s="18"/>
      <c r="J1366" s="25"/>
      <c r="L1366" s="4" t="s">
        <v>2</v>
      </c>
      <c r="M1366" s="5"/>
      <c r="O1366" s="143"/>
      <c r="P1366" s="143"/>
      <c r="Q1366" s="153">
        <f t="shared" si="44"/>
        <v>0</v>
      </c>
    </row>
    <row r="1367" spans="1:17" ht="16.5" x14ac:dyDescent="0.35">
      <c r="A1367" s="53">
        <v>1366</v>
      </c>
      <c r="B1367" s="351" t="s">
        <v>3022</v>
      </c>
      <c r="C1367" s="18" t="s">
        <v>662</v>
      </c>
      <c r="D1367" s="17" t="s">
        <v>3058</v>
      </c>
      <c r="E1367" s="17" t="s">
        <v>3059</v>
      </c>
      <c r="H1367" s="25"/>
      <c r="I1367" s="18"/>
      <c r="J1367" s="25"/>
      <c r="L1367" s="4" t="s">
        <v>2</v>
      </c>
      <c r="M1367" s="5"/>
      <c r="O1367" s="143"/>
      <c r="P1367" s="143"/>
      <c r="Q1367" s="153">
        <f t="shared" si="44"/>
        <v>0</v>
      </c>
    </row>
    <row r="1368" spans="1:17" ht="16.5" x14ac:dyDescent="0.35">
      <c r="A1368" s="53">
        <v>1367</v>
      </c>
      <c r="B1368" s="351" t="s">
        <v>3023</v>
      </c>
      <c r="C1368" s="18" t="s">
        <v>662</v>
      </c>
      <c r="D1368" s="17" t="s">
        <v>3060</v>
      </c>
      <c r="E1368" s="17" t="s">
        <v>3061</v>
      </c>
      <c r="H1368" s="25"/>
      <c r="I1368" s="18"/>
      <c r="J1368" s="25"/>
      <c r="L1368" s="4" t="s">
        <v>2</v>
      </c>
      <c r="M1368" s="5"/>
      <c r="O1368" s="143"/>
      <c r="P1368" s="143"/>
      <c r="Q1368" s="153">
        <f t="shared" si="44"/>
        <v>0</v>
      </c>
    </row>
    <row r="1369" spans="1:17" ht="16.5" x14ac:dyDescent="0.35">
      <c r="A1369" s="53">
        <v>1368</v>
      </c>
      <c r="B1369" s="351" t="s">
        <v>3024</v>
      </c>
      <c r="C1369" s="18" t="s">
        <v>662</v>
      </c>
      <c r="D1369" s="17" t="s">
        <v>3062</v>
      </c>
      <c r="E1369" s="17" t="s">
        <v>3063</v>
      </c>
      <c r="H1369" s="25"/>
      <c r="I1369" s="18"/>
      <c r="J1369" s="25"/>
      <c r="L1369" s="4" t="s">
        <v>2</v>
      </c>
      <c r="M1369" s="5"/>
      <c r="O1369" s="143"/>
      <c r="P1369" s="143"/>
      <c r="Q1369" s="153">
        <f t="shared" si="44"/>
        <v>0</v>
      </c>
    </row>
    <row r="1370" spans="1:17" ht="16.5" x14ac:dyDescent="0.35">
      <c r="A1370" s="53">
        <v>1369</v>
      </c>
      <c r="B1370" s="351" t="s">
        <v>3025</v>
      </c>
      <c r="C1370" s="18" t="s">
        <v>662</v>
      </c>
      <c r="D1370" s="17" t="s">
        <v>3064</v>
      </c>
      <c r="E1370" s="17" t="s">
        <v>3065</v>
      </c>
      <c r="H1370" s="25"/>
      <c r="I1370" s="18"/>
      <c r="J1370" s="25"/>
      <c r="L1370" s="4" t="s">
        <v>2</v>
      </c>
      <c r="M1370" s="5"/>
      <c r="O1370" s="143"/>
      <c r="P1370" s="143"/>
      <c r="Q1370" s="153">
        <f t="shared" si="44"/>
        <v>0</v>
      </c>
    </row>
    <row r="1371" spans="1:17" ht="16.5" x14ac:dyDescent="0.35">
      <c r="A1371" s="53">
        <v>1370</v>
      </c>
      <c r="B1371" s="351" t="s">
        <v>3026</v>
      </c>
      <c r="C1371" s="18" t="s">
        <v>662</v>
      </c>
      <c r="D1371" s="17" t="s">
        <v>3066</v>
      </c>
      <c r="E1371" s="17" t="s">
        <v>3067</v>
      </c>
      <c r="H1371" s="25"/>
      <c r="I1371" s="18"/>
      <c r="J1371" s="25"/>
      <c r="L1371" s="4" t="s">
        <v>2</v>
      </c>
      <c r="M1371" s="5"/>
      <c r="O1371" s="143"/>
      <c r="P1371" s="143"/>
      <c r="Q1371" s="153">
        <f t="shared" si="44"/>
        <v>0</v>
      </c>
    </row>
    <row r="1372" spans="1:17" ht="16.5" x14ac:dyDescent="0.35">
      <c r="A1372" s="53">
        <v>1371</v>
      </c>
      <c r="B1372" s="351" t="s">
        <v>3027</v>
      </c>
      <c r="C1372" s="18" t="s">
        <v>662</v>
      </c>
      <c r="D1372" s="17" t="s">
        <v>3068</v>
      </c>
      <c r="E1372" s="17" t="s">
        <v>3069</v>
      </c>
      <c r="H1372" s="25"/>
      <c r="I1372" s="18"/>
      <c r="J1372" s="25"/>
      <c r="L1372" s="4" t="s">
        <v>9</v>
      </c>
      <c r="M1372" s="5"/>
      <c r="O1372" s="143"/>
      <c r="P1372" s="143"/>
      <c r="Q1372" s="153">
        <f t="shared" si="44"/>
        <v>0</v>
      </c>
    </row>
    <row r="1373" spans="1:17" ht="16.5" x14ac:dyDescent="0.35">
      <c r="A1373" s="53">
        <v>1372</v>
      </c>
      <c r="B1373" s="351" t="s">
        <v>3028</v>
      </c>
      <c r="C1373" s="18" t="s">
        <v>662</v>
      </c>
      <c r="D1373" s="17" t="s">
        <v>3070</v>
      </c>
      <c r="E1373" s="17" t="s">
        <v>3071</v>
      </c>
      <c r="H1373" s="25"/>
      <c r="I1373" s="18"/>
      <c r="J1373" s="25"/>
      <c r="L1373" s="4" t="s">
        <v>9</v>
      </c>
      <c r="M1373" s="5"/>
      <c r="O1373" s="143"/>
      <c r="P1373" s="143"/>
      <c r="Q1373" s="153">
        <f t="shared" si="44"/>
        <v>0</v>
      </c>
    </row>
    <row r="1374" spans="1:17" ht="16.5" x14ac:dyDescent="0.35">
      <c r="A1374" s="53">
        <v>1373</v>
      </c>
      <c r="B1374" s="351" t="s">
        <v>3029</v>
      </c>
      <c r="C1374" s="18" t="s">
        <v>662</v>
      </c>
      <c r="D1374" s="17" t="s">
        <v>3072</v>
      </c>
      <c r="E1374" s="17" t="s">
        <v>3073</v>
      </c>
      <c r="H1374" s="25"/>
      <c r="I1374" s="18"/>
      <c r="J1374" s="25"/>
      <c r="L1374" s="4" t="s">
        <v>2</v>
      </c>
      <c r="M1374" s="5"/>
      <c r="O1374" s="143"/>
      <c r="P1374" s="143"/>
      <c r="Q1374" s="153">
        <f t="shared" si="44"/>
        <v>0</v>
      </c>
    </row>
    <row r="1375" spans="1:17" ht="16.5" x14ac:dyDescent="0.35">
      <c r="A1375" s="53">
        <v>1374</v>
      </c>
      <c r="B1375" s="351" t="s">
        <v>3030</v>
      </c>
      <c r="C1375" s="18" t="s">
        <v>662</v>
      </c>
      <c r="D1375" s="17" t="s">
        <v>3074</v>
      </c>
      <c r="E1375" s="17" t="s">
        <v>3075</v>
      </c>
      <c r="H1375" s="25"/>
      <c r="I1375" s="18"/>
      <c r="J1375" s="25"/>
      <c r="L1375" s="4" t="s">
        <v>2</v>
      </c>
      <c r="M1375" s="5"/>
      <c r="O1375" s="143"/>
      <c r="P1375" s="143"/>
      <c r="Q1375" s="153">
        <f t="shared" si="44"/>
        <v>0</v>
      </c>
    </row>
    <row r="1376" spans="1:17" ht="16.5" x14ac:dyDescent="0.35">
      <c r="A1376" s="53">
        <v>1375</v>
      </c>
      <c r="B1376" s="351" t="s">
        <v>3031</v>
      </c>
      <c r="C1376" s="18" t="s">
        <v>662</v>
      </c>
      <c r="D1376" s="17" t="s">
        <v>3076</v>
      </c>
      <c r="E1376" s="17" t="s">
        <v>3077</v>
      </c>
      <c r="H1376" s="25"/>
      <c r="I1376" s="18"/>
      <c r="J1376" s="25"/>
      <c r="L1376" s="4" t="s">
        <v>2</v>
      </c>
      <c r="M1376" s="5"/>
      <c r="O1376" s="143"/>
      <c r="P1376" s="143"/>
      <c r="Q1376" s="153">
        <f t="shared" si="44"/>
        <v>0</v>
      </c>
    </row>
    <row r="1377" spans="1:17" ht="16.5" x14ac:dyDescent="0.35">
      <c r="A1377" s="53">
        <v>1376</v>
      </c>
      <c r="B1377" s="351" t="s">
        <v>3032</v>
      </c>
      <c r="C1377" s="18" t="s">
        <v>662</v>
      </c>
      <c r="D1377" s="17" t="s">
        <v>3078</v>
      </c>
      <c r="E1377" s="17" t="s">
        <v>3079</v>
      </c>
      <c r="H1377" s="25"/>
      <c r="I1377" s="18"/>
      <c r="J1377" s="25"/>
      <c r="L1377" s="4" t="s">
        <v>9</v>
      </c>
      <c r="M1377" s="5"/>
      <c r="O1377" s="143"/>
      <c r="P1377" s="143"/>
      <c r="Q1377" s="153">
        <f t="shared" si="44"/>
        <v>0</v>
      </c>
    </row>
    <row r="1378" spans="1:17" ht="16.5" x14ac:dyDescent="0.35">
      <c r="A1378" s="53">
        <v>1377</v>
      </c>
      <c r="B1378" s="351" t="s">
        <v>3033</v>
      </c>
      <c r="C1378" s="18" t="s">
        <v>662</v>
      </c>
      <c r="D1378" s="17" t="s">
        <v>3080</v>
      </c>
      <c r="E1378" s="17" t="s">
        <v>3081</v>
      </c>
      <c r="H1378" s="25"/>
      <c r="I1378" s="18"/>
      <c r="J1378" s="25"/>
      <c r="L1378" s="4" t="s">
        <v>9</v>
      </c>
      <c r="M1378" s="5"/>
      <c r="O1378" s="143"/>
      <c r="P1378" s="143"/>
      <c r="Q1378" s="153">
        <f t="shared" si="44"/>
        <v>0</v>
      </c>
    </row>
    <row r="1379" spans="1:17" ht="16.5" x14ac:dyDescent="0.35">
      <c r="A1379" s="53">
        <v>1378</v>
      </c>
      <c r="B1379" s="351" t="s">
        <v>3034</v>
      </c>
      <c r="C1379" s="18" t="s">
        <v>662</v>
      </c>
      <c r="D1379" s="17" t="s">
        <v>3082</v>
      </c>
      <c r="E1379" s="17" t="s">
        <v>3083</v>
      </c>
      <c r="H1379" s="25"/>
      <c r="I1379" s="18"/>
      <c r="J1379" s="25"/>
      <c r="L1379" s="4" t="s">
        <v>9</v>
      </c>
      <c r="M1379" s="5"/>
      <c r="O1379" s="143"/>
      <c r="P1379" s="143"/>
      <c r="Q1379" s="153">
        <f t="shared" si="44"/>
        <v>0</v>
      </c>
    </row>
    <row r="1380" spans="1:17" ht="16.5" x14ac:dyDescent="0.35">
      <c r="A1380" s="53">
        <v>1379</v>
      </c>
      <c r="B1380" s="351" t="s">
        <v>3035</v>
      </c>
      <c r="C1380" s="18" t="s">
        <v>662</v>
      </c>
      <c r="D1380" s="17" t="s">
        <v>3084</v>
      </c>
      <c r="E1380" s="17" t="s">
        <v>3085</v>
      </c>
      <c r="H1380" s="25"/>
      <c r="I1380" s="18"/>
      <c r="J1380" s="25"/>
      <c r="L1380" s="4" t="s">
        <v>2</v>
      </c>
      <c r="M1380" s="5"/>
      <c r="O1380" s="143"/>
      <c r="P1380" s="143"/>
      <c r="Q1380" s="153">
        <f t="shared" si="44"/>
        <v>0</v>
      </c>
    </row>
    <row r="1381" spans="1:17" ht="16.5" x14ac:dyDescent="0.35">
      <c r="A1381" s="53">
        <v>1380</v>
      </c>
      <c r="B1381" s="351" t="s">
        <v>3036</v>
      </c>
      <c r="C1381" s="18" t="s">
        <v>662</v>
      </c>
      <c r="D1381" s="17" t="s">
        <v>3086</v>
      </c>
      <c r="E1381" s="17" t="s">
        <v>3087</v>
      </c>
      <c r="H1381" s="25"/>
      <c r="I1381" s="18"/>
      <c r="J1381" s="25"/>
      <c r="L1381" s="4" t="s">
        <v>2</v>
      </c>
      <c r="M1381" s="5"/>
      <c r="O1381" s="143"/>
      <c r="P1381" s="143"/>
      <c r="Q1381" s="153">
        <f t="shared" si="44"/>
        <v>0</v>
      </c>
    </row>
    <row r="1382" spans="1:17" ht="16.5" x14ac:dyDescent="0.35">
      <c r="A1382" s="53">
        <v>1381</v>
      </c>
      <c r="B1382" s="351" t="s">
        <v>3037</v>
      </c>
      <c r="C1382" s="18" t="s">
        <v>662</v>
      </c>
      <c r="D1382" s="17" t="s">
        <v>3088</v>
      </c>
      <c r="E1382" s="17" t="s">
        <v>3089</v>
      </c>
      <c r="H1382" s="25"/>
      <c r="I1382" s="351"/>
      <c r="J1382" s="3"/>
      <c r="L1382" s="4" t="s">
        <v>2</v>
      </c>
      <c r="M1382" s="27"/>
      <c r="O1382" s="143"/>
      <c r="P1382" s="143"/>
      <c r="Q1382" s="153">
        <f t="shared" si="44"/>
        <v>0</v>
      </c>
    </row>
    <row r="1383" spans="1:17" ht="16.5" x14ac:dyDescent="0.35">
      <c r="A1383" s="53">
        <v>1382</v>
      </c>
      <c r="B1383" s="351" t="s">
        <v>2162</v>
      </c>
      <c r="C1383" s="18" t="s">
        <v>662</v>
      </c>
      <c r="D1383" s="17" t="s">
        <v>3116</v>
      </c>
      <c r="E1383" s="17" t="s">
        <v>3117</v>
      </c>
      <c r="H1383" s="25"/>
      <c r="I1383" s="18"/>
      <c r="J1383" s="3"/>
      <c r="L1383" s="4" t="s">
        <v>2</v>
      </c>
      <c r="M1383" s="5"/>
      <c r="O1383" s="143"/>
      <c r="P1383" s="143"/>
      <c r="Q1383" s="153">
        <f t="shared" ref="Q1383:Q1409" si="45">SUM(M1383:P1383)</f>
        <v>0</v>
      </c>
    </row>
    <row r="1384" spans="1:17" ht="16.5" x14ac:dyDescent="0.35">
      <c r="A1384" s="53">
        <v>1383</v>
      </c>
      <c r="B1384" s="351" t="s">
        <v>3090</v>
      </c>
      <c r="C1384" s="18" t="s">
        <v>662</v>
      </c>
      <c r="D1384" s="17" t="s">
        <v>3116</v>
      </c>
      <c r="E1384" s="17" t="s">
        <v>3118</v>
      </c>
      <c r="H1384" s="25"/>
      <c r="I1384" s="18"/>
      <c r="J1384" s="3"/>
      <c r="L1384" s="4" t="s">
        <v>2</v>
      </c>
      <c r="M1384" s="5"/>
      <c r="O1384" s="143"/>
      <c r="P1384" s="143"/>
      <c r="Q1384" s="153">
        <f t="shared" si="45"/>
        <v>0</v>
      </c>
    </row>
    <row r="1385" spans="1:17" ht="16.5" x14ac:dyDescent="0.35">
      <c r="A1385" s="53">
        <v>1384</v>
      </c>
      <c r="B1385" s="351" t="s">
        <v>3091</v>
      </c>
      <c r="C1385" s="18" t="s">
        <v>662</v>
      </c>
      <c r="D1385" s="17" t="s">
        <v>3116</v>
      </c>
      <c r="E1385" s="17" t="s">
        <v>3119</v>
      </c>
      <c r="H1385" s="25"/>
      <c r="I1385" s="18"/>
      <c r="J1385" s="3" t="s">
        <v>3144</v>
      </c>
      <c r="L1385" s="4" t="s">
        <v>9</v>
      </c>
      <c r="M1385" s="5"/>
      <c r="O1385" s="143"/>
      <c r="P1385" s="143"/>
      <c r="Q1385" s="153">
        <f t="shared" si="45"/>
        <v>0</v>
      </c>
    </row>
    <row r="1386" spans="1:17" ht="16.5" x14ac:dyDescent="0.35">
      <c r="A1386" s="53">
        <v>1385</v>
      </c>
      <c r="B1386" s="351" t="s">
        <v>3092</v>
      </c>
      <c r="C1386" s="18" t="s">
        <v>662</v>
      </c>
      <c r="D1386" s="17" t="s">
        <v>3116</v>
      </c>
      <c r="E1386" s="17" t="s">
        <v>3120</v>
      </c>
      <c r="H1386" s="25"/>
      <c r="I1386" s="18"/>
      <c r="J1386" s="3"/>
      <c r="L1386" s="4" t="s">
        <v>2</v>
      </c>
      <c r="M1386" s="5"/>
      <c r="O1386" s="143"/>
      <c r="P1386" s="143"/>
      <c r="Q1386" s="153">
        <f t="shared" si="45"/>
        <v>0</v>
      </c>
    </row>
    <row r="1387" spans="1:17" ht="16.5" x14ac:dyDescent="0.35">
      <c r="A1387" s="53">
        <v>1386</v>
      </c>
      <c r="B1387" s="351" t="s">
        <v>3093</v>
      </c>
      <c r="C1387" s="18" t="s">
        <v>662</v>
      </c>
      <c r="D1387" s="17" t="s">
        <v>3116</v>
      </c>
      <c r="E1387" s="17" t="s">
        <v>3121</v>
      </c>
      <c r="H1387" s="25"/>
      <c r="I1387" s="18"/>
      <c r="J1387" s="3"/>
      <c r="L1387" s="4" t="s">
        <v>9</v>
      </c>
      <c r="M1387" s="5"/>
      <c r="O1387" s="143"/>
      <c r="P1387" s="143"/>
      <c r="Q1387" s="153">
        <f t="shared" si="45"/>
        <v>0</v>
      </c>
    </row>
    <row r="1388" spans="1:17" ht="16.5" x14ac:dyDescent="0.35">
      <c r="A1388" s="53">
        <v>1387</v>
      </c>
      <c r="B1388" s="351" t="s">
        <v>3094</v>
      </c>
      <c r="C1388" s="18" t="s">
        <v>662</v>
      </c>
      <c r="D1388" s="17" t="s">
        <v>3116</v>
      </c>
      <c r="E1388" s="17" t="s">
        <v>3122</v>
      </c>
      <c r="H1388" s="25"/>
      <c r="I1388" s="18"/>
      <c r="J1388" s="3"/>
      <c r="L1388" s="4" t="s">
        <v>2</v>
      </c>
      <c r="M1388" s="5"/>
      <c r="O1388" s="143"/>
      <c r="P1388" s="143"/>
      <c r="Q1388" s="153">
        <f t="shared" si="45"/>
        <v>0</v>
      </c>
    </row>
    <row r="1389" spans="1:17" ht="16.5" x14ac:dyDescent="0.35">
      <c r="A1389" s="53">
        <v>1388</v>
      </c>
      <c r="B1389" s="351" t="s">
        <v>3095</v>
      </c>
      <c r="C1389" s="18" t="s">
        <v>662</v>
      </c>
      <c r="D1389" s="17" t="s">
        <v>3116</v>
      </c>
      <c r="E1389" s="17" t="s">
        <v>3123</v>
      </c>
      <c r="H1389" s="25"/>
      <c r="I1389" s="18"/>
      <c r="J1389" s="3"/>
      <c r="L1389" s="4" t="s">
        <v>9</v>
      </c>
      <c r="M1389" s="5"/>
      <c r="O1389" s="143"/>
      <c r="P1389" s="143"/>
      <c r="Q1389" s="153">
        <f t="shared" si="45"/>
        <v>0</v>
      </c>
    </row>
    <row r="1390" spans="1:17" ht="16.5" x14ac:dyDescent="0.35">
      <c r="A1390" s="53">
        <v>1389</v>
      </c>
      <c r="B1390" s="351" t="s">
        <v>3096</v>
      </c>
      <c r="C1390" s="18" t="s">
        <v>662</v>
      </c>
      <c r="D1390" s="17" t="s">
        <v>3116</v>
      </c>
      <c r="E1390" s="17" t="s">
        <v>3124</v>
      </c>
      <c r="H1390" s="25"/>
      <c r="I1390" s="18"/>
      <c r="J1390" s="3"/>
      <c r="L1390" s="4" t="s">
        <v>2</v>
      </c>
      <c r="M1390" s="5"/>
      <c r="O1390" s="143"/>
      <c r="P1390" s="143"/>
      <c r="Q1390" s="153">
        <f t="shared" si="45"/>
        <v>0</v>
      </c>
    </row>
    <row r="1391" spans="1:17" ht="16.5" x14ac:dyDescent="0.35">
      <c r="A1391" s="53">
        <v>1390</v>
      </c>
      <c r="B1391" s="351" t="s">
        <v>3097</v>
      </c>
      <c r="C1391" s="18" t="s">
        <v>662</v>
      </c>
      <c r="D1391" s="17" t="s">
        <v>3116</v>
      </c>
      <c r="E1391" s="17" t="s">
        <v>3125</v>
      </c>
      <c r="H1391" s="25"/>
      <c r="I1391" s="18"/>
      <c r="J1391" s="3"/>
      <c r="L1391" s="4" t="s">
        <v>2</v>
      </c>
      <c r="M1391" s="5"/>
      <c r="O1391" s="143"/>
      <c r="P1391" s="143"/>
      <c r="Q1391" s="153">
        <f t="shared" si="45"/>
        <v>0</v>
      </c>
    </row>
    <row r="1392" spans="1:17" ht="16.5" x14ac:dyDescent="0.35">
      <c r="A1392" s="53">
        <v>1391</v>
      </c>
      <c r="B1392" s="351" t="s">
        <v>3098</v>
      </c>
      <c r="C1392" s="18" t="s">
        <v>662</v>
      </c>
      <c r="D1392" s="17" t="s">
        <v>3116</v>
      </c>
      <c r="E1392" s="17" t="s">
        <v>3126</v>
      </c>
      <c r="H1392" s="25"/>
      <c r="I1392" s="18"/>
      <c r="J1392" s="3"/>
      <c r="L1392" s="4" t="s">
        <v>9</v>
      </c>
      <c r="M1392" s="5"/>
      <c r="O1392" s="143"/>
      <c r="P1392" s="143"/>
      <c r="Q1392" s="153">
        <f t="shared" si="45"/>
        <v>0</v>
      </c>
    </row>
    <row r="1393" spans="1:17" ht="16.5" x14ac:dyDescent="0.35">
      <c r="A1393" s="53">
        <v>1392</v>
      </c>
      <c r="B1393" s="351" t="s">
        <v>3099</v>
      </c>
      <c r="C1393" s="18" t="s">
        <v>662</v>
      </c>
      <c r="D1393" s="17" t="s">
        <v>3116</v>
      </c>
      <c r="E1393" s="17" t="s">
        <v>3127</v>
      </c>
      <c r="H1393" s="25"/>
      <c r="I1393" s="18"/>
      <c r="J1393" s="3"/>
      <c r="L1393" s="4" t="s">
        <v>9</v>
      </c>
      <c r="M1393" s="5"/>
      <c r="O1393" s="143"/>
      <c r="P1393" s="143"/>
      <c r="Q1393" s="153">
        <f t="shared" si="45"/>
        <v>0</v>
      </c>
    </row>
    <row r="1394" spans="1:17" ht="16.5" x14ac:dyDescent="0.35">
      <c r="A1394" s="53">
        <v>1393</v>
      </c>
      <c r="B1394" s="351" t="s">
        <v>3100</v>
      </c>
      <c r="C1394" s="18" t="s">
        <v>662</v>
      </c>
      <c r="D1394" s="17" t="s">
        <v>3116</v>
      </c>
      <c r="E1394" s="17" t="s">
        <v>3128</v>
      </c>
      <c r="H1394" s="25"/>
      <c r="I1394" s="18"/>
      <c r="J1394" s="3"/>
      <c r="L1394" s="4" t="s">
        <v>2</v>
      </c>
      <c r="M1394" s="5"/>
      <c r="O1394" s="143"/>
      <c r="P1394" s="143"/>
      <c r="Q1394" s="153">
        <f t="shared" si="45"/>
        <v>0</v>
      </c>
    </row>
    <row r="1395" spans="1:17" ht="16.5" x14ac:dyDescent="0.35">
      <c r="A1395" s="53">
        <v>1394</v>
      </c>
      <c r="B1395" s="351" t="s">
        <v>3101</v>
      </c>
      <c r="C1395" s="18" t="s">
        <v>662</v>
      </c>
      <c r="D1395" s="17" t="s">
        <v>3116</v>
      </c>
      <c r="E1395" s="17" t="s">
        <v>3129</v>
      </c>
      <c r="H1395" s="25"/>
      <c r="I1395" s="18"/>
      <c r="J1395" s="3"/>
      <c r="L1395" s="4" t="s">
        <v>2</v>
      </c>
      <c r="M1395" s="5"/>
      <c r="O1395" s="143"/>
      <c r="P1395" s="143"/>
      <c r="Q1395" s="153">
        <f t="shared" si="45"/>
        <v>0</v>
      </c>
    </row>
    <row r="1396" spans="1:17" ht="16.5" x14ac:dyDescent="0.35">
      <c r="A1396" s="53">
        <v>1395</v>
      </c>
      <c r="B1396" s="351" t="s">
        <v>3102</v>
      </c>
      <c r="C1396" s="18" t="s">
        <v>662</v>
      </c>
      <c r="D1396" s="17" t="s">
        <v>3116</v>
      </c>
      <c r="E1396" s="17" t="s">
        <v>3130</v>
      </c>
      <c r="H1396" s="25"/>
      <c r="I1396" s="18"/>
      <c r="J1396" s="3"/>
      <c r="L1396" s="4" t="s">
        <v>9</v>
      </c>
      <c r="M1396" s="5"/>
      <c r="O1396" s="143"/>
      <c r="P1396" s="143"/>
      <c r="Q1396" s="153">
        <f t="shared" si="45"/>
        <v>0</v>
      </c>
    </row>
    <row r="1397" spans="1:17" ht="16.5" x14ac:dyDescent="0.35">
      <c r="A1397" s="53">
        <v>1396</v>
      </c>
      <c r="B1397" s="351" t="s">
        <v>3103</v>
      </c>
      <c r="C1397" s="18" t="s">
        <v>662</v>
      </c>
      <c r="D1397" s="17" t="s">
        <v>3116</v>
      </c>
      <c r="E1397" s="17" t="s">
        <v>3131</v>
      </c>
      <c r="H1397" s="25"/>
      <c r="I1397" s="18"/>
      <c r="J1397" s="3"/>
      <c r="L1397" s="4" t="s">
        <v>9</v>
      </c>
      <c r="M1397" s="5"/>
      <c r="O1397" s="143"/>
      <c r="P1397" s="143"/>
      <c r="Q1397" s="153">
        <f t="shared" si="45"/>
        <v>0</v>
      </c>
    </row>
    <row r="1398" spans="1:17" ht="16.5" x14ac:dyDescent="0.35">
      <c r="A1398" s="53">
        <v>1397</v>
      </c>
      <c r="B1398" s="351" t="s">
        <v>3104</v>
      </c>
      <c r="C1398" s="18" t="s">
        <v>662</v>
      </c>
      <c r="D1398" s="17" t="s">
        <v>3116</v>
      </c>
      <c r="E1398" s="17" t="s">
        <v>3132</v>
      </c>
      <c r="H1398" s="25"/>
      <c r="I1398" s="18"/>
      <c r="J1398" s="3"/>
      <c r="L1398" s="4" t="s">
        <v>9</v>
      </c>
      <c r="M1398" s="5"/>
      <c r="O1398" s="143"/>
      <c r="P1398" s="143"/>
      <c r="Q1398" s="153">
        <f t="shared" si="45"/>
        <v>0</v>
      </c>
    </row>
    <row r="1399" spans="1:17" ht="16.5" x14ac:dyDescent="0.35">
      <c r="A1399" s="53">
        <v>1398</v>
      </c>
      <c r="B1399" s="351" t="s">
        <v>3105</v>
      </c>
      <c r="C1399" s="18" t="s">
        <v>662</v>
      </c>
      <c r="D1399" s="17" t="s">
        <v>3116</v>
      </c>
      <c r="E1399" s="17" t="s">
        <v>3133</v>
      </c>
      <c r="H1399" s="25"/>
      <c r="I1399" s="18"/>
      <c r="J1399" s="3"/>
      <c r="L1399" s="4" t="s">
        <v>9</v>
      </c>
      <c r="M1399" s="5"/>
      <c r="O1399" s="143"/>
      <c r="P1399" s="143"/>
      <c r="Q1399" s="153">
        <f t="shared" si="45"/>
        <v>0</v>
      </c>
    </row>
    <row r="1400" spans="1:17" ht="16.5" x14ac:dyDescent="0.35">
      <c r="A1400" s="53">
        <v>1399</v>
      </c>
      <c r="B1400" s="351" t="s">
        <v>3106</v>
      </c>
      <c r="C1400" s="18" t="s">
        <v>662</v>
      </c>
      <c r="D1400" s="17" t="s">
        <v>3116</v>
      </c>
      <c r="E1400" s="17" t="s">
        <v>3134</v>
      </c>
      <c r="H1400" s="25"/>
      <c r="I1400" s="18"/>
      <c r="J1400" s="3"/>
      <c r="L1400" s="4" t="s">
        <v>2</v>
      </c>
      <c r="M1400" s="5"/>
      <c r="O1400" s="143"/>
      <c r="P1400" s="143"/>
      <c r="Q1400" s="153">
        <f t="shared" si="45"/>
        <v>0</v>
      </c>
    </row>
    <row r="1401" spans="1:17" ht="16.5" x14ac:dyDescent="0.35">
      <c r="A1401" s="53">
        <v>1400</v>
      </c>
      <c r="B1401" s="351" t="s">
        <v>3107</v>
      </c>
      <c r="C1401" s="18" t="s">
        <v>662</v>
      </c>
      <c r="D1401" s="17" t="s">
        <v>3116</v>
      </c>
      <c r="E1401" s="17" t="s">
        <v>3135</v>
      </c>
      <c r="H1401" s="25"/>
      <c r="I1401" s="18"/>
      <c r="J1401" s="3"/>
      <c r="L1401" s="4" t="s">
        <v>2</v>
      </c>
      <c r="M1401" s="5"/>
      <c r="O1401" s="143"/>
      <c r="P1401" s="143"/>
      <c r="Q1401" s="153">
        <f t="shared" si="45"/>
        <v>0</v>
      </c>
    </row>
    <row r="1402" spans="1:17" ht="16.5" x14ac:dyDescent="0.35">
      <c r="A1402" s="53">
        <v>1401</v>
      </c>
      <c r="B1402" s="351" t="s">
        <v>3108</v>
      </c>
      <c r="C1402" s="18" t="s">
        <v>662</v>
      </c>
      <c r="D1402" s="17" t="s">
        <v>3116</v>
      </c>
      <c r="E1402" s="17" t="s">
        <v>3136</v>
      </c>
      <c r="H1402" s="25"/>
      <c r="I1402" s="18"/>
      <c r="J1402" s="3"/>
      <c r="L1402" s="4" t="s">
        <v>2</v>
      </c>
      <c r="M1402" s="5"/>
      <c r="O1402" s="143"/>
      <c r="P1402" s="143"/>
      <c r="Q1402" s="153">
        <f t="shared" si="45"/>
        <v>0</v>
      </c>
    </row>
    <row r="1403" spans="1:17" ht="16.5" x14ac:dyDescent="0.35">
      <c r="A1403" s="53">
        <v>1402</v>
      </c>
      <c r="B1403" s="351" t="s">
        <v>3109</v>
      </c>
      <c r="C1403" s="18" t="s">
        <v>662</v>
      </c>
      <c r="D1403" s="17" t="s">
        <v>3116</v>
      </c>
      <c r="E1403" s="17" t="s">
        <v>3137</v>
      </c>
      <c r="H1403" s="25"/>
      <c r="I1403" s="18"/>
      <c r="J1403" s="3"/>
      <c r="L1403" s="4" t="s">
        <v>2</v>
      </c>
      <c r="M1403" s="5"/>
      <c r="O1403" s="143"/>
      <c r="P1403" s="143"/>
      <c r="Q1403" s="153">
        <f t="shared" si="45"/>
        <v>0</v>
      </c>
    </row>
    <row r="1404" spans="1:17" ht="16.5" x14ac:dyDescent="0.35">
      <c r="A1404" s="53">
        <v>1403</v>
      </c>
      <c r="B1404" s="351" t="s">
        <v>3110</v>
      </c>
      <c r="C1404" s="18" t="s">
        <v>662</v>
      </c>
      <c r="D1404" s="17" t="s">
        <v>3116</v>
      </c>
      <c r="E1404" s="17" t="s">
        <v>3138</v>
      </c>
      <c r="H1404" s="25"/>
      <c r="I1404" s="18"/>
      <c r="J1404" s="3"/>
      <c r="L1404" s="4" t="s">
        <v>9</v>
      </c>
      <c r="M1404" s="5"/>
      <c r="O1404" s="143"/>
      <c r="P1404" s="143"/>
      <c r="Q1404" s="153">
        <f t="shared" si="45"/>
        <v>0</v>
      </c>
    </row>
    <row r="1405" spans="1:17" ht="16.5" x14ac:dyDescent="0.35">
      <c r="A1405" s="53">
        <v>1404</v>
      </c>
      <c r="B1405" s="351" t="s">
        <v>3111</v>
      </c>
      <c r="C1405" s="18" t="s">
        <v>662</v>
      </c>
      <c r="D1405" s="17" t="s">
        <v>3116</v>
      </c>
      <c r="E1405" s="17" t="s">
        <v>3139</v>
      </c>
      <c r="H1405" s="25"/>
      <c r="I1405" s="18"/>
      <c r="J1405" s="3" t="s">
        <v>3145</v>
      </c>
      <c r="L1405" s="4" t="s">
        <v>9</v>
      </c>
      <c r="M1405" s="5"/>
      <c r="O1405" s="143"/>
      <c r="P1405" s="143"/>
      <c r="Q1405" s="153">
        <f t="shared" si="45"/>
        <v>0</v>
      </c>
    </row>
    <row r="1406" spans="1:17" ht="16.5" x14ac:dyDescent="0.35">
      <c r="A1406" s="53">
        <v>1405</v>
      </c>
      <c r="B1406" s="351" t="s">
        <v>3112</v>
      </c>
      <c r="C1406" s="18" t="s">
        <v>662</v>
      </c>
      <c r="D1406" s="17" t="s">
        <v>3116</v>
      </c>
      <c r="E1406" s="17" t="s">
        <v>3140</v>
      </c>
      <c r="H1406" s="25"/>
      <c r="I1406" s="18"/>
      <c r="J1406" s="3" t="s">
        <v>3146</v>
      </c>
      <c r="L1406" s="4" t="s">
        <v>9</v>
      </c>
      <c r="M1406" s="5"/>
      <c r="O1406" s="143"/>
      <c r="P1406" s="143"/>
      <c r="Q1406" s="153">
        <f t="shared" si="45"/>
        <v>0</v>
      </c>
    </row>
    <row r="1407" spans="1:17" ht="16.5" x14ac:dyDescent="0.35">
      <c r="A1407" s="53">
        <v>1406</v>
      </c>
      <c r="B1407" s="351" t="s">
        <v>3113</v>
      </c>
      <c r="C1407" s="18" t="s">
        <v>662</v>
      </c>
      <c r="D1407" s="17" t="s">
        <v>3116</v>
      </c>
      <c r="E1407" s="17" t="s">
        <v>3141</v>
      </c>
      <c r="H1407" s="25"/>
      <c r="I1407" s="18"/>
      <c r="J1407" s="3" t="s">
        <v>3147</v>
      </c>
      <c r="L1407" s="4" t="s">
        <v>9</v>
      </c>
      <c r="M1407" s="5"/>
      <c r="O1407" s="143"/>
      <c r="P1407" s="143"/>
      <c r="Q1407" s="153">
        <f t="shared" si="45"/>
        <v>0</v>
      </c>
    </row>
    <row r="1408" spans="1:17" ht="16.5" x14ac:dyDescent="0.35">
      <c r="A1408" s="53">
        <v>1407</v>
      </c>
      <c r="B1408" s="351" t="s">
        <v>3114</v>
      </c>
      <c r="C1408" s="18" t="s">
        <v>662</v>
      </c>
      <c r="D1408" s="17" t="s">
        <v>3116</v>
      </c>
      <c r="E1408" s="17" t="s">
        <v>3142</v>
      </c>
      <c r="H1408" s="25"/>
      <c r="I1408" s="18"/>
      <c r="J1408" s="3" t="s">
        <v>3148</v>
      </c>
      <c r="L1408" s="4" t="s">
        <v>9</v>
      </c>
      <c r="M1408" s="5"/>
      <c r="O1408" s="143"/>
      <c r="P1408" s="143"/>
      <c r="Q1408" s="153">
        <f t="shared" si="45"/>
        <v>0</v>
      </c>
    </row>
    <row r="1409" spans="1:17" ht="16.5" x14ac:dyDescent="0.35">
      <c r="A1409" s="53">
        <v>1408</v>
      </c>
      <c r="B1409" s="351" t="s">
        <v>3115</v>
      </c>
      <c r="C1409" s="18" t="s">
        <v>662</v>
      </c>
      <c r="D1409" s="17" t="s">
        <v>3116</v>
      </c>
      <c r="E1409" s="17" t="s">
        <v>3143</v>
      </c>
      <c r="H1409" s="25"/>
      <c r="I1409" s="351"/>
      <c r="J1409" s="3" t="s">
        <v>3149</v>
      </c>
      <c r="L1409" s="4" t="s">
        <v>2</v>
      </c>
      <c r="M1409" s="27"/>
      <c r="O1409" s="143"/>
      <c r="P1409" s="143"/>
      <c r="Q1409" s="153">
        <f t="shared" si="45"/>
        <v>0</v>
      </c>
    </row>
    <row r="1410" spans="1:17" ht="16.5" x14ac:dyDescent="0.35">
      <c r="A1410" s="53">
        <v>1409</v>
      </c>
      <c r="B1410" s="147" t="s">
        <v>3150</v>
      </c>
      <c r="C1410" s="18" t="s">
        <v>662</v>
      </c>
      <c r="D1410" s="17" t="s">
        <v>3176</v>
      </c>
      <c r="E1410" s="17" t="s">
        <v>708</v>
      </c>
      <c r="H1410" s="25"/>
      <c r="I1410" s="18"/>
      <c r="J1410" s="7"/>
      <c r="L1410" s="4" t="s">
        <v>9</v>
      </c>
      <c r="M1410" s="5"/>
      <c r="O1410" s="143"/>
      <c r="P1410" s="143"/>
      <c r="Q1410" s="153">
        <f t="shared" ref="Q1410:Q1411" si="46">SUM(M1410:P1410)</f>
        <v>0</v>
      </c>
    </row>
    <row r="1411" spans="1:17" ht="16.5" x14ac:dyDescent="0.35">
      <c r="A1411" s="53">
        <v>1410</v>
      </c>
      <c r="B1411" s="147" t="s">
        <v>3151</v>
      </c>
      <c r="C1411" s="18" t="s">
        <v>662</v>
      </c>
      <c r="D1411" s="17" t="s">
        <v>3176</v>
      </c>
      <c r="E1411" s="17" t="s">
        <v>708</v>
      </c>
      <c r="H1411" s="25"/>
      <c r="I1411" s="18"/>
      <c r="J1411" s="10"/>
      <c r="L1411" s="4" t="s">
        <v>9</v>
      </c>
      <c r="M1411" s="5"/>
      <c r="O1411" s="143"/>
      <c r="P1411" s="143"/>
      <c r="Q1411" s="153">
        <f t="shared" si="46"/>
        <v>0</v>
      </c>
    </row>
    <row r="1412" spans="1:17" ht="17" thickBot="1" x14ac:dyDescent="0.4">
      <c r="A1412" s="53">
        <v>1411</v>
      </c>
      <c r="B1412" s="147" t="s">
        <v>3152</v>
      </c>
      <c r="C1412" s="18" t="s">
        <v>662</v>
      </c>
      <c r="D1412" s="17" t="s">
        <v>3176</v>
      </c>
      <c r="E1412" s="17" t="s">
        <v>708</v>
      </c>
      <c r="H1412" s="25"/>
      <c r="I1412" s="18"/>
      <c r="J1412" s="13"/>
      <c r="L1412" s="4" t="s">
        <v>9</v>
      </c>
      <c r="M1412" s="5"/>
      <c r="O1412" s="143"/>
      <c r="P1412" s="143"/>
      <c r="Q1412" s="153">
        <f>SUM(M1412:P1412)</f>
        <v>0</v>
      </c>
    </row>
    <row r="1413" spans="1:17" ht="16.5" x14ac:dyDescent="0.35">
      <c r="A1413" s="53">
        <v>1412</v>
      </c>
      <c r="B1413" s="147" t="s">
        <v>3153</v>
      </c>
      <c r="C1413" s="18" t="s">
        <v>662</v>
      </c>
      <c r="D1413" s="17" t="s">
        <v>3176</v>
      </c>
      <c r="E1413" s="17" t="s">
        <v>708</v>
      </c>
      <c r="H1413" s="25"/>
      <c r="I1413" s="18"/>
      <c r="J1413" s="25"/>
      <c r="L1413" s="4" t="s">
        <v>2</v>
      </c>
      <c r="M1413" s="5"/>
      <c r="O1413" s="143"/>
      <c r="P1413" s="143"/>
      <c r="Q1413" s="153">
        <f t="shared" ref="Q1413:Q1439" si="47">SUM(M1413:P1413)</f>
        <v>0</v>
      </c>
    </row>
    <row r="1414" spans="1:17" ht="16.5" x14ac:dyDescent="0.35">
      <c r="A1414" s="53">
        <v>1413</v>
      </c>
      <c r="B1414" s="147" t="s">
        <v>3154</v>
      </c>
      <c r="C1414" s="18" t="s">
        <v>662</v>
      </c>
      <c r="D1414" s="17" t="s">
        <v>3176</v>
      </c>
      <c r="E1414" s="17" t="s">
        <v>708</v>
      </c>
      <c r="H1414" s="25"/>
      <c r="I1414" s="18"/>
      <c r="J1414" s="25"/>
      <c r="L1414" s="4" t="s">
        <v>9</v>
      </c>
      <c r="M1414" s="5"/>
      <c r="O1414" s="143"/>
      <c r="P1414" s="143"/>
      <c r="Q1414" s="153">
        <f t="shared" si="47"/>
        <v>0</v>
      </c>
    </row>
    <row r="1415" spans="1:17" ht="16.5" x14ac:dyDescent="0.35">
      <c r="A1415" s="53">
        <v>1414</v>
      </c>
      <c r="B1415" s="147" t="s">
        <v>3155</v>
      </c>
      <c r="C1415" s="18" t="s">
        <v>662</v>
      </c>
      <c r="D1415" s="17" t="s">
        <v>3176</v>
      </c>
      <c r="E1415" s="17" t="s">
        <v>708</v>
      </c>
      <c r="H1415" s="25"/>
      <c r="I1415" s="18"/>
      <c r="J1415" s="25"/>
      <c r="L1415" s="4" t="s">
        <v>2</v>
      </c>
      <c r="M1415" s="5"/>
      <c r="O1415" s="143"/>
      <c r="P1415" s="143"/>
      <c r="Q1415" s="153">
        <f t="shared" si="47"/>
        <v>0</v>
      </c>
    </row>
    <row r="1416" spans="1:17" ht="16.5" x14ac:dyDescent="0.35">
      <c r="A1416" s="53">
        <v>1415</v>
      </c>
      <c r="B1416" s="147" t="s">
        <v>3156</v>
      </c>
      <c r="C1416" s="18" t="s">
        <v>662</v>
      </c>
      <c r="D1416" s="17" t="s">
        <v>3176</v>
      </c>
      <c r="E1416" s="17" t="s">
        <v>708</v>
      </c>
      <c r="H1416" s="25"/>
      <c r="I1416" s="18"/>
      <c r="J1416" s="25"/>
      <c r="L1416" s="4" t="s">
        <v>2</v>
      </c>
      <c r="M1416" s="5"/>
      <c r="O1416" s="143"/>
      <c r="P1416" s="143"/>
      <c r="Q1416" s="153">
        <f t="shared" si="47"/>
        <v>0</v>
      </c>
    </row>
    <row r="1417" spans="1:17" ht="16.5" x14ac:dyDescent="0.35">
      <c r="A1417" s="53">
        <v>1416</v>
      </c>
      <c r="B1417" s="147" t="s">
        <v>3157</v>
      </c>
      <c r="C1417" s="18" t="s">
        <v>662</v>
      </c>
      <c r="D1417" s="17" t="s">
        <v>3176</v>
      </c>
      <c r="E1417" s="17" t="s">
        <v>708</v>
      </c>
      <c r="H1417" s="25"/>
      <c r="I1417" s="18"/>
      <c r="J1417" s="25"/>
      <c r="L1417" s="4" t="s">
        <v>2</v>
      </c>
      <c r="M1417" s="5"/>
      <c r="O1417" s="143"/>
      <c r="P1417" s="143"/>
      <c r="Q1417" s="153">
        <f t="shared" si="47"/>
        <v>0</v>
      </c>
    </row>
    <row r="1418" spans="1:17" ht="16.5" x14ac:dyDescent="0.35">
      <c r="A1418" s="53">
        <v>1417</v>
      </c>
      <c r="B1418" s="147" t="s">
        <v>3158</v>
      </c>
      <c r="C1418" s="18" t="s">
        <v>662</v>
      </c>
      <c r="D1418" s="17" t="s">
        <v>3176</v>
      </c>
      <c r="E1418" s="17" t="s">
        <v>708</v>
      </c>
      <c r="H1418" s="25"/>
      <c r="I1418" s="18"/>
      <c r="J1418" s="25"/>
      <c r="L1418" s="4" t="s">
        <v>2</v>
      </c>
      <c r="M1418" s="5"/>
      <c r="O1418" s="143"/>
      <c r="P1418" s="143"/>
      <c r="Q1418" s="153">
        <f t="shared" si="47"/>
        <v>0</v>
      </c>
    </row>
    <row r="1419" spans="1:17" ht="16.5" x14ac:dyDescent="0.35">
      <c r="A1419" s="53">
        <v>1418</v>
      </c>
      <c r="B1419" s="147" t="s">
        <v>3159</v>
      </c>
      <c r="C1419" s="18" t="s">
        <v>662</v>
      </c>
      <c r="D1419" s="17" t="s">
        <v>3176</v>
      </c>
      <c r="E1419" s="17" t="s">
        <v>708</v>
      </c>
      <c r="H1419" s="25"/>
      <c r="I1419" s="18"/>
      <c r="J1419" s="25"/>
      <c r="L1419" s="4" t="s">
        <v>9</v>
      </c>
      <c r="M1419" s="5"/>
      <c r="O1419" s="143"/>
      <c r="P1419" s="143"/>
      <c r="Q1419" s="153">
        <f t="shared" si="47"/>
        <v>0</v>
      </c>
    </row>
    <row r="1420" spans="1:17" ht="16.5" x14ac:dyDescent="0.35">
      <c r="A1420" s="53">
        <v>1419</v>
      </c>
      <c r="B1420" s="147" t="s">
        <v>3160</v>
      </c>
      <c r="C1420" s="18" t="s">
        <v>662</v>
      </c>
      <c r="D1420" s="17" t="s">
        <v>3176</v>
      </c>
      <c r="E1420" s="17" t="s">
        <v>708</v>
      </c>
      <c r="H1420" s="25"/>
      <c r="I1420" s="18"/>
      <c r="J1420" s="25"/>
      <c r="L1420" s="4" t="s">
        <v>2</v>
      </c>
      <c r="M1420" s="5"/>
      <c r="O1420" s="143"/>
      <c r="P1420" s="143"/>
      <c r="Q1420" s="153">
        <f t="shared" si="47"/>
        <v>0</v>
      </c>
    </row>
    <row r="1421" spans="1:17" ht="16.5" x14ac:dyDescent="0.35">
      <c r="A1421" s="53">
        <v>1420</v>
      </c>
      <c r="B1421" s="147" t="s">
        <v>3161</v>
      </c>
      <c r="C1421" s="18" t="s">
        <v>662</v>
      </c>
      <c r="D1421" s="17" t="s">
        <v>3176</v>
      </c>
      <c r="E1421" s="17" t="s">
        <v>708</v>
      </c>
      <c r="H1421" s="25"/>
      <c r="I1421" s="18"/>
      <c r="J1421" s="25"/>
      <c r="L1421" s="4" t="s">
        <v>2</v>
      </c>
      <c r="M1421" s="5"/>
      <c r="O1421" s="143"/>
      <c r="P1421" s="143"/>
      <c r="Q1421" s="153">
        <f t="shared" si="47"/>
        <v>0</v>
      </c>
    </row>
    <row r="1422" spans="1:17" ht="16.5" x14ac:dyDescent="0.35">
      <c r="A1422" s="53">
        <v>1421</v>
      </c>
      <c r="B1422" s="147" t="s">
        <v>3162</v>
      </c>
      <c r="C1422" s="18" t="s">
        <v>662</v>
      </c>
      <c r="D1422" s="17" t="s">
        <v>3176</v>
      </c>
      <c r="E1422" s="17" t="s">
        <v>708</v>
      </c>
      <c r="H1422" s="25"/>
      <c r="I1422" s="18"/>
      <c r="J1422" s="25"/>
      <c r="L1422" s="4" t="s">
        <v>9</v>
      </c>
      <c r="M1422" s="5"/>
      <c r="O1422" s="143"/>
      <c r="P1422" s="143"/>
      <c r="Q1422" s="153">
        <f t="shared" si="47"/>
        <v>0</v>
      </c>
    </row>
    <row r="1423" spans="1:17" ht="16.5" x14ac:dyDescent="0.35">
      <c r="A1423" s="53">
        <v>1422</v>
      </c>
      <c r="B1423" s="147" t="s">
        <v>3163</v>
      </c>
      <c r="C1423" s="18" t="s">
        <v>662</v>
      </c>
      <c r="D1423" s="17" t="s">
        <v>3176</v>
      </c>
      <c r="E1423" s="17" t="s">
        <v>708</v>
      </c>
      <c r="H1423" s="25"/>
      <c r="I1423" s="18"/>
      <c r="J1423" s="25"/>
      <c r="L1423" s="4" t="s">
        <v>9</v>
      </c>
      <c r="M1423" s="5"/>
      <c r="O1423" s="143"/>
      <c r="P1423" s="143"/>
      <c r="Q1423" s="153">
        <f t="shared" si="47"/>
        <v>0</v>
      </c>
    </row>
    <row r="1424" spans="1:17" ht="16.5" x14ac:dyDescent="0.35">
      <c r="A1424" s="53">
        <v>1423</v>
      </c>
      <c r="B1424" s="147" t="s">
        <v>3164</v>
      </c>
      <c r="C1424" s="18" t="s">
        <v>662</v>
      </c>
      <c r="D1424" s="17" t="s">
        <v>3176</v>
      </c>
      <c r="E1424" s="17" t="s">
        <v>708</v>
      </c>
      <c r="H1424" s="25"/>
      <c r="I1424" s="18"/>
      <c r="J1424" s="25"/>
      <c r="L1424" s="4" t="s">
        <v>2</v>
      </c>
      <c r="M1424" s="5"/>
      <c r="O1424" s="143"/>
      <c r="P1424" s="143"/>
      <c r="Q1424" s="153">
        <f t="shared" si="47"/>
        <v>0</v>
      </c>
    </row>
    <row r="1425" spans="1:17" ht="16.5" x14ac:dyDescent="0.35">
      <c r="A1425" s="53">
        <v>1424</v>
      </c>
      <c r="B1425" s="147" t="s">
        <v>3165</v>
      </c>
      <c r="C1425" s="18" t="s">
        <v>662</v>
      </c>
      <c r="D1425" s="17" t="s">
        <v>3176</v>
      </c>
      <c r="E1425" s="17" t="s">
        <v>708</v>
      </c>
      <c r="H1425" s="25"/>
      <c r="I1425" s="18"/>
      <c r="J1425" s="25"/>
      <c r="L1425" s="4" t="s">
        <v>9</v>
      </c>
      <c r="M1425" s="5"/>
      <c r="O1425" s="143"/>
      <c r="P1425" s="143"/>
      <c r="Q1425" s="153">
        <f t="shared" si="47"/>
        <v>0</v>
      </c>
    </row>
    <row r="1426" spans="1:17" ht="16.5" x14ac:dyDescent="0.35">
      <c r="A1426" s="53">
        <v>1425</v>
      </c>
      <c r="B1426" s="147" t="s">
        <v>2162</v>
      </c>
      <c r="C1426" s="18" t="s">
        <v>662</v>
      </c>
      <c r="D1426" s="17" t="s">
        <v>3176</v>
      </c>
      <c r="E1426" s="17" t="s">
        <v>708</v>
      </c>
      <c r="H1426" s="25"/>
      <c r="I1426" s="18"/>
      <c r="J1426" s="25"/>
      <c r="L1426" s="4" t="s">
        <v>2</v>
      </c>
      <c r="M1426" s="5"/>
      <c r="O1426" s="143"/>
      <c r="P1426" s="143"/>
      <c r="Q1426" s="153">
        <f t="shared" si="47"/>
        <v>0</v>
      </c>
    </row>
    <row r="1427" spans="1:17" ht="16.5" x14ac:dyDescent="0.35">
      <c r="A1427" s="53">
        <v>1426</v>
      </c>
      <c r="B1427" s="147" t="s">
        <v>3166</v>
      </c>
      <c r="C1427" s="18" t="s">
        <v>662</v>
      </c>
      <c r="D1427" s="17" t="s">
        <v>3176</v>
      </c>
      <c r="E1427" s="17" t="s">
        <v>708</v>
      </c>
      <c r="H1427" s="25"/>
      <c r="I1427" s="18"/>
      <c r="J1427" s="25"/>
      <c r="L1427" s="4" t="s">
        <v>9</v>
      </c>
      <c r="M1427" s="5"/>
      <c r="O1427" s="143"/>
      <c r="P1427" s="143"/>
      <c r="Q1427" s="153">
        <f t="shared" si="47"/>
        <v>0</v>
      </c>
    </row>
    <row r="1428" spans="1:17" ht="16.5" x14ac:dyDescent="0.35">
      <c r="A1428" s="53">
        <v>1427</v>
      </c>
      <c r="B1428" s="147" t="s">
        <v>3167</v>
      </c>
      <c r="C1428" s="18" t="s">
        <v>662</v>
      </c>
      <c r="D1428" s="17" t="s">
        <v>3176</v>
      </c>
      <c r="E1428" s="17" t="s">
        <v>708</v>
      </c>
      <c r="H1428" s="25"/>
      <c r="I1428" s="18"/>
      <c r="J1428" s="25"/>
      <c r="L1428" s="4" t="s">
        <v>2</v>
      </c>
      <c r="M1428" s="5"/>
      <c r="O1428" s="143"/>
      <c r="P1428" s="143"/>
      <c r="Q1428" s="153">
        <f t="shared" si="47"/>
        <v>0</v>
      </c>
    </row>
    <row r="1429" spans="1:17" ht="16.5" x14ac:dyDescent="0.35">
      <c r="A1429" s="53">
        <v>1428</v>
      </c>
      <c r="B1429" s="147" t="s">
        <v>119</v>
      </c>
      <c r="C1429" s="18" t="s">
        <v>662</v>
      </c>
      <c r="D1429" s="17" t="s">
        <v>3176</v>
      </c>
      <c r="E1429" s="17" t="s">
        <v>708</v>
      </c>
      <c r="H1429" s="25"/>
      <c r="I1429" s="18"/>
      <c r="J1429" s="25"/>
      <c r="L1429" s="4" t="s">
        <v>2</v>
      </c>
      <c r="M1429" s="5"/>
      <c r="O1429" s="143"/>
      <c r="P1429" s="143"/>
      <c r="Q1429" s="153">
        <f t="shared" si="47"/>
        <v>0</v>
      </c>
    </row>
    <row r="1430" spans="1:17" ht="16.5" x14ac:dyDescent="0.35">
      <c r="A1430" s="53">
        <v>1429</v>
      </c>
      <c r="B1430" s="147" t="s">
        <v>3168</v>
      </c>
      <c r="C1430" s="18" t="s">
        <v>662</v>
      </c>
      <c r="D1430" s="17" t="s">
        <v>3176</v>
      </c>
      <c r="E1430" s="17" t="s">
        <v>708</v>
      </c>
      <c r="H1430" s="25"/>
      <c r="I1430" s="18"/>
      <c r="J1430" s="25"/>
      <c r="L1430" s="4" t="s">
        <v>2</v>
      </c>
      <c r="M1430" s="5"/>
      <c r="O1430" s="143"/>
      <c r="P1430" s="143"/>
      <c r="Q1430" s="153">
        <f t="shared" si="47"/>
        <v>0</v>
      </c>
    </row>
    <row r="1431" spans="1:17" ht="16.5" x14ac:dyDescent="0.35">
      <c r="A1431" s="53">
        <v>1430</v>
      </c>
      <c r="B1431" s="147" t="s">
        <v>3169</v>
      </c>
      <c r="C1431" s="18" t="s">
        <v>662</v>
      </c>
      <c r="D1431" s="17" t="s">
        <v>3176</v>
      </c>
      <c r="E1431" s="17" t="s">
        <v>708</v>
      </c>
      <c r="H1431" s="25"/>
      <c r="I1431" s="18"/>
      <c r="J1431" s="25"/>
      <c r="L1431" s="4" t="s">
        <v>9</v>
      </c>
      <c r="M1431" s="5"/>
      <c r="O1431" s="143"/>
      <c r="P1431" s="143"/>
      <c r="Q1431" s="153">
        <f t="shared" si="47"/>
        <v>0</v>
      </c>
    </row>
    <row r="1432" spans="1:17" ht="16.5" x14ac:dyDescent="0.35">
      <c r="A1432" s="53">
        <v>1431</v>
      </c>
      <c r="B1432" s="147" t="s">
        <v>3170</v>
      </c>
      <c r="C1432" s="18" t="s">
        <v>662</v>
      </c>
      <c r="D1432" s="17" t="s">
        <v>3176</v>
      </c>
      <c r="E1432" s="17" t="s">
        <v>708</v>
      </c>
      <c r="H1432" s="25"/>
      <c r="I1432" s="18"/>
      <c r="J1432" s="25"/>
      <c r="L1432" s="4" t="s">
        <v>2</v>
      </c>
      <c r="M1432" s="5"/>
      <c r="O1432" s="143"/>
      <c r="P1432" s="143"/>
      <c r="Q1432" s="153">
        <f t="shared" si="47"/>
        <v>0</v>
      </c>
    </row>
    <row r="1433" spans="1:17" ht="16.5" x14ac:dyDescent="0.35">
      <c r="A1433" s="53">
        <v>1432</v>
      </c>
      <c r="B1433" s="147" t="s">
        <v>3171</v>
      </c>
      <c r="C1433" s="18" t="s">
        <v>662</v>
      </c>
      <c r="D1433" s="17" t="s">
        <v>3176</v>
      </c>
      <c r="E1433" s="17" t="s">
        <v>708</v>
      </c>
      <c r="H1433" s="25"/>
      <c r="I1433" s="18"/>
      <c r="J1433" s="25"/>
      <c r="L1433" s="4" t="s">
        <v>9</v>
      </c>
      <c r="M1433" s="5"/>
      <c r="O1433" s="143"/>
      <c r="P1433" s="143"/>
      <c r="Q1433" s="153">
        <f t="shared" si="47"/>
        <v>0</v>
      </c>
    </row>
    <row r="1434" spans="1:17" ht="16.5" x14ac:dyDescent="0.35">
      <c r="A1434" s="53">
        <v>1433</v>
      </c>
      <c r="B1434" s="147" t="s">
        <v>3155</v>
      </c>
      <c r="C1434" s="18" t="s">
        <v>662</v>
      </c>
      <c r="D1434" s="17" t="s">
        <v>3176</v>
      </c>
      <c r="E1434" s="17" t="s">
        <v>708</v>
      </c>
      <c r="H1434" s="25"/>
      <c r="I1434" s="18"/>
      <c r="J1434" s="25"/>
      <c r="L1434" s="4" t="s">
        <v>2</v>
      </c>
      <c r="M1434" s="5"/>
      <c r="O1434" s="143"/>
      <c r="P1434" s="143"/>
      <c r="Q1434" s="153">
        <f t="shared" si="47"/>
        <v>0</v>
      </c>
    </row>
    <row r="1435" spans="1:17" ht="16.5" x14ac:dyDescent="0.35">
      <c r="A1435" s="53">
        <v>1434</v>
      </c>
      <c r="B1435" s="147" t="s">
        <v>3172</v>
      </c>
      <c r="C1435" s="18" t="s">
        <v>662</v>
      </c>
      <c r="D1435" s="17" t="s">
        <v>3176</v>
      </c>
      <c r="E1435" s="17" t="s">
        <v>708</v>
      </c>
      <c r="H1435" s="25"/>
      <c r="I1435" s="18"/>
      <c r="J1435" s="25"/>
      <c r="L1435" s="4" t="s">
        <v>2</v>
      </c>
      <c r="M1435" s="5"/>
      <c r="O1435" s="143"/>
      <c r="P1435" s="143"/>
      <c r="Q1435" s="153">
        <f t="shared" si="47"/>
        <v>0</v>
      </c>
    </row>
    <row r="1436" spans="1:17" ht="16.5" x14ac:dyDescent="0.35">
      <c r="A1436" s="53">
        <v>1435</v>
      </c>
      <c r="B1436" s="147" t="s">
        <v>3173</v>
      </c>
      <c r="C1436" s="18" t="s">
        <v>662</v>
      </c>
      <c r="D1436" s="17" t="s">
        <v>3176</v>
      </c>
      <c r="E1436" s="17" t="s">
        <v>708</v>
      </c>
      <c r="H1436" s="25"/>
      <c r="I1436" s="18"/>
      <c r="J1436" s="25"/>
      <c r="L1436" s="4" t="s">
        <v>9</v>
      </c>
      <c r="M1436" s="5"/>
      <c r="O1436" s="143"/>
      <c r="P1436" s="143"/>
      <c r="Q1436" s="153">
        <f t="shared" si="47"/>
        <v>0</v>
      </c>
    </row>
    <row r="1437" spans="1:17" ht="16.5" x14ac:dyDescent="0.35">
      <c r="A1437" s="53">
        <v>1436</v>
      </c>
      <c r="B1437" s="147" t="s">
        <v>3174</v>
      </c>
      <c r="C1437" s="18" t="s">
        <v>662</v>
      </c>
      <c r="D1437" s="17" t="s">
        <v>3176</v>
      </c>
      <c r="E1437" s="17" t="s">
        <v>708</v>
      </c>
      <c r="H1437" s="25"/>
      <c r="I1437" s="18"/>
      <c r="J1437" s="25"/>
      <c r="L1437" s="4" t="s">
        <v>9</v>
      </c>
      <c r="M1437" s="5"/>
      <c r="O1437" s="143"/>
      <c r="P1437" s="143"/>
      <c r="Q1437" s="153">
        <f t="shared" si="47"/>
        <v>0</v>
      </c>
    </row>
    <row r="1438" spans="1:17" ht="16.5" x14ac:dyDescent="0.35">
      <c r="A1438" s="53">
        <v>1437</v>
      </c>
      <c r="B1438" s="177" t="s">
        <v>3175</v>
      </c>
      <c r="C1438" s="18" t="s">
        <v>662</v>
      </c>
      <c r="D1438" s="17" t="s">
        <v>3176</v>
      </c>
      <c r="E1438" s="17" t="s">
        <v>708</v>
      </c>
      <c r="H1438" s="25"/>
      <c r="I1438" s="18"/>
      <c r="J1438" s="25"/>
      <c r="L1438" s="178" t="s">
        <v>9</v>
      </c>
      <c r="M1438" s="5"/>
      <c r="O1438" s="143"/>
      <c r="P1438" s="143"/>
      <c r="Q1438" s="153">
        <f t="shared" si="47"/>
        <v>0</v>
      </c>
    </row>
    <row r="1439" spans="1:17" ht="17" thickBot="1" x14ac:dyDescent="0.4">
      <c r="A1439" s="53">
        <v>1438</v>
      </c>
      <c r="B1439" s="352" t="s">
        <v>713</v>
      </c>
      <c r="C1439" s="18" t="s">
        <v>662</v>
      </c>
      <c r="D1439" s="17" t="s">
        <v>3176</v>
      </c>
      <c r="E1439" s="17" t="s">
        <v>708</v>
      </c>
      <c r="H1439" s="25"/>
      <c r="I1439" s="18"/>
      <c r="J1439" s="25"/>
      <c r="L1439" s="14" t="s">
        <v>9</v>
      </c>
      <c r="M1439" s="5"/>
      <c r="O1439" s="143"/>
      <c r="P1439" s="143"/>
      <c r="Q1439" s="153">
        <f t="shared" si="47"/>
        <v>0</v>
      </c>
    </row>
    <row r="1440" spans="1:17" ht="16.5" x14ac:dyDescent="0.35">
      <c r="A1440" s="53">
        <v>1439</v>
      </c>
      <c r="B1440" s="351" t="s">
        <v>3177</v>
      </c>
      <c r="C1440" s="18" t="s">
        <v>662</v>
      </c>
      <c r="D1440" s="17" t="s">
        <v>3206</v>
      </c>
      <c r="E1440" s="17" t="s">
        <v>708</v>
      </c>
      <c r="H1440" s="25"/>
      <c r="I1440" s="18"/>
      <c r="J1440" s="25"/>
      <c r="L1440" s="4" t="s">
        <v>9</v>
      </c>
      <c r="M1440" s="5"/>
      <c r="O1440" s="143"/>
      <c r="P1440" s="143"/>
      <c r="Q1440" s="153">
        <f t="shared" ref="Q1440:Q1469" si="48">SUM(M1440:P1440)</f>
        <v>0</v>
      </c>
    </row>
    <row r="1441" spans="1:17" ht="16.5" x14ac:dyDescent="0.35">
      <c r="A1441" s="53">
        <v>1440</v>
      </c>
      <c r="B1441" s="351" t="s">
        <v>3178</v>
      </c>
      <c r="C1441" s="18" t="s">
        <v>662</v>
      </c>
      <c r="D1441" s="17" t="s">
        <v>3206</v>
      </c>
      <c r="E1441" s="17" t="s">
        <v>708</v>
      </c>
      <c r="H1441" s="25"/>
      <c r="I1441" s="18"/>
      <c r="J1441" s="25"/>
      <c r="L1441" s="4" t="s">
        <v>9</v>
      </c>
      <c r="M1441" s="5"/>
      <c r="O1441" s="143"/>
      <c r="P1441" s="143"/>
      <c r="Q1441" s="153">
        <f t="shared" si="48"/>
        <v>0</v>
      </c>
    </row>
    <row r="1442" spans="1:17" ht="16.5" x14ac:dyDescent="0.35">
      <c r="A1442" s="53">
        <v>1441</v>
      </c>
      <c r="B1442" s="351" t="s">
        <v>3179</v>
      </c>
      <c r="C1442" s="18" t="s">
        <v>662</v>
      </c>
      <c r="D1442" s="17" t="s">
        <v>3206</v>
      </c>
      <c r="E1442" s="17" t="s">
        <v>708</v>
      </c>
      <c r="H1442" s="25"/>
      <c r="I1442" s="18"/>
      <c r="J1442" s="25"/>
      <c r="L1442" s="4" t="s">
        <v>9</v>
      </c>
      <c r="M1442" s="5"/>
      <c r="O1442" s="143"/>
      <c r="P1442" s="143"/>
      <c r="Q1442" s="153">
        <f t="shared" si="48"/>
        <v>0</v>
      </c>
    </row>
    <row r="1443" spans="1:17" ht="16.5" x14ac:dyDescent="0.35">
      <c r="A1443" s="53">
        <v>1442</v>
      </c>
      <c r="B1443" s="351" t="s">
        <v>3180</v>
      </c>
      <c r="C1443" s="18" t="s">
        <v>662</v>
      </c>
      <c r="D1443" s="17" t="s">
        <v>3206</v>
      </c>
      <c r="E1443" s="17" t="s">
        <v>708</v>
      </c>
      <c r="H1443" s="25"/>
      <c r="I1443" s="18"/>
      <c r="J1443" s="25"/>
      <c r="L1443" s="4" t="s">
        <v>9</v>
      </c>
      <c r="M1443" s="5"/>
      <c r="O1443" s="143"/>
      <c r="P1443" s="143"/>
      <c r="Q1443" s="153">
        <f t="shared" si="48"/>
        <v>0</v>
      </c>
    </row>
    <row r="1444" spans="1:17" ht="16.5" x14ac:dyDescent="0.35">
      <c r="A1444" s="53">
        <v>1443</v>
      </c>
      <c r="B1444" s="351" t="s">
        <v>3181</v>
      </c>
      <c r="C1444" s="18" t="s">
        <v>662</v>
      </c>
      <c r="D1444" s="17" t="s">
        <v>3206</v>
      </c>
      <c r="E1444" s="17" t="s">
        <v>708</v>
      </c>
      <c r="H1444" s="25"/>
      <c r="I1444" s="18"/>
      <c r="J1444" s="25"/>
      <c r="L1444" s="4" t="s">
        <v>2</v>
      </c>
      <c r="M1444" s="5"/>
      <c r="O1444" s="143"/>
      <c r="P1444" s="143"/>
      <c r="Q1444" s="153">
        <f t="shared" si="48"/>
        <v>0</v>
      </c>
    </row>
    <row r="1445" spans="1:17" ht="16.5" x14ac:dyDescent="0.35">
      <c r="A1445" s="53">
        <v>1444</v>
      </c>
      <c r="B1445" s="351" t="s">
        <v>3182</v>
      </c>
      <c r="C1445" s="18" t="s">
        <v>662</v>
      </c>
      <c r="D1445" s="17" t="s">
        <v>3206</v>
      </c>
      <c r="E1445" s="17" t="s">
        <v>708</v>
      </c>
      <c r="H1445" s="25"/>
      <c r="I1445" s="18"/>
      <c r="J1445" s="25"/>
      <c r="L1445" s="4" t="s">
        <v>9</v>
      </c>
      <c r="M1445" s="5"/>
      <c r="O1445" s="143"/>
      <c r="P1445" s="143"/>
      <c r="Q1445" s="153">
        <f t="shared" si="48"/>
        <v>0</v>
      </c>
    </row>
    <row r="1446" spans="1:17" ht="16.5" x14ac:dyDescent="0.35">
      <c r="A1446" s="53">
        <v>1445</v>
      </c>
      <c r="B1446" s="351" t="s">
        <v>3183</v>
      </c>
      <c r="C1446" s="18" t="s">
        <v>662</v>
      </c>
      <c r="D1446" s="17" t="s">
        <v>3206</v>
      </c>
      <c r="E1446" s="17" t="s">
        <v>708</v>
      </c>
      <c r="H1446" s="25"/>
      <c r="I1446" s="18"/>
      <c r="J1446" s="25"/>
      <c r="L1446" s="4" t="s">
        <v>9</v>
      </c>
      <c r="M1446" s="5"/>
      <c r="O1446" s="143"/>
      <c r="P1446" s="143"/>
      <c r="Q1446" s="153">
        <f t="shared" si="48"/>
        <v>0</v>
      </c>
    </row>
    <row r="1447" spans="1:17" ht="16.5" x14ac:dyDescent="0.35">
      <c r="A1447" s="53">
        <v>1446</v>
      </c>
      <c r="B1447" s="351" t="s">
        <v>3184</v>
      </c>
      <c r="C1447" s="18" t="s">
        <v>662</v>
      </c>
      <c r="D1447" s="17" t="s">
        <v>3206</v>
      </c>
      <c r="E1447" s="17" t="s">
        <v>708</v>
      </c>
      <c r="H1447" s="25"/>
      <c r="I1447" s="18"/>
      <c r="J1447" s="25"/>
      <c r="L1447" s="4" t="s">
        <v>9</v>
      </c>
      <c r="M1447" s="5"/>
      <c r="O1447" s="143"/>
      <c r="P1447" s="143"/>
      <c r="Q1447" s="153">
        <f t="shared" si="48"/>
        <v>0</v>
      </c>
    </row>
    <row r="1448" spans="1:17" ht="16.5" x14ac:dyDescent="0.35">
      <c r="A1448" s="53">
        <v>1447</v>
      </c>
      <c r="B1448" s="351" t="s">
        <v>3185</v>
      </c>
      <c r="C1448" s="18" t="s">
        <v>662</v>
      </c>
      <c r="D1448" s="17" t="s">
        <v>3206</v>
      </c>
      <c r="E1448" s="17" t="s">
        <v>708</v>
      </c>
      <c r="H1448" s="25"/>
      <c r="I1448" s="18"/>
      <c r="J1448" s="25"/>
      <c r="L1448" s="4" t="s">
        <v>2</v>
      </c>
      <c r="M1448" s="5"/>
      <c r="O1448" s="143"/>
      <c r="P1448" s="143"/>
      <c r="Q1448" s="153">
        <f t="shared" si="48"/>
        <v>0</v>
      </c>
    </row>
    <row r="1449" spans="1:17" ht="16.5" x14ac:dyDescent="0.35">
      <c r="A1449" s="53">
        <v>1448</v>
      </c>
      <c r="B1449" s="351" t="s">
        <v>3186</v>
      </c>
      <c r="C1449" s="18" t="s">
        <v>662</v>
      </c>
      <c r="D1449" s="17" t="s">
        <v>3206</v>
      </c>
      <c r="E1449" s="17" t="s">
        <v>708</v>
      </c>
      <c r="H1449" s="25"/>
      <c r="I1449" s="18"/>
      <c r="J1449" s="25"/>
      <c r="L1449" s="4" t="s">
        <v>2</v>
      </c>
      <c r="M1449" s="5"/>
      <c r="O1449" s="143"/>
      <c r="P1449" s="143"/>
      <c r="Q1449" s="153">
        <f t="shared" si="48"/>
        <v>0</v>
      </c>
    </row>
    <row r="1450" spans="1:17" ht="16.5" x14ac:dyDescent="0.35">
      <c r="A1450" s="53">
        <v>1449</v>
      </c>
      <c r="B1450" s="351" t="s">
        <v>3187</v>
      </c>
      <c r="C1450" s="18" t="s">
        <v>662</v>
      </c>
      <c r="D1450" s="17" t="s">
        <v>3206</v>
      </c>
      <c r="E1450" s="17" t="s">
        <v>708</v>
      </c>
      <c r="H1450" s="25"/>
      <c r="I1450" s="18"/>
      <c r="J1450" s="25"/>
      <c r="L1450" s="4" t="s">
        <v>9</v>
      </c>
      <c r="M1450" s="5"/>
      <c r="O1450" s="143"/>
      <c r="P1450" s="143"/>
      <c r="Q1450" s="153">
        <f t="shared" si="48"/>
        <v>0</v>
      </c>
    </row>
    <row r="1451" spans="1:17" ht="16.5" x14ac:dyDescent="0.35">
      <c r="A1451" s="53">
        <v>1450</v>
      </c>
      <c r="B1451" s="351" t="s">
        <v>3188</v>
      </c>
      <c r="C1451" s="18" t="s">
        <v>662</v>
      </c>
      <c r="D1451" s="17" t="s">
        <v>3206</v>
      </c>
      <c r="E1451" s="17" t="s">
        <v>708</v>
      </c>
      <c r="H1451" s="25"/>
      <c r="I1451" s="18"/>
      <c r="J1451" s="25"/>
      <c r="L1451" s="4" t="s">
        <v>2</v>
      </c>
      <c r="M1451" s="5"/>
      <c r="O1451" s="143"/>
      <c r="P1451" s="143"/>
      <c r="Q1451" s="153">
        <f t="shared" si="48"/>
        <v>0</v>
      </c>
    </row>
    <row r="1452" spans="1:17" ht="16.5" x14ac:dyDescent="0.35">
      <c r="A1452" s="53">
        <v>1451</v>
      </c>
      <c r="B1452" s="351" t="s">
        <v>3189</v>
      </c>
      <c r="C1452" s="18" t="s">
        <v>662</v>
      </c>
      <c r="D1452" s="17" t="s">
        <v>3206</v>
      </c>
      <c r="E1452" s="17" t="s">
        <v>708</v>
      </c>
      <c r="H1452" s="25"/>
      <c r="I1452" s="18"/>
      <c r="J1452" s="25"/>
      <c r="L1452" s="4" t="s">
        <v>2</v>
      </c>
      <c r="M1452" s="5"/>
      <c r="O1452" s="143"/>
      <c r="P1452" s="143"/>
      <c r="Q1452" s="153">
        <f t="shared" si="48"/>
        <v>0</v>
      </c>
    </row>
    <row r="1453" spans="1:17" ht="16.5" x14ac:dyDescent="0.35">
      <c r="A1453" s="53">
        <v>1452</v>
      </c>
      <c r="B1453" s="351" t="s">
        <v>3190</v>
      </c>
      <c r="C1453" s="18" t="s">
        <v>662</v>
      </c>
      <c r="D1453" s="17" t="s">
        <v>3206</v>
      </c>
      <c r="E1453" s="17" t="s">
        <v>708</v>
      </c>
      <c r="H1453" s="25"/>
      <c r="I1453" s="18"/>
      <c r="J1453" s="25"/>
      <c r="L1453" s="4" t="s">
        <v>9</v>
      </c>
      <c r="M1453" s="5"/>
      <c r="O1453" s="143"/>
      <c r="P1453" s="143"/>
      <c r="Q1453" s="153">
        <f t="shared" si="48"/>
        <v>0</v>
      </c>
    </row>
    <row r="1454" spans="1:17" ht="16.5" x14ac:dyDescent="0.35">
      <c r="A1454" s="53">
        <v>1453</v>
      </c>
      <c r="B1454" s="351" t="s">
        <v>3191</v>
      </c>
      <c r="C1454" s="18" t="s">
        <v>662</v>
      </c>
      <c r="D1454" s="17" t="s">
        <v>3206</v>
      </c>
      <c r="E1454" s="17" t="s">
        <v>708</v>
      </c>
      <c r="H1454" s="25"/>
      <c r="I1454" s="18"/>
      <c r="J1454" s="25"/>
      <c r="L1454" s="4" t="s">
        <v>2</v>
      </c>
      <c r="M1454" s="5"/>
      <c r="O1454" s="143"/>
      <c r="P1454" s="143"/>
      <c r="Q1454" s="153">
        <f t="shared" si="48"/>
        <v>0</v>
      </c>
    </row>
    <row r="1455" spans="1:17" ht="16.5" x14ac:dyDescent="0.35">
      <c r="A1455" s="53">
        <v>1454</v>
      </c>
      <c r="B1455" s="351" t="s">
        <v>3192</v>
      </c>
      <c r="C1455" s="18" t="s">
        <v>662</v>
      </c>
      <c r="D1455" s="17" t="s">
        <v>3206</v>
      </c>
      <c r="E1455" s="17" t="s">
        <v>708</v>
      </c>
      <c r="H1455" s="25"/>
      <c r="I1455" s="18"/>
      <c r="J1455" s="25"/>
      <c r="L1455" s="4" t="s">
        <v>9</v>
      </c>
      <c r="M1455" s="5"/>
      <c r="O1455" s="143"/>
      <c r="P1455" s="143"/>
      <c r="Q1455" s="153">
        <f t="shared" si="48"/>
        <v>0</v>
      </c>
    </row>
    <row r="1456" spans="1:17" ht="16.5" x14ac:dyDescent="0.35">
      <c r="A1456" s="53">
        <v>1455</v>
      </c>
      <c r="B1456" s="351" t="s">
        <v>3193</v>
      </c>
      <c r="C1456" s="18" t="s">
        <v>662</v>
      </c>
      <c r="D1456" s="17" t="s">
        <v>3206</v>
      </c>
      <c r="E1456" s="17" t="s">
        <v>708</v>
      </c>
      <c r="H1456" s="25"/>
      <c r="I1456" s="18"/>
      <c r="J1456" s="25"/>
      <c r="L1456" s="4" t="s">
        <v>9</v>
      </c>
      <c r="M1456" s="5"/>
      <c r="O1456" s="143"/>
      <c r="P1456" s="143"/>
      <c r="Q1456" s="153">
        <f t="shared" si="48"/>
        <v>0</v>
      </c>
    </row>
    <row r="1457" spans="1:17" ht="16.5" x14ac:dyDescent="0.35">
      <c r="A1457" s="53">
        <v>1456</v>
      </c>
      <c r="B1457" s="351" t="s">
        <v>3194</v>
      </c>
      <c r="C1457" s="18" t="s">
        <v>662</v>
      </c>
      <c r="D1457" s="17" t="s">
        <v>3206</v>
      </c>
      <c r="E1457" s="17" t="s">
        <v>708</v>
      </c>
      <c r="H1457" s="25"/>
      <c r="I1457" s="18"/>
      <c r="J1457" s="25"/>
      <c r="L1457" s="4" t="s">
        <v>2</v>
      </c>
      <c r="M1457" s="5"/>
      <c r="O1457" s="143"/>
      <c r="P1457" s="143"/>
      <c r="Q1457" s="153">
        <f t="shared" si="48"/>
        <v>0</v>
      </c>
    </row>
    <row r="1458" spans="1:17" ht="16.5" x14ac:dyDescent="0.35">
      <c r="A1458" s="53">
        <v>1457</v>
      </c>
      <c r="B1458" s="351" t="s">
        <v>3195</v>
      </c>
      <c r="C1458" s="18" t="s">
        <v>662</v>
      </c>
      <c r="D1458" s="17" t="s">
        <v>3206</v>
      </c>
      <c r="E1458" s="17" t="s">
        <v>708</v>
      </c>
      <c r="H1458" s="25"/>
      <c r="I1458" s="18"/>
      <c r="J1458" s="25"/>
      <c r="L1458" s="4" t="s">
        <v>2</v>
      </c>
      <c r="M1458" s="5"/>
      <c r="O1458" s="143"/>
      <c r="P1458" s="143"/>
      <c r="Q1458" s="153">
        <f t="shared" si="48"/>
        <v>0</v>
      </c>
    </row>
    <row r="1459" spans="1:17" ht="16.5" x14ac:dyDescent="0.35">
      <c r="A1459" s="53">
        <v>1458</v>
      </c>
      <c r="B1459" s="351" t="s">
        <v>3196</v>
      </c>
      <c r="C1459" s="18" t="s">
        <v>662</v>
      </c>
      <c r="D1459" s="17" t="s">
        <v>3206</v>
      </c>
      <c r="E1459" s="17" t="s">
        <v>708</v>
      </c>
      <c r="H1459" s="25"/>
      <c r="I1459" s="18"/>
      <c r="J1459" s="25"/>
      <c r="L1459" s="4" t="s">
        <v>2</v>
      </c>
      <c r="M1459" s="5"/>
      <c r="O1459" s="143"/>
      <c r="P1459" s="143"/>
      <c r="Q1459" s="153">
        <f t="shared" si="48"/>
        <v>0</v>
      </c>
    </row>
    <row r="1460" spans="1:17" ht="16.5" x14ac:dyDescent="0.35">
      <c r="A1460" s="53">
        <v>1459</v>
      </c>
      <c r="B1460" s="351" t="s">
        <v>3197</v>
      </c>
      <c r="C1460" s="18" t="s">
        <v>662</v>
      </c>
      <c r="D1460" s="17" t="s">
        <v>3206</v>
      </c>
      <c r="E1460" s="17" t="s">
        <v>708</v>
      </c>
      <c r="H1460" s="25"/>
      <c r="I1460" s="18"/>
      <c r="J1460" s="25"/>
      <c r="L1460" s="4" t="s">
        <v>9</v>
      </c>
      <c r="M1460" s="5"/>
      <c r="O1460" s="143"/>
      <c r="P1460" s="143"/>
      <c r="Q1460" s="153">
        <f t="shared" si="48"/>
        <v>0</v>
      </c>
    </row>
    <row r="1461" spans="1:17" ht="16.5" x14ac:dyDescent="0.35">
      <c r="A1461" s="53">
        <v>1460</v>
      </c>
      <c r="B1461" s="351" t="s">
        <v>3198</v>
      </c>
      <c r="C1461" s="18" t="s">
        <v>662</v>
      </c>
      <c r="D1461" s="17" t="s">
        <v>3206</v>
      </c>
      <c r="E1461" s="17" t="s">
        <v>708</v>
      </c>
      <c r="H1461" s="25"/>
      <c r="I1461" s="18"/>
      <c r="J1461" s="25"/>
      <c r="L1461" s="4" t="s">
        <v>9</v>
      </c>
      <c r="M1461" s="5"/>
      <c r="O1461" s="143"/>
      <c r="P1461" s="143"/>
      <c r="Q1461" s="153">
        <f t="shared" si="48"/>
        <v>0</v>
      </c>
    </row>
    <row r="1462" spans="1:17" ht="16.5" x14ac:dyDescent="0.35">
      <c r="A1462" s="53">
        <v>1461</v>
      </c>
      <c r="B1462" s="351" t="s">
        <v>3199</v>
      </c>
      <c r="C1462" s="18" t="s">
        <v>662</v>
      </c>
      <c r="D1462" s="17" t="s">
        <v>3206</v>
      </c>
      <c r="E1462" s="17" t="s">
        <v>708</v>
      </c>
      <c r="H1462" s="25"/>
      <c r="I1462" s="18"/>
      <c r="J1462" s="25"/>
      <c r="L1462" s="4" t="s">
        <v>9</v>
      </c>
      <c r="M1462" s="5"/>
      <c r="O1462" s="143"/>
      <c r="P1462" s="143"/>
      <c r="Q1462" s="153">
        <f t="shared" si="48"/>
        <v>0</v>
      </c>
    </row>
    <row r="1463" spans="1:17" ht="16.5" x14ac:dyDescent="0.35">
      <c r="A1463" s="53">
        <v>1462</v>
      </c>
      <c r="B1463" s="351" t="s">
        <v>3200</v>
      </c>
      <c r="C1463" s="18" t="s">
        <v>662</v>
      </c>
      <c r="D1463" s="17" t="s">
        <v>3206</v>
      </c>
      <c r="E1463" s="17" t="s">
        <v>708</v>
      </c>
      <c r="H1463" s="25"/>
      <c r="I1463" s="18"/>
      <c r="J1463" s="25"/>
      <c r="L1463" s="4" t="s">
        <v>2</v>
      </c>
      <c r="M1463" s="5"/>
      <c r="O1463" s="143"/>
      <c r="P1463" s="143"/>
      <c r="Q1463" s="153">
        <f t="shared" si="48"/>
        <v>0</v>
      </c>
    </row>
    <row r="1464" spans="1:17" ht="16.5" x14ac:dyDescent="0.35">
      <c r="A1464" s="53">
        <v>1463</v>
      </c>
      <c r="B1464" s="351" t="s">
        <v>1665</v>
      </c>
      <c r="C1464" s="18" t="s">
        <v>662</v>
      </c>
      <c r="D1464" s="17" t="s">
        <v>3206</v>
      </c>
      <c r="E1464" s="17" t="s">
        <v>708</v>
      </c>
      <c r="H1464" s="25"/>
      <c r="I1464" s="18"/>
      <c r="J1464" s="25"/>
      <c r="L1464" s="4" t="s">
        <v>2</v>
      </c>
      <c r="M1464" s="5"/>
      <c r="O1464" s="143"/>
      <c r="P1464" s="143"/>
      <c r="Q1464" s="153">
        <f t="shared" si="48"/>
        <v>0</v>
      </c>
    </row>
    <row r="1465" spans="1:17" ht="16.5" x14ac:dyDescent="0.35">
      <c r="A1465" s="53">
        <v>1464</v>
      </c>
      <c r="B1465" s="351" t="s">
        <v>3201</v>
      </c>
      <c r="C1465" s="18" t="s">
        <v>662</v>
      </c>
      <c r="D1465" s="17" t="s">
        <v>3206</v>
      </c>
      <c r="E1465" s="17" t="s">
        <v>708</v>
      </c>
      <c r="H1465" s="25"/>
      <c r="I1465" s="18"/>
      <c r="J1465" s="25"/>
      <c r="L1465" s="4" t="s">
        <v>2</v>
      </c>
      <c r="M1465" s="5"/>
      <c r="O1465" s="143"/>
      <c r="P1465" s="143"/>
      <c r="Q1465" s="153">
        <f t="shared" si="48"/>
        <v>0</v>
      </c>
    </row>
    <row r="1466" spans="1:17" ht="16.5" x14ac:dyDescent="0.35">
      <c r="A1466" s="53">
        <v>1465</v>
      </c>
      <c r="B1466" s="351" t="s">
        <v>3202</v>
      </c>
      <c r="C1466" s="18" t="s">
        <v>662</v>
      </c>
      <c r="D1466" s="17" t="s">
        <v>3206</v>
      </c>
      <c r="E1466" s="17" t="s">
        <v>708</v>
      </c>
      <c r="H1466" s="25"/>
      <c r="I1466" s="18"/>
      <c r="J1466" s="25"/>
      <c r="L1466" s="4" t="s">
        <v>2</v>
      </c>
      <c r="M1466" s="5"/>
      <c r="O1466" s="143"/>
      <c r="P1466" s="143"/>
      <c r="Q1466" s="153">
        <f t="shared" si="48"/>
        <v>0</v>
      </c>
    </row>
    <row r="1467" spans="1:17" ht="16.5" x14ac:dyDescent="0.35">
      <c r="A1467" s="53">
        <v>1466</v>
      </c>
      <c r="B1467" s="351" t="s">
        <v>3203</v>
      </c>
      <c r="C1467" s="18" t="s">
        <v>662</v>
      </c>
      <c r="D1467" s="17" t="s">
        <v>3206</v>
      </c>
      <c r="E1467" s="17" t="s">
        <v>708</v>
      </c>
      <c r="H1467" s="25"/>
      <c r="I1467" s="18"/>
      <c r="J1467" s="25"/>
      <c r="L1467" s="4" t="s">
        <v>2</v>
      </c>
      <c r="M1467" s="5"/>
      <c r="O1467" s="143"/>
      <c r="P1467" s="143"/>
      <c r="Q1467" s="153">
        <f t="shared" si="48"/>
        <v>0</v>
      </c>
    </row>
    <row r="1468" spans="1:17" ht="16.5" x14ac:dyDescent="0.35">
      <c r="A1468" s="53">
        <v>1467</v>
      </c>
      <c r="B1468" s="351" t="s">
        <v>3204</v>
      </c>
      <c r="C1468" s="18" t="s">
        <v>662</v>
      </c>
      <c r="D1468" s="17" t="s">
        <v>3206</v>
      </c>
      <c r="E1468" s="17" t="s">
        <v>708</v>
      </c>
      <c r="H1468" s="25"/>
      <c r="I1468" s="18"/>
      <c r="J1468" s="25"/>
      <c r="L1468" s="178" t="s">
        <v>2</v>
      </c>
      <c r="M1468" s="5"/>
      <c r="O1468" s="143"/>
      <c r="P1468" s="143"/>
      <c r="Q1468" s="153">
        <f t="shared" si="48"/>
        <v>0</v>
      </c>
    </row>
    <row r="1469" spans="1:17" ht="17" thickBot="1" x14ac:dyDescent="0.4">
      <c r="A1469" s="53">
        <v>1468</v>
      </c>
      <c r="B1469" s="351" t="s">
        <v>3205</v>
      </c>
      <c r="C1469" s="18" t="s">
        <v>662</v>
      </c>
      <c r="D1469" s="17" t="s">
        <v>3206</v>
      </c>
      <c r="E1469" s="17" t="s">
        <v>708</v>
      </c>
      <c r="H1469" s="25"/>
      <c r="I1469" s="351"/>
      <c r="J1469" s="25"/>
      <c r="L1469" s="14" t="s">
        <v>2</v>
      </c>
      <c r="M1469" s="27"/>
      <c r="O1469" s="143"/>
      <c r="P1469" s="143"/>
      <c r="Q1469" s="153">
        <f t="shared" si="48"/>
        <v>0</v>
      </c>
    </row>
    <row r="1470" spans="1:17" ht="16.5" x14ac:dyDescent="0.35">
      <c r="A1470" s="53">
        <v>1469</v>
      </c>
      <c r="B1470" s="351" t="s">
        <v>75</v>
      </c>
      <c r="C1470" s="18" t="s">
        <v>662</v>
      </c>
      <c r="D1470" s="17" t="s">
        <v>3234</v>
      </c>
      <c r="E1470" s="17" t="s">
        <v>708</v>
      </c>
      <c r="H1470" s="25"/>
      <c r="I1470" s="18"/>
      <c r="J1470" s="25"/>
      <c r="L1470" s="4" t="s">
        <v>2</v>
      </c>
      <c r="M1470" s="5"/>
      <c r="O1470" s="143"/>
      <c r="P1470" s="143"/>
      <c r="Q1470" s="153">
        <f t="shared" ref="Q1470:Q1499" si="49">SUM(M1470:P1470)</f>
        <v>0</v>
      </c>
    </row>
    <row r="1471" spans="1:17" ht="16.5" x14ac:dyDescent="0.35">
      <c r="A1471" s="53">
        <v>1470</v>
      </c>
      <c r="B1471" s="351" t="s">
        <v>3207</v>
      </c>
      <c r="C1471" s="18" t="s">
        <v>662</v>
      </c>
      <c r="D1471" s="17" t="s">
        <v>3234</v>
      </c>
      <c r="E1471" s="17" t="s">
        <v>708</v>
      </c>
      <c r="H1471" s="25"/>
      <c r="I1471" s="18"/>
      <c r="J1471" s="25"/>
      <c r="L1471" s="4" t="s">
        <v>9</v>
      </c>
      <c r="M1471" s="5"/>
      <c r="O1471" s="143"/>
      <c r="P1471" s="143"/>
      <c r="Q1471" s="153">
        <f t="shared" si="49"/>
        <v>0</v>
      </c>
    </row>
    <row r="1472" spans="1:17" ht="16.5" x14ac:dyDescent="0.35">
      <c r="A1472" s="53">
        <v>1471</v>
      </c>
      <c r="B1472" s="351" t="s">
        <v>3208</v>
      </c>
      <c r="C1472" s="18" t="s">
        <v>662</v>
      </c>
      <c r="D1472" s="17" t="s">
        <v>3234</v>
      </c>
      <c r="E1472" s="17" t="s">
        <v>708</v>
      </c>
      <c r="H1472" s="25"/>
      <c r="I1472" s="18"/>
      <c r="J1472" s="25"/>
      <c r="L1472" s="4" t="s">
        <v>9</v>
      </c>
      <c r="M1472" s="5"/>
      <c r="O1472" s="143"/>
      <c r="P1472" s="143"/>
      <c r="Q1472" s="153">
        <f t="shared" si="49"/>
        <v>0</v>
      </c>
    </row>
    <row r="1473" spans="1:17" ht="16.5" x14ac:dyDescent="0.35">
      <c r="A1473" s="53">
        <v>1472</v>
      </c>
      <c r="B1473" s="351" t="s">
        <v>3209</v>
      </c>
      <c r="C1473" s="18" t="s">
        <v>662</v>
      </c>
      <c r="D1473" s="17" t="s">
        <v>3234</v>
      </c>
      <c r="E1473" s="17" t="s">
        <v>708</v>
      </c>
      <c r="H1473" s="25"/>
      <c r="I1473" s="18"/>
      <c r="J1473" s="25"/>
      <c r="L1473" s="4" t="s">
        <v>9</v>
      </c>
      <c r="M1473" s="5"/>
      <c r="O1473" s="143"/>
      <c r="P1473" s="143"/>
      <c r="Q1473" s="153">
        <f t="shared" si="49"/>
        <v>0</v>
      </c>
    </row>
    <row r="1474" spans="1:17" ht="16.5" x14ac:dyDescent="0.35">
      <c r="A1474" s="53">
        <v>1473</v>
      </c>
      <c r="B1474" s="351" t="s">
        <v>3210</v>
      </c>
      <c r="C1474" s="18" t="s">
        <v>662</v>
      </c>
      <c r="D1474" s="17" t="s">
        <v>3234</v>
      </c>
      <c r="E1474" s="17" t="s">
        <v>708</v>
      </c>
      <c r="H1474" s="25"/>
      <c r="I1474" s="18"/>
      <c r="J1474" s="25"/>
      <c r="L1474" s="4" t="s">
        <v>9</v>
      </c>
      <c r="M1474" s="5"/>
      <c r="O1474" s="143"/>
      <c r="P1474" s="143"/>
      <c r="Q1474" s="153">
        <f t="shared" si="49"/>
        <v>0</v>
      </c>
    </row>
    <row r="1475" spans="1:17" ht="16.5" x14ac:dyDescent="0.35">
      <c r="A1475" s="53">
        <v>1474</v>
      </c>
      <c r="B1475" s="351" t="s">
        <v>3211</v>
      </c>
      <c r="C1475" s="18" t="s">
        <v>662</v>
      </c>
      <c r="D1475" s="17" t="s">
        <v>3234</v>
      </c>
      <c r="E1475" s="17" t="s">
        <v>708</v>
      </c>
      <c r="H1475" s="25"/>
      <c r="I1475" s="18"/>
      <c r="J1475" s="25"/>
      <c r="L1475" s="4" t="s">
        <v>9</v>
      </c>
      <c r="M1475" s="5"/>
      <c r="O1475" s="143"/>
      <c r="P1475" s="143"/>
      <c r="Q1475" s="153">
        <f t="shared" si="49"/>
        <v>0</v>
      </c>
    </row>
    <row r="1476" spans="1:17" ht="16.5" x14ac:dyDescent="0.35">
      <c r="A1476" s="53">
        <v>1475</v>
      </c>
      <c r="B1476" s="351" t="s">
        <v>3212</v>
      </c>
      <c r="C1476" s="18" t="s">
        <v>662</v>
      </c>
      <c r="D1476" s="17" t="s">
        <v>3234</v>
      </c>
      <c r="E1476" s="17" t="s">
        <v>708</v>
      </c>
      <c r="H1476" s="25"/>
      <c r="I1476" s="18"/>
      <c r="J1476" s="25"/>
      <c r="L1476" s="4" t="s">
        <v>2</v>
      </c>
      <c r="M1476" s="5"/>
      <c r="O1476" s="143"/>
      <c r="P1476" s="143"/>
      <c r="Q1476" s="153">
        <f t="shared" si="49"/>
        <v>0</v>
      </c>
    </row>
    <row r="1477" spans="1:17" ht="16.5" x14ac:dyDescent="0.35">
      <c r="A1477" s="53">
        <v>1476</v>
      </c>
      <c r="B1477" s="351" t="s">
        <v>3213</v>
      </c>
      <c r="C1477" s="18" t="s">
        <v>662</v>
      </c>
      <c r="D1477" s="17" t="s">
        <v>3234</v>
      </c>
      <c r="E1477" s="17" t="s">
        <v>708</v>
      </c>
      <c r="H1477" s="25"/>
      <c r="I1477" s="18"/>
      <c r="J1477" s="25"/>
      <c r="L1477" s="4" t="s">
        <v>9</v>
      </c>
      <c r="M1477" s="5"/>
      <c r="O1477" s="143"/>
      <c r="P1477" s="143"/>
      <c r="Q1477" s="153">
        <f t="shared" si="49"/>
        <v>0</v>
      </c>
    </row>
    <row r="1478" spans="1:17" ht="16.5" x14ac:dyDescent="0.35">
      <c r="A1478" s="53">
        <v>1477</v>
      </c>
      <c r="B1478" s="351" t="s">
        <v>3214</v>
      </c>
      <c r="C1478" s="18" t="s">
        <v>662</v>
      </c>
      <c r="D1478" s="17" t="s">
        <v>3234</v>
      </c>
      <c r="E1478" s="17" t="s">
        <v>708</v>
      </c>
      <c r="H1478" s="25"/>
      <c r="I1478" s="18"/>
      <c r="J1478" s="25"/>
      <c r="L1478" s="4" t="s">
        <v>9</v>
      </c>
      <c r="M1478" s="5"/>
      <c r="O1478" s="143"/>
      <c r="P1478" s="143"/>
      <c r="Q1478" s="153">
        <f t="shared" si="49"/>
        <v>0</v>
      </c>
    </row>
    <row r="1479" spans="1:17" ht="16.5" x14ac:dyDescent="0.35">
      <c r="A1479" s="53">
        <v>1478</v>
      </c>
      <c r="B1479" s="351" t="s">
        <v>3215</v>
      </c>
      <c r="C1479" s="18" t="s">
        <v>662</v>
      </c>
      <c r="D1479" s="17" t="s">
        <v>3234</v>
      </c>
      <c r="E1479" s="17" t="s">
        <v>708</v>
      </c>
      <c r="H1479" s="25"/>
      <c r="I1479" s="18"/>
      <c r="J1479" s="25"/>
      <c r="L1479" s="4" t="s">
        <v>9</v>
      </c>
      <c r="M1479" s="5"/>
      <c r="O1479" s="143"/>
      <c r="P1479" s="143"/>
      <c r="Q1479" s="153">
        <f t="shared" si="49"/>
        <v>0</v>
      </c>
    </row>
    <row r="1480" spans="1:17" ht="16.5" x14ac:dyDescent="0.35">
      <c r="A1480" s="53">
        <v>1479</v>
      </c>
      <c r="B1480" s="351" t="s">
        <v>3216</v>
      </c>
      <c r="C1480" s="18" t="s">
        <v>662</v>
      </c>
      <c r="D1480" s="17" t="s">
        <v>3234</v>
      </c>
      <c r="E1480" s="17" t="s">
        <v>708</v>
      </c>
      <c r="H1480" s="25"/>
      <c r="I1480" s="18"/>
      <c r="J1480" s="25"/>
      <c r="L1480" s="4" t="s">
        <v>2</v>
      </c>
      <c r="M1480" s="5"/>
      <c r="O1480" s="143"/>
      <c r="P1480" s="143"/>
      <c r="Q1480" s="153">
        <f t="shared" si="49"/>
        <v>0</v>
      </c>
    </row>
    <row r="1481" spans="1:17" ht="16.5" x14ac:dyDescent="0.35">
      <c r="A1481" s="53">
        <v>1480</v>
      </c>
      <c r="B1481" s="351" t="s">
        <v>3217</v>
      </c>
      <c r="C1481" s="18" t="s">
        <v>662</v>
      </c>
      <c r="D1481" s="17" t="s">
        <v>3234</v>
      </c>
      <c r="E1481" s="17" t="s">
        <v>708</v>
      </c>
      <c r="H1481" s="25"/>
      <c r="I1481" s="18"/>
      <c r="J1481" s="25"/>
      <c r="L1481" s="4" t="s">
        <v>9</v>
      </c>
      <c r="M1481" s="5"/>
      <c r="O1481" s="143"/>
      <c r="P1481" s="143"/>
      <c r="Q1481" s="153">
        <f t="shared" si="49"/>
        <v>0</v>
      </c>
    </row>
    <row r="1482" spans="1:17" ht="16.5" x14ac:dyDescent="0.35">
      <c r="A1482" s="53">
        <v>1481</v>
      </c>
      <c r="B1482" s="351" t="s">
        <v>3218</v>
      </c>
      <c r="C1482" s="18" t="s">
        <v>662</v>
      </c>
      <c r="D1482" s="17" t="s">
        <v>3234</v>
      </c>
      <c r="E1482" s="17" t="s">
        <v>708</v>
      </c>
      <c r="H1482" s="25"/>
      <c r="I1482" s="18"/>
      <c r="J1482" s="25"/>
      <c r="L1482" s="4" t="s">
        <v>2</v>
      </c>
      <c r="M1482" s="5"/>
      <c r="O1482" s="143"/>
      <c r="P1482" s="143"/>
      <c r="Q1482" s="153">
        <f t="shared" si="49"/>
        <v>0</v>
      </c>
    </row>
    <row r="1483" spans="1:17" ht="16.5" x14ac:dyDescent="0.35">
      <c r="A1483" s="53">
        <v>1482</v>
      </c>
      <c r="B1483" s="351" t="s">
        <v>3219</v>
      </c>
      <c r="C1483" s="18" t="s">
        <v>662</v>
      </c>
      <c r="D1483" s="17" t="s">
        <v>3234</v>
      </c>
      <c r="E1483" s="17" t="s">
        <v>708</v>
      </c>
      <c r="H1483" s="25"/>
      <c r="I1483" s="18"/>
      <c r="J1483" s="25"/>
      <c r="L1483" s="4" t="s">
        <v>9</v>
      </c>
      <c r="M1483" s="5"/>
      <c r="O1483" s="143"/>
      <c r="P1483" s="143"/>
      <c r="Q1483" s="153">
        <f t="shared" si="49"/>
        <v>0</v>
      </c>
    </row>
    <row r="1484" spans="1:17" ht="16.5" x14ac:dyDescent="0.35">
      <c r="A1484" s="53">
        <v>1483</v>
      </c>
      <c r="B1484" s="351" t="s">
        <v>3220</v>
      </c>
      <c r="C1484" s="18" t="s">
        <v>662</v>
      </c>
      <c r="D1484" s="17" t="s">
        <v>3234</v>
      </c>
      <c r="E1484" s="17" t="s">
        <v>708</v>
      </c>
      <c r="H1484" s="25"/>
      <c r="I1484" s="18"/>
      <c r="J1484" s="25"/>
      <c r="L1484" s="4" t="s">
        <v>2</v>
      </c>
      <c r="M1484" s="5"/>
      <c r="O1484" s="143"/>
      <c r="P1484" s="143"/>
      <c r="Q1484" s="153">
        <f t="shared" si="49"/>
        <v>0</v>
      </c>
    </row>
    <row r="1485" spans="1:17" ht="16.5" x14ac:dyDescent="0.35">
      <c r="A1485" s="53">
        <v>1484</v>
      </c>
      <c r="B1485" s="351" t="s">
        <v>3221</v>
      </c>
      <c r="C1485" s="18" t="s">
        <v>662</v>
      </c>
      <c r="D1485" s="17" t="s">
        <v>3234</v>
      </c>
      <c r="E1485" s="17" t="s">
        <v>708</v>
      </c>
      <c r="H1485" s="25"/>
      <c r="I1485" s="18"/>
      <c r="J1485" s="25"/>
      <c r="L1485" s="4" t="s">
        <v>2</v>
      </c>
      <c r="M1485" s="5"/>
      <c r="O1485" s="143"/>
      <c r="P1485" s="143"/>
      <c r="Q1485" s="153">
        <f t="shared" si="49"/>
        <v>0</v>
      </c>
    </row>
    <row r="1486" spans="1:17" ht="16.5" x14ac:dyDescent="0.35">
      <c r="A1486" s="53">
        <v>1485</v>
      </c>
      <c r="B1486" s="351" t="s">
        <v>3222</v>
      </c>
      <c r="C1486" s="18" t="s">
        <v>662</v>
      </c>
      <c r="D1486" s="17" t="s">
        <v>3234</v>
      </c>
      <c r="E1486" s="17" t="s">
        <v>708</v>
      </c>
      <c r="H1486" s="25"/>
      <c r="I1486" s="18"/>
      <c r="J1486" s="25"/>
      <c r="L1486" s="4" t="s">
        <v>2</v>
      </c>
      <c r="M1486" s="5"/>
      <c r="O1486" s="143"/>
      <c r="P1486" s="143"/>
      <c r="Q1486" s="153">
        <f t="shared" si="49"/>
        <v>0</v>
      </c>
    </row>
    <row r="1487" spans="1:17" ht="16.5" x14ac:dyDescent="0.35">
      <c r="A1487" s="53">
        <v>1486</v>
      </c>
      <c r="B1487" s="351" t="s">
        <v>3223</v>
      </c>
      <c r="C1487" s="18" t="s">
        <v>662</v>
      </c>
      <c r="D1487" s="17" t="s">
        <v>3234</v>
      </c>
      <c r="E1487" s="17" t="s">
        <v>708</v>
      </c>
      <c r="H1487" s="25"/>
      <c r="I1487" s="18"/>
      <c r="J1487" s="25"/>
      <c r="L1487" s="4" t="s">
        <v>9</v>
      </c>
      <c r="M1487" s="5"/>
      <c r="O1487" s="143"/>
      <c r="P1487" s="143"/>
      <c r="Q1487" s="153">
        <f t="shared" si="49"/>
        <v>0</v>
      </c>
    </row>
    <row r="1488" spans="1:17" ht="16.5" x14ac:dyDescent="0.35">
      <c r="A1488" s="53">
        <v>1487</v>
      </c>
      <c r="B1488" s="351" t="s">
        <v>3224</v>
      </c>
      <c r="C1488" s="18" t="s">
        <v>662</v>
      </c>
      <c r="D1488" s="17" t="s">
        <v>3234</v>
      </c>
      <c r="E1488" s="17" t="s">
        <v>708</v>
      </c>
      <c r="H1488" s="25"/>
      <c r="I1488" s="18"/>
      <c r="J1488" s="25"/>
      <c r="L1488" s="4" t="s">
        <v>2</v>
      </c>
      <c r="M1488" s="5"/>
      <c r="O1488" s="143"/>
      <c r="P1488" s="143"/>
      <c r="Q1488" s="153">
        <f t="shared" si="49"/>
        <v>0</v>
      </c>
    </row>
    <row r="1489" spans="1:17" ht="16.5" x14ac:dyDescent="0.35">
      <c r="A1489" s="53">
        <v>1488</v>
      </c>
      <c r="B1489" s="351" t="s">
        <v>3225</v>
      </c>
      <c r="C1489" s="18" t="s">
        <v>662</v>
      </c>
      <c r="D1489" s="17" t="s">
        <v>3234</v>
      </c>
      <c r="E1489" s="17" t="s">
        <v>708</v>
      </c>
      <c r="H1489" s="25"/>
      <c r="I1489" s="18"/>
      <c r="J1489" s="25"/>
      <c r="L1489" s="4" t="s">
        <v>2</v>
      </c>
      <c r="M1489" s="5"/>
      <c r="O1489" s="143"/>
      <c r="P1489" s="143"/>
      <c r="Q1489" s="153">
        <f t="shared" si="49"/>
        <v>0</v>
      </c>
    </row>
    <row r="1490" spans="1:17" ht="16.5" x14ac:dyDescent="0.35">
      <c r="A1490" s="53">
        <v>1489</v>
      </c>
      <c r="B1490" s="351" t="s">
        <v>3226</v>
      </c>
      <c r="C1490" s="18" t="s">
        <v>662</v>
      </c>
      <c r="D1490" s="17" t="s">
        <v>3234</v>
      </c>
      <c r="E1490" s="17" t="s">
        <v>708</v>
      </c>
      <c r="H1490" s="25"/>
      <c r="I1490" s="18"/>
      <c r="J1490" s="25"/>
      <c r="L1490" s="4" t="s">
        <v>9</v>
      </c>
      <c r="M1490" s="5"/>
      <c r="O1490" s="143"/>
      <c r="P1490" s="143"/>
      <c r="Q1490" s="153">
        <f t="shared" si="49"/>
        <v>0</v>
      </c>
    </row>
    <row r="1491" spans="1:17" ht="16.5" x14ac:dyDescent="0.35">
      <c r="A1491" s="53">
        <v>1490</v>
      </c>
      <c r="B1491" s="351" t="s">
        <v>3227</v>
      </c>
      <c r="C1491" s="18" t="s">
        <v>662</v>
      </c>
      <c r="D1491" s="17" t="s">
        <v>3234</v>
      </c>
      <c r="E1491" s="17" t="s">
        <v>708</v>
      </c>
      <c r="H1491" s="25"/>
      <c r="I1491" s="18"/>
      <c r="J1491" s="25"/>
      <c r="L1491" s="4" t="s">
        <v>2</v>
      </c>
      <c r="M1491" s="5"/>
      <c r="O1491" s="143"/>
      <c r="P1491" s="143"/>
      <c r="Q1491" s="153">
        <f t="shared" si="49"/>
        <v>0</v>
      </c>
    </row>
    <row r="1492" spans="1:17" ht="16.5" x14ac:dyDescent="0.35">
      <c r="A1492" s="53">
        <v>1491</v>
      </c>
      <c r="B1492" s="351" t="s">
        <v>3228</v>
      </c>
      <c r="C1492" s="18" t="s">
        <v>662</v>
      </c>
      <c r="D1492" s="17" t="s">
        <v>3234</v>
      </c>
      <c r="E1492" s="17" t="s">
        <v>708</v>
      </c>
      <c r="H1492" s="25"/>
      <c r="I1492" s="18"/>
      <c r="J1492" s="25"/>
      <c r="L1492" s="4" t="s">
        <v>2</v>
      </c>
      <c r="M1492" s="5"/>
      <c r="O1492" s="143"/>
      <c r="P1492" s="143"/>
      <c r="Q1492" s="153">
        <f t="shared" si="49"/>
        <v>0</v>
      </c>
    </row>
    <row r="1493" spans="1:17" ht="16.5" x14ac:dyDescent="0.35">
      <c r="A1493" s="53">
        <v>1492</v>
      </c>
      <c r="B1493" s="351" t="s">
        <v>3221</v>
      </c>
      <c r="C1493" s="18" t="s">
        <v>662</v>
      </c>
      <c r="D1493" s="17" t="s">
        <v>3234</v>
      </c>
      <c r="E1493" s="17" t="s">
        <v>708</v>
      </c>
      <c r="H1493" s="25"/>
      <c r="I1493" s="18"/>
      <c r="J1493" s="25"/>
      <c r="L1493" s="4" t="s">
        <v>2</v>
      </c>
      <c r="M1493" s="5"/>
      <c r="O1493" s="143"/>
      <c r="P1493" s="143"/>
      <c r="Q1493" s="153">
        <f t="shared" si="49"/>
        <v>0</v>
      </c>
    </row>
    <row r="1494" spans="1:17" ht="16.5" x14ac:dyDescent="0.35">
      <c r="A1494" s="53">
        <v>1493</v>
      </c>
      <c r="B1494" s="351" t="s">
        <v>3229</v>
      </c>
      <c r="C1494" s="18" t="s">
        <v>662</v>
      </c>
      <c r="D1494" s="17" t="s">
        <v>3234</v>
      </c>
      <c r="E1494" s="17" t="s">
        <v>708</v>
      </c>
      <c r="H1494" s="25"/>
      <c r="I1494" s="18"/>
      <c r="J1494" s="25"/>
      <c r="L1494" s="4" t="s">
        <v>2</v>
      </c>
      <c r="M1494" s="5"/>
      <c r="O1494" s="143"/>
      <c r="P1494" s="143"/>
      <c r="Q1494" s="153">
        <f t="shared" si="49"/>
        <v>0</v>
      </c>
    </row>
    <row r="1495" spans="1:17" ht="16.5" x14ac:dyDescent="0.35">
      <c r="A1495" s="53">
        <v>1494</v>
      </c>
      <c r="B1495" s="351" t="s">
        <v>3230</v>
      </c>
      <c r="C1495" s="18" t="s">
        <v>662</v>
      </c>
      <c r="D1495" s="17" t="s">
        <v>3234</v>
      </c>
      <c r="E1495" s="17" t="s">
        <v>708</v>
      </c>
      <c r="H1495" s="25"/>
      <c r="I1495" s="18"/>
      <c r="J1495" s="25"/>
      <c r="L1495" s="4" t="s">
        <v>2</v>
      </c>
      <c r="M1495" s="5"/>
      <c r="O1495" s="143"/>
      <c r="P1495" s="143"/>
      <c r="Q1495" s="153">
        <f t="shared" si="49"/>
        <v>0</v>
      </c>
    </row>
    <row r="1496" spans="1:17" ht="16.5" x14ac:dyDescent="0.35">
      <c r="A1496" s="53">
        <v>1495</v>
      </c>
      <c r="B1496" s="351" t="s">
        <v>3231</v>
      </c>
      <c r="C1496" s="18" t="s">
        <v>662</v>
      </c>
      <c r="D1496" s="17" t="s">
        <v>3234</v>
      </c>
      <c r="E1496" s="17" t="s">
        <v>708</v>
      </c>
      <c r="H1496" s="25"/>
      <c r="I1496" s="18"/>
      <c r="J1496" s="25"/>
      <c r="L1496" s="4" t="s">
        <v>9</v>
      </c>
      <c r="M1496" s="5"/>
      <c r="O1496" s="143"/>
      <c r="P1496" s="143"/>
      <c r="Q1496" s="153">
        <f t="shared" si="49"/>
        <v>0</v>
      </c>
    </row>
    <row r="1497" spans="1:17" ht="16.5" x14ac:dyDescent="0.35">
      <c r="A1497" s="53">
        <v>1496</v>
      </c>
      <c r="B1497" s="351" t="s">
        <v>2154</v>
      </c>
      <c r="C1497" s="18" t="s">
        <v>662</v>
      </c>
      <c r="D1497" s="17" t="s">
        <v>3234</v>
      </c>
      <c r="E1497" s="17" t="s">
        <v>708</v>
      </c>
      <c r="H1497" s="25"/>
      <c r="I1497" s="18"/>
      <c r="J1497" s="25"/>
      <c r="L1497" s="4" t="s">
        <v>9</v>
      </c>
      <c r="M1497" s="5"/>
      <c r="O1497" s="143"/>
      <c r="P1497" s="143"/>
      <c r="Q1497" s="153">
        <f t="shared" si="49"/>
        <v>0</v>
      </c>
    </row>
    <row r="1498" spans="1:17" ht="16.5" x14ac:dyDescent="0.35">
      <c r="A1498" s="53">
        <v>1497</v>
      </c>
      <c r="B1498" s="351" t="s">
        <v>3232</v>
      </c>
      <c r="C1498" s="18" t="s">
        <v>662</v>
      </c>
      <c r="D1498" s="17" t="s">
        <v>3234</v>
      </c>
      <c r="E1498" s="17" t="s">
        <v>708</v>
      </c>
      <c r="H1498" s="25"/>
      <c r="I1498" s="18"/>
      <c r="J1498" s="25"/>
      <c r="L1498" s="4" t="s">
        <v>9</v>
      </c>
      <c r="M1498" s="5"/>
      <c r="O1498" s="143"/>
      <c r="P1498" s="143"/>
      <c r="Q1498" s="153">
        <f t="shared" si="49"/>
        <v>0</v>
      </c>
    </row>
    <row r="1499" spans="1:17" ht="16.5" x14ac:dyDescent="0.35">
      <c r="A1499" s="53">
        <v>1498</v>
      </c>
      <c r="B1499" s="351" t="s">
        <v>3233</v>
      </c>
      <c r="C1499" s="18" t="s">
        <v>662</v>
      </c>
      <c r="D1499" s="17" t="s">
        <v>3234</v>
      </c>
      <c r="E1499" s="17" t="s">
        <v>708</v>
      </c>
      <c r="H1499" s="25"/>
      <c r="I1499" s="351"/>
      <c r="J1499" s="25"/>
      <c r="L1499" s="178" t="s">
        <v>9</v>
      </c>
      <c r="M1499" s="27"/>
      <c r="O1499" s="143"/>
      <c r="P1499" s="143"/>
      <c r="Q1499" s="153">
        <f t="shared" si="49"/>
        <v>0</v>
      </c>
    </row>
    <row r="1500" spans="1:17" ht="17" thickBot="1" x14ac:dyDescent="0.4">
      <c r="A1500" s="53">
        <v>1499</v>
      </c>
      <c r="B1500" s="147" t="s">
        <v>3235</v>
      </c>
      <c r="C1500" s="18" t="s">
        <v>662</v>
      </c>
      <c r="D1500" s="17" t="s">
        <v>3234</v>
      </c>
      <c r="E1500" s="17" t="s">
        <v>708</v>
      </c>
      <c r="H1500" s="25"/>
      <c r="I1500" s="18"/>
      <c r="J1500" s="25"/>
      <c r="L1500" s="14" t="s">
        <v>2</v>
      </c>
      <c r="M1500" s="5"/>
      <c r="O1500" s="143"/>
      <c r="P1500" s="143"/>
      <c r="Q1500" s="153">
        <f>SUM(M1500:P1500)</f>
        <v>0</v>
      </c>
    </row>
    <row r="1501" spans="1:17" ht="16.5" x14ac:dyDescent="0.35">
      <c r="A1501" s="53">
        <v>1500</v>
      </c>
      <c r="B1501" s="147" t="s">
        <v>3236</v>
      </c>
      <c r="C1501" s="18" t="s">
        <v>662</v>
      </c>
      <c r="D1501" s="17" t="s">
        <v>3260</v>
      </c>
      <c r="E1501" s="17" t="s">
        <v>3261</v>
      </c>
      <c r="H1501" s="25"/>
      <c r="I1501" s="18"/>
      <c r="J1501" s="25"/>
      <c r="L1501" s="4" t="s">
        <v>2</v>
      </c>
      <c r="M1501" s="5"/>
      <c r="O1501" s="143"/>
      <c r="P1501" s="143"/>
      <c r="Q1501" s="153">
        <f t="shared" ref="Q1501:Q1524" si="50">SUM(M1501:P1501)</f>
        <v>0</v>
      </c>
    </row>
    <row r="1502" spans="1:17" ht="16.5" x14ac:dyDescent="0.35">
      <c r="A1502" s="53">
        <v>1501</v>
      </c>
      <c r="B1502" s="147" t="s">
        <v>3237</v>
      </c>
      <c r="C1502" s="18" t="s">
        <v>662</v>
      </c>
      <c r="D1502" s="17" t="s">
        <v>3260</v>
      </c>
      <c r="E1502" s="17" t="s">
        <v>3261</v>
      </c>
      <c r="H1502" s="25"/>
      <c r="I1502" s="18"/>
      <c r="J1502" s="25"/>
      <c r="L1502" s="4" t="s">
        <v>9</v>
      </c>
      <c r="M1502" s="5"/>
      <c r="O1502" s="143"/>
      <c r="P1502" s="143"/>
      <c r="Q1502" s="153">
        <f t="shared" si="50"/>
        <v>0</v>
      </c>
    </row>
    <row r="1503" spans="1:17" ht="16.5" x14ac:dyDescent="0.35">
      <c r="A1503" s="53">
        <v>1502</v>
      </c>
      <c r="B1503" s="147" t="s">
        <v>3238</v>
      </c>
      <c r="C1503" s="18" t="s">
        <v>662</v>
      </c>
      <c r="D1503" s="17" t="s">
        <v>3260</v>
      </c>
      <c r="E1503" s="17" t="s">
        <v>3261</v>
      </c>
      <c r="H1503" s="25"/>
      <c r="I1503" s="18"/>
      <c r="J1503" s="25"/>
      <c r="L1503" s="4" t="s">
        <v>9</v>
      </c>
      <c r="M1503" s="5"/>
      <c r="O1503" s="143"/>
      <c r="P1503" s="143"/>
      <c r="Q1503" s="153">
        <f t="shared" si="50"/>
        <v>0</v>
      </c>
    </row>
    <row r="1504" spans="1:17" ht="16.5" x14ac:dyDescent="0.35">
      <c r="A1504" s="53">
        <v>1503</v>
      </c>
      <c r="B1504" s="147" t="s">
        <v>3239</v>
      </c>
      <c r="C1504" s="18" t="s">
        <v>662</v>
      </c>
      <c r="D1504" s="17" t="s">
        <v>3260</v>
      </c>
      <c r="E1504" s="17" t="s">
        <v>3261</v>
      </c>
      <c r="H1504" s="25"/>
      <c r="I1504" s="18"/>
      <c r="J1504" s="25"/>
      <c r="L1504" s="4" t="s">
        <v>2</v>
      </c>
      <c r="M1504" s="5"/>
      <c r="O1504" s="143"/>
      <c r="P1504" s="143"/>
      <c r="Q1504" s="153">
        <f t="shared" si="50"/>
        <v>0</v>
      </c>
    </row>
    <row r="1505" spans="1:17" ht="16.5" x14ac:dyDescent="0.35">
      <c r="A1505" s="53">
        <v>1504</v>
      </c>
      <c r="B1505" s="147" t="s">
        <v>3240</v>
      </c>
      <c r="C1505" s="18" t="s">
        <v>662</v>
      </c>
      <c r="D1505" s="17" t="s">
        <v>3260</v>
      </c>
      <c r="E1505" s="17" t="s">
        <v>3261</v>
      </c>
      <c r="H1505" s="25"/>
      <c r="I1505" s="18"/>
      <c r="J1505" s="25"/>
      <c r="L1505" s="4" t="s">
        <v>9</v>
      </c>
      <c r="M1505" s="5"/>
      <c r="O1505" s="143"/>
      <c r="P1505" s="143"/>
      <c r="Q1505" s="153">
        <f t="shared" si="50"/>
        <v>0</v>
      </c>
    </row>
    <row r="1506" spans="1:17" ht="16.5" x14ac:dyDescent="0.35">
      <c r="A1506" s="53">
        <v>1505</v>
      </c>
      <c r="B1506" s="147" t="s">
        <v>3241</v>
      </c>
      <c r="C1506" s="18" t="s">
        <v>662</v>
      </c>
      <c r="D1506" s="17" t="s">
        <v>3260</v>
      </c>
      <c r="E1506" s="17" t="s">
        <v>3261</v>
      </c>
      <c r="H1506" s="25"/>
      <c r="I1506" s="18"/>
      <c r="J1506" s="25"/>
      <c r="L1506" s="4" t="s">
        <v>9</v>
      </c>
      <c r="M1506" s="5"/>
      <c r="O1506" s="143"/>
      <c r="P1506" s="143"/>
      <c r="Q1506" s="153">
        <f t="shared" si="50"/>
        <v>0</v>
      </c>
    </row>
    <row r="1507" spans="1:17" ht="16.5" x14ac:dyDescent="0.35">
      <c r="A1507" s="53">
        <v>1506</v>
      </c>
      <c r="B1507" s="147" t="s">
        <v>3242</v>
      </c>
      <c r="C1507" s="18" t="s">
        <v>662</v>
      </c>
      <c r="D1507" s="17" t="s">
        <v>3260</v>
      </c>
      <c r="E1507" s="17" t="s">
        <v>3261</v>
      </c>
      <c r="H1507" s="25"/>
      <c r="I1507" s="18"/>
      <c r="J1507" s="25"/>
      <c r="L1507" s="4" t="s">
        <v>9</v>
      </c>
      <c r="M1507" s="5"/>
      <c r="O1507" s="143"/>
      <c r="P1507" s="143"/>
      <c r="Q1507" s="153">
        <f t="shared" si="50"/>
        <v>0</v>
      </c>
    </row>
    <row r="1508" spans="1:17" ht="16.5" x14ac:dyDescent="0.35">
      <c r="A1508" s="53">
        <v>1507</v>
      </c>
      <c r="B1508" s="147" t="s">
        <v>3243</v>
      </c>
      <c r="C1508" s="18" t="s">
        <v>662</v>
      </c>
      <c r="D1508" s="17" t="s">
        <v>3260</v>
      </c>
      <c r="E1508" s="17" t="s">
        <v>3261</v>
      </c>
      <c r="H1508" s="25"/>
      <c r="I1508" s="18"/>
      <c r="J1508" s="25"/>
      <c r="L1508" s="4" t="s">
        <v>2</v>
      </c>
      <c r="M1508" s="5"/>
      <c r="O1508" s="143"/>
      <c r="P1508" s="143"/>
      <c r="Q1508" s="153">
        <f t="shared" si="50"/>
        <v>0</v>
      </c>
    </row>
    <row r="1509" spans="1:17" ht="16.5" x14ac:dyDescent="0.35">
      <c r="A1509" s="53">
        <v>1508</v>
      </c>
      <c r="B1509" s="147" t="s">
        <v>3244</v>
      </c>
      <c r="C1509" s="18" t="s">
        <v>662</v>
      </c>
      <c r="D1509" s="17" t="s">
        <v>3260</v>
      </c>
      <c r="E1509" s="17" t="s">
        <v>3261</v>
      </c>
      <c r="H1509" s="25"/>
      <c r="I1509" s="18"/>
      <c r="J1509" s="25"/>
      <c r="L1509" s="4" t="s">
        <v>9</v>
      </c>
      <c r="M1509" s="5"/>
      <c r="O1509" s="143"/>
      <c r="P1509" s="143"/>
      <c r="Q1509" s="153">
        <f t="shared" si="50"/>
        <v>0</v>
      </c>
    </row>
    <row r="1510" spans="1:17" ht="16.5" x14ac:dyDescent="0.35">
      <c r="A1510" s="53">
        <v>1509</v>
      </c>
      <c r="B1510" s="147" t="s">
        <v>3245</v>
      </c>
      <c r="C1510" s="18" t="s">
        <v>662</v>
      </c>
      <c r="D1510" s="17" t="s">
        <v>3260</v>
      </c>
      <c r="E1510" s="17" t="s">
        <v>3261</v>
      </c>
      <c r="H1510" s="25"/>
      <c r="I1510" s="18"/>
      <c r="J1510" s="25"/>
      <c r="L1510" s="4" t="s">
        <v>2</v>
      </c>
      <c r="M1510" s="5"/>
      <c r="O1510" s="143"/>
      <c r="P1510" s="143"/>
      <c r="Q1510" s="153">
        <f t="shared" si="50"/>
        <v>0</v>
      </c>
    </row>
    <row r="1511" spans="1:17" ht="16.5" x14ac:dyDescent="0.35">
      <c r="A1511" s="53">
        <v>1510</v>
      </c>
      <c r="B1511" s="147" t="s">
        <v>3246</v>
      </c>
      <c r="C1511" s="18" t="s">
        <v>662</v>
      </c>
      <c r="D1511" s="17" t="s">
        <v>3260</v>
      </c>
      <c r="E1511" s="17" t="s">
        <v>3261</v>
      </c>
      <c r="H1511" s="25"/>
      <c r="I1511" s="18"/>
      <c r="J1511" s="25"/>
      <c r="L1511" s="4" t="s">
        <v>2</v>
      </c>
      <c r="M1511" s="5"/>
      <c r="O1511" s="143"/>
      <c r="P1511" s="143"/>
      <c r="Q1511" s="153">
        <f t="shared" si="50"/>
        <v>0</v>
      </c>
    </row>
    <row r="1512" spans="1:17" ht="16.5" x14ac:dyDescent="0.35">
      <c r="A1512" s="53">
        <v>1511</v>
      </c>
      <c r="B1512" s="147" t="s">
        <v>3247</v>
      </c>
      <c r="C1512" s="18" t="s">
        <v>662</v>
      </c>
      <c r="D1512" s="17" t="s">
        <v>3260</v>
      </c>
      <c r="E1512" s="17" t="s">
        <v>3261</v>
      </c>
      <c r="H1512" s="25"/>
      <c r="I1512" s="18"/>
      <c r="J1512" s="25"/>
      <c r="L1512" s="4" t="s">
        <v>2</v>
      </c>
      <c r="M1512" s="5"/>
      <c r="O1512" s="143"/>
      <c r="P1512" s="143"/>
      <c r="Q1512" s="153">
        <f t="shared" si="50"/>
        <v>0</v>
      </c>
    </row>
    <row r="1513" spans="1:17" ht="16.5" x14ac:dyDescent="0.35">
      <c r="A1513" s="53">
        <v>1512</v>
      </c>
      <c r="B1513" s="147" t="s">
        <v>3248</v>
      </c>
      <c r="C1513" s="18" t="s">
        <v>662</v>
      </c>
      <c r="D1513" s="17" t="s">
        <v>3260</v>
      </c>
      <c r="E1513" s="17" t="s">
        <v>3261</v>
      </c>
      <c r="H1513" s="25"/>
      <c r="I1513" s="18"/>
      <c r="J1513" s="25"/>
      <c r="L1513" s="4" t="s">
        <v>2</v>
      </c>
      <c r="M1513" s="5"/>
      <c r="O1513" s="143"/>
      <c r="P1513" s="143"/>
      <c r="Q1513" s="153">
        <f t="shared" si="50"/>
        <v>0</v>
      </c>
    </row>
    <row r="1514" spans="1:17" ht="16.5" x14ac:dyDescent="0.35">
      <c r="A1514" s="53">
        <v>1513</v>
      </c>
      <c r="B1514" s="147" t="s">
        <v>3249</v>
      </c>
      <c r="C1514" s="18" t="s">
        <v>662</v>
      </c>
      <c r="D1514" s="17" t="s">
        <v>3260</v>
      </c>
      <c r="E1514" s="17" t="s">
        <v>3261</v>
      </c>
      <c r="H1514" s="25"/>
      <c r="I1514" s="18"/>
      <c r="J1514" s="25"/>
      <c r="L1514" s="4" t="s">
        <v>2</v>
      </c>
      <c r="M1514" s="5"/>
      <c r="O1514" s="143"/>
      <c r="P1514" s="143"/>
      <c r="Q1514" s="153">
        <f t="shared" si="50"/>
        <v>0</v>
      </c>
    </row>
    <row r="1515" spans="1:17" ht="16.5" x14ac:dyDescent="0.35">
      <c r="A1515" s="53">
        <v>1514</v>
      </c>
      <c r="B1515" s="147" t="s">
        <v>3250</v>
      </c>
      <c r="C1515" s="18" t="s">
        <v>662</v>
      </c>
      <c r="D1515" s="17" t="s">
        <v>3260</v>
      </c>
      <c r="E1515" s="17" t="s">
        <v>3261</v>
      </c>
      <c r="H1515" s="25"/>
      <c r="I1515" s="18"/>
      <c r="J1515" s="25"/>
      <c r="L1515" s="4" t="s">
        <v>2</v>
      </c>
      <c r="M1515" s="5"/>
      <c r="O1515" s="143"/>
      <c r="P1515" s="143"/>
      <c r="Q1515" s="153">
        <f t="shared" si="50"/>
        <v>0</v>
      </c>
    </row>
    <row r="1516" spans="1:17" ht="16.5" x14ac:dyDescent="0.35">
      <c r="A1516" s="53">
        <v>1515</v>
      </c>
      <c r="B1516" s="147" t="s">
        <v>3251</v>
      </c>
      <c r="C1516" s="18" t="s">
        <v>662</v>
      </c>
      <c r="D1516" s="17" t="s">
        <v>3260</v>
      </c>
      <c r="E1516" s="17" t="s">
        <v>3261</v>
      </c>
      <c r="H1516" s="25"/>
      <c r="I1516" s="18"/>
      <c r="J1516" s="25"/>
      <c r="L1516" s="4" t="s">
        <v>9</v>
      </c>
      <c r="M1516" s="5"/>
      <c r="O1516" s="143"/>
      <c r="P1516" s="143"/>
      <c r="Q1516" s="153">
        <f t="shared" si="50"/>
        <v>0</v>
      </c>
    </row>
    <row r="1517" spans="1:17" ht="16.5" x14ac:dyDescent="0.35">
      <c r="A1517" s="53">
        <v>1516</v>
      </c>
      <c r="B1517" s="147" t="s">
        <v>3252</v>
      </c>
      <c r="C1517" s="18" t="s">
        <v>662</v>
      </c>
      <c r="D1517" s="17" t="s">
        <v>3260</v>
      </c>
      <c r="E1517" s="17" t="s">
        <v>3261</v>
      </c>
      <c r="H1517" s="25"/>
      <c r="I1517" s="18"/>
      <c r="J1517" s="25"/>
      <c r="L1517" s="4" t="s">
        <v>9</v>
      </c>
      <c r="M1517" s="5"/>
      <c r="O1517" s="143"/>
      <c r="P1517" s="143"/>
      <c r="Q1517" s="153">
        <f t="shared" si="50"/>
        <v>0</v>
      </c>
    </row>
    <row r="1518" spans="1:17" ht="16.5" x14ac:dyDescent="0.35">
      <c r="A1518" s="53">
        <v>1517</v>
      </c>
      <c r="B1518" s="147" t="s">
        <v>3253</v>
      </c>
      <c r="C1518" s="18" t="s">
        <v>662</v>
      </c>
      <c r="D1518" s="17" t="s">
        <v>3260</v>
      </c>
      <c r="E1518" s="17" t="s">
        <v>3261</v>
      </c>
      <c r="H1518" s="25"/>
      <c r="I1518" s="18"/>
      <c r="J1518" s="25"/>
      <c r="L1518" s="4" t="s">
        <v>2</v>
      </c>
      <c r="M1518" s="5"/>
      <c r="O1518" s="143"/>
      <c r="P1518" s="143"/>
      <c r="Q1518" s="153">
        <f t="shared" si="50"/>
        <v>0</v>
      </c>
    </row>
    <row r="1519" spans="1:17" ht="16.5" x14ac:dyDescent="0.35">
      <c r="A1519" s="53">
        <v>1518</v>
      </c>
      <c r="B1519" s="147" t="s">
        <v>3254</v>
      </c>
      <c r="C1519" s="18" t="s">
        <v>662</v>
      </c>
      <c r="D1519" s="17" t="s">
        <v>3260</v>
      </c>
      <c r="E1519" s="17" t="s">
        <v>3261</v>
      </c>
      <c r="H1519" s="25"/>
      <c r="I1519" s="18"/>
      <c r="J1519" s="25"/>
      <c r="L1519" s="4" t="s">
        <v>2</v>
      </c>
      <c r="M1519" s="5"/>
      <c r="O1519" s="143"/>
      <c r="P1519" s="143"/>
      <c r="Q1519" s="153">
        <f t="shared" si="50"/>
        <v>0</v>
      </c>
    </row>
    <row r="1520" spans="1:17" ht="16.5" x14ac:dyDescent="0.35">
      <c r="A1520" s="53">
        <v>1519</v>
      </c>
      <c r="B1520" s="147" t="s">
        <v>3255</v>
      </c>
      <c r="C1520" s="18" t="s">
        <v>662</v>
      </c>
      <c r="D1520" s="17" t="s">
        <v>3260</v>
      </c>
      <c r="E1520" s="17" t="s">
        <v>3261</v>
      </c>
      <c r="H1520" s="25"/>
      <c r="I1520" s="18"/>
      <c r="J1520" s="25"/>
      <c r="L1520" s="4" t="s">
        <v>2</v>
      </c>
      <c r="M1520" s="5"/>
      <c r="O1520" s="143"/>
      <c r="P1520" s="143"/>
      <c r="Q1520" s="153">
        <f t="shared" si="50"/>
        <v>0</v>
      </c>
    </row>
    <row r="1521" spans="1:17" ht="16.5" x14ac:dyDescent="0.35">
      <c r="A1521" s="53">
        <v>1520</v>
      </c>
      <c r="B1521" s="147" t="s">
        <v>3256</v>
      </c>
      <c r="C1521" s="18" t="s">
        <v>662</v>
      </c>
      <c r="D1521" s="17" t="s">
        <v>3260</v>
      </c>
      <c r="E1521" s="17" t="s">
        <v>3261</v>
      </c>
      <c r="H1521" s="25"/>
      <c r="I1521" s="18"/>
      <c r="J1521" s="25"/>
      <c r="L1521" s="4" t="s">
        <v>2</v>
      </c>
      <c r="M1521" s="5"/>
      <c r="O1521" s="143"/>
      <c r="P1521" s="143"/>
      <c r="Q1521" s="153">
        <f t="shared" si="50"/>
        <v>0</v>
      </c>
    </row>
    <row r="1522" spans="1:17" ht="16.5" x14ac:dyDescent="0.35">
      <c r="A1522" s="53">
        <v>1521</v>
      </c>
      <c r="B1522" s="147" t="s">
        <v>3257</v>
      </c>
      <c r="C1522" s="18" t="s">
        <v>662</v>
      </c>
      <c r="D1522" s="17" t="s">
        <v>3260</v>
      </c>
      <c r="E1522" s="17" t="s">
        <v>3261</v>
      </c>
      <c r="H1522" s="25"/>
      <c r="I1522" s="18"/>
      <c r="J1522" s="25"/>
      <c r="L1522" s="4" t="s">
        <v>2</v>
      </c>
      <c r="M1522" s="5"/>
      <c r="O1522" s="143"/>
      <c r="P1522" s="143"/>
      <c r="Q1522" s="153">
        <f t="shared" si="50"/>
        <v>0</v>
      </c>
    </row>
    <row r="1523" spans="1:17" ht="16.5" x14ac:dyDescent="0.35">
      <c r="A1523" s="53">
        <v>1522</v>
      </c>
      <c r="B1523" s="147" t="s">
        <v>3258</v>
      </c>
      <c r="C1523" s="18" t="s">
        <v>662</v>
      </c>
      <c r="D1523" s="17" t="s">
        <v>3260</v>
      </c>
      <c r="E1523" s="17" t="s">
        <v>3261</v>
      </c>
      <c r="H1523" s="25"/>
      <c r="I1523" s="18"/>
      <c r="J1523" s="25"/>
      <c r="L1523" s="4" t="s">
        <v>2</v>
      </c>
      <c r="M1523" s="5"/>
      <c r="O1523" s="143"/>
      <c r="P1523" s="143"/>
      <c r="Q1523" s="153">
        <f t="shared" si="50"/>
        <v>0</v>
      </c>
    </row>
    <row r="1524" spans="1:17" ht="16.5" x14ac:dyDescent="0.35">
      <c r="A1524" s="53">
        <v>1523</v>
      </c>
      <c r="B1524" s="147" t="s">
        <v>3259</v>
      </c>
      <c r="C1524" s="18" t="s">
        <v>662</v>
      </c>
      <c r="D1524" s="17" t="s">
        <v>3260</v>
      </c>
      <c r="E1524" s="17" t="s">
        <v>3261</v>
      </c>
      <c r="H1524" s="25"/>
      <c r="I1524" s="18"/>
      <c r="J1524" s="25"/>
      <c r="L1524" s="4" t="s">
        <v>2</v>
      </c>
      <c r="M1524" s="5"/>
      <c r="O1524" s="143"/>
      <c r="P1524" s="143"/>
      <c r="Q1524" s="153">
        <f t="shared" si="50"/>
        <v>0</v>
      </c>
    </row>
    <row r="1525" spans="1:17" ht="16.5" x14ac:dyDescent="0.35">
      <c r="A1525" s="53">
        <v>1524</v>
      </c>
      <c r="B1525" s="147" t="s">
        <v>3244</v>
      </c>
      <c r="C1525" s="18" t="s">
        <v>662</v>
      </c>
      <c r="D1525" s="17" t="s">
        <v>3260</v>
      </c>
      <c r="E1525" s="17" t="s">
        <v>3261</v>
      </c>
      <c r="H1525" s="25"/>
      <c r="I1525" s="18"/>
      <c r="J1525" s="25"/>
      <c r="L1525" s="4" t="s">
        <v>2</v>
      </c>
      <c r="M1525" s="5"/>
      <c r="O1525" s="143"/>
      <c r="P1525" s="143"/>
      <c r="Q1525" s="153">
        <f>SUM(M1525:P1525)</f>
        <v>0</v>
      </c>
    </row>
    <row r="1526" spans="1:17" ht="16.5" x14ac:dyDescent="0.35">
      <c r="A1526" s="53">
        <v>1525</v>
      </c>
      <c r="B1526" s="147" t="s">
        <v>3262</v>
      </c>
      <c r="C1526" s="18" t="s">
        <v>662</v>
      </c>
      <c r="D1526" s="17" t="s">
        <v>3278</v>
      </c>
      <c r="E1526" s="17" t="s">
        <v>3261</v>
      </c>
      <c r="H1526" s="25"/>
      <c r="I1526" s="18"/>
      <c r="J1526" s="25"/>
      <c r="L1526" s="4" t="s">
        <v>2</v>
      </c>
      <c r="M1526" s="5"/>
      <c r="O1526" s="143"/>
      <c r="P1526" s="143"/>
      <c r="Q1526" s="153">
        <f t="shared" ref="Q1526:Q1541" si="51">SUM(M1526:P1526)</f>
        <v>0</v>
      </c>
    </row>
    <row r="1527" spans="1:17" ht="16.5" x14ac:dyDescent="0.35">
      <c r="A1527" s="53">
        <v>1526</v>
      </c>
      <c r="B1527" s="147" t="s">
        <v>3263</v>
      </c>
      <c r="C1527" s="18" t="s">
        <v>662</v>
      </c>
      <c r="D1527" s="17" t="s">
        <v>3278</v>
      </c>
      <c r="E1527" s="17" t="s">
        <v>3261</v>
      </c>
      <c r="H1527" s="25"/>
      <c r="I1527" s="18"/>
      <c r="J1527" s="25"/>
      <c r="L1527" s="4" t="s">
        <v>2</v>
      </c>
      <c r="M1527" s="5"/>
      <c r="O1527" s="143"/>
      <c r="P1527" s="143"/>
      <c r="Q1527" s="153">
        <f t="shared" si="51"/>
        <v>0</v>
      </c>
    </row>
    <row r="1528" spans="1:17" ht="16.5" x14ac:dyDescent="0.35">
      <c r="A1528" s="53">
        <v>1527</v>
      </c>
      <c r="B1528" s="147" t="s">
        <v>3264</v>
      </c>
      <c r="C1528" s="18" t="s">
        <v>662</v>
      </c>
      <c r="D1528" s="17" t="s">
        <v>3278</v>
      </c>
      <c r="E1528" s="17" t="s">
        <v>3261</v>
      </c>
      <c r="H1528" s="25"/>
      <c r="I1528" s="18"/>
      <c r="J1528" s="25"/>
      <c r="L1528" s="4" t="s">
        <v>2</v>
      </c>
      <c r="M1528" s="5"/>
      <c r="O1528" s="143"/>
      <c r="P1528" s="143"/>
      <c r="Q1528" s="153">
        <f t="shared" si="51"/>
        <v>0</v>
      </c>
    </row>
    <row r="1529" spans="1:17" ht="16.5" x14ac:dyDescent="0.35">
      <c r="A1529" s="53">
        <v>1528</v>
      </c>
      <c r="B1529" s="147" t="s">
        <v>3265</v>
      </c>
      <c r="C1529" s="18" t="s">
        <v>662</v>
      </c>
      <c r="D1529" s="17" t="s">
        <v>3278</v>
      </c>
      <c r="E1529" s="17" t="s">
        <v>3261</v>
      </c>
      <c r="H1529" s="25"/>
      <c r="I1529" s="18"/>
      <c r="J1529" s="25"/>
      <c r="L1529" s="4" t="s">
        <v>2</v>
      </c>
      <c r="M1529" s="5"/>
      <c r="O1529" s="143"/>
      <c r="P1529" s="143"/>
      <c r="Q1529" s="153">
        <f t="shared" si="51"/>
        <v>0</v>
      </c>
    </row>
    <row r="1530" spans="1:17" ht="16.5" x14ac:dyDescent="0.35">
      <c r="A1530" s="53">
        <v>1529</v>
      </c>
      <c r="B1530" s="147" t="s">
        <v>3266</v>
      </c>
      <c r="C1530" s="18" t="s">
        <v>662</v>
      </c>
      <c r="D1530" s="17" t="s">
        <v>3278</v>
      </c>
      <c r="E1530" s="17" t="s">
        <v>3261</v>
      </c>
      <c r="H1530" s="25"/>
      <c r="I1530" s="18"/>
      <c r="J1530" s="25"/>
      <c r="L1530" s="4" t="s">
        <v>2</v>
      </c>
      <c r="M1530" s="5"/>
      <c r="O1530" s="143"/>
      <c r="P1530" s="143"/>
      <c r="Q1530" s="153">
        <f t="shared" si="51"/>
        <v>0</v>
      </c>
    </row>
    <row r="1531" spans="1:17" ht="16.5" x14ac:dyDescent="0.35">
      <c r="A1531" s="53">
        <v>1530</v>
      </c>
      <c r="B1531" s="147" t="s">
        <v>3267</v>
      </c>
      <c r="C1531" s="18" t="s">
        <v>662</v>
      </c>
      <c r="D1531" s="17" t="s">
        <v>3278</v>
      </c>
      <c r="E1531" s="17" t="s">
        <v>3261</v>
      </c>
      <c r="H1531" s="25"/>
      <c r="I1531" s="18"/>
      <c r="J1531" s="25"/>
      <c r="L1531" s="4" t="s">
        <v>2</v>
      </c>
      <c r="M1531" s="5"/>
      <c r="O1531" s="143"/>
      <c r="P1531" s="143"/>
      <c r="Q1531" s="153">
        <f t="shared" si="51"/>
        <v>0</v>
      </c>
    </row>
    <row r="1532" spans="1:17" ht="16.5" x14ac:dyDescent="0.35">
      <c r="A1532" s="53">
        <v>1531</v>
      </c>
      <c r="B1532" s="147" t="s">
        <v>3268</v>
      </c>
      <c r="C1532" s="18" t="s">
        <v>662</v>
      </c>
      <c r="D1532" s="17" t="s">
        <v>3278</v>
      </c>
      <c r="E1532" s="17" t="s">
        <v>3261</v>
      </c>
      <c r="H1532" s="25"/>
      <c r="I1532" s="18"/>
      <c r="J1532" s="25"/>
      <c r="L1532" s="4" t="s">
        <v>2</v>
      </c>
      <c r="M1532" s="5"/>
      <c r="O1532" s="143"/>
      <c r="P1532" s="143"/>
      <c r="Q1532" s="153">
        <f t="shared" si="51"/>
        <v>0</v>
      </c>
    </row>
    <row r="1533" spans="1:17" ht="16.5" x14ac:dyDescent="0.35">
      <c r="A1533" s="53">
        <v>1532</v>
      </c>
      <c r="B1533" s="147" t="s">
        <v>3269</v>
      </c>
      <c r="C1533" s="18" t="s">
        <v>662</v>
      </c>
      <c r="D1533" s="17" t="s">
        <v>3278</v>
      </c>
      <c r="E1533" s="17" t="s">
        <v>3261</v>
      </c>
      <c r="H1533" s="25"/>
      <c r="I1533" s="18"/>
      <c r="J1533" s="25"/>
      <c r="L1533" s="4" t="s">
        <v>2</v>
      </c>
      <c r="M1533" s="5"/>
      <c r="O1533" s="143"/>
      <c r="P1533" s="143"/>
      <c r="Q1533" s="153">
        <f t="shared" si="51"/>
        <v>0</v>
      </c>
    </row>
    <row r="1534" spans="1:17" ht="16.5" x14ac:dyDescent="0.35">
      <c r="A1534" s="53">
        <v>1533</v>
      </c>
      <c r="B1534" s="147" t="s">
        <v>3270</v>
      </c>
      <c r="C1534" s="18" t="s">
        <v>662</v>
      </c>
      <c r="D1534" s="17" t="s">
        <v>3278</v>
      </c>
      <c r="E1534" s="17" t="s">
        <v>3261</v>
      </c>
      <c r="H1534" s="25"/>
      <c r="I1534" s="18"/>
      <c r="J1534" s="25"/>
      <c r="L1534" s="4" t="s">
        <v>2</v>
      </c>
      <c r="M1534" s="5"/>
      <c r="O1534" s="143"/>
      <c r="P1534" s="143"/>
      <c r="Q1534" s="153">
        <f t="shared" si="51"/>
        <v>0</v>
      </c>
    </row>
    <row r="1535" spans="1:17" ht="16.5" x14ac:dyDescent="0.35">
      <c r="A1535" s="53">
        <v>1534</v>
      </c>
      <c r="B1535" s="147" t="s">
        <v>3271</v>
      </c>
      <c r="C1535" s="18" t="s">
        <v>662</v>
      </c>
      <c r="D1535" s="17" t="s">
        <v>3278</v>
      </c>
      <c r="E1535" s="17" t="s">
        <v>3261</v>
      </c>
      <c r="H1535" s="25"/>
      <c r="I1535" s="18"/>
      <c r="J1535" s="25"/>
      <c r="L1535" s="4" t="s">
        <v>9</v>
      </c>
      <c r="M1535" s="5"/>
      <c r="O1535" s="143"/>
      <c r="P1535" s="143"/>
      <c r="Q1535" s="153">
        <f t="shared" si="51"/>
        <v>0</v>
      </c>
    </row>
    <row r="1536" spans="1:17" ht="16.5" x14ac:dyDescent="0.35">
      <c r="A1536" s="53">
        <v>1535</v>
      </c>
      <c r="B1536" s="147" t="s">
        <v>3272</v>
      </c>
      <c r="C1536" s="18" t="s">
        <v>662</v>
      </c>
      <c r="D1536" s="17" t="s">
        <v>3278</v>
      </c>
      <c r="E1536" s="17" t="s">
        <v>3261</v>
      </c>
      <c r="H1536" s="25"/>
      <c r="I1536" s="18"/>
      <c r="J1536" s="25"/>
      <c r="L1536" s="4" t="s">
        <v>2</v>
      </c>
      <c r="M1536" s="5"/>
      <c r="O1536" s="143"/>
      <c r="P1536" s="143"/>
      <c r="Q1536" s="153">
        <f t="shared" si="51"/>
        <v>0</v>
      </c>
    </row>
    <row r="1537" spans="1:17" ht="16.5" x14ac:dyDescent="0.35">
      <c r="A1537" s="53">
        <v>1536</v>
      </c>
      <c r="B1537" s="147" t="s">
        <v>3273</v>
      </c>
      <c r="C1537" s="18" t="s">
        <v>662</v>
      </c>
      <c r="D1537" s="17" t="s">
        <v>3278</v>
      </c>
      <c r="E1537" s="17" t="s">
        <v>3261</v>
      </c>
      <c r="H1537" s="25"/>
      <c r="I1537" s="18"/>
      <c r="J1537" s="25"/>
      <c r="L1537" s="4" t="s">
        <v>2</v>
      </c>
      <c r="M1537" s="5"/>
      <c r="O1537" s="143"/>
      <c r="P1537" s="143"/>
      <c r="Q1537" s="153">
        <f t="shared" si="51"/>
        <v>0</v>
      </c>
    </row>
    <row r="1538" spans="1:17" ht="16.5" x14ac:dyDescent="0.35">
      <c r="A1538" s="53">
        <v>1537</v>
      </c>
      <c r="B1538" s="147" t="s">
        <v>3274</v>
      </c>
      <c r="C1538" s="18" t="s">
        <v>662</v>
      </c>
      <c r="D1538" s="17" t="s">
        <v>3278</v>
      </c>
      <c r="E1538" s="17" t="s">
        <v>3261</v>
      </c>
      <c r="H1538" s="25"/>
      <c r="I1538" s="18"/>
      <c r="J1538" s="25"/>
      <c r="L1538" s="4" t="s">
        <v>9</v>
      </c>
      <c r="M1538" s="5"/>
      <c r="O1538" s="143"/>
      <c r="P1538" s="143"/>
      <c r="Q1538" s="153">
        <f t="shared" si="51"/>
        <v>0</v>
      </c>
    </row>
    <row r="1539" spans="1:17" ht="16.5" x14ac:dyDescent="0.35">
      <c r="A1539" s="53">
        <v>1538</v>
      </c>
      <c r="B1539" s="147" t="s">
        <v>3275</v>
      </c>
      <c r="C1539" s="18" t="s">
        <v>662</v>
      </c>
      <c r="D1539" s="17" t="s">
        <v>3278</v>
      </c>
      <c r="E1539" s="17" t="s">
        <v>3261</v>
      </c>
      <c r="H1539" s="25"/>
      <c r="I1539" s="18"/>
      <c r="J1539" s="25"/>
      <c r="L1539" s="4" t="s">
        <v>2</v>
      </c>
      <c r="M1539" s="5"/>
      <c r="O1539" s="143"/>
      <c r="P1539" s="143"/>
      <c r="Q1539" s="153">
        <f t="shared" si="51"/>
        <v>0</v>
      </c>
    </row>
    <row r="1540" spans="1:17" ht="16.5" x14ac:dyDescent="0.35">
      <c r="A1540" s="53">
        <v>1539</v>
      </c>
      <c r="B1540" s="147" t="s">
        <v>3276</v>
      </c>
      <c r="C1540" s="18" t="s">
        <v>662</v>
      </c>
      <c r="D1540" s="17" t="s">
        <v>3278</v>
      </c>
      <c r="E1540" s="17" t="s">
        <v>3261</v>
      </c>
      <c r="H1540" s="25"/>
      <c r="I1540" s="18"/>
      <c r="J1540" s="25"/>
      <c r="L1540" s="4" t="s">
        <v>2</v>
      </c>
      <c r="M1540" s="5"/>
      <c r="O1540" s="143"/>
      <c r="P1540" s="143"/>
      <c r="Q1540" s="153">
        <f t="shared" si="51"/>
        <v>0</v>
      </c>
    </row>
    <row r="1541" spans="1:17" ht="16.5" x14ac:dyDescent="0.35">
      <c r="A1541" s="53">
        <v>1540</v>
      </c>
      <c r="B1541" s="147" t="s">
        <v>3277</v>
      </c>
      <c r="C1541" s="18" t="s">
        <v>662</v>
      </c>
      <c r="D1541" s="17" t="s">
        <v>3278</v>
      </c>
      <c r="E1541" s="17" t="s">
        <v>3261</v>
      </c>
      <c r="H1541" s="25"/>
      <c r="I1541" s="18"/>
      <c r="J1541" s="25"/>
      <c r="L1541" s="4" t="s">
        <v>2</v>
      </c>
      <c r="M1541" s="5"/>
      <c r="O1541" s="143"/>
      <c r="P1541" s="143"/>
      <c r="Q1541" s="153">
        <f t="shared" si="51"/>
        <v>0</v>
      </c>
    </row>
    <row r="1542" spans="1:17" ht="16.5" x14ac:dyDescent="0.35">
      <c r="A1542" s="53">
        <v>1541</v>
      </c>
      <c r="B1542" s="147" t="s">
        <v>3279</v>
      </c>
      <c r="C1542" s="18" t="s">
        <v>662</v>
      </c>
      <c r="D1542" s="17" t="s">
        <v>3308</v>
      </c>
      <c r="E1542" s="17" t="s">
        <v>3309</v>
      </c>
      <c r="H1542" s="25"/>
      <c r="I1542" s="18"/>
      <c r="J1542" s="25"/>
      <c r="L1542" s="4" t="s">
        <v>2</v>
      </c>
      <c r="M1542" s="5"/>
      <c r="O1542" s="143"/>
      <c r="P1542" s="143"/>
      <c r="Q1542" s="153">
        <f>SUM(M1542:P1542)</f>
        <v>0</v>
      </c>
    </row>
    <row r="1543" spans="1:17" ht="16.5" x14ac:dyDescent="0.35">
      <c r="A1543" s="53">
        <v>1542</v>
      </c>
      <c r="B1543" s="147" t="s">
        <v>3280</v>
      </c>
      <c r="C1543" s="18" t="s">
        <v>662</v>
      </c>
      <c r="D1543" s="17" t="s">
        <v>3308</v>
      </c>
      <c r="E1543" s="17" t="s">
        <v>3309</v>
      </c>
      <c r="H1543" s="25"/>
      <c r="I1543" s="18"/>
      <c r="J1543" s="25"/>
      <c r="L1543" s="4" t="s">
        <v>2</v>
      </c>
      <c r="M1543" s="5"/>
      <c r="O1543" s="143"/>
      <c r="P1543" s="143"/>
      <c r="Q1543" s="153">
        <f t="shared" ref="Q1543:Q1571" si="52">SUM(M1543:P1543)</f>
        <v>0</v>
      </c>
    </row>
    <row r="1544" spans="1:17" ht="16.5" x14ac:dyDescent="0.35">
      <c r="A1544" s="53">
        <v>1543</v>
      </c>
      <c r="B1544" s="147" t="s">
        <v>3281</v>
      </c>
      <c r="C1544" s="18" t="s">
        <v>662</v>
      </c>
      <c r="D1544" s="17" t="s">
        <v>3308</v>
      </c>
      <c r="E1544" s="17" t="s">
        <v>3309</v>
      </c>
      <c r="H1544" s="25"/>
      <c r="I1544" s="18"/>
      <c r="J1544" s="25"/>
      <c r="L1544" s="4" t="s">
        <v>9</v>
      </c>
      <c r="M1544" s="5"/>
      <c r="O1544" s="143"/>
      <c r="P1544" s="143"/>
      <c r="Q1544" s="153">
        <f t="shared" si="52"/>
        <v>0</v>
      </c>
    </row>
    <row r="1545" spans="1:17" ht="16.5" x14ac:dyDescent="0.35">
      <c r="A1545" s="53">
        <v>1544</v>
      </c>
      <c r="B1545" s="147" t="s">
        <v>3282</v>
      </c>
      <c r="C1545" s="18" t="s">
        <v>662</v>
      </c>
      <c r="D1545" s="17" t="s">
        <v>3308</v>
      </c>
      <c r="E1545" s="17" t="s">
        <v>3309</v>
      </c>
      <c r="H1545" s="25"/>
      <c r="I1545" s="18"/>
      <c r="J1545" s="25"/>
      <c r="L1545" s="4" t="s">
        <v>9</v>
      </c>
      <c r="M1545" s="5"/>
      <c r="O1545" s="143"/>
      <c r="P1545" s="143"/>
      <c r="Q1545" s="153">
        <f t="shared" si="52"/>
        <v>0</v>
      </c>
    </row>
    <row r="1546" spans="1:17" ht="16.5" x14ac:dyDescent="0.35">
      <c r="A1546" s="53">
        <v>1545</v>
      </c>
      <c r="B1546" s="147" t="s">
        <v>3283</v>
      </c>
      <c r="C1546" s="18" t="s">
        <v>662</v>
      </c>
      <c r="D1546" s="17" t="s">
        <v>3308</v>
      </c>
      <c r="E1546" s="17" t="s">
        <v>3309</v>
      </c>
      <c r="H1546" s="25"/>
      <c r="I1546" s="18"/>
      <c r="J1546" s="25"/>
      <c r="L1546" s="4" t="s">
        <v>2</v>
      </c>
      <c r="M1546" s="5"/>
      <c r="O1546" s="143"/>
      <c r="P1546" s="143"/>
      <c r="Q1546" s="153">
        <f t="shared" si="52"/>
        <v>0</v>
      </c>
    </row>
    <row r="1547" spans="1:17" ht="16.5" x14ac:dyDescent="0.35">
      <c r="A1547" s="53">
        <v>1546</v>
      </c>
      <c r="B1547" s="147" t="s">
        <v>3284</v>
      </c>
      <c r="C1547" s="18" t="s">
        <v>662</v>
      </c>
      <c r="D1547" s="17" t="s">
        <v>3308</v>
      </c>
      <c r="E1547" s="17" t="s">
        <v>3309</v>
      </c>
      <c r="H1547" s="25"/>
      <c r="I1547" s="18"/>
      <c r="J1547" s="25"/>
      <c r="L1547" s="4" t="s">
        <v>9</v>
      </c>
      <c r="M1547" s="5"/>
      <c r="O1547" s="143"/>
      <c r="P1547" s="143"/>
      <c r="Q1547" s="153">
        <f t="shared" si="52"/>
        <v>0</v>
      </c>
    </row>
    <row r="1548" spans="1:17" ht="16.5" x14ac:dyDescent="0.35">
      <c r="A1548" s="53">
        <v>1547</v>
      </c>
      <c r="B1548" s="147" t="s">
        <v>3285</v>
      </c>
      <c r="C1548" s="18" t="s">
        <v>662</v>
      </c>
      <c r="D1548" s="17" t="s">
        <v>3308</v>
      </c>
      <c r="E1548" s="17" t="s">
        <v>3309</v>
      </c>
      <c r="H1548" s="25"/>
      <c r="I1548" s="18"/>
      <c r="J1548" s="25"/>
      <c r="L1548" s="4" t="s">
        <v>2</v>
      </c>
      <c r="M1548" s="5"/>
      <c r="O1548" s="143"/>
      <c r="P1548" s="143"/>
      <c r="Q1548" s="153">
        <f t="shared" si="52"/>
        <v>0</v>
      </c>
    </row>
    <row r="1549" spans="1:17" ht="16.5" x14ac:dyDescent="0.35">
      <c r="A1549" s="53">
        <v>1548</v>
      </c>
      <c r="B1549" s="147" t="s">
        <v>3286</v>
      </c>
      <c r="C1549" s="18" t="s">
        <v>662</v>
      </c>
      <c r="D1549" s="17" t="s">
        <v>3308</v>
      </c>
      <c r="E1549" s="17" t="s">
        <v>3309</v>
      </c>
      <c r="H1549" s="25"/>
      <c r="I1549" s="18"/>
      <c r="J1549" s="25"/>
      <c r="L1549" s="4" t="s">
        <v>2</v>
      </c>
      <c r="M1549" s="5"/>
      <c r="O1549" s="143"/>
      <c r="P1549" s="143"/>
      <c r="Q1549" s="153">
        <f t="shared" si="52"/>
        <v>0</v>
      </c>
    </row>
    <row r="1550" spans="1:17" ht="16.5" x14ac:dyDescent="0.35">
      <c r="A1550" s="53">
        <v>1549</v>
      </c>
      <c r="B1550" s="147" t="s">
        <v>3287</v>
      </c>
      <c r="C1550" s="18" t="s">
        <v>662</v>
      </c>
      <c r="D1550" s="17" t="s">
        <v>3308</v>
      </c>
      <c r="E1550" s="17" t="s">
        <v>3309</v>
      </c>
      <c r="H1550" s="25"/>
      <c r="I1550" s="18"/>
      <c r="J1550" s="25"/>
      <c r="L1550" s="4" t="s">
        <v>2</v>
      </c>
      <c r="M1550" s="5"/>
      <c r="O1550" s="143"/>
      <c r="P1550" s="143"/>
      <c r="Q1550" s="153">
        <f t="shared" si="52"/>
        <v>0</v>
      </c>
    </row>
    <row r="1551" spans="1:17" ht="16.5" x14ac:dyDescent="0.35">
      <c r="A1551" s="53">
        <v>1550</v>
      </c>
      <c r="B1551" s="147" t="s">
        <v>3288</v>
      </c>
      <c r="C1551" s="18" t="s">
        <v>662</v>
      </c>
      <c r="D1551" s="17" t="s">
        <v>3308</v>
      </c>
      <c r="E1551" s="17" t="s">
        <v>3309</v>
      </c>
      <c r="H1551" s="25"/>
      <c r="I1551" s="18"/>
      <c r="J1551" s="25"/>
      <c r="L1551" s="4" t="s">
        <v>9</v>
      </c>
      <c r="M1551" s="5"/>
      <c r="O1551" s="143"/>
      <c r="P1551" s="143"/>
      <c r="Q1551" s="153">
        <f t="shared" si="52"/>
        <v>0</v>
      </c>
    </row>
    <row r="1552" spans="1:17" ht="16.5" x14ac:dyDescent="0.35">
      <c r="A1552" s="53">
        <v>1551</v>
      </c>
      <c r="B1552" s="147" t="s">
        <v>3289</v>
      </c>
      <c r="C1552" s="18" t="s">
        <v>662</v>
      </c>
      <c r="D1552" s="17" t="s">
        <v>3308</v>
      </c>
      <c r="E1552" s="17" t="s">
        <v>3309</v>
      </c>
      <c r="H1552" s="25"/>
      <c r="I1552" s="18"/>
      <c r="J1552" s="25"/>
      <c r="L1552" s="4" t="s">
        <v>9</v>
      </c>
      <c r="M1552" s="5"/>
      <c r="O1552" s="143"/>
      <c r="P1552" s="143"/>
      <c r="Q1552" s="153">
        <f t="shared" si="52"/>
        <v>0</v>
      </c>
    </row>
    <row r="1553" spans="1:17" ht="16.5" x14ac:dyDescent="0.35">
      <c r="A1553" s="53">
        <v>1552</v>
      </c>
      <c r="B1553" s="147" t="s">
        <v>3290</v>
      </c>
      <c r="C1553" s="18" t="s">
        <v>662</v>
      </c>
      <c r="D1553" s="17" t="s">
        <v>3308</v>
      </c>
      <c r="E1553" s="17" t="s">
        <v>3309</v>
      </c>
      <c r="H1553" s="25"/>
      <c r="I1553" s="18"/>
      <c r="J1553" s="25"/>
      <c r="L1553" s="4" t="s">
        <v>2</v>
      </c>
      <c r="M1553" s="5"/>
      <c r="O1553" s="143"/>
      <c r="P1553" s="143"/>
      <c r="Q1553" s="153">
        <f t="shared" si="52"/>
        <v>0</v>
      </c>
    </row>
    <row r="1554" spans="1:17" ht="16.5" x14ac:dyDescent="0.35">
      <c r="A1554" s="53">
        <v>1553</v>
      </c>
      <c r="B1554" s="147" t="s">
        <v>3291</v>
      </c>
      <c r="C1554" s="18" t="s">
        <v>662</v>
      </c>
      <c r="D1554" s="17" t="s">
        <v>3308</v>
      </c>
      <c r="E1554" s="17" t="s">
        <v>3309</v>
      </c>
      <c r="H1554" s="25"/>
      <c r="I1554" s="18"/>
      <c r="J1554" s="25"/>
      <c r="L1554" s="4" t="s">
        <v>9</v>
      </c>
      <c r="M1554" s="5"/>
      <c r="O1554" s="143"/>
      <c r="P1554" s="143"/>
      <c r="Q1554" s="153">
        <f t="shared" si="52"/>
        <v>0</v>
      </c>
    </row>
    <row r="1555" spans="1:17" ht="16.5" x14ac:dyDescent="0.35">
      <c r="A1555" s="53">
        <v>1554</v>
      </c>
      <c r="B1555" s="147" t="s">
        <v>3292</v>
      </c>
      <c r="C1555" s="18" t="s">
        <v>662</v>
      </c>
      <c r="D1555" s="17" t="s">
        <v>3308</v>
      </c>
      <c r="E1555" s="17" t="s">
        <v>3309</v>
      </c>
      <c r="H1555" s="25"/>
      <c r="I1555" s="18"/>
      <c r="J1555" s="25"/>
      <c r="L1555" s="4" t="s">
        <v>2</v>
      </c>
      <c r="M1555" s="5"/>
      <c r="O1555" s="143"/>
      <c r="P1555" s="143"/>
      <c r="Q1555" s="153">
        <f t="shared" si="52"/>
        <v>0</v>
      </c>
    </row>
    <row r="1556" spans="1:17" ht="16.5" x14ac:dyDescent="0.35">
      <c r="A1556" s="53">
        <v>1555</v>
      </c>
      <c r="B1556" s="147" t="s">
        <v>3293</v>
      </c>
      <c r="C1556" s="18" t="s">
        <v>662</v>
      </c>
      <c r="D1556" s="17" t="s">
        <v>3308</v>
      </c>
      <c r="E1556" s="17" t="s">
        <v>3309</v>
      </c>
      <c r="H1556" s="25"/>
      <c r="I1556" s="18"/>
      <c r="J1556" s="25"/>
      <c r="L1556" s="4" t="s">
        <v>9</v>
      </c>
      <c r="M1556" s="5"/>
      <c r="O1556" s="143"/>
      <c r="P1556" s="143"/>
      <c r="Q1556" s="153">
        <f t="shared" si="52"/>
        <v>0</v>
      </c>
    </row>
    <row r="1557" spans="1:17" ht="16.5" x14ac:dyDescent="0.35">
      <c r="A1557" s="53">
        <v>1556</v>
      </c>
      <c r="B1557" s="147" t="s">
        <v>3294</v>
      </c>
      <c r="C1557" s="18" t="s">
        <v>662</v>
      </c>
      <c r="D1557" s="17" t="s">
        <v>3308</v>
      </c>
      <c r="E1557" s="17" t="s">
        <v>3309</v>
      </c>
      <c r="H1557" s="25"/>
      <c r="I1557" s="18"/>
      <c r="J1557" s="25"/>
      <c r="L1557" s="4" t="s">
        <v>9</v>
      </c>
      <c r="M1557" s="5"/>
      <c r="O1557" s="143"/>
      <c r="P1557" s="143"/>
      <c r="Q1557" s="153">
        <f t="shared" si="52"/>
        <v>0</v>
      </c>
    </row>
    <row r="1558" spans="1:17" ht="16.5" x14ac:dyDescent="0.35">
      <c r="A1558" s="53">
        <v>1557</v>
      </c>
      <c r="B1558" s="147" t="s">
        <v>3295</v>
      </c>
      <c r="C1558" s="18" t="s">
        <v>662</v>
      </c>
      <c r="D1558" s="17" t="s">
        <v>3308</v>
      </c>
      <c r="E1558" s="17" t="s">
        <v>3309</v>
      </c>
      <c r="H1558" s="25"/>
      <c r="I1558" s="18"/>
      <c r="J1558" s="25"/>
      <c r="L1558" s="4" t="s">
        <v>2</v>
      </c>
      <c r="M1558" s="5"/>
      <c r="O1558" s="143"/>
      <c r="P1558" s="143"/>
      <c r="Q1558" s="153">
        <f t="shared" si="52"/>
        <v>0</v>
      </c>
    </row>
    <row r="1559" spans="1:17" ht="16.5" x14ac:dyDescent="0.35">
      <c r="A1559" s="53">
        <v>1558</v>
      </c>
      <c r="B1559" s="147" t="s">
        <v>2465</v>
      </c>
      <c r="C1559" s="18" t="s">
        <v>662</v>
      </c>
      <c r="D1559" s="17" t="s">
        <v>3308</v>
      </c>
      <c r="E1559" s="17" t="s">
        <v>3309</v>
      </c>
      <c r="H1559" s="25"/>
      <c r="I1559" s="18"/>
      <c r="J1559" s="25"/>
      <c r="L1559" s="4" t="s">
        <v>9</v>
      </c>
      <c r="M1559" s="5"/>
      <c r="O1559" s="143"/>
      <c r="P1559" s="143"/>
      <c r="Q1559" s="153">
        <f t="shared" si="52"/>
        <v>0</v>
      </c>
    </row>
    <row r="1560" spans="1:17" ht="16.5" x14ac:dyDescent="0.35">
      <c r="A1560" s="53">
        <v>1559</v>
      </c>
      <c r="B1560" s="147" t="s">
        <v>3296</v>
      </c>
      <c r="C1560" s="18" t="s">
        <v>662</v>
      </c>
      <c r="D1560" s="17" t="s">
        <v>3308</v>
      </c>
      <c r="E1560" s="17" t="s">
        <v>3309</v>
      </c>
      <c r="H1560" s="25"/>
      <c r="I1560" s="18"/>
      <c r="J1560" s="25"/>
      <c r="L1560" s="4" t="s">
        <v>9</v>
      </c>
      <c r="M1560" s="5"/>
      <c r="O1560" s="143"/>
      <c r="P1560" s="143"/>
      <c r="Q1560" s="153">
        <f t="shared" si="52"/>
        <v>0</v>
      </c>
    </row>
    <row r="1561" spans="1:17" ht="16.5" x14ac:dyDescent="0.35">
      <c r="A1561" s="53">
        <v>1560</v>
      </c>
      <c r="B1561" s="147" t="s">
        <v>3297</v>
      </c>
      <c r="C1561" s="18" t="s">
        <v>662</v>
      </c>
      <c r="D1561" s="17" t="s">
        <v>3308</v>
      </c>
      <c r="E1561" s="17" t="s">
        <v>3309</v>
      </c>
      <c r="H1561" s="25"/>
      <c r="I1561" s="18"/>
      <c r="J1561" s="25"/>
      <c r="L1561" s="4" t="s">
        <v>9</v>
      </c>
      <c r="M1561" s="5"/>
      <c r="O1561" s="143"/>
      <c r="P1561" s="143"/>
      <c r="Q1561" s="153">
        <f t="shared" si="52"/>
        <v>0</v>
      </c>
    </row>
    <row r="1562" spans="1:17" ht="16.5" x14ac:dyDescent="0.35">
      <c r="A1562" s="53">
        <v>1561</v>
      </c>
      <c r="B1562" s="147" t="s">
        <v>3298</v>
      </c>
      <c r="C1562" s="18" t="s">
        <v>662</v>
      </c>
      <c r="D1562" s="17" t="s">
        <v>3308</v>
      </c>
      <c r="E1562" s="17" t="s">
        <v>3309</v>
      </c>
      <c r="H1562" s="25"/>
      <c r="I1562" s="18"/>
      <c r="J1562" s="25"/>
      <c r="L1562" s="4" t="s">
        <v>9</v>
      </c>
      <c r="M1562" s="5"/>
      <c r="O1562" s="143"/>
      <c r="P1562" s="143"/>
      <c r="Q1562" s="153">
        <f t="shared" si="52"/>
        <v>0</v>
      </c>
    </row>
    <row r="1563" spans="1:17" ht="16.5" x14ac:dyDescent="0.35">
      <c r="A1563" s="53">
        <v>1562</v>
      </c>
      <c r="B1563" s="147" t="s">
        <v>3299</v>
      </c>
      <c r="C1563" s="18" t="s">
        <v>662</v>
      </c>
      <c r="D1563" s="17" t="s">
        <v>3308</v>
      </c>
      <c r="E1563" s="17" t="s">
        <v>3309</v>
      </c>
      <c r="H1563" s="25"/>
      <c r="I1563" s="18"/>
      <c r="J1563" s="25"/>
      <c r="L1563" s="4" t="s">
        <v>9</v>
      </c>
      <c r="M1563" s="5"/>
      <c r="O1563" s="143"/>
      <c r="P1563" s="143"/>
      <c r="Q1563" s="153">
        <f t="shared" si="52"/>
        <v>0</v>
      </c>
    </row>
    <row r="1564" spans="1:17" ht="16.5" x14ac:dyDescent="0.35">
      <c r="A1564" s="53">
        <v>1563</v>
      </c>
      <c r="B1564" s="147" t="s">
        <v>3300</v>
      </c>
      <c r="C1564" s="18" t="s">
        <v>662</v>
      </c>
      <c r="D1564" s="17" t="s">
        <v>3308</v>
      </c>
      <c r="E1564" s="17" t="s">
        <v>3309</v>
      </c>
      <c r="H1564" s="25"/>
      <c r="I1564" s="18"/>
      <c r="J1564" s="25"/>
      <c r="L1564" s="4" t="s">
        <v>2</v>
      </c>
      <c r="M1564" s="5"/>
      <c r="O1564" s="143"/>
      <c r="P1564" s="143"/>
      <c r="Q1564" s="153">
        <f t="shared" si="52"/>
        <v>0</v>
      </c>
    </row>
    <row r="1565" spans="1:17" ht="16.5" x14ac:dyDescent="0.35">
      <c r="A1565" s="53">
        <v>1564</v>
      </c>
      <c r="B1565" s="147" t="s">
        <v>3301</v>
      </c>
      <c r="C1565" s="18" t="s">
        <v>662</v>
      </c>
      <c r="D1565" s="17" t="s">
        <v>3308</v>
      </c>
      <c r="E1565" s="17" t="s">
        <v>3309</v>
      </c>
      <c r="H1565" s="25"/>
      <c r="I1565" s="18"/>
      <c r="J1565" s="25"/>
      <c r="L1565" s="4" t="s">
        <v>2</v>
      </c>
      <c r="M1565" s="5"/>
      <c r="O1565" s="143"/>
      <c r="P1565" s="143"/>
      <c r="Q1565" s="153">
        <f t="shared" si="52"/>
        <v>0</v>
      </c>
    </row>
    <row r="1566" spans="1:17" ht="16.5" x14ac:dyDescent="0.35">
      <c r="A1566" s="53">
        <v>1565</v>
      </c>
      <c r="B1566" s="147" t="s">
        <v>3302</v>
      </c>
      <c r="C1566" s="18" t="s">
        <v>662</v>
      </c>
      <c r="D1566" s="17" t="s">
        <v>3308</v>
      </c>
      <c r="E1566" s="17" t="s">
        <v>3309</v>
      </c>
      <c r="H1566" s="25"/>
      <c r="I1566" s="18"/>
      <c r="J1566" s="25"/>
      <c r="L1566" s="4" t="s">
        <v>9</v>
      </c>
      <c r="M1566" s="5"/>
      <c r="O1566" s="143"/>
      <c r="P1566" s="143"/>
      <c r="Q1566" s="153">
        <f t="shared" si="52"/>
        <v>0</v>
      </c>
    </row>
    <row r="1567" spans="1:17" ht="16.5" x14ac:dyDescent="0.35">
      <c r="A1567" s="53">
        <v>1566</v>
      </c>
      <c r="B1567" s="147" t="s">
        <v>3303</v>
      </c>
      <c r="C1567" s="18" t="s">
        <v>662</v>
      </c>
      <c r="D1567" s="17" t="s">
        <v>3308</v>
      </c>
      <c r="E1567" s="17" t="s">
        <v>3309</v>
      </c>
      <c r="H1567" s="25"/>
      <c r="I1567" s="18"/>
      <c r="J1567" s="25"/>
      <c r="L1567" s="4" t="s">
        <v>9</v>
      </c>
      <c r="M1567" s="5"/>
      <c r="O1567" s="143"/>
      <c r="P1567" s="143"/>
      <c r="Q1567" s="153">
        <f t="shared" si="52"/>
        <v>0</v>
      </c>
    </row>
    <row r="1568" spans="1:17" ht="16.5" x14ac:dyDescent="0.35">
      <c r="A1568" s="53">
        <v>1567</v>
      </c>
      <c r="B1568" s="147" t="s">
        <v>3304</v>
      </c>
      <c r="C1568" s="18" t="s">
        <v>662</v>
      </c>
      <c r="D1568" s="17" t="s">
        <v>3308</v>
      </c>
      <c r="E1568" s="17" t="s">
        <v>3309</v>
      </c>
      <c r="H1568" s="25"/>
      <c r="I1568" s="18"/>
      <c r="J1568" s="25"/>
      <c r="L1568" s="4" t="s">
        <v>9</v>
      </c>
      <c r="M1568" s="5"/>
      <c r="O1568" s="143"/>
      <c r="P1568" s="143"/>
      <c r="Q1568" s="153">
        <f t="shared" si="52"/>
        <v>0</v>
      </c>
    </row>
    <row r="1569" spans="1:17" ht="16.5" x14ac:dyDescent="0.35">
      <c r="A1569" s="53">
        <v>1568</v>
      </c>
      <c r="B1569" s="147" t="s">
        <v>3305</v>
      </c>
      <c r="C1569" s="18" t="s">
        <v>662</v>
      </c>
      <c r="D1569" s="17" t="s">
        <v>3308</v>
      </c>
      <c r="E1569" s="17" t="s">
        <v>3309</v>
      </c>
      <c r="H1569" s="25"/>
      <c r="I1569" s="18"/>
      <c r="J1569" s="25"/>
      <c r="L1569" s="4" t="s">
        <v>9</v>
      </c>
      <c r="M1569" s="5"/>
      <c r="O1569" s="143"/>
      <c r="P1569" s="143"/>
      <c r="Q1569" s="153">
        <f t="shared" si="52"/>
        <v>0</v>
      </c>
    </row>
    <row r="1570" spans="1:17" ht="16.5" x14ac:dyDescent="0.35">
      <c r="A1570" s="53">
        <v>1569</v>
      </c>
      <c r="B1570" s="177" t="s">
        <v>3306</v>
      </c>
      <c r="C1570" s="18" t="s">
        <v>662</v>
      </c>
      <c r="D1570" s="17" t="s">
        <v>3308</v>
      </c>
      <c r="E1570" s="17" t="s">
        <v>3309</v>
      </c>
      <c r="H1570" s="25"/>
      <c r="I1570" s="18"/>
      <c r="J1570" s="25"/>
      <c r="L1570" s="178" t="s">
        <v>2</v>
      </c>
      <c r="M1570" s="5"/>
      <c r="O1570" s="143"/>
      <c r="P1570" s="143"/>
      <c r="Q1570" s="153">
        <f t="shared" si="52"/>
        <v>0</v>
      </c>
    </row>
    <row r="1571" spans="1:17" ht="17" thickBot="1" x14ac:dyDescent="0.4">
      <c r="A1571" s="53">
        <v>1570</v>
      </c>
      <c r="B1571" s="352" t="s">
        <v>3307</v>
      </c>
      <c r="C1571" s="18" t="s">
        <v>662</v>
      </c>
      <c r="D1571" s="17" t="s">
        <v>3308</v>
      </c>
      <c r="E1571" s="17" t="s">
        <v>3309</v>
      </c>
      <c r="H1571" s="25"/>
      <c r="I1571" s="18"/>
      <c r="J1571" s="25"/>
      <c r="L1571" s="14" t="s">
        <v>2</v>
      </c>
      <c r="M1571" s="5"/>
      <c r="O1571" s="143"/>
      <c r="P1571" s="143"/>
      <c r="Q1571" s="153">
        <f t="shared" si="52"/>
        <v>0</v>
      </c>
    </row>
    <row r="1572" spans="1:17" ht="16.5" x14ac:dyDescent="0.35">
      <c r="A1572" s="53">
        <v>1571</v>
      </c>
      <c r="B1572" s="351" t="s">
        <v>3310</v>
      </c>
      <c r="C1572" s="18" t="s">
        <v>662</v>
      </c>
      <c r="D1572" s="17" t="s">
        <v>3324</v>
      </c>
      <c r="E1572" s="17" t="s">
        <v>3309</v>
      </c>
      <c r="H1572" s="25"/>
      <c r="I1572" s="18"/>
      <c r="J1572" s="25"/>
      <c r="L1572" s="4" t="s">
        <v>2</v>
      </c>
      <c r="M1572" s="5"/>
      <c r="O1572" s="143"/>
      <c r="P1572" s="143"/>
      <c r="Q1572" s="153">
        <f t="shared" ref="Q1572:Q1587" si="53">SUM(M1572:P1572)</f>
        <v>0</v>
      </c>
    </row>
    <row r="1573" spans="1:17" ht="16.5" x14ac:dyDescent="0.35">
      <c r="A1573" s="53">
        <v>1572</v>
      </c>
      <c r="B1573" s="351" t="s">
        <v>3311</v>
      </c>
      <c r="C1573" s="18" t="s">
        <v>662</v>
      </c>
      <c r="D1573" s="17" t="s">
        <v>3324</v>
      </c>
      <c r="E1573" s="17" t="s">
        <v>3309</v>
      </c>
      <c r="H1573" s="25"/>
      <c r="I1573" s="18"/>
      <c r="J1573" s="25"/>
      <c r="L1573" s="4" t="s">
        <v>2</v>
      </c>
      <c r="M1573" s="5"/>
      <c r="O1573" s="143"/>
      <c r="P1573" s="143"/>
      <c r="Q1573" s="153">
        <f t="shared" si="53"/>
        <v>0</v>
      </c>
    </row>
    <row r="1574" spans="1:17" ht="16.5" x14ac:dyDescent="0.35">
      <c r="A1574" s="53">
        <v>1573</v>
      </c>
      <c r="B1574" s="351" t="s">
        <v>3312</v>
      </c>
      <c r="C1574" s="18" t="s">
        <v>662</v>
      </c>
      <c r="D1574" s="17" t="s">
        <v>3324</v>
      </c>
      <c r="E1574" s="17" t="s">
        <v>3309</v>
      </c>
      <c r="H1574" s="25"/>
      <c r="I1574" s="18"/>
      <c r="J1574" s="25"/>
      <c r="L1574" s="4" t="s">
        <v>9</v>
      </c>
      <c r="M1574" s="5"/>
      <c r="O1574" s="143"/>
      <c r="P1574" s="143"/>
      <c r="Q1574" s="153">
        <f t="shared" si="53"/>
        <v>0</v>
      </c>
    </row>
    <row r="1575" spans="1:17" ht="16.5" x14ac:dyDescent="0.35">
      <c r="A1575" s="53">
        <v>1574</v>
      </c>
      <c r="B1575" s="351" t="s">
        <v>3313</v>
      </c>
      <c r="C1575" s="18" t="s">
        <v>662</v>
      </c>
      <c r="D1575" s="17" t="s">
        <v>3324</v>
      </c>
      <c r="E1575" s="17" t="s">
        <v>3309</v>
      </c>
      <c r="H1575" s="25"/>
      <c r="I1575" s="18"/>
      <c r="J1575" s="25"/>
      <c r="L1575" s="4" t="s">
        <v>9</v>
      </c>
      <c r="M1575" s="5"/>
      <c r="O1575" s="143"/>
      <c r="P1575" s="143"/>
      <c r="Q1575" s="153">
        <f t="shared" si="53"/>
        <v>0</v>
      </c>
    </row>
    <row r="1576" spans="1:17" ht="16.5" x14ac:dyDescent="0.35">
      <c r="A1576" s="53">
        <v>1575</v>
      </c>
      <c r="B1576" s="351" t="s">
        <v>3314</v>
      </c>
      <c r="C1576" s="18" t="s">
        <v>662</v>
      </c>
      <c r="D1576" s="17" t="s">
        <v>3324</v>
      </c>
      <c r="E1576" s="17" t="s">
        <v>3309</v>
      </c>
      <c r="H1576" s="25"/>
      <c r="I1576" s="18"/>
      <c r="J1576" s="25"/>
      <c r="L1576" s="4" t="s">
        <v>9</v>
      </c>
      <c r="M1576" s="5"/>
      <c r="O1576" s="143"/>
      <c r="P1576" s="143"/>
      <c r="Q1576" s="153">
        <f t="shared" si="53"/>
        <v>0</v>
      </c>
    </row>
    <row r="1577" spans="1:17" ht="16.5" x14ac:dyDescent="0.35">
      <c r="A1577" s="53">
        <v>1576</v>
      </c>
      <c r="B1577" s="351" t="s">
        <v>3315</v>
      </c>
      <c r="C1577" s="18" t="s">
        <v>662</v>
      </c>
      <c r="D1577" s="17" t="s">
        <v>3324</v>
      </c>
      <c r="E1577" s="17" t="s">
        <v>3309</v>
      </c>
      <c r="H1577" s="25"/>
      <c r="I1577" s="18"/>
      <c r="J1577" s="25"/>
      <c r="L1577" s="4" t="s">
        <v>9</v>
      </c>
      <c r="M1577" s="5"/>
      <c r="O1577" s="143"/>
      <c r="P1577" s="143"/>
      <c r="Q1577" s="153">
        <f t="shared" si="53"/>
        <v>0</v>
      </c>
    </row>
    <row r="1578" spans="1:17" ht="16.5" x14ac:dyDescent="0.35">
      <c r="A1578" s="53">
        <v>1577</v>
      </c>
      <c r="B1578" s="351" t="s">
        <v>3316</v>
      </c>
      <c r="C1578" s="18" t="s">
        <v>662</v>
      </c>
      <c r="D1578" s="17" t="s">
        <v>3324</v>
      </c>
      <c r="E1578" s="17" t="s">
        <v>3309</v>
      </c>
      <c r="H1578" s="25"/>
      <c r="I1578" s="18"/>
      <c r="J1578" s="25"/>
      <c r="L1578" s="4" t="s">
        <v>9</v>
      </c>
      <c r="M1578" s="5"/>
      <c r="O1578" s="143"/>
      <c r="P1578" s="143"/>
      <c r="Q1578" s="153">
        <f t="shared" si="53"/>
        <v>0</v>
      </c>
    </row>
    <row r="1579" spans="1:17" ht="16.5" x14ac:dyDescent="0.35">
      <c r="A1579" s="53">
        <v>1578</v>
      </c>
      <c r="B1579" s="351" t="s">
        <v>3290</v>
      </c>
      <c r="C1579" s="18" t="s">
        <v>662</v>
      </c>
      <c r="D1579" s="17" t="s">
        <v>3324</v>
      </c>
      <c r="E1579" s="17" t="s">
        <v>3309</v>
      </c>
      <c r="H1579" s="25"/>
      <c r="I1579" s="18"/>
      <c r="J1579" s="25"/>
      <c r="L1579" s="4" t="s">
        <v>2</v>
      </c>
      <c r="M1579" s="5"/>
      <c r="O1579" s="143"/>
      <c r="P1579" s="143"/>
      <c r="Q1579" s="153">
        <f t="shared" si="53"/>
        <v>0</v>
      </c>
    </row>
    <row r="1580" spans="1:17" ht="16.5" x14ac:dyDescent="0.35">
      <c r="A1580" s="53">
        <v>1579</v>
      </c>
      <c r="B1580" s="351" t="s">
        <v>3317</v>
      </c>
      <c r="C1580" s="18" t="s">
        <v>662</v>
      </c>
      <c r="D1580" s="17" t="s">
        <v>3324</v>
      </c>
      <c r="E1580" s="17" t="s">
        <v>3309</v>
      </c>
      <c r="H1580" s="25"/>
      <c r="I1580" s="18"/>
      <c r="J1580" s="25"/>
      <c r="L1580" s="4" t="s">
        <v>9</v>
      </c>
      <c r="M1580" s="5"/>
      <c r="O1580" s="143"/>
      <c r="P1580" s="143"/>
      <c r="Q1580" s="153">
        <f t="shared" si="53"/>
        <v>0</v>
      </c>
    </row>
    <row r="1581" spans="1:17" ht="16.5" x14ac:dyDescent="0.35">
      <c r="A1581" s="53">
        <v>1580</v>
      </c>
      <c r="B1581" s="351" t="s">
        <v>3249</v>
      </c>
      <c r="C1581" s="18" t="s">
        <v>662</v>
      </c>
      <c r="D1581" s="17" t="s">
        <v>3324</v>
      </c>
      <c r="E1581" s="17" t="s">
        <v>3309</v>
      </c>
      <c r="H1581" s="25"/>
      <c r="I1581" s="18"/>
      <c r="J1581" s="25"/>
      <c r="L1581" s="4" t="s">
        <v>2</v>
      </c>
      <c r="M1581" s="5"/>
      <c r="O1581" s="143"/>
      <c r="P1581" s="143"/>
      <c r="Q1581" s="153">
        <f t="shared" si="53"/>
        <v>0</v>
      </c>
    </row>
    <row r="1582" spans="1:17" ht="16.5" x14ac:dyDescent="0.35">
      <c r="A1582" s="53">
        <v>1581</v>
      </c>
      <c r="B1582" s="351" t="s">
        <v>3318</v>
      </c>
      <c r="C1582" s="18" t="s">
        <v>662</v>
      </c>
      <c r="D1582" s="17" t="s">
        <v>3324</v>
      </c>
      <c r="E1582" s="17" t="s">
        <v>3309</v>
      </c>
      <c r="H1582" s="25"/>
      <c r="I1582" s="18"/>
      <c r="J1582" s="25"/>
      <c r="L1582" s="4" t="s">
        <v>2</v>
      </c>
      <c r="M1582" s="5"/>
      <c r="O1582" s="143"/>
      <c r="P1582" s="143"/>
      <c r="Q1582" s="153">
        <f t="shared" si="53"/>
        <v>0</v>
      </c>
    </row>
    <row r="1583" spans="1:17" ht="16.5" x14ac:dyDescent="0.35">
      <c r="A1583" s="53">
        <v>1582</v>
      </c>
      <c r="B1583" s="351" t="s">
        <v>3319</v>
      </c>
      <c r="C1583" s="18" t="s">
        <v>662</v>
      </c>
      <c r="D1583" s="17" t="s">
        <v>3324</v>
      </c>
      <c r="E1583" s="17" t="s">
        <v>3309</v>
      </c>
      <c r="H1583" s="25"/>
      <c r="I1583" s="18"/>
      <c r="J1583" s="25"/>
      <c r="L1583" s="4" t="s">
        <v>9</v>
      </c>
      <c r="M1583" s="5"/>
      <c r="O1583" s="143"/>
      <c r="P1583" s="143"/>
      <c r="Q1583" s="153">
        <f t="shared" si="53"/>
        <v>0</v>
      </c>
    </row>
    <row r="1584" spans="1:17" ht="16.5" x14ac:dyDescent="0.35">
      <c r="A1584" s="53">
        <v>1583</v>
      </c>
      <c r="B1584" s="351" t="s">
        <v>3320</v>
      </c>
      <c r="C1584" s="18" t="s">
        <v>662</v>
      </c>
      <c r="D1584" s="17" t="s">
        <v>3324</v>
      </c>
      <c r="E1584" s="17" t="s">
        <v>3309</v>
      </c>
      <c r="H1584" s="25"/>
      <c r="I1584" s="18"/>
      <c r="J1584" s="25"/>
      <c r="L1584" s="4" t="s">
        <v>2</v>
      </c>
      <c r="M1584" s="5"/>
      <c r="O1584" s="143"/>
      <c r="P1584" s="143"/>
      <c r="Q1584" s="153">
        <f t="shared" si="53"/>
        <v>0</v>
      </c>
    </row>
    <row r="1585" spans="1:17" ht="16.5" x14ac:dyDescent="0.35">
      <c r="A1585" s="53">
        <v>1584</v>
      </c>
      <c r="B1585" s="351" t="s">
        <v>3321</v>
      </c>
      <c r="C1585" s="18" t="s">
        <v>662</v>
      </c>
      <c r="D1585" s="17" t="s">
        <v>3324</v>
      </c>
      <c r="E1585" s="17" t="s">
        <v>3309</v>
      </c>
      <c r="H1585" s="25"/>
      <c r="I1585" s="18"/>
      <c r="J1585" s="25"/>
      <c r="L1585" s="4" t="s">
        <v>2</v>
      </c>
      <c r="M1585" s="5"/>
      <c r="O1585" s="143"/>
      <c r="P1585" s="143"/>
      <c r="Q1585" s="153">
        <f t="shared" si="53"/>
        <v>0</v>
      </c>
    </row>
    <row r="1586" spans="1:17" ht="16.5" x14ac:dyDescent="0.35">
      <c r="A1586" s="53">
        <v>1585</v>
      </c>
      <c r="B1586" s="351" t="s">
        <v>3322</v>
      </c>
      <c r="C1586" s="18" t="s">
        <v>662</v>
      </c>
      <c r="D1586" s="17" t="s">
        <v>3324</v>
      </c>
      <c r="E1586" s="17" t="s">
        <v>3309</v>
      </c>
      <c r="H1586" s="25"/>
      <c r="I1586" s="18"/>
      <c r="J1586" s="25"/>
      <c r="L1586" s="4" t="s">
        <v>2</v>
      </c>
      <c r="M1586" s="5"/>
      <c r="O1586" s="143"/>
      <c r="P1586" s="143"/>
      <c r="Q1586" s="153">
        <f t="shared" si="53"/>
        <v>0</v>
      </c>
    </row>
    <row r="1587" spans="1:17" ht="16.5" x14ac:dyDescent="0.35">
      <c r="A1587" s="53">
        <v>1586</v>
      </c>
      <c r="B1587" s="351" t="s">
        <v>3323</v>
      </c>
      <c r="C1587" s="18" t="s">
        <v>662</v>
      </c>
      <c r="D1587" s="17" t="s">
        <v>3324</v>
      </c>
      <c r="E1587" s="17" t="s">
        <v>3309</v>
      </c>
      <c r="H1587" s="25"/>
      <c r="I1587" s="351"/>
      <c r="J1587" s="25"/>
      <c r="L1587" s="4" t="s">
        <v>9</v>
      </c>
      <c r="M1587" s="27"/>
      <c r="O1587" s="143"/>
      <c r="P1587" s="143"/>
      <c r="Q1587" s="153">
        <f t="shared" si="53"/>
        <v>0</v>
      </c>
    </row>
    <row r="1588" spans="1:17" ht="16.5" x14ac:dyDescent="0.35">
      <c r="A1588" s="17" t="s">
        <v>658</v>
      </c>
      <c r="B1588" s="387"/>
      <c r="H1588" s="290"/>
      <c r="M1588" s="291"/>
      <c r="O1588" s="190">
        <f>SUBTOTAL(103,Tableau32[G])</f>
        <v>0</v>
      </c>
      <c r="P1588" s="190">
        <f>SUBTOTAL(103,Tableau32[F])</f>
        <v>0</v>
      </c>
      <c r="Q1588" s="191">
        <f>SUBTOTAL(109,Tableau32[T])</f>
        <v>0</v>
      </c>
    </row>
  </sheetData>
  <phoneticPr fontId="2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E77AA-9061-4D25-BE70-74A9DC7C7321}">
  <sheetPr codeName="Feuil6">
    <tabColor rgb="FFFF0000"/>
  </sheetPr>
  <dimension ref="A1:O17"/>
  <sheetViews>
    <sheetView showGridLines="0" workbookViewId="0">
      <selection activeCell="K14" sqref="K14"/>
    </sheetView>
  </sheetViews>
  <sheetFormatPr baseColWidth="10" defaultColWidth="11.453125" defaultRowHeight="14.5" x14ac:dyDescent="0.35"/>
  <cols>
    <col min="1" max="1" width="4.26953125" style="1" customWidth="1"/>
    <col min="2" max="7" width="11.453125" style="1"/>
    <col min="8" max="8" width="4.81640625" style="1" customWidth="1"/>
    <col min="9" max="9" width="11.453125" style="1" customWidth="1"/>
    <col min="10" max="14" width="11.453125" style="1"/>
    <col min="15" max="15" width="2.6328125" style="1" customWidth="1"/>
    <col min="16" max="16384" width="11.453125" style="1"/>
  </cols>
  <sheetData>
    <row r="1" spans="1:15" ht="18" thickBot="1" x14ac:dyDescent="0.4">
      <c r="A1" s="998" t="s">
        <v>666</v>
      </c>
      <c r="B1" s="999"/>
      <c r="C1" s="999"/>
      <c r="D1" s="999"/>
      <c r="E1" s="999"/>
      <c r="F1" s="999"/>
      <c r="G1" s="1000"/>
      <c r="I1" s="998" t="s">
        <v>666</v>
      </c>
      <c r="J1" s="999"/>
      <c r="K1" s="999"/>
      <c r="L1" s="999"/>
      <c r="M1" s="999"/>
      <c r="N1" s="999"/>
      <c r="O1" s="1000"/>
    </row>
    <row r="2" spans="1:15" ht="14.5" customHeight="1" thickBot="1" x14ac:dyDescent="0.4">
      <c r="A2" s="56"/>
      <c r="B2" s="57"/>
      <c r="C2" s="57"/>
      <c r="D2" s="57"/>
      <c r="E2" s="57"/>
      <c r="F2" s="57"/>
      <c r="G2" s="58"/>
    </row>
    <row r="3" spans="1:15" ht="20.5" customHeight="1" thickBot="1" x14ac:dyDescent="0.4">
      <c r="A3" s="292">
        <v>1</v>
      </c>
      <c r="G3" s="60"/>
      <c r="H3" s="292">
        <v>5</v>
      </c>
    </row>
    <row r="4" spans="1:15" ht="20.5" customHeight="1" thickBot="1" x14ac:dyDescent="0.4">
      <c r="A4" s="293"/>
      <c r="G4" s="60"/>
      <c r="H4" s="293"/>
    </row>
    <row r="5" spans="1:15" ht="20.5" customHeight="1" thickBot="1" x14ac:dyDescent="0.4">
      <c r="A5" s="292">
        <v>2</v>
      </c>
      <c r="G5" s="60"/>
      <c r="H5" s="292">
        <v>6</v>
      </c>
    </row>
    <row r="6" spans="1:15" ht="20.5" customHeight="1" thickBot="1" x14ac:dyDescent="0.4">
      <c r="A6" s="293"/>
      <c r="G6" s="60"/>
      <c r="H6" s="293"/>
    </row>
    <row r="7" spans="1:15" ht="20.5" customHeight="1" thickBot="1" x14ac:dyDescent="0.4">
      <c r="A7" s="292">
        <v>3</v>
      </c>
      <c r="G7" s="60"/>
      <c r="H7" s="292">
        <v>7</v>
      </c>
    </row>
    <row r="8" spans="1:15" ht="21.5" customHeight="1" thickBot="1" x14ac:dyDescent="0.4">
      <c r="A8" s="293"/>
      <c r="G8" s="60"/>
      <c r="H8" s="293"/>
    </row>
    <row r="9" spans="1:15" ht="21.5" customHeight="1" thickBot="1" x14ac:dyDescent="0.4">
      <c r="A9" s="292">
        <v>4</v>
      </c>
      <c r="G9" s="60"/>
      <c r="H9" s="292">
        <v>8</v>
      </c>
    </row>
    <row r="10" spans="1:15" x14ac:dyDescent="0.35">
      <c r="A10" s="996"/>
      <c r="B10" s="997"/>
      <c r="C10" s="997"/>
      <c r="G10" s="60"/>
    </row>
    <row r="11" spans="1:15" x14ac:dyDescent="0.35">
      <c r="A11" s="59"/>
      <c r="G11" s="60"/>
    </row>
    <row r="12" spans="1:15" x14ac:dyDescent="0.35">
      <c r="A12" s="59"/>
      <c r="G12" s="60"/>
    </row>
    <row r="13" spans="1:15" x14ac:dyDescent="0.35">
      <c r="A13" s="59"/>
      <c r="G13" s="60"/>
    </row>
    <row r="14" spans="1:15" x14ac:dyDescent="0.35">
      <c r="A14" s="59"/>
      <c r="G14" s="60"/>
    </row>
    <row r="15" spans="1:15" x14ac:dyDescent="0.35">
      <c r="A15" s="59"/>
      <c r="G15" s="60"/>
    </row>
    <row r="16" spans="1:15" x14ac:dyDescent="0.35">
      <c r="A16" s="59"/>
      <c r="G16" s="60"/>
    </row>
    <row r="17" spans="1:7" ht="15" thickBot="1" x14ac:dyDescent="0.4">
      <c r="A17" s="61"/>
      <c r="B17" s="62"/>
      <c r="C17" s="62"/>
      <c r="D17" s="62"/>
      <c r="E17" s="62"/>
      <c r="F17" s="62"/>
      <c r="G17" s="63"/>
    </row>
  </sheetData>
  <mergeCells count="3">
    <mergeCell ref="A10:C10"/>
    <mergeCell ref="A1:G1"/>
    <mergeCell ref="I1:O1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B6C7D-7ED5-43D0-BC49-D8D6BE6882FC}">
  <sheetPr codeName="Feuil9"/>
  <dimension ref="A1:BC1099"/>
  <sheetViews>
    <sheetView zoomScale="56" zoomScaleNormal="56" workbookViewId="0">
      <pane ySplit="1" topLeftCell="A1066" activePane="bottomLeft" state="frozen"/>
      <selection pane="bottomLeft" activeCell="G1076" sqref="G1076"/>
    </sheetView>
  </sheetViews>
  <sheetFormatPr baseColWidth="10" defaultColWidth="10.90625" defaultRowHeight="14.5" x14ac:dyDescent="0.35"/>
  <cols>
    <col min="1" max="1" width="5.36328125" style="17" customWidth="1"/>
    <col min="2" max="2" width="45.81640625" customWidth="1"/>
    <col min="3" max="3" width="19.6328125" style="286" customWidth="1"/>
    <col min="4" max="4" width="20" customWidth="1"/>
    <col min="5" max="5" width="24" style="41" customWidth="1"/>
    <col min="6" max="6" width="17.1796875" customWidth="1"/>
    <col min="7" max="7" width="37.54296875" customWidth="1"/>
    <col min="8" max="8" width="40.08984375" customWidth="1"/>
    <col min="9" max="9" width="35.7265625" style="22" customWidth="1"/>
    <col min="10" max="10" width="29.453125" style="17" customWidth="1"/>
    <col min="11" max="11" width="23.26953125" customWidth="1"/>
    <col min="12" max="12" width="23.81640625" style="17" customWidth="1"/>
    <col min="13" max="13" width="51.08984375" customWidth="1"/>
    <col min="14" max="14" width="42" customWidth="1"/>
    <col min="15" max="16" width="10.90625" style="17"/>
    <col min="17" max="17" width="13.1796875" style="17" customWidth="1"/>
    <col min="18" max="18" width="97.36328125" customWidth="1"/>
    <col min="24" max="24" width="10.90625" customWidth="1"/>
    <col min="27" max="27" width="24.6328125" customWidth="1"/>
    <col min="45" max="45" width="14.453125" customWidth="1"/>
    <col min="46" max="46" width="13.36328125" customWidth="1"/>
  </cols>
  <sheetData>
    <row r="1" spans="1:55" ht="30.5" customHeight="1" x14ac:dyDescent="0.35">
      <c r="A1" s="52" t="s">
        <v>0</v>
      </c>
      <c r="B1" s="42" t="s">
        <v>45</v>
      </c>
      <c r="C1" s="47" t="s">
        <v>43</v>
      </c>
      <c r="D1" s="280" t="s">
        <v>38</v>
      </c>
      <c r="E1" s="280" t="s">
        <v>42</v>
      </c>
      <c r="F1" s="281" t="s">
        <v>40</v>
      </c>
      <c r="G1" s="54" t="s">
        <v>51</v>
      </c>
      <c r="H1" s="46" t="s">
        <v>114</v>
      </c>
      <c r="I1" s="45" t="s">
        <v>52</v>
      </c>
      <c r="J1" s="192" t="s">
        <v>46</v>
      </c>
      <c r="K1" s="44" t="s">
        <v>47</v>
      </c>
      <c r="L1" s="139" t="s">
        <v>48</v>
      </c>
      <c r="M1" s="43" t="s">
        <v>49</v>
      </c>
      <c r="N1" s="43" t="s">
        <v>50</v>
      </c>
      <c r="O1" s="37" t="s">
        <v>1</v>
      </c>
      <c r="P1" s="38" t="s">
        <v>2</v>
      </c>
      <c r="Q1" s="39" t="s">
        <v>3</v>
      </c>
      <c r="R1" s="19" t="s">
        <v>868</v>
      </c>
      <c r="X1" s="284" t="s">
        <v>1971</v>
      </c>
      <c r="Z1" s="285" t="s">
        <v>0</v>
      </c>
      <c r="AA1" s="42" t="s">
        <v>45</v>
      </c>
      <c r="AB1" s="282" t="s">
        <v>43</v>
      </c>
      <c r="AC1" s="282" t="s">
        <v>38</v>
      </c>
      <c r="AD1" s="282" t="s">
        <v>42</v>
      </c>
      <c r="AE1" s="283" t="s">
        <v>40</v>
      </c>
      <c r="AF1" s="54" t="s">
        <v>51</v>
      </c>
      <c r="AG1" s="46" t="s">
        <v>114</v>
      </c>
      <c r="AH1" s="45" t="s">
        <v>52</v>
      </c>
      <c r="AI1" s="192" t="s">
        <v>46</v>
      </c>
      <c r="AJ1" s="44" t="s">
        <v>47</v>
      </c>
      <c r="AK1" s="139" t="s">
        <v>48</v>
      </c>
      <c r="AL1" s="43" t="s">
        <v>49</v>
      </c>
      <c r="AM1" s="43" t="s">
        <v>50</v>
      </c>
      <c r="AN1" s="37" t="s">
        <v>1</v>
      </c>
      <c r="AO1" s="38" t="s">
        <v>2</v>
      </c>
      <c r="AP1" s="39" t="s">
        <v>3</v>
      </c>
    </row>
    <row r="2" spans="1:55" ht="16.5" x14ac:dyDescent="0.35">
      <c r="A2" s="53">
        <v>1</v>
      </c>
      <c r="B2" s="2" t="s">
        <v>4</v>
      </c>
      <c r="C2" s="48" t="s">
        <v>660</v>
      </c>
      <c r="D2" s="2" t="s">
        <v>39</v>
      </c>
      <c r="E2" s="48" t="s">
        <v>41</v>
      </c>
      <c r="F2" s="2"/>
      <c r="G2" s="2"/>
      <c r="H2" s="20"/>
      <c r="I2" s="18" t="s">
        <v>53</v>
      </c>
      <c r="J2" s="23"/>
      <c r="K2" s="4"/>
      <c r="L2" s="15" t="s">
        <v>2</v>
      </c>
      <c r="M2" s="5"/>
      <c r="N2" s="5"/>
      <c r="O2" s="147">
        <v>0</v>
      </c>
      <c r="P2" s="15">
        <v>3</v>
      </c>
      <c r="Q2" s="148">
        <f>SUM(O2:P2)</f>
        <v>3</v>
      </c>
      <c r="R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ALLOU AMOIN BEATRICE BUYO  AWLIN TRALE  YAOKRO    KOUADIO KOFFI TEYA                 F  </v>
      </c>
      <c r="X2" t="s">
        <v>3389</v>
      </c>
      <c r="Z2" s="53"/>
      <c r="AA2" s="5"/>
      <c r="AB2" s="48"/>
      <c r="AD2" s="41"/>
      <c r="AH2" s="18"/>
      <c r="AI2" s="17"/>
      <c r="AK2" s="15"/>
      <c r="AN2" s="147"/>
      <c r="AO2" s="15"/>
      <c r="AP2" s="148"/>
    </row>
    <row r="3" spans="1:55" ht="16.5" x14ac:dyDescent="0.5">
      <c r="A3" s="53">
        <v>2</v>
      </c>
      <c r="B3" s="2" t="s">
        <v>5</v>
      </c>
      <c r="C3" s="48" t="s">
        <v>660</v>
      </c>
      <c r="D3" s="2" t="s">
        <v>39</v>
      </c>
      <c r="E3" s="48" t="s">
        <v>41</v>
      </c>
      <c r="F3" s="2"/>
      <c r="G3" s="2"/>
      <c r="H3" s="20"/>
      <c r="I3" s="18" t="s">
        <v>53</v>
      </c>
      <c r="J3" s="23" t="s">
        <v>6</v>
      </c>
      <c r="K3" s="4"/>
      <c r="L3" s="15" t="s">
        <v>2</v>
      </c>
      <c r="M3" s="5"/>
      <c r="N3" s="5"/>
      <c r="O3" s="147">
        <v>1</v>
      </c>
      <c r="P3" s="15">
        <v>4</v>
      </c>
      <c r="Q3" s="148">
        <f t="shared" ref="Q3:Q27" si="0">SUM(O3:P3)</f>
        <v>5</v>
      </c>
      <c r="R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N'DA AHOU BRIGITTE BUYO  AWLIN TRALE  YAOKRO    KOUADIO KOFFI TEYA               0757126877  F  </v>
      </c>
      <c r="Z3" s="53"/>
      <c r="AA3" s="5"/>
      <c r="AB3" s="48"/>
      <c r="AD3" s="41"/>
      <c r="AH3" s="18"/>
      <c r="AI3" s="17"/>
      <c r="AK3" s="15"/>
      <c r="AN3" s="149"/>
      <c r="AO3" s="149"/>
      <c r="AP3" s="148"/>
    </row>
    <row r="4" spans="1:55" ht="16.5" x14ac:dyDescent="0.35">
      <c r="A4" s="53">
        <v>3</v>
      </c>
      <c r="B4" s="2" t="s">
        <v>7</v>
      </c>
      <c r="C4" s="48" t="s">
        <v>660</v>
      </c>
      <c r="D4" s="2" t="s">
        <v>39</v>
      </c>
      <c r="E4" s="48" t="s">
        <v>41</v>
      </c>
      <c r="F4" s="2"/>
      <c r="G4" s="2"/>
      <c r="H4" s="20"/>
      <c r="I4" s="18" t="s">
        <v>53</v>
      </c>
      <c r="J4" s="23" t="s">
        <v>8</v>
      </c>
      <c r="K4" s="4"/>
      <c r="L4" s="15" t="s">
        <v>9</v>
      </c>
      <c r="M4" s="5"/>
      <c r="N4" s="5"/>
      <c r="O4" s="147">
        <v>1</v>
      </c>
      <c r="P4" s="15">
        <v>3</v>
      </c>
      <c r="Q4" s="148">
        <f t="shared" si="0"/>
        <v>4</v>
      </c>
      <c r="R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KONAN DESIRE BUYO  AWLIN TRALE  YAOKRO    KOUADIO KOFFI TEYA               0709985247  M  </v>
      </c>
      <c r="Z4" s="53"/>
      <c r="AA4" s="5"/>
      <c r="AB4" s="48"/>
      <c r="AD4" s="41"/>
      <c r="AH4" s="18"/>
      <c r="AI4" s="17"/>
      <c r="AK4" s="15"/>
      <c r="AN4" s="151"/>
      <c r="AO4" s="151"/>
      <c r="AP4" s="148"/>
      <c r="AS4" s="22" t="s">
        <v>659</v>
      </c>
      <c r="AT4" s="22" t="s">
        <v>1972</v>
      </c>
      <c r="AU4" s="22" t="s">
        <v>1973</v>
      </c>
      <c r="AV4" s="22" t="s">
        <v>1976</v>
      </c>
      <c r="AW4" s="22" t="s">
        <v>1974</v>
      </c>
      <c r="AX4" s="22" t="s">
        <v>1977</v>
      </c>
      <c r="AY4" s="22" t="s">
        <v>665</v>
      </c>
      <c r="AZ4" s="22" t="s">
        <v>1978</v>
      </c>
      <c r="BA4" s="22" t="s">
        <v>1975</v>
      </c>
      <c r="BB4" s="22" t="s">
        <v>1979</v>
      </c>
      <c r="BC4" s="288" t="s">
        <v>1980</v>
      </c>
    </row>
    <row r="5" spans="1:55" ht="16.5" x14ac:dyDescent="0.35">
      <c r="A5" s="53">
        <v>4</v>
      </c>
      <c r="B5" s="2" t="s">
        <v>10</v>
      </c>
      <c r="C5" s="48" t="s">
        <v>660</v>
      </c>
      <c r="D5" s="2" t="s">
        <v>39</v>
      </c>
      <c r="E5" s="48" t="s">
        <v>41</v>
      </c>
      <c r="F5" s="2"/>
      <c r="G5" s="2"/>
      <c r="H5" s="20"/>
      <c r="I5" s="18" t="s">
        <v>53</v>
      </c>
      <c r="J5" s="23"/>
      <c r="K5" s="4"/>
      <c r="L5" s="15" t="s">
        <v>2</v>
      </c>
      <c r="M5" s="5"/>
      <c r="N5" s="5"/>
      <c r="O5" s="147">
        <v>1</v>
      </c>
      <c r="P5" s="15">
        <v>2</v>
      </c>
      <c r="Q5" s="148">
        <f t="shared" si="0"/>
        <v>3</v>
      </c>
      <c r="R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KONE SITA BUYO  AWLIN TRALE  YAOKRO    KOUADIO KOFFI TEYA                 F  </v>
      </c>
      <c r="Z5" s="53"/>
      <c r="AA5" s="5"/>
      <c r="AB5" s="48"/>
      <c r="AD5" s="41"/>
      <c r="AG5" s="3"/>
      <c r="AH5" s="18"/>
      <c r="AI5" s="17"/>
      <c r="AK5" s="15"/>
      <c r="AN5" s="147"/>
      <c r="AO5" s="15"/>
      <c r="AP5" s="148"/>
      <c r="AS5" s="22" t="s">
        <v>660</v>
      </c>
      <c r="AT5" s="22" t="s">
        <v>974</v>
      </c>
      <c r="AU5" s="22">
        <f>COUNTIFS(Tableau3[[ DEPARTEMANT]],"BUYO",Tableau3[VILLAGE/QUARTIER ],AT5,Tableau3[SEXE MEMBRE AVEC],"F")</f>
        <v>26</v>
      </c>
      <c r="AV5" s="204">
        <f>AU5/(AU5+AW5)</f>
        <v>0.8666666666666667</v>
      </c>
      <c r="AW5" s="22">
        <f>COUNTIFS(Tableau3[[ DEPARTEMANT]],"BUYO",Tableau3[VILLAGE/QUARTIER ],AT5,Tableau3[SEXE MEMBRE AVEC],"M")</f>
        <v>4</v>
      </c>
      <c r="AX5" s="204">
        <f>AW5/(AW5+AU5)</f>
        <v>0.13333333333333333</v>
      </c>
      <c r="AY5" s="22">
        <f>SUMIFS(Tableau3[G],Tableau3[VILLAGE/QUARTIER ],$AT$5)</f>
        <v>38</v>
      </c>
      <c r="AZ5" s="204">
        <f>AY5/(AY5+BA5)</f>
        <v>0.45238095238095238</v>
      </c>
      <c r="BA5" s="22">
        <f>SUMIFS(Tableau3[F],Tableau3[VILLAGE/QUARTIER ],$AT$5)</f>
        <v>46</v>
      </c>
      <c r="BB5" s="204">
        <f>BA5/(BA5+AY5)</f>
        <v>0.54761904761904767</v>
      </c>
    </row>
    <row r="6" spans="1:55" ht="16.5" x14ac:dyDescent="0.35">
      <c r="A6" s="53">
        <v>5</v>
      </c>
      <c r="B6" s="2" t="s">
        <v>11</v>
      </c>
      <c r="C6" s="48" t="s">
        <v>660</v>
      </c>
      <c r="D6" s="2" t="s">
        <v>39</v>
      </c>
      <c r="E6" s="48" t="s">
        <v>41</v>
      </c>
      <c r="F6" s="2"/>
      <c r="G6" s="2"/>
      <c r="H6" s="20"/>
      <c r="I6" s="18" t="s">
        <v>53</v>
      </c>
      <c r="J6" s="23" t="s">
        <v>12</v>
      </c>
      <c r="K6" s="4"/>
      <c r="L6" s="15" t="s">
        <v>2</v>
      </c>
      <c r="M6" s="3"/>
      <c r="N6" s="5"/>
      <c r="O6" s="147">
        <v>2</v>
      </c>
      <c r="P6" s="15">
        <v>2</v>
      </c>
      <c r="Q6" s="148">
        <f t="shared" si="0"/>
        <v>4</v>
      </c>
      <c r="R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AKISSI MELENE BUYO  AWLIN TRALE  YAOKRO    KOUADIO KOFFI TEYA               0757250010  F  </v>
      </c>
      <c r="Z6" s="53"/>
      <c r="AA6" s="5"/>
      <c r="AB6" s="48"/>
      <c r="AD6" s="41"/>
      <c r="AG6" s="3"/>
      <c r="AH6" s="18"/>
      <c r="AI6" s="17"/>
      <c r="AK6" s="15"/>
      <c r="AL6" s="5"/>
      <c r="AN6" s="147"/>
      <c r="AO6" s="15"/>
      <c r="AP6" s="148"/>
      <c r="AS6" s="22" t="s">
        <v>663</v>
      </c>
      <c r="AT6" s="22" t="s">
        <v>1590</v>
      </c>
      <c r="AU6" s="22">
        <f>COUNTIFS(Tableau3[[ DEPARTEMANT]],"GRAND-ZATTRY",Tableau3[VILLAGE/QUARTIER ],AT6,Tableau3[SEXE MEMBRE AVEC],"F")</f>
        <v>78</v>
      </c>
      <c r="AV6" s="204">
        <f>AU6/(AU6+AW6)</f>
        <v>0.8666666666666667</v>
      </c>
      <c r="AW6" s="22">
        <f>COUNTIFS(Tableau3[[ DEPARTEMANT]],"GRAND-ZATTRY",Tableau3[VILLAGE/QUARTIER ],AT6,Tableau3[SEXE MEMBRE AVEC],"M")</f>
        <v>12</v>
      </c>
      <c r="AX6" s="204">
        <f>AW6/(AW6+AU6)</f>
        <v>0.13333333333333333</v>
      </c>
      <c r="AY6" s="22">
        <f>SUMIFS(Tableau3[G],Tableau3[VILLAGE/QUARTIER ],$AT$6)</f>
        <v>201</v>
      </c>
      <c r="AZ6" s="204">
        <f>AY6/(AY6+BA6)</f>
        <v>0.44175824175824174</v>
      </c>
      <c r="BA6" s="22">
        <f>SUMIFS(Tableau3[F],Tableau3[VILLAGE/QUARTIER ],$AT$6)</f>
        <v>254</v>
      </c>
      <c r="BB6" s="204">
        <f>BA6/(BA6+AY6)</f>
        <v>0.55824175824175826</v>
      </c>
    </row>
    <row r="7" spans="1:55" ht="16.5" x14ac:dyDescent="0.35">
      <c r="A7" s="53">
        <v>6</v>
      </c>
      <c r="B7" s="2" t="s">
        <v>13</v>
      </c>
      <c r="C7" s="48" t="s">
        <v>660</v>
      </c>
      <c r="D7" s="2" t="s">
        <v>39</v>
      </c>
      <c r="E7" s="48" t="s">
        <v>41</v>
      </c>
      <c r="F7" s="2"/>
      <c r="G7" s="2"/>
      <c r="H7" s="20"/>
      <c r="I7" s="18" t="s">
        <v>53</v>
      </c>
      <c r="J7" s="23" t="s">
        <v>14</v>
      </c>
      <c r="K7" s="4"/>
      <c r="L7" s="15" t="s">
        <v>2</v>
      </c>
      <c r="M7" s="5"/>
      <c r="N7" s="5"/>
      <c r="O7" s="147">
        <v>1</v>
      </c>
      <c r="P7" s="15">
        <v>2</v>
      </c>
      <c r="Q7" s="148">
        <f t="shared" si="0"/>
        <v>3</v>
      </c>
      <c r="R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MADELENE BUYO  AWLIN TRALE  YAOKRO    KOUADIO KOFFI TEYA               0787368068  F  </v>
      </c>
      <c r="Z7" s="53"/>
      <c r="AA7" s="5"/>
      <c r="AB7" s="48"/>
      <c r="AD7" s="41"/>
      <c r="AG7" s="3"/>
      <c r="AH7" s="18"/>
      <c r="AI7" s="17"/>
      <c r="AK7" s="15"/>
      <c r="AL7" s="5"/>
      <c r="AN7" s="147"/>
      <c r="AO7" s="15"/>
      <c r="AP7" s="148"/>
    </row>
    <row r="8" spans="1:55" ht="16.5" x14ac:dyDescent="0.35">
      <c r="A8" s="53">
        <v>7</v>
      </c>
      <c r="B8" s="2" t="s">
        <v>15</v>
      </c>
      <c r="C8" s="48" t="s">
        <v>660</v>
      </c>
      <c r="D8" s="2" t="s">
        <v>39</v>
      </c>
      <c r="E8" s="48" t="s">
        <v>41</v>
      </c>
      <c r="F8" s="2"/>
      <c r="G8" s="2"/>
      <c r="H8" s="20"/>
      <c r="I8" s="18" t="s">
        <v>53</v>
      </c>
      <c r="J8" s="23"/>
      <c r="K8" s="4"/>
      <c r="L8" s="15" t="s">
        <v>2</v>
      </c>
      <c r="M8" s="5"/>
      <c r="N8" s="5"/>
      <c r="O8" s="147">
        <v>4</v>
      </c>
      <c r="P8" s="15">
        <v>2</v>
      </c>
      <c r="Q8" s="148">
        <f t="shared" si="0"/>
        <v>6</v>
      </c>
      <c r="R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ADJOUA EUGENIE BUYO  AWLIN TRALE  YAOKRO    KOUADIO KOFFI TEYA                 F  </v>
      </c>
      <c r="Z8" s="53"/>
      <c r="AA8" s="5"/>
      <c r="AB8" s="48"/>
      <c r="AD8" s="41"/>
      <c r="AG8" s="3"/>
      <c r="AH8" s="18"/>
      <c r="AI8" s="17"/>
      <c r="AK8" s="15"/>
      <c r="AL8" s="5"/>
      <c r="AN8" s="147"/>
      <c r="AO8" s="15"/>
      <c r="AP8" s="148"/>
    </row>
    <row r="9" spans="1:55" ht="16.5" x14ac:dyDescent="0.35">
      <c r="A9" s="53">
        <v>8</v>
      </c>
      <c r="B9" s="2" t="s">
        <v>16</v>
      </c>
      <c r="C9" s="48" t="s">
        <v>660</v>
      </c>
      <c r="D9" s="2" t="s">
        <v>39</v>
      </c>
      <c r="E9" s="48" t="s">
        <v>41</v>
      </c>
      <c r="F9" s="2"/>
      <c r="G9" s="2"/>
      <c r="H9" s="20"/>
      <c r="I9" s="18" t="s">
        <v>53</v>
      </c>
      <c r="J9" s="23"/>
      <c r="K9" s="4"/>
      <c r="L9" s="15" t="s">
        <v>2</v>
      </c>
      <c r="M9" s="5"/>
      <c r="N9" s="5"/>
      <c r="O9" s="147">
        <v>0</v>
      </c>
      <c r="P9" s="15">
        <v>2</v>
      </c>
      <c r="Q9" s="148">
        <f t="shared" si="0"/>
        <v>2</v>
      </c>
      <c r="R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N'ZUE AFFOUE CHANTAL BUYO  AWLIN TRALE  YAOKRO    KOUADIO KOFFI TEYA                 F  </v>
      </c>
      <c r="Z9" s="53"/>
      <c r="AA9" s="5"/>
      <c r="AB9" s="48"/>
      <c r="AD9" s="41"/>
      <c r="AG9" s="3"/>
      <c r="AH9" s="18"/>
      <c r="AI9" s="17"/>
      <c r="AK9" s="15"/>
      <c r="AL9" s="5"/>
      <c r="AN9" s="147"/>
      <c r="AO9" s="15"/>
      <c r="AP9" s="148"/>
    </row>
    <row r="10" spans="1:55" ht="16.5" x14ac:dyDescent="0.35">
      <c r="A10" s="53">
        <v>9</v>
      </c>
      <c r="B10" s="2" t="s">
        <v>17</v>
      </c>
      <c r="C10" s="48" t="s">
        <v>660</v>
      </c>
      <c r="D10" s="2" t="s">
        <v>39</v>
      </c>
      <c r="E10" s="48" t="s">
        <v>41</v>
      </c>
      <c r="F10" s="2"/>
      <c r="G10" s="2"/>
      <c r="H10" s="20"/>
      <c r="I10" s="18" t="s">
        <v>53</v>
      </c>
      <c r="J10" s="23"/>
      <c r="K10" s="4"/>
      <c r="L10" s="15" t="s">
        <v>2</v>
      </c>
      <c r="M10" s="5"/>
      <c r="N10" s="5"/>
      <c r="O10" s="147">
        <v>2</v>
      </c>
      <c r="P10" s="15">
        <v>2</v>
      </c>
      <c r="Q10" s="148">
        <f t="shared" si="0"/>
        <v>4</v>
      </c>
      <c r="R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HONORINE BUYO  AWLIN TRALE  YAOKRO    KOUADIO KOFFI TEYA                 F  </v>
      </c>
      <c r="Z10" s="53"/>
      <c r="AA10" s="5"/>
      <c r="AB10" s="48"/>
      <c r="AD10" s="41"/>
      <c r="AG10" s="3"/>
      <c r="AH10" s="18"/>
      <c r="AI10" s="17"/>
      <c r="AK10" s="15"/>
      <c r="AL10" s="5"/>
      <c r="AN10" s="147"/>
      <c r="AO10" s="15"/>
      <c r="AP10" s="148"/>
    </row>
    <row r="11" spans="1:55" ht="16.5" x14ac:dyDescent="0.35">
      <c r="A11" s="53">
        <v>10</v>
      </c>
      <c r="B11" s="2" t="s">
        <v>18</v>
      </c>
      <c r="C11" s="48" t="s">
        <v>660</v>
      </c>
      <c r="D11" s="2" t="s">
        <v>39</v>
      </c>
      <c r="E11" s="48" t="s">
        <v>41</v>
      </c>
      <c r="F11" s="2"/>
      <c r="G11" s="2"/>
      <c r="H11" s="20"/>
      <c r="I11" s="18" t="s">
        <v>53</v>
      </c>
      <c r="J11" s="23"/>
      <c r="K11" s="4"/>
      <c r="L11" s="15" t="s">
        <v>2</v>
      </c>
      <c r="M11" s="5"/>
      <c r="N11" s="5"/>
      <c r="O11" s="147">
        <v>1</v>
      </c>
      <c r="P11" s="15">
        <v>2</v>
      </c>
      <c r="Q11" s="148">
        <f t="shared" si="0"/>
        <v>3</v>
      </c>
      <c r="R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AFFOUE BAH BUYO  AWLIN TRALE  YAOKRO    KOUADIO KOFFI TEYA                 F  </v>
      </c>
      <c r="Z11" s="53"/>
      <c r="AA11" s="2"/>
      <c r="AB11" s="48"/>
      <c r="AD11" s="41"/>
      <c r="AG11" s="3"/>
      <c r="AH11" s="18"/>
      <c r="AI11" s="17"/>
      <c r="AK11" s="15"/>
      <c r="AL11" s="5"/>
      <c r="AN11" s="147"/>
      <c r="AO11" s="15"/>
      <c r="AP11" s="148"/>
    </row>
    <row r="12" spans="1:55" ht="16.5" x14ac:dyDescent="0.35">
      <c r="A12" s="53">
        <v>11</v>
      </c>
      <c r="B12" s="2" t="s">
        <v>19</v>
      </c>
      <c r="C12" s="48" t="s">
        <v>660</v>
      </c>
      <c r="D12" s="2" t="s">
        <v>39</v>
      </c>
      <c r="E12" s="48" t="s">
        <v>41</v>
      </c>
      <c r="F12" s="2"/>
      <c r="G12" s="2"/>
      <c r="H12" s="20"/>
      <c r="I12" s="18" t="s">
        <v>53</v>
      </c>
      <c r="J12" s="23"/>
      <c r="K12" s="4"/>
      <c r="L12" s="15" t="s">
        <v>2</v>
      </c>
      <c r="M12" s="5"/>
      <c r="N12" s="5"/>
      <c r="O12" s="147">
        <v>2</v>
      </c>
      <c r="P12" s="15">
        <v>3</v>
      </c>
      <c r="Q12" s="148">
        <f t="shared" si="0"/>
        <v>5</v>
      </c>
      <c r="R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BRAKISSA BUYO  AWLIN TRALE  YAOKRO    KOUADIO KOFFI TEYA                 F  </v>
      </c>
      <c r="Z12" s="53"/>
      <c r="AA12" s="2"/>
      <c r="AB12" s="48"/>
      <c r="AD12" s="41"/>
      <c r="AG12" s="3"/>
      <c r="AH12" s="18"/>
      <c r="AI12" s="23"/>
      <c r="AK12" s="15"/>
      <c r="AL12" s="5"/>
      <c r="AN12" s="147"/>
      <c r="AO12" s="15"/>
      <c r="AP12" s="148"/>
    </row>
    <row r="13" spans="1:55" ht="16.5" x14ac:dyDescent="0.35">
      <c r="A13" s="53">
        <v>12</v>
      </c>
      <c r="B13" s="2" t="s">
        <v>20</v>
      </c>
      <c r="C13" s="48" t="s">
        <v>660</v>
      </c>
      <c r="D13" s="2" t="s">
        <v>39</v>
      </c>
      <c r="E13" s="48" t="s">
        <v>41</v>
      </c>
      <c r="F13" s="2"/>
      <c r="G13" s="2"/>
      <c r="H13" s="20"/>
      <c r="I13" s="18" t="s">
        <v>53</v>
      </c>
      <c r="J13" s="23"/>
      <c r="K13" s="4"/>
      <c r="L13" s="15" t="s">
        <v>2</v>
      </c>
      <c r="M13" s="5"/>
      <c r="N13" s="5"/>
      <c r="O13" s="147">
        <v>1</v>
      </c>
      <c r="P13" s="15">
        <v>2</v>
      </c>
      <c r="Q13" s="148">
        <f t="shared" si="0"/>
        <v>3</v>
      </c>
      <c r="R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AKISSI ANGE BUYO  AWLIN TRALE  YAOKRO    KOUADIO KOFFI TEYA                 F  </v>
      </c>
      <c r="Z13" s="53"/>
      <c r="AA13" s="2"/>
      <c r="AB13" s="48"/>
      <c r="AD13" s="41"/>
      <c r="AG13" s="3"/>
      <c r="AH13" s="18"/>
      <c r="AI13" s="23"/>
      <c r="AK13" s="15"/>
      <c r="AL13" s="5"/>
      <c r="AN13" s="147"/>
      <c r="AO13" s="15"/>
      <c r="AP13" s="148"/>
    </row>
    <row r="14" spans="1:55" ht="16.5" x14ac:dyDescent="0.35">
      <c r="A14" s="53">
        <v>13</v>
      </c>
      <c r="B14" s="2" t="s">
        <v>21</v>
      </c>
      <c r="C14" s="48" t="s">
        <v>660</v>
      </c>
      <c r="D14" s="2" t="s">
        <v>39</v>
      </c>
      <c r="E14" s="48" t="s">
        <v>41</v>
      </c>
      <c r="F14" s="2"/>
      <c r="G14" s="2"/>
      <c r="H14" s="20"/>
      <c r="I14" s="18" t="s">
        <v>53</v>
      </c>
      <c r="J14" s="23"/>
      <c r="K14" s="4"/>
      <c r="L14" s="15" t="s">
        <v>2</v>
      </c>
      <c r="M14" s="5"/>
      <c r="N14" s="5"/>
      <c r="O14" s="147">
        <v>1</v>
      </c>
      <c r="P14" s="15">
        <v>1</v>
      </c>
      <c r="Q14" s="148">
        <f t="shared" si="0"/>
        <v>2</v>
      </c>
      <c r="R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AMENAN SALOME BUYO  AWLIN TRALE  YAOKRO    KOUADIO KOFFI TEYA                 F  </v>
      </c>
      <c r="Z14" s="53"/>
      <c r="AA14" s="2"/>
      <c r="AB14" s="48"/>
      <c r="AD14" s="41"/>
      <c r="AG14" s="3"/>
      <c r="AH14" s="18"/>
      <c r="AI14" s="23"/>
      <c r="AK14" s="15"/>
      <c r="AL14" s="5"/>
      <c r="AN14" s="147"/>
      <c r="AO14" s="15"/>
      <c r="AP14" s="148"/>
    </row>
    <row r="15" spans="1:55" ht="16.5" x14ac:dyDescent="0.35">
      <c r="A15" s="53">
        <v>14</v>
      </c>
      <c r="B15" s="2" t="s">
        <v>22</v>
      </c>
      <c r="C15" s="48" t="s">
        <v>660</v>
      </c>
      <c r="D15" s="2" t="s">
        <v>39</v>
      </c>
      <c r="E15" s="48" t="s">
        <v>41</v>
      </c>
      <c r="F15" s="2"/>
      <c r="G15" s="2"/>
      <c r="H15" s="20"/>
      <c r="I15" s="18" t="s">
        <v>53</v>
      </c>
      <c r="J15" s="23"/>
      <c r="K15" s="4"/>
      <c r="L15" s="15" t="s">
        <v>2</v>
      </c>
      <c r="M15" s="5"/>
      <c r="N15" s="5"/>
      <c r="O15" s="147">
        <v>3</v>
      </c>
      <c r="P15" s="15">
        <v>1</v>
      </c>
      <c r="Q15" s="148">
        <f t="shared" si="0"/>
        <v>4</v>
      </c>
      <c r="R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AHOU REINE BUYO  AWLIN TRALE  YAOKRO    KOUADIO KOFFI TEYA                 F  </v>
      </c>
      <c r="Z15" s="53"/>
      <c r="AA15" s="2"/>
      <c r="AB15" s="48"/>
      <c r="AD15" s="41"/>
      <c r="AG15" s="3"/>
      <c r="AH15" s="18"/>
      <c r="AI15" s="23"/>
      <c r="AK15" s="15"/>
      <c r="AL15" s="5"/>
      <c r="AN15" s="147"/>
      <c r="AO15" s="15"/>
      <c r="AP15" s="148"/>
    </row>
    <row r="16" spans="1:55" ht="16.5" x14ac:dyDescent="0.35">
      <c r="A16" s="53">
        <v>15</v>
      </c>
      <c r="B16" s="2" t="s">
        <v>23</v>
      </c>
      <c r="C16" s="48" t="s">
        <v>660</v>
      </c>
      <c r="D16" s="2" t="s">
        <v>39</v>
      </c>
      <c r="E16" s="48" t="s">
        <v>41</v>
      </c>
      <c r="F16" s="2"/>
      <c r="G16" s="2"/>
      <c r="H16" s="20"/>
      <c r="I16" s="18" t="s">
        <v>53</v>
      </c>
      <c r="J16" s="23"/>
      <c r="K16" s="4"/>
      <c r="L16" s="15" t="s">
        <v>2</v>
      </c>
      <c r="M16" s="5"/>
      <c r="N16" s="5"/>
      <c r="O16" s="147">
        <v>1</v>
      </c>
      <c r="P16" s="15">
        <v>2</v>
      </c>
      <c r="Q16" s="148">
        <f t="shared" si="0"/>
        <v>3</v>
      </c>
      <c r="R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KOFFI NOEL BUYO  AWLIN TRALE  YAOKRO    KOUADIO KOFFI TEYA                 F  </v>
      </c>
      <c r="Z16" s="53"/>
      <c r="AA16" s="2"/>
      <c r="AB16" s="48"/>
      <c r="AG16" s="10"/>
      <c r="AH16" s="18"/>
      <c r="AI16" s="23"/>
      <c r="AK16" s="4"/>
      <c r="AL16" s="5"/>
      <c r="AN16" s="147"/>
      <c r="AO16" s="15"/>
      <c r="AP16" s="148"/>
    </row>
    <row r="17" spans="1:42" ht="16.5" x14ac:dyDescent="0.35">
      <c r="A17" s="53">
        <v>16</v>
      </c>
      <c r="B17" s="2" t="s">
        <v>24</v>
      </c>
      <c r="C17" s="48" t="s">
        <v>660</v>
      </c>
      <c r="D17" s="2" t="s">
        <v>39</v>
      </c>
      <c r="E17" s="48" t="s">
        <v>41</v>
      </c>
      <c r="F17" s="2"/>
      <c r="G17" s="2"/>
      <c r="H17" s="20"/>
      <c r="I17" s="18" t="s">
        <v>53</v>
      </c>
      <c r="J17" s="23" t="s">
        <v>25</v>
      </c>
      <c r="K17" s="4"/>
      <c r="L17" s="15" t="s">
        <v>9</v>
      </c>
      <c r="M17" s="5"/>
      <c r="N17" s="5"/>
      <c r="O17" s="147">
        <v>1</v>
      </c>
      <c r="P17" s="15">
        <v>2</v>
      </c>
      <c r="Q17" s="148">
        <f t="shared" si="0"/>
        <v>3</v>
      </c>
      <c r="R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KOUASSI HERMANM BUYO  AWLIN TRALE  YAOKRO    KOUADIO KOFFI TEYA               0768621397  M  </v>
      </c>
      <c r="Z17" s="53"/>
      <c r="AA17" s="2"/>
      <c r="AB17" s="48"/>
      <c r="AG17" s="154"/>
      <c r="AH17" s="18"/>
      <c r="AI17" s="23"/>
      <c r="AK17" s="4"/>
      <c r="AL17" s="5"/>
      <c r="AN17" s="147"/>
      <c r="AO17" s="15"/>
      <c r="AP17" s="148"/>
    </row>
    <row r="18" spans="1:42" ht="16.5" x14ac:dyDescent="0.35">
      <c r="A18" s="53">
        <v>17</v>
      </c>
      <c r="B18" s="2" t="s">
        <v>26</v>
      </c>
      <c r="C18" s="48" t="s">
        <v>660</v>
      </c>
      <c r="D18" s="2" t="s">
        <v>39</v>
      </c>
      <c r="E18" s="48" t="s">
        <v>41</v>
      </c>
      <c r="F18" s="2"/>
      <c r="G18" s="2"/>
      <c r="H18" s="20"/>
      <c r="I18" s="18" t="s">
        <v>53</v>
      </c>
      <c r="J18" s="23" t="s">
        <v>27</v>
      </c>
      <c r="K18" s="4"/>
      <c r="L18" s="15" t="s">
        <v>2</v>
      </c>
      <c r="M18" s="5"/>
      <c r="N18" s="5"/>
      <c r="O18" s="147">
        <v>2</v>
      </c>
      <c r="P18" s="15">
        <v>1</v>
      </c>
      <c r="Q18" s="148">
        <f t="shared" si="0"/>
        <v>3</v>
      </c>
      <c r="R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AFFOUE KEVINE BUYO  AWLIN TRALE  YAOKRO    KOUADIO KOFFI TEYA               0708861474  F  </v>
      </c>
      <c r="Z18" s="53"/>
      <c r="AA18" s="2"/>
      <c r="AB18" s="48"/>
      <c r="AG18" s="154"/>
      <c r="AH18" s="18"/>
      <c r="AI18" s="23"/>
      <c r="AK18" s="4"/>
      <c r="AL18" s="5"/>
      <c r="AN18" s="147"/>
      <c r="AO18" s="15"/>
      <c r="AP18" s="148"/>
    </row>
    <row r="19" spans="1:42" ht="16.5" x14ac:dyDescent="0.35">
      <c r="A19" s="53">
        <v>18</v>
      </c>
      <c r="B19" s="2" t="s">
        <v>28</v>
      </c>
      <c r="C19" s="48" t="s">
        <v>660</v>
      </c>
      <c r="D19" s="2" t="s">
        <v>39</v>
      </c>
      <c r="E19" s="48" t="s">
        <v>41</v>
      </c>
      <c r="F19" s="2"/>
      <c r="G19" s="2"/>
      <c r="H19" s="20"/>
      <c r="I19" s="18" t="s">
        <v>53</v>
      </c>
      <c r="J19" s="23" t="s">
        <v>29</v>
      </c>
      <c r="K19" s="4"/>
      <c r="L19" s="15" t="s">
        <v>9</v>
      </c>
      <c r="M19" s="5"/>
      <c r="N19" s="5"/>
      <c r="O19" s="147">
        <v>0</v>
      </c>
      <c r="P19" s="15">
        <v>2</v>
      </c>
      <c r="Q19" s="148">
        <f t="shared" si="0"/>
        <v>2</v>
      </c>
      <c r="R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N'GUESSAN FIDEL BUYO  AWLIN TRALE  YAOKRO    KOUADIO KOFFI TEYA               0748244901  M  </v>
      </c>
      <c r="Z19" s="53"/>
      <c r="AA19" s="2"/>
      <c r="AB19" s="48"/>
      <c r="AG19" s="154"/>
      <c r="AH19" s="18"/>
      <c r="AI19" s="23"/>
      <c r="AK19" s="4"/>
      <c r="AL19" s="5"/>
      <c r="AN19" s="147"/>
      <c r="AO19" s="15"/>
      <c r="AP19" s="148"/>
    </row>
    <row r="20" spans="1:42" ht="16.5" x14ac:dyDescent="0.35">
      <c r="A20" s="53">
        <v>19</v>
      </c>
      <c r="B20" s="2" t="s">
        <v>30</v>
      </c>
      <c r="C20" s="48" t="s">
        <v>660</v>
      </c>
      <c r="D20" s="2" t="s">
        <v>39</v>
      </c>
      <c r="E20" s="48" t="s">
        <v>41</v>
      </c>
      <c r="F20" s="2"/>
      <c r="G20" s="2"/>
      <c r="H20" s="20"/>
      <c r="I20" s="18" t="s">
        <v>53</v>
      </c>
      <c r="J20" s="23"/>
      <c r="K20" s="4"/>
      <c r="L20" s="15" t="s">
        <v>2</v>
      </c>
      <c r="M20" s="5"/>
      <c r="N20" s="5"/>
      <c r="O20" s="147">
        <v>1</v>
      </c>
      <c r="P20" s="15">
        <v>2</v>
      </c>
      <c r="Q20" s="148">
        <f t="shared" si="0"/>
        <v>3</v>
      </c>
      <c r="R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ADJOUA CLAUDIA BUYO  AWLIN TRALE  YAOKRO    KOUADIO KOFFI TEYA                 F  </v>
      </c>
      <c r="Z20" s="53"/>
      <c r="AA20" s="2"/>
      <c r="AB20" s="48"/>
      <c r="AG20" s="154"/>
      <c r="AH20" s="18"/>
      <c r="AI20" s="23"/>
      <c r="AK20" s="4"/>
      <c r="AL20" s="5"/>
      <c r="AN20" s="147"/>
      <c r="AO20" s="15"/>
      <c r="AP20" s="148"/>
    </row>
    <row r="21" spans="1:42" ht="16.5" x14ac:dyDescent="0.35">
      <c r="A21" s="53">
        <v>20</v>
      </c>
      <c r="B21" s="2" t="s">
        <v>31</v>
      </c>
      <c r="C21" s="48" t="s">
        <v>660</v>
      </c>
      <c r="D21" s="2" t="s">
        <v>39</v>
      </c>
      <c r="E21" s="48" t="s">
        <v>41</v>
      </c>
      <c r="F21" s="2"/>
      <c r="G21" s="2"/>
      <c r="H21" s="20"/>
      <c r="I21" s="18" t="s">
        <v>53</v>
      </c>
      <c r="J21" s="23"/>
      <c r="K21" s="4"/>
      <c r="L21" s="15" t="s">
        <v>2</v>
      </c>
      <c r="M21" s="5"/>
      <c r="N21" s="5"/>
      <c r="O21" s="147">
        <v>2</v>
      </c>
      <c r="P21" s="15">
        <v>3</v>
      </c>
      <c r="Q21" s="148">
        <f t="shared" si="0"/>
        <v>5</v>
      </c>
      <c r="R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N'GUESSAN HELENE BUYO  AWLIN TRALE  YAOKRO    KOUADIO KOFFI TEYA                 F  </v>
      </c>
      <c r="Z21" s="53"/>
      <c r="AA21" s="2"/>
      <c r="AB21" s="48"/>
      <c r="AG21" s="154"/>
      <c r="AH21" s="18"/>
      <c r="AI21" s="23"/>
      <c r="AK21" s="4"/>
      <c r="AL21" s="5"/>
      <c r="AN21" s="147"/>
      <c r="AO21" s="15"/>
      <c r="AP21" s="148"/>
    </row>
    <row r="22" spans="1:42" ht="16.5" x14ac:dyDescent="0.35">
      <c r="A22" s="53">
        <v>21</v>
      </c>
      <c r="B22" s="2" t="s">
        <v>32</v>
      </c>
      <c r="C22" s="48" t="s">
        <v>660</v>
      </c>
      <c r="D22" s="2" t="s">
        <v>39</v>
      </c>
      <c r="E22" s="48" t="s">
        <v>41</v>
      </c>
      <c r="F22" s="2"/>
      <c r="G22" s="2"/>
      <c r="H22" s="20"/>
      <c r="I22" s="18" t="s">
        <v>53</v>
      </c>
      <c r="J22" s="23"/>
      <c r="K22" s="4"/>
      <c r="L22" s="15" t="s">
        <v>2</v>
      </c>
      <c r="M22" s="5"/>
      <c r="N22" s="5"/>
      <c r="O22" s="147">
        <v>1</v>
      </c>
      <c r="P22" s="15">
        <v>1</v>
      </c>
      <c r="Q22" s="148">
        <f t="shared" si="0"/>
        <v>2</v>
      </c>
      <c r="R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AHOU NADEGE BUYO  AWLIN TRALE  YAOKRO    KOUADIO KOFFI TEYA                 F  </v>
      </c>
      <c r="Z22" s="53"/>
      <c r="AA22" s="2"/>
      <c r="AB22" s="48"/>
      <c r="AG22" s="154"/>
      <c r="AH22" s="18"/>
      <c r="AI22" s="23"/>
      <c r="AK22" s="4"/>
      <c r="AL22" s="5"/>
      <c r="AN22" s="147"/>
      <c r="AO22" s="15"/>
      <c r="AP22" s="148"/>
    </row>
    <row r="23" spans="1:42" ht="16.5" x14ac:dyDescent="0.35">
      <c r="A23" s="53">
        <v>22</v>
      </c>
      <c r="B23" s="2" t="s">
        <v>33</v>
      </c>
      <c r="C23" s="48" t="s">
        <v>660</v>
      </c>
      <c r="D23" s="2" t="s">
        <v>39</v>
      </c>
      <c r="E23" s="48" t="s">
        <v>41</v>
      </c>
      <c r="F23" s="2"/>
      <c r="G23" s="2"/>
      <c r="H23" s="20"/>
      <c r="I23" s="18" t="s">
        <v>53</v>
      </c>
      <c r="J23" s="23"/>
      <c r="K23" s="4"/>
      <c r="L23" s="15" t="s">
        <v>9</v>
      </c>
      <c r="M23" s="5"/>
      <c r="N23" s="5"/>
      <c r="O23" s="147">
        <v>1</v>
      </c>
      <c r="P23" s="15">
        <v>1</v>
      </c>
      <c r="Q23" s="148">
        <f t="shared" si="0"/>
        <v>2</v>
      </c>
      <c r="R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KRAMO N'GUESSAN  BUYO  AWLIN TRALE  YAOKRO    KOUADIO KOFFI TEYA                 M  </v>
      </c>
      <c r="Z23" s="53"/>
      <c r="AA23" s="2"/>
      <c r="AB23" s="48"/>
      <c r="AG23" s="154"/>
      <c r="AH23" s="18"/>
      <c r="AI23" s="23"/>
      <c r="AK23" s="4"/>
      <c r="AL23" s="5"/>
      <c r="AN23" s="147"/>
      <c r="AO23" s="15"/>
      <c r="AP23" s="148"/>
    </row>
    <row r="24" spans="1:42" ht="16.5" x14ac:dyDescent="0.35">
      <c r="A24" s="53">
        <v>23</v>
      </c>
      <c r="B24" s="2" t="s">
        <v>34</v>
      </c>
      <c r="C24" s="48" t="s">
        <v>660</v>
      </c>
      <c r="D24" s="2" t="s">
        <v>39</v>
      </c>
      <c r="E24" s="48" t="s">
        <v>41</v>
      </c>
      <c r="F24" s="2"/>
      <c r="G24" s="2"/>
      <c r="H24" s="20"/>
      <c r="I24" s="18" t="s">
        <v>53</v>
      </c>
      <c r="J24" s="23"/>
      <c r="K24" s="4"/>
      <c r="L24" s="15" t="s">
        <v>9</v>
      </c>
      <c r="M24" s="5"/>
      <c r="N24" s="5"/>
      <c r="O24" s="147">
        <v>2</v>
      </c>
      <c r="P24" s="15">
        <v>0</v>
      </c>
      <c r="Q24" s="148">
        <f t="shared" si="0"/>
        <v>2</v>
      </c>
      <c r="R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BROU JEAN BUYO  AWLIN TRALE  YAOKRO    KOUADIO KOFFI TEYA                 M  </v>
      </c>
      <c r="Z24" s="53"/>
      <c r="AA24" s="5"/>
      <c r="AB24" s="48"/>
      <c r="AG24" s="154"/>
      <c r="AH24" s="18"/>
      <c r="AI24" s="23"/>
      <c r="AK24" s="4"/>
      <c r="AL24" s="5"/>
      <c r="AN24" s="190"/>
      <c r="AO24" s="190"/>
      <c r="AP24" s="191"/>
    </row>
    <row r="25" spans="1:42" ht="16.5" x14ac:dyDescent="0.5">
      <c r="A25" s="53">
        <v>24</v>
      </c>
      <c r="B25" s="2" t="s">
        <v>35</v>
      </c>
      <c r="C25" s="48" t="s">
        <v>660</v>
      </c>
      <c r="D25" s="2" t="s">
        <v>39</v>
      </c>
      <c r="E25" s="48" t="s">
        <v>41</v>
      </c>
      <c r="F25" s="2"/>
      <c r="G25" s="2"/>
      <c r="H25" s="20"/>
      <c r="I25" s="18" t="s">
        <v>53</v>
      </c>
      <c r="J25" s="23"/>
      <c r="K25" s="6"/>
      <c r="L25" s="15" t="s">
        <v>2</v>
      </c>
      <c r="M25" s="6"/>
      <c r="N25" s="6"/>
      <c r="O25" s="149">
        <v>1</v>
      </c>
      <c r="P25" s="149">
        <v>1</v>
      </c>
      <c r="Q25" s="150">
        <f t="shared" si="0"/>
        <v>2</v>
      </c>
      <c r="R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KOFFI HYPPOLITHE BUYO  AWLIN TRALE  YAOKRO    KOUADIO KOFFI TEYA                 F  </v>
      </c>
      <c r="Z25" s="53"/>
      <c r="AA25" s="2"/>
      <c r="AB25" s="48"/>
      <c r="AG25" s="154"/>
      <c r="AH25" s="18"/>
      <c r="AI25" s="23"/>
      <c r="AJ25" s="4"/>
      <c r="AK25" s="4"/>
      <c r="AL25" s="3"/>
      <c r="AM25" s="5"/>
      <c r="AN25" s="147"/>
      <c r="AO25" s="15"/>
      <c r="AP25" s="148"/>
    </row>
    <row r="26" spans="1:42" ht="16.5" x14ac:dyDescent="0.35">
      <c r="A26" s="53">
        <v>25</v>
      </c>
      <c r="B26" s="2" t="s">
        <v>36</v>
      </c>
      <c r="C26" s="48" t="s">
        <v>660</v>
      </c>
      <c r="D26" s="2" t="s">
        <v>39</v>
      </c>
      <c r="E26" s="48" t="s">
        <v>41</v>
      </c>
      <c r="F26" s="2"/>
      <c r="G26" s="2"/>
      <c r="H26" s="20"/>
      <c r="I26" s="18" t="s">
        <v>53</v>
      </c>
      <c r="J26" s="24"/>
      <c r="K26" s="8"/>
      <c r="L26" s="15" t="s">
        <v>2</v>
      </c>
      <c r="M26" s="8"/>
      <c r="N26" s="8"/>
      <c r="O26" s="151">
        <v>1</v>
      </c>
      <c r="P26" s="151">
        <v>2</v>
      </c>
      <c r="Q26" s="152">
        <f t="shared" si="0"/>
        <v>3</v>
      </c>
      <c r="R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AHOU CHARLOTTE BUYO  AWLIN TRALE  YAOKRO    KOUADIO KOFFI TEYA                 F  </v>
      </c>
      <c r="Z26" s="53"/>
      <c r="AA26" s="2"/>
      <c r="AB26" s="48"/>
      <c r="AG26" s="154"/>
      <c r="AH26" s="18"/>
      <c r="AI26" s="23"/>
      <c r="AJ26" s="4"/>
      <c r="AK26" s="4"/>
      <c r="AL26" s="5"/>
      <c r="AM26" s="5"/>
      <c r="AN26" s="147"/>
      <c r="AO26" s="15"/>
      <c r="AP26" s="148"/>
    </row>
    <row r="27" spans="1:42" ht="16.5" x14ac:dyDescent="0.35">
      <c r="A27" s="53">
        <v>26</v>
      </c>
      <c r="B27" s="9" t="s">
        <v>37</v>
      </c>
      <c r="C27" s="48" t="s">
        <v>660</v>
      </c>
      <c r="D27" s="2" t="s">
        <v>39</v>
      </c>
      <c r="E27" s="48" t="s">
        <v>41</v>
      </c>
      <c r="F27" s="2"/>
      <c r="G27" s="9"/>
      <c r="H27" s="21"/>
      <c r="I27" s="18" t="s">
        <v>53</v>
      </c>
      <c r="J27" s="25"/>
      <c r="K27" s="11"/>
      <c r="L27" s="16" t="s">
        <v>9</v>
      </c>
      <c r="M27" s="11"/>
      <c r="N27" s="11"/>
      <c r="O27" s="143">
        <v>1</v>
      </c>
      <c r="P27" s="143">
        <v>2</v>
      </c>
      <c r="Q27" s="153">
        <f t="shared" si="0"/>
        <v>3</v>
      </c>
      <c r="R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LOUKOU MARCEL BUYO  AWLIN TRALE  YAOKRO    KOUADIO KOFFI TEYA                 M  </v>
      </c>
      <c r="Z27" s="53"/>
      <c r="AA27" s="2"/>
      <c r="AB27" s="48"/>
      <c r="AG27" s="154"/>
      <c r="AH27" s="18"/>
      <c r="AI27" s="24"/>
      <c r="AJ27" s="8"/>
      <c r="AK27" s="4"/>
      <c r="AL27" s="8"/>
      <c r="AM27" s="8"/>
      <c r="AN27" s="151"/>
      <c r="AO27" s="151"/>
      <c r="AP27" s="148"/>
    </row>
    <row r="28" spans="1:42" ht="16.5" x14ac:dyDescent="0.35">
      <c r="A28" s="53">
        <v>27</v>
      </c>
      <c r="B28" s="2" t="s">
        <v>73</v>
      </c>
      <c r="C28" s="48" t="s">
        <v>660</v>
      </c>
      <c r="D28" t="s">
        <v>103</v>
      </c>
      <c r="E28" s="41" t="s">
        <v>104</v>
      </c>
      <c r="I28" s="18" t="s">
        <v>53</v>
      </c>
      <c r="J28" s="23" t="s">
        <v>54</v>
      </c>
      <c r="K28" s="4"/>
      <c r="L28" s="15" t="s">
        <v>2</v>
      </c>
      <c r="M28" s="5"/>
      <c r="N28" s="5"/>
      <c r="O28" s="147">
        <v>2</v>
      </c>
      <c r="P28" s="15">
        <v>1</v>
      </c>
      <c r="Q28" s="148">
        <f>SUM(O28:P28)</f>
        <v>3</v>
      </c>
      <c r="R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AMENAN ELISE BUYO EBO YO KUN        NICOLSKRO    KOUADIO KOFFI TEYA               0748201409  F  </v>
      </c>
      <c r="Z28" s="53"/>
      <c r="AA28" s="2"/>
      <c r="AB28" s="48"/>
      <c r="AG28" s="154"/>
      <c r="AH28" s="18"/>
      <c r="AI28" s="23"/>
      <c r="AJ28" s="4"/>
      <c r="AK28" s="4"/>
      <c r="AL28" s="5"/>
      <c r="AM28" s="5"/>
      <c r="AN28" s="147"/>
      <c r="AO28" s="15"/>
      <c r="AP28" s="148"/>
    </row>
    <row r="29" spans="1:42" ht="16.5" x14ac:dyDescent="0.35">
      <c r="A29" s="53">
        <v>28</v>
      </c>
      <c r="B29" s="2" t="s">
        <v>74</v>
      </c>
      <c r="C29" s="48" t="s">
        <v>660</v>
      </c>
      <c r="D29" t="s">
        <v>103</v>
      </c>
      <c r="E29" s="41" t="s">
        <v>104</v>
      </c>
      <c r="I29" s="18" t="s">
        <v>53</v>
      </c>
      <c r="J29" s="23" t="s">
        <v>55</v>
      </c>
      <c r="K29" s="4"/>
      <c r="L29" s="15" t="s">
        <v>2</v>
      </c>
      <c r="M29" s="5"/>
      <c r="N29" s="5"/>
      <c r="O29" s="147">
        <v>0</v>
      </c>
      <c r="P29" s="15">
        <v>0</v>
      </c>
      <c r="Q29" s="148">
        <f t="shared" ref="Q29:Q57" si="1">SUM(O29:P29)</f>
        <v>0</v>
      </c>
      <c r="R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AMANI AMENAN ROSALIE BUYO EBO YO KUN        NICOLSKRO    KOUADIO KOFFI TEYA               0709552808  F  </v>
      </c>
      <c r="Z29" s="53"/>
      <c r="AA29" s="2"/>
      <c r="AB29" s="48"/>
      <c r="AG29" s="154"/>
      <c r="AH29" s="18"/>
      <c r="AI29" s="23"/>
      <c r="AJ29" s="4"/>
      <c r="AK29" s="4"/>
      <c r="AL29" s="5"/>
      <c r="AM29" s="5"/>
      <c r="AN29" s="147"/>
      <c r="AO29" s="15"/>
      <c r="AP29" s="148"/>
    </row>
    <row r="30" spans="1:42" ht="16.5" x14ac:dyDescent="0.35">
      <c r="A30" s="53">
        <v>29</v>
      </c>
      <c r="B30" s="2" t="s">
        <v>75</v>
      </c>
      <c r="C30" s="48" t="s">
        <v>660</v>
      </c>
      <c r="D30" t="s">
        <v>103</v>
      </c>
      <c r="E30" s="41" t="s">
        <v>104</v>
      </c>
      <c r="I30" s="18" t="s">
        <v>53</v>
      </c>
      <c r="J30" s="23" t="s">
        <v>56</v>
      </c>
      <c r="K30" s="4"/>
      <c r="L30" s="15" t="s">
        <v>2</v>
      </c>
      <c r="M30" s="5"/>
      <c r="N30" s="5"/>
      <c r="O30" s="147">
        <v>2</v>
      </c>
      <c r="P30" s="15">
        <v>2</v>
      </c>
      <c r="Q30" s="148">
        <f t="shared" si="1"/>
        <v>4</v>
      </c>
      <c r="R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MARIAM BUYO EBO YO KUN        NICOLSKRO    KOUADIO KOFFI TEYA               0709801804  F  </v>
      </c>
      <c r="Z30" s="53"/>
      <c r="AA30" s="2"/>
      <c r="AB30" s="48"/>
      <c r="AG30" s="154"/>
      <c r="AH30" s="18"/>
      <c r="AI30" s="23"/>
      <c r="AJ30" s="4"/>
      <c r="AK30" s="4"/>
      <c r="AL30" s="5"/>
      <c r="AM30" s="5"/>
      <c r="AN30" s="147"/>
      <c r="AO30" s="15"/>
      <c r="AP30" s="148"/>
    </row>
    <row r="31" spans="1:42" ht="16.5" x14ac:dyDescent="0.35">
      <c r="A31" s="53">
        <v>30</v>
      </c>
      <c r="B31" s="2" t="s">
        <v>76</v>
      </c>
      <c r="C31" s="48" t="s">
        <v>660</v>
      </c>
      <c r="D31" t="s">
        <v>103</v>
      </c>
      <c r="E31" s="41" t="s">
        <v>104</v>
      </c>
      <c r="I31" s="18" t="s">
        <v>53</v>
      </c>
      <c r="J31" s="23" t="s">
        <v>57</v>
      </c>
      <c r="K31" s="4"/>
      <c r="L31" s="15" t="s">
        <v>2</v>
      </c>
      <c r="M31" s="5"/>
      <c r="N31" s="5"/>
      <c r="O31" s="147">
        <v>3</v>
      </c>
      <c r="P31" s="15">
        <v>2</v>
      </c>
      <c r="Q31" s="148">
        <f t="shared" si="1"/>
        <v>5</v>
      </c>
      <c r="R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AMOIN GISELLE KOUADIO BUYO EBO YO KUN        NICOLSKRO    KOUADIO KOFFI TEYA               0768392600  F  </v>
      </c>
      <c r="Z31" s="53"/>
      <c r="AA31" s="2"/>
      <c r="AB31" s="48"/>
      <c r="AG31" s="154"/>
      <c r="AH31" s="18"/>
      <c r="AI31" s="23"/>
      <c r="AJ31" s="4"/>
      <c r="AK31" s="4"/>
      <c r="AL31" s="5"/>
      <c r="AM31" s="5"/>
      <c r="AN31" s="147"/>
      <c r="AO31" s="15"/>
      <c r="AP31" s="148"/>
    </row>
    <row r="32" spans="1:42" ht="16.5" x14ac:dyDescent="0.35">
      <c r="A32" s="53">
        <v>31</v>
      </c>
      <c r="B32" s="2" t="s">
        <v>77</v>
      </c>
      <c r="C32" s="48" t="s">
        <v>660</v>
      </c>
      <c r="D32" t="s">
        <v>103</v>
      </c>
      <c r="E32" s="41" t="s">
        <v>104</v>
      </c>
      <c r="I32" s="18" t="s">
        <v>53</v>
      </c>
      <c r="J32" s="23" t="s">
        <v>58</v>
      </c>
      <c r="K32" s="4"/>
      <c r="L32" s="15" t="s">
        <v>2</v>
      </c>
      <c r="M32" s="3"/>
      <c r="N32" s="5"/>
      <c r="O32" s="147">
        <v>1</v>
      </c>
      <c r="P32" s="15">
        <v>4</v>
      </c>
      <c r="Q32" s="148">
        <f t="shared" si="1"/>
        <v>5</v>
      </c>
      <c r="R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AMOIN MADELEINE BUYO EBO YO KUN        NICOLSKRO    KOUADIO KOFFI TEYA               0758931248  F  </v>
      </c>
      <c r="Z32" s="53"/>
      <c r="AA32" s="2"/>
      <c r="AB32" s="48"/>
      <c r="AG32" s="154"/>
      <c r="AH32" s="18"/>
      <c r="AI32" s="23"/>
      <c r="AJ32" s="4"/>
      <c r="AK32" s="4"/>
      <c r="AL32" s="5"/>
      <c r="AM32" s="5"/>
      <c r="AN32" s="147"/>
      <c r="AO32" s="15"/>
      <c r="AP32" s="148"/>
    </row>
    <row r="33" spans="1:42" ht="16.5" x14ac:dyDescent="0.35">
      <c r="A33" s="53">
        <v>32</v>
      </c>
      <c r="B33" s="2" t="s">
        <v>78</v>
      </c>
      <c r="C33" s="48" t="s">
        <v>660</v>
      </c>
      <c r="D33" t="s">
        <v>103</v>
      </c>
      <c r="E33" s="41" t="s">
        <v>104</v>
      </c>
      <c r="I33" s="18" t="s">
        <v>53</v>
      </c>
      <c r="J33" s="23"/>
      <c r="K33" s="4"/>
      <c r="L33" s="15" t="s">
        <v>9</v>
      </c>
      <c r="M33" s="5"/>
      <c r="N33" s="5"/>
      <c r="O33" s="147">
        <v>1</v>
      </c>
      <c r="P33" s="15">
        <v>2</v>
      </c>
      <c r="Q33" s="148">
        <f t="shared" si="1"/>
        <v>3</v>
      </c>
      <c r="R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KOUAKOU J BUYO EBO YO KUN        NICOLSKRO    KOUADIO KOFFI TEYA                 M  </v>
      </c>
      <c r="Z33" s="53"/>
      <c r="AA33" s="2"/>
      <c r="AB33" s="48"/>
      <c r="AG33" s="154"/>
      <c r="AH33" s="18"/>
      <c r="AI33" s="23"/>
      <c r="AJ33" s="4"/>
      <c r="AK33" s="4"/>
      <c r="AL33" s="5"/>
      <c r="AM33" s="5"/>
      <c r="AN33" s="147"/>
      <c r="AO33" s="15"/>
      <c r="AP33" s="148"/>
    </row>
    <row r="34" spans="1:42" ht="16.5" x14ac:dyDescent="0.35">
      <c r="A34" s="53">
        <v>33</v>
      </c>
      <c r="B34" s="2" t="s">
        <v>79</v>
      </c>
      <c r="C34" s="48" t="s">
        <v>660</v>
      </c>
      <c r="D34" t="s">
        <v>103</v>
      </c>
      <c r="E34" s="41" t="s">
        <v>104</v>
      </c>
      <c r="I34" s="18" t="s">
        <v>53</v>
      </c>
      <c r="J34" s="23"/>
      <c r="K34" s="4"/>
      <c r="L34" s="15" t="s">
        <v>2</v>
      </c>
      <c r="M34" s="5"/>
      <c r="N34" s="5"/>
      <c r="O34" s="147">
        <v>3</v>
      </c>
      <c r="P34" s="15">
        <v>1</v>
      </c>
      <c r="Q34" s="148">
        <f t="shared" si="1"/>
        <v>4</v>
      </c>
      <c r="R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AFFOUE CELESTINE BUYO EBO YO KUN        NICOLSKRO    KOUADIO KOFFI TEYA                 F  </v>
      </c>
      <c r="Z34" s="53"/>
      <c r="AA34" s="2"/>
      <c r="AB34" s="48"/>
      <c r="AG34" s="154"/>
      <c r="AH34" s="18"/>
      <c r="AI34" s="23"/>
      <c r="AJ34" s="4"/>
      <c r="AK34" s="4"/>
      <c r="AL34" s="5"/>
      <c r="AM34" s="5"/>
      <c r="AN34" s="147"/>
      <c r="AO34" s="15"/>
      <c r="AP34" s="148"/>
    </row>
    <row r="35" spans="1:42" ht="16.5" x14ac:dyDescent="0.35">
      <c r="A35" s="53">
        <v>34</v>
      </c>
      <c r="B35" s="2" t="s">
        <v>80</v>
      </c>
      <c r="C35" s="48" t="s">
        <v>660</v>
      </c>
      <c r="D35" t="s">
        <v>103</v>
      </c>
      <c r="E35" s="41" t="s">
        <v>104</v>
      </c>
      <c r="I35" s="18" t="s">
        <v>53</v>
      </c>
      <c r="J35" s="23" t="s">
        <v>59</v>
      </c>
      <c r="K35" s="4"/>
      <c r="L35" s="15" t="s">
        <v>2</v>
      </c>
      <c r="M35" s="5"/>
      <c r="N35" s="5"/>
      <c r="O35" s="147">
        <v>1</v>
      </c>
      <c r="P35" s="15">
        <v>2</v>
      </c>
      <c r="Q35" s="148">
        <f t="shared" si="1"/>
        <v>3</v>
      </c>
      <c r="R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ADJOUA AGNES BUYO EBO YO KUN        NICOLSKRO    KOUADIO KOFFI TEYA               0749330943  F  </v>
      </c>
      <c r="Z35" s="53"/>
      <c r="AA35" s="2"/>
      <c r="AB35" s="48"/>
      <c r="AG35" s="154"/>
      <c r="AH35" s="18"/>
      <c r="AI35" s="23"/>
      <c r="AJ35" s="4"/>
      <c r="AK35" s="4"/>
      <c r="AL35" s="5"/>
      <c r="AM35" s="5"/>
      <c r="AN35" s="147"/>
      <c r="AO35" s="15"/>
      <c r="AP35" s="148"/>
    </row>
    <row r="36" spans="1:42" ht="16.5" x14ac:dyDescent="0.35">
      <c r="A36" s="53">
        <v>35</v>
      </c>
      <c r="B36" s="2" t="s">
        <v>81</v>
      </c>
      <c r="C36" s="48" t="s">
        <v>660</v>
      </c>
      <c r="D36" t="s">
        <v>103</v>
      </c>
      <c r="E36" s="41" t="s">
        <v>104</v>
      </c>
      <c r="I36" s="18" t="s">
        <v>53</v>
      </c>
      <c r="J36" s="23"/>
      <c r="K36" s="4"/>
      <c r="L36" s="15" t="s">
        <v>2</v>
      </c>
      <c r="M36" s="5"/>
      <c r="N36" s="5"/>
      <c r="O36" s="147">
        <v>1</v>
      </c>
      <c r="P36" s="15">
        <v>4</v>
      </c>
      <c r="Q36" s="148">
        <f t="shared" si="1"/>
        <v>5</v>
      </c>
      <c r="R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KRA AMENAN ALBERTINE BUYO EBO YO KUN        NICOLSKRO    KOUADIO KOFFI TEYA                 F  </v>
      </c>
      <c r="Z36" s="53"/>
      <c r="AA36" s="2"/>
      <c r="AB36" s="48"/>
      <c r="AD36" s="41"/>
      <c r="AH36" s="18"/>
      <c r="AI36" s="23"/>
      <c r="AJ36" s="4"/>
      <c r="AK36" s="15"/>
      <c r="AL36" s="5"/>
      <c r="AM36" s="5"/>
      <c r="AN36" s="147"/>
      <c r="AO36" s="15"/>
      <c r="AP36" s="148"/>
    </row>
    <row r="37" spans="1:42" ht="16.5" x14ac:dyDescent="0.35">
      <c r="A37" s="53">
        <v>36</v>
      </c>
      <c r="B37" s="2" t="s">
        <v>82</v>
      </c>
      <c r="C37" s="48" t="s">
        <v>660</v>
      </c>
      <c r="D37" t="s">
        <v>103</v>
      </c>
      <c r="E37" s="41" t="s">
        <v>104</v>
      </c>
      <c r="I37" s="18" t="s">
        <v>53</v>
      </c>
      <c r="J37" s="23" t="s">
        <v>60</v>
      </c>
      <c r="K37" s="4"/>
      <c r="L37" s="15" t="s">
        <v>2</v>
      </c>
      <c r="M37" s="5"/>
      <c r="N37" s="5"/>
      <c r="O37" s="147">
        <v>2</v>
      </c>
      <c r="P37" s="15">
        <v>0</v>
      </c>
      <c r="Q37" s="148">
        <f t="shared" si="1"/>
        <v>2</v>
      </c>
      <c r="R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AYA APPOLINE BUYO EBO YO KUN        NICOLSKRO    KOUADIO KOFFI TEYA               0708851326  F  </v>
      </c>
      <c r="Z37" s="53"/>
      <c r="AA37" s="2"/>
      <c r="AB37" s="48"/>
      <c r="AD37" s="41"/>
      <c r="AH37" s="18"/>
      <c r="AI37" s="23"/>
      <c r="AJ37" s="4"/>
      <c r="AK37" s="15"/>
      <c r="AL37" s="5"/>
      <c r="AM37" s="5"/>
      <c r="AN37" s="147"/>
      <c r="AO37" s="15"/>
      <c r="AP37" s="148"/>
    </row>
    <row r="38" spans="1:42" ht="16.5" x14ac:dyDescent="0.35">
      <c r="A38" s="53">
        <v>37</v>
      </c>
      <c r="B38" s="2" t="s">
        <v>83</v>
      </c>
      <c r="C38" s="48" t="s">
        <v>660</v>
      </c>
      <c r="D38" t="s">
        <v>103</v>
      </c>
      <c r="E38" s="41" t="s">
        <v>104</v>
      </c>
      <c r="I38" s="18" t="s">
        <v>53</v>
      </c>
      <c r="J38" s="23" t="s">
        <v>61</v>
      </c>
      <c r="K38" s="4"/>
      <c r="L38" s="15" t="s">
        <v>2</v>
      </c>
      <c r="M38" s="5"/>
      <c r="N38" s="5"/>
      <c r="O38" s="147">
        <v>4</v>
      </c>
      <c r="P38" s="15">
        <v>2</v>
      </c>
      <c r="Q38" s="148">
        <f t="shared" si="1"/>
        <v>6</v>
      </c>
      <c r="R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AFFOUE JEANNETTE BUYO EBO YO KUN        NICOLSKRO    KOUADIO KOFFI TEYA               0787334834  F  </v>
      </c>
      <c r="Z38" s="53"/>
      <c r="AA38" s="2"/>
      <c r="AB38" s="48"/>
      <c r="AD38" s="41"/>
      <c r="AH38" s="18"/>
      <c r="AI38" s="23"/>
      <c r="AJ38" s="4"/>
      <c r="AK38" s="15"/>
      <c r="AL38" s="5"/>
      <c r="AM38" s="5"/>
      <c r="AN38" s="147"/>
      <c r="AO38" s="15"/>
      <c r="AP38" s="148"/>
    </row>
    <row r="39" spans="1:42" ht="16.5" x14ac:dyDescent="0.35">
      <c r="A39" s="53">
        <v>38</v>
      </c>
      <c r="B39" s="2" t="s">
        <v>84</v>
      </c>
      <c r="C39" s="48" t="s">
        <v>660</v>
      </c>
      <c r="D39" t="s">
        <v>103</v>
      </c>
      <c r="E39" s="41" t="s">
        <v>104</v>
      </c>
      <c r="I39" s="18" t="s">
        <v>53</v>
      </c>
      <c r="J39" s="23" t="s">
        <v>62</v>
      </c>
      <c r="K39" s="4"/>
      <c r="L39" s="15" t="s">
        <v>2</v>
      </c>
      <c r="M39" s="5"/>
      <c r="N39" s="5"/>
      <c r="O39" s="147">
        <v>1</v>
      </c>
      <c r="P39" s="15">
        <v>2</v>
      </c>
      <c r="Q39" s="148">
        <f t="shared" si="1"/>
        <v>3</v>
      </c>
      <c r="R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AMOIN LOUISE BUYO EBO YO KUN        NICOLSKRO    KOUADIO KOFFI TEYA               0787334884  F  </v>
      </c>
      <c r="Z39" s="53"/>
      <c r="AA39" s="2"/>
      <c r="AB39" s="48"/>
      <c r="AD39" s="41"/>
      <c r="AH39" s="18"/>
      <c r="AI39" s="23"/>
      <c r="AJ39" s="4"/>
      <c r="AK39" s="15"/>
      <c r="AL39" s="5"/>
      <c r="AM39" s="5"/>
      <c r="AN39" s="147"/>
      <c r="AO39" s="15"/>
      <c r="AP39" s="148"/>
    </row>
    <row r="40" spans="1:42" ht="16.5" x14ac:dyDescent="0.35">
      <c r="A40" s="53">
        <v>39</v>
      </c>
      <c r="B40" s="2" t="s">
        <v>85</v>
      </c>
      <c r="C40" s="48" t="s">
        <v>660</v>
      </c>
      <c r="D40" t="s">
        <v>103</v>
      </c>
      <c r="E40" s="41" t="s">
        <v>104</v>
      </c>
      <c r="I40" s="18" t="s">
        <v>53</v>
      </c>
      <c r="J40" s="23" t="s">
        <v>63</v>
      </c>
      <c r="K40" s="4"/>
      <c r="L40" s="15" t="s">
        <v>2</v>
      </c>
      <c r="M40" s="5"/>
      <c r="N40" s="5"/>
      <c r="O40" s="147">
        <v>1</v>
      </c>
      <c r="P40" s="15">
        <v>1</v>
      </c>
      <c r="Q40" s="148">
        <f t="shared" si="1"/>
        <v>2</v>
      </c>
      <c r="R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M'BRA ADJOUA SIMONE  BUYO EBO YO KUN        NICOLSKRO    KOUADIO KOFFI TEYA               0758626215  F  </v>
      </c>
      <c r="Z40" s="53"/>
      <c r="AA40" s="2"/>
      <c r="AB40" s="48"/>
      <c r="AD40" s="41"/>
      <c r="AH40" s="18"/>
      <c r="AI40" s="23"/>
      <c r="AJ40" s="4"/>
      <c r="AK40" s="15"/>
      <c r="AL40" s="5"/>
      <c r="AM40" s="5"/>
      <c r="AN40" s="147"/>
      <c r="AO40" s="15"/>
      <c r="AP40" s="148"/>
    </row>
    <row r="41" spans="1:42" ht="16.5" x14ac:dyDescent="0.35">
      <c r="A41" s="53">
        <v>40</v>
      </c>
      <c r="B41" s="2" t="s">
        <v>86</v>
      </c>
      <c r="C41" s="48" t="s">
        <v>660</v>
      </c>
      <c r="D41" t="s">
        <v>103</v>
      </c>
      <c r="E41" s="41" t="s">
        <v>104</v>
      </c>
      <c r="I41" s="18" t="s">
        <v>53</v>
      </c>
      <c r="J41" s="23" t="s">
        <v>64</v>
      </c>
      <c r="K41" s="4"/>
      <c r="L41" s="15" t="s">
        <v>2</v>
      </c>
      <c r="M41" s="5"/>
      <c r="N41" s="5"/>
      <c r="O41" s="147">
        <v>1</v>
      </c>
      <c r="P41" s="15">
        <v>1</v>
      </c>
      <c r="Q41" s="148">
        <f t="shared" si="1"/>
        <v>2</v>
      </c>
      <c r="R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BRIGITTE  BUYO EBO YO KUN        NICOLSKRO    KOUADIO KOFFI TEYA               0709389036  F  </v>
      </c>
      <c r="Z41" s="53"/>
      <c r="AA41" s="2"/>
      <c r="AB41" s="48"/>
      <c r="AD41" s="41"/>
      <c r="AH41" s="18"/>
      <c r="AI41" s="23"/>
      <c r="AJ41" s="4"/>
      <c r="AK41" s="15"/>
      <c r="AL41" s="5"/>
      <c r="AM41" s="5"/>
      <c r="AN41" s="147"/>
      <c r="AO41" s="15"/>
      <c r="AP41" s="148"/>
    </row>
    <row r="42" spans="1:42" ht="16.5" x14ac:dyDescent="0.35">
      <c r="A42" s="53">
        <v>41</v>
      </c>
      <c r="B42" s="2" t="s">
        <v>87</v>
      </c>
      <c r="C42" s="48" t="s">
        <v>660</v>
      </c>
      <c r="D42" t="s">
        <v>103</v>
      </c>
      <c r="E42" s="41" t="s">
        <v>104</v>
      </c>
      <c r="I42" s="18" t="s">
        <v>53</v>
      </c>
      <c r="J42" s="23" t="s">
        <v>65</v>
      </c>
      <c r="K42" s="4"/>
      <c r="L42" s="15" t="s">
        <v>2</v>
      </c>
      <c r="M42" s="5"/>
      <c r="N42" s="5"/>
      <c r="O42" s="147">
        <v>0</v>
      </c>
      <c r="P42" s="15">
        <v>0</v>
      </c>
      <c r="Q42" s="148">
        <f t="shared" si="1"/>
        <v>0</v>
      </c>
      <c r="R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AGOU JEANNETTE BUYO EBO YO KUN        NICOLSKRO    KOUADIO KOFFI TEYA               0747411107  F  </v>
      </c>
      <c r="Z42" s="53"/>
      <c r="AA42" s="2"/>
      <c r="AB42" s="48"/>
      <c r="AD42" s="41"/>
      <c r="AH42" s="18"/>
      <c r="AI42" s="23"/>
      <c r="AJ42" s="4"/>
      <c r="AK42" s="15"/>
      <c r="AL42" s="5"/>
      <c r="AM42" s="5"/>
      <c r="AN42" s="147"/>
      <c r="AO42" s="15"/>
      <c r="AP42" s="148"/>
    </row>
    <row r="43" spans="1:42" ht="16.5" x14ac:dyDescent="0.35">
      <c r="A43" s="53">
        <v>42</v>
      </c>
      <c r="B43" s="2" t="s">
        <v>88</v>
      </c>
      <c r="C43" s="48" t="s">
        <v>660</v>
      </c>
      <c r="D43" t="s">
        <v>103</v>
      </c>
      <c r="E43" s="41" t="s">
        <v>104</v>
      </c>
      <c r="I43" s="18" t="s">
        <v>53</v>
      </c>
      <c r="J43" s="23" t="s">
        <v>66</v>
      </c>
      <c r="K43" s="4"/>
      <c r="L43" s="15" t="s">
        <v>2</v>
      </c>
      <c r="M43" s="5"/>
      <c r="N43" s="5"/>
      <c r="O43" s="147">
        <v>1</v>
      </c>
      <c r="P43" s="15">
        <v>2</v>
      </c>
      <c r="Q43" s="148">
        <f t="shared" si="1"/>
        <v>3</v>
      </c>
      <c r="R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DELPHINE AMENAN BUYO EBO YO KUN        NICOLSKRO    KOUADIO KOFFI TEYA               0769601370  F  </v>
      </c>
      <c r="Z43" s="53"/>
      <c r="AA43" s="2"/>
      <c r="AB43" s="48"/>
      <c r="AD43" s="41"/>
      <c r="AH43" s="18"/>
      <c r="AI43" s="23"/>
      <c r="AJ43" s="4"/>
      <c r="AK43" s="15"/>
      <c r="AL43" s="5"/>
      <c r="AM43" s="5"/>
      <c r="AN43" s="147"/>
      <c r="AO43" s="15"/>
      <c r="AP43" s="148"/>
    </row>
    <row r="44" spans="1:42" ht="16.5" x14ac:dyDescent="0.35">
      <c r="A44" s="53">
        <v>43</v>
      </c>
      <c r="B44" s="2" t="s">
        <v>89</v>
      </c>
      <c r="C44" s="48" t="s">
        <v>660</v>
      </c>
      <c r="D44" t="s">
        <v>103</v>
      </c>
      <c r="E44" s="41" t="s">
        <v>104</v>
      </c>
      <c r="I44" s="18" t="s">
        <v>53</v>
      </c>
      <c r="J44" s="23"/>
      <c r="K44" s="4"/>
      <c r="L44" s="15" t="s">
        <v>2</v>
      </c>
      <c r="M44" s="5"/>
      <c r="N44" s="5"/>
      <c r="O44" s="147">
        <v>2</v>
      </c>
      <c r="P44" s="15">
        <v>1</v>
      </c>
      <c r="Q44" s="148">
        <f t="shared" si="1"/>
        <v>3</v>
      </c>
      <c r="R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AKISSI NADEGE BUYO EBO YO KUN        NICOLSKRO    KOUADIO KOFFI TEYA                 F  </v>
      </c>
      <c r="Z44" s="53"/>
      <c r="AA44" s="2"/>
      <c r="AB44" s="48"/>
      <c r="AD44" s="41"/>
      <c r="AH44" s="18"/>
      <c r="AI44" s="23"/>
      <c r="AJ44" s="4"/>
      <c r="AK44" s="15"/>
      <c r="AL44" s="5"/>
      <c r="AM44" s="5"/>
      <c r="AN44" s="147"/>
      <c r="AO44" s="15"/>
      <c r="AP44" s="148"/>
    </row>
    <row r="45" spans="1:42" ht="16.5" x14ac:dyDescent="0.35">
      <c r="A45" s="53">
        <v>44</v>
      </c>
      <c r="B45" s="2" t="s">
        <v>90</v>
      </c>
      <c r="C45" s="48" t="s">
        <v>660</v>
      </c>
      <c r="D45" t="s">
        <v>103</v>
      </c>
      <c r="E45" s="41" t="s">
        <v>104</v>
      </c>
      <c r="I45" s="18" t="s">
        <v>53</v>
      </c>
      <c r="J45" s="23" t="s">
        <v>67</v>
      </c>
      <c r="K45" s="4"/>
      <c r="L45" s="15" t="s">
        <v>2</v>
      </c>
      <c r="M45" s="5"/>
      <c r="N45" s="5"/>
      <c r="O45" s="147">
        <v>0</v>
      </c>
      <c r="P45" s="15">
        <v>2</v>
      </c>
      <c r="Q45" s="148">
        <f t="shared" si="1"/>
        <v>2</v>
      </c>
      <c r="R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EKRA ADJOUA BINTOU BUYO EBO YO KUN        NICOLSKRO    KOUADIO KOFFI TEYA               0769618005  F  </v>
      </c>
      <c r="Z45" s="53"/>
      <c r="AA45" s="2"/>
      <c r="AB45" s="48"/>
      <c r="AD45" s="41"/>
      <c r="AH45" s="18"/>
      <c r="AI45" s="23"/>
      <c r="AJ45" s="4"/>
      <c r="AK45" s="15"/>
      <c r="AL45" s="5"/>
      <c r="AM45" s="5"/>
      <c r="AN45" s="147"/>
      <c r="AO45" s="15"/>
      <c r="AP45" s="148"/>
    </row>
    <row r="46" spans="1:42" ht="16.5" x14ac:dyDescent="0.35">
      <c r="A46" s="53">
        <v>45</v>
      </c>
      <c r="B46" s="2" t="s">
        <v>91</v>
      </c>
      <c r="C46" s="48" t="s">
        <v>660</v>
      </c>
      <c r="D46" t="s">
        <v>103</v>
      </c>
      <c r="E46" s="41" t="s">
        <v>104</v>
      </c>
      <c r="I46" s="18" t="s">
        <v>53</v>
      </c>
      <c r="J46" s="23" t="s">
        <v>68</v>
      </c>
      <c r="K46" s="4"/>
      <c r="L46" s="15" t="s">
        <v>2</v>
      </c>
      <c r="M46" s="5"/>
      <c r="N46" s="5"/>
      <c r="O46" s="147">
        <v>1</v>
      </c>
      <c r="P46" s="15">
        <v>2</v>
      </c>
      <c r="Q46" s="148">
        <f t="shared" si="1"/>
        <v>3</v>
      </c>
      <c r="R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KOBENAN AHOU BUYO EBO YO KUN        NICOLSKRO    KOUADIO KOFFI TEYA               0749684128  F  </v>
      </c>
      <c r="Z46" s="53"/>
      <c r="AA46" s="2"/>
      <c r="AB46" s="48"/>
      <c r="AD46" s="41"/>
      <c r="AH46" s="18"/>
      <c r="AI46" s="23"/>
      <c r="AJ46" s="4"/>
      <c r="AK46" s="15"/>
      <c r="AL46" s="5"/>
      <c r="AM46" s="5"/>
      <c r="AN46" s="147"/>
      <c r="AO46" s="15"/>
      <c r="AP46" s="148"/>
    </row>
    <row r="47" spans="1:42" ht="16.5" x14ac:dyDescent="0.35">
      <c r="A47" s="53">
        <v>46</v>
      </c>
      <c r="B47" s="2" t="s">
        <v>92</v>
      </c>
      <c r="C47" s="48" t="s">
        <v>660</v>
      </c>
      <c r="D47" t="s">
        <v>103</v>
      </c>
      <c r="E47" s="41" t="s">
        <v>104</v>
      </c>
      <c r="I47" s="18" t="s">
        <v>53</v>
      </c>
      <c r="J47" s="23" t="s">
        <v>69</v>
      </c>
      <c r="K47" s="4"/>
      <c r="L47" s="15" t="s">
        <v>2</v>
      </c>
      <c r="M47" s="5"/>
      <c r="N47" s="5"/>
      <c r="O47" s="147">
        <v>2</v>
      </c>
      <c r="P47" s="15">
        <v>3</v>
      </c>
      <c r="Q47" s="148">
        <f t="shared" si="1"/>
        <v>5</v>
      </c>
      <c r="R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AKISSI BINTOU BUYO EBO YO KUN        NICOLSKRO    KOUADIO KOFFI TEYA               0707616914  F  </v>
      </c>
      <c r="Z47" s="53"/>
      <c r="AA47" s="2"/>
      <c r="AB47" s="48"/>
      <c r="AD47" s="41"/>
      <c r="AH47" s="18"/>
      <c r="AI47" s="23"/>
      <c r="AJ47" s="4"/>
      <c r="AK47" s="15"/>
      <c r="AL47" s="5"/>
      <c r="AM47" s="5"/>
      <c r="AN47" s="147"/>
      <c r="AO47" s="15"/>
      <c r="AP47" s="148"/>
    </row>
    <row r="48" spans="1:42" ht="16.5" x14ac:dyDescent="0.35">
      <c r="A48" s="53">
        <v>47</v>
      </c>
      <c r="B48" s="2" t="s">
        <v>93</v>
      </c>
      <c r="C48" s="48" t="s">
        <v>660</v>
      </c>
      <c r="D48" t="s">
        <v>103</v>
      </c>
      <c r="E48" s="41" t="s">
        <v>104</v>
      </c>
      <c r="I48" s="18" t="s">
        <v>53</v>
      </c>
      <c r="J48" s="23" t="s">
        <v>70</v>
      </c>
      <c r="K48" s="4"/>
      <c r="L48" s="15" t="s">
        <v>2</v>
      </c>
      <c r="M48" s="5"/>
      <c r="N48" s="5"/>
      <c r="O48" s="147">
        <v>1</v>
      </c>
      <c r="P48" s="15">
        <v>1</v>
      </c>
      <c r="Q48" s="148">
        <f t="shared" si="1"/>
        <v>2</v>
      </c>
      <c r="R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AHOU GISELE BUYO EBO YO KUN        NICOLSKRO    KOUADIO KOFFI TEYA               0708557609  F  </v>
      </c>
      <c r="Z48" s="53"/>
      <c r="AA48" s="2"/>
      <c r="AB48" s="48"/>
      <c r="AD48" s="41"/>
      <c r="AH48" s="18"/>
      <c r="AI48" s="23"/>
      <c r="AJ48" s="4"/>
      <c r="AK48" s="15"/>
      <c r="AL48" s="5"/>
      <c r="AM48" s="5"/>
      <c r="AN48" s="147"/>
      <c r="AO48" s="15"/>
      <c r="AP48" s="148"/>
    </row>
    <row r="49" spans="1:42" ht="16.5" x14ac:dyDescent="0.35">
      <c r="A49" s="53">
        <v>48</v>
      </c>
      <c r="B49" s="2" t="s">
        <v>94</v>
      </c>
      <c r="C49" s="48" t="s">
        <v>660</v>
      </c>
      <c r="D49" t="s">
        <v>103</v>
      </c>
      <c r="E49" s="41" t="s">
        <v>104</v>
      </c>
      <c r="I49" s="18" t="s">
        <v>53</v>
      </c>
      <c r="J49" s="23" t="s">
        <v>71</v>
      </c>
      <c r="K49" s="4"/>
      <c r="L49" s="15" t="s">
        <v>9</v>
      </c>
      <c r="M49" s="5"/>
      <c r="N49" s="5"/>
      <c r="O49" s="147">
        <v>1</v>
      </c>
      <c r="P49" s="15">
        <v>1</v>
      </c>
      <c r="Q49" s="148">
        <f t="shared" si="1"/>
        <v>2</v>
      </c>
      <c r="R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AMANI DESIRE BUYO EBO YO KUN        NICOLSKRO    KOUADIO KOFFI TEYA               0749262679  M  </v>
      </c>
      <c r="Z49" s="53"/>
      <c r="AA49" s="2"/>
      <c r="AB49" s="48"/>
      <c r="AD49" s="41"/>
      <c r="AH49" s="18"/>
      <c r="AI49" s="23"/>
      <c r="AJ49" s="4"/>
      <c r="AK49" s="15"/>
      <c r="AL49" s="5"/>
      <c r="AM49" s="5"/>
      <c r="AN49" s="147"/>
      <c r="AO49" s="15"/>
      <c r="AP49" s="148"/>
    </row>
    <row r="50" spans="1:42" ht="16.5" x14ac:dyDescent="0.35">
      <c r="A50" s="53">
        <v>49</v>
      </c>
      <c r="B50" s="2" t="s">
        <v>95</v>
      </c>
      <c r="C50" s="48" t="s">
        <v>660</v>
      </c>
      <c r="D50" t="s">
        <v>103</v>
      </c>
      <c r="E50" s="41" t="s">
        <v>104</v>
      </c>
      <c r="F50" s="26"/>
      <c r="I50" s="18" t="s">
        <v>53</v>
      </c>
      <c r="J50" s="23"/>
      <c r="K50" s="4"/>
      <c r="L50" s="15" t="s">
        <v>9</v>
      </c>
      <c r="M50" s="5"/>
      <c r="N50" s="5"/>
      <c r="O50" s="147">
        <v>2</v>
      </c>
      <c r="P50" s="15">
        <v>0</v>
      </c>
      <c r="Q50" s="148">
        <f t="shared" si="1"/>
        <v>2</v>
      </c>
      <c r="R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ADJOU BUYO EBO YO KUN        NICOLSKRO    KOUADIO KOFFI TEYA                 M  </v>
      </c>
      <c r="Z50" s="53"/>
      <c r="AA50" s="2"/>
      <c r="AB50" s="48"/>
      <c r="AD50" s="41"/>
      <c r="AE50" s="26"/>
      <c r="AH50" s="18"/>
      <c r="AI50" s="23"/>
      <c r="AJ50" s="4"/>
      <c r="AK50" s="15"/>
      <c r="AL50" s="5"/>
      <c r="AM50" s="5"/>
      <c r="AN50" s="147"/>
      <c r="AO50" s="15"/>
      <c r="AP50" s="148"/>
    </row>
    <row r="51" spans="1:42" ht="16.5" x14ac:dyDescent="0.35">
      <c r="A51" s="53">
        <v>50</v>
      </c>
      <c r="B51" s="2" t="s">
        <v>96</v>
      </c>
      <c r="C51" s="48" t="s">
        <v>660</v>
      </c>
      <c r="D51" t="s">
        <v>103</v>
      </c>
      <c r="E51" s="41" t="s">
        <v>104</v>
      </c>
      <c r="I51" s="18" t="s">
        <v>53</v>
      </c>
      <c r="J51" s="23" t="s">
        <v>72</v>
      </c>
      <c r="K51" s="4"/>
      <c r="L51" s="15" t="s">
        <v>9</v>
      </c>
      <c r="M51" s="5"/>
      <c r="N51" s="5"/>
      <c r="O51" s="147">
        <v>1</v>
      </c>
      <c r="P51" s="15">
        <v>1</v>
      </c>
      <c r="Q51" s="148">
        <f t="shared" si="1"/>
        <v>2</v>
      </c>
      <c r="R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KONAN HENRY BUYO EBO YO KUN        NICOLSKRO    KOUADIO KOFFI TEYA               0707576158  M  </v>
      </c>
      <c r="Z51" s="53"/>
      <c r="AA51" s="2"/>
      <c r="AB51" s="48"/>
      <c r="AD51" s="41"/>
      <c r="AH51" s="18"/>
      <c r="AI51" s="23"/>
      <c r="AJ51" s="4"/>
      <c r="AK51" s="15"/>
      <c r="AL51" s="5"/>
      <c r="AM51" s="5"/>
      <c r="AN51" s="147"/>
      <c r="AO51" s="15"/>
      <c r="AP51" s="148"/>
    </row>
    <row r="52" spans="1:42" ht="16.5" x14ac:dyDescent="0.35">
      <c r="A52" s="53">
        <v>51</v>
      </c>
      <c r="B52" s="2" t="s">
        <v>97</v>
      </c>
      <c r="C52" s="48" t="s">
        <v>660</v>
      </c>
      <c r="D52" t="s">
        <v>103</v>
      </c>
      <c r="E52" s="41" t="s">
        <v>104</v>
      </c>
      <c r="I52" s="18" t="s">
        <v>53</v>
      </c>
      <c r="J52" s="23"/>
      <c r="K52" s="4"/>
      <c r="L52" s="15" t="s">
        <v>9</v>
      </c>
      <c r="M52" s="5"/>
      <c r="N52" s="5"/>
      <c r="O52" s="147">
        <v>1</v>
      </c>
      <c r="P52" s="15">
        <v>2</v>
      </c>
      <c r="Q52" s="148">
        <f t="shared" si="1"/>
        <v>3</v>
      </c>
      <c r="R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KOUASSI ELIE BUYO EBO YO KUN        NICOLSKRO    KOUADIO KOFFI TEYA                 M  </v>
      </c>
      <c r="Z52" s="53"/>
      <c r="AA52" s="2"/>
      <c r="AB52" s="48"/>
      <c r="AD52" s="41"/>
      <c r="AH52" s="18"/>
      <c r="AI52" s="23"/>
      <c r="AJ52" s="4"/>
      <c r="AK52" s="15"/>
      <c r="AL52" s="5"/>
      <c r="AM52" s="5"/>
      <c r="AN52" s="147"/>
      <c r="AO52" s="15"/>
      <c r="AP52" s="148"/>
    </row>
    <row r="53" spans="1:42" ht="16.5" x14ac:dyDescent="0.35">
      <c r="A53" s="53">
        <v>52</v>
      </c>
      <c r="B53" s="2" t="s">
        <v>98</v>
      </c>
      <c r="C53" s="48" t="s">
        <v>660</v>
      </c>
      <c r="D53" t="s">
        <v>103</v>
      </c>
      <c r="E53" s="41" t="s">
        <v>104</v>
      </c>
      <c r="I53" s="18" t="s">
        <v>53</v>
      </c>
      <c r="J53" s="23"/>
      <c r="K53" s="4"/>
      <c r="L53" s="15" t="s">
        <v>2</v>
      </c>
      <c r="M53" s="5"/>
      <c r="N53" s="5"/>
      <c r="O53" s="147">
        <v>1</v>
      </c>
      <c r="P53" s="15">
        <v>2</v>
      </c>
      <c r="Q53" s="148">
        <f t="shared" si="1"/>
        <v>3</v>
      </c>
      <c r="R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BRA AMOIN ODETTE BUYO EBO YO KUN        NICOLSKRO    KOUADIO KOFFI TEYA                 F  </v>
      </c>
      <c r="Z53" s="53"/>
      <c r="AA53" s="2"/>
      <c r="AB53" s="48"/>
      <c r="AD53" s="41"/>
      <c r="AH53" s="18"/>
      <c r="AI53" s="23"/>
      <c r="AJ53" s="4"/>
      <c r="AK53" s="15"/>
      <c r="AL53" s="5"/>
      <c r="AM53" s="5"/>
      <c r="AN53" s="147"/>
      <c r="AO53" s="15"/>
      <c r="AP53" s="148"/>
    </row>
    <row r="54" spans="1:42" ht="16.5" x14ac:dyDescent="0.5">
      <c r="A54" s="53">
        <v>53</v>
      </c>
      <c r="B54" s="2" t="s">
        <v>99</v>
      </c>
      <c r="C54" s="48" t="s">
        <v>660</v>
      </c>
      <c r="D54" t="s">
        <v>103</v>
      </c>
      <c r="E54" s="41" t="s">
        <v>104</v>
      </c>
      <c r="I54" s="18" t="s">
        <v>53</v>
      </c>
      <c r="J54" s="23"/>
      <c r="K54" s="6"/>
      <c r="L54" s="15" t="s">
        <v>2</v>
      </c>
      <c r="M54" s="6"/>
      <c r="N54" s="6"/>
      <c r="O54" s="149">
        <v>2</v>
      </c>
      <c r="P54" s="149">
        <v>1</v>
      </c>
      <c r="Q54" s="150">
        <f t="shared" si="1"/>
        <v>3</v>
      </c>
      <c r="R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KOBENAN ADJA ROSE BUYO EBO YO KUN        NICOLSKRO    KOUADIO KOFFI TEYA                 F  </v>
      </c>
      <c r="Z54" s="53"/>
      <c r="AA54" s="2"/>
      <c r="AB54" s="48"/>
      <c r="AD54" s="41"/>
      <c r="AH54" s="18"/>
      <c r="AI54" s="23"/>
      <c r="AJ54" s="6"/>
      <c r="AK54" s="15"/>
      <c r="AL54" s="6"/>
      <c r="AM54" s="6"/>
      <c r="AN54" s="149"/>
      <c r="AO54" s="149"/>
      <c r="AP54" s="150"/>
    </row>
    <row r="55" spans="1:42" ht="16.5" x14ac:dyDescent="0.35">
      <c r="A55" s="53">
        <v>54</v>
      </c>
      <c r="B55" s="2" t="s">
        <v>100</v>
      </c>
      <c r="C55" s="48" t="s">
        <v>660</v>
      </c>
      <c r="D55" t="s">
        <v>103</v>
      </c>
      <c r="E55" s="41" t="s">
        <v>104</v>
      </c>
      <c r="I55" s="18" t="s">
        <v>53</v>
      </c>
      <c r="J55" s="24"/>
      <c r="K55" s="8"/>
      <c r="L55" s="15" t="s">
        <v>2</v>
      </c>
      <c r="M55" s="8"/>
      <c r="N55" s="8"/>
      <c r="O55" s="151">
        <v>3</v>
      </c>
      <c r="P55" s="151">
        <v>2</v>
      </c>
      <c r="Q55" s="152">
        <f t="shared" si="1"/>
        <v>5</v>
      </c>
      <c r="R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KOMOE AMOIN BUYO EBO YO KUN        NICOLSKRO    KOUADIO KOFFI TEYA                 F  </v>
      </c>
      <c r="Z55" s="53"/>
      <c r="AA55" s="2"/>
      <c r="AB55" s="48"/>
      <c r="AD55" s="41"/>
      <c r="AH55" s="18"/>
      <c r="AI55" s="24"/>
      <c r="AJ55" s="8"/>
      <c r="AK55" s="15"/>
      <c r="AL55" s="8"/>
      <c r="AM55" s="8"/>
      <c r="AN55" s="151"/>
      <c r="AO55" s="151"/>
      <c r="AP55" s="152"/>
    </row>
    <row r="56" spans="1:42" ht="16.5" x14ac:dyDescent="0.35">
      <c r="A56" s="53">
        <v>55</v>
      </c>
      <c r="B56" s="9" t="s">
        <v>101</v>
      </c>
      <c r="C56" s="48" t="s">
        <v>660</v>
      </c>
      <c r="D56" t="s">
        <v>103</v>
      </c>
      <c r="E56" s="41" t="s">
        <v>104</v>
      </c>
      <c r="I56" s="18" t="s">
        <v>53</v>
      </c>
      <c r="J56" s="25"/>
      <c r="K56" s="11"/>
      <c r="L56" s="16" t="s">
        <v>9</v>
      </c>
      <c r="M56" s="11"/>
      <c r="N56" s="11"/>
      <c r="O56" s="143">
        <v>1</v>
      </c>
      <c r="P56" s="143">
        <v>2</v>
      </c>
      <c r="Q56" s="153">
        <f t="shared" si="1"/>
        <v>3</v>
      </c>
      <c r="R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KOUAME NICOLAS BUYO EBO YO KUN        NICOLSKRO    KOUADIO KOFFI TEYA                 M  </v>
      </c>
      <c r="Z56" s="53"/>
      <c r="AA56" s="9"/>
      <c r="AB56" s="48"/>
      <c r="AD56" s="41"/>
      <c r="AH56" s="18"/>
      <c r="AI56" s="25"/>
      <c r="AJ56" s="11"/>
      <c r="AK56" s="16"/>
      <c r="AL56" s="11"/>
      <c r="AM56" s="11"/>
      <c r="AN56" s="143"/>
      <c r="AO56" s="143"/>
      <c r="AP56" s="153"/>
    </row>
    <row r="57" spans="1:42" ht="17" thickBot="1" x14ac:dyDescent="0.55000000000000004">
      <c r="A57" s="53">
        <v>56</v>
      </c>
      <c r="B57" s="12" t="s">
        <v>102</v>
      </c>
      <c r="C57" s="48" t="s">
        <v>660</v>
      </c>
      <c r="D57" t="s">
        <v>103</v>
      </c>
      <c r="E57" s="49" t="s">
        <v>104</v>
      </c>
      <c r="I57" s="18" t="s">
        <v>53</v>
      </c>
      <c r="J57" s="193"/>
      <c r="K57" s="14"/>
      <c r="L57" s="140" t="s">
        <v>2</v>
      </c>
      <c r="M57" s="14"/>
      <c r="N57" s="14"/>
      <c r="O57" s="143">
        <v>0</v>
      </c>
      <c r="P57" s="143">
        <v>0</v>
      </c>
      <c r="Q57" s="153">
        <f t="shared" si="1"/>
        <v>0</v>
      </c>
      <c r="R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AKISSI AMELIE BUYO EBO YO KUN        NICOLSKRO    KOUADIO KOFFI TEYA                 F  </v>
      </c>
      <c r="Z57" s="53"/>
      <c r="AA57" s="12"/>
      <c r="AB57" s="48"/>
      <c r="AD57" s="49"/>
      <c r="AH57" s="18"/>
      <c r="AI57" s="193"/>
      <c r="AJ57" s="14"/>
      <c r="AK57" s="140"/>
      <c r="AL57" s="14"/>
      <c r="AM57" s="14"/>
      <c r="AN57" s="143"/>
      <c r="AO57" s="143"/>
      <c r="AP57" s="153"/>
    </row>
    <row r="58" spans="1:42" ht="16.5" x14ac:dyDescent="0.35">
      <c r="A58" s="53">
        <v>57</v>
      </c>
      <c r="B58" s="2" t="s">
        <v>115</v>
      </c>
      <c r="C58" s="48" t="s">
        <v>660</v>
      </c>
      <c r="D58" t="s">
        <v>139</v>
      </c>
      <c r="E58" s="41" t="s">
        <v>140</v>
      </c>
      <c r="I58" s="18" t="s">
        <v>53</v>
      </c>
      <c r="J58" s="23" t="s">
        <v>105</v>
      </c>
      <c r="K58" s="4"/>
      <c r="L58" s="15" t="s">
        <v>2</v>
      </c>
      <c r="M58" s="5"/>
      <c r="N58" s="5"/>
      <c r="O58" s="147">
        <v>1</v>
      </c>
      <c r="P58" s="15">
        <v>0</v>
      </c>
      <c r="Q58" s="148">
        <f>SUM(O58:P58)</f>
        <v>1</v>
      </c>
      <c r="R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N'GORAN N'GUESSAN VIRGINIE BUYO SIKITEMONGOSSON   TCHETALY    KOUADIO KOFFI TEYA               0707945781  F  </v>
      </c>
      <c r="Z58" s="53"/>
      <c r="AA58" s="2"/>
      <c r="AB58" s="48"/>
      <c r="AD58" s="41"/>
      <c r="AH58" s="18"/>
      <c r="AI58" s="23"/>
      <c r="AJ58" s="4"/>
      <c r="AK58" s="15"/>
      <c r="AL58" s="5"/>
      <c r="AM58" s="5"/>
      <c r="AN58" s="147"/>
      <c r="AO58" s="15"/>
      <c r="AP58" s="148"/>
    </row>
    <row r="59" spans="1:42" ht="16.5" x14ac:dyDescent="0.35">
      <c r="A59" s="53">
        <v>58</v>
      </c>
      <c r="B59" s="2" t="s">
        <v>116</v>
      </c>
      <c r="C59" s="48" t="s">
        <v>660</v>
      </c>
      <c r="D59" t="s">
        <v>139</v>
      </c>
      <c r="E59" s="41" t="s">
        <v>140</v>
      </c>
      <c r="I59" s="18" t="s">
        <v>53</v>
      </c>
      <c r="J59" s="23" t="s">
        <v>106</v>
      </c>
      <c r="K59" s="4"/>
      <c r="L59" s="15" t="s">
        <v>2</v>
      </c>
      <c r="M59" s="5"/>
      <c r="N59" s="5"/>
      <c r="O59" s="147">
        <v>1</v>
      </c>
      <c r="P59" s="15">
        <v>1</v>
      </c>
      <c r="Q59" s="148">
        <f t="shared" ref="Q59:Q81" si="2">SUM(O59:P59)</f>
        <v>2</v>
      </c>
      <c r="R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PANATOUGOURI ALIMATA BUYO SIKITEMONGOSSON   TCHETALY    KOUADIO KOFFI TEYA               0778105109  F  </v>
      </c>
      <c r="Z59" s="53"/>
      <c r="AA59" s="2"/>
      <c r="AB59" s="48"/>
      <c r="AD59" s="41"/>
      <c r="AH59" s="18"/>
      <c r="AI59" s="23"/>
      <c r="AJ59" s="4"/>
      <c r="AK59" s="15"/>
      <c r="AL59" s="5"/>
      <c r="AM59" s="5"/>
      <c r="AN59" s="147"/>
      <c r="AO59" s="15"/>
      <c r="AP59" s="148"/>
    </row>
    <row r="60" spans="1:42" ht="16.5" x14ac:dyDescent="0.35">
      <c r="A60" s="53">
        <v>59</v>
      </c>
      <c r="B60" s="2" t="s">
        <v>117</v>
      </c>
      <c r="C60" s="48" t="s">
        <v>660</v>
      </c>
      <c r="D60" t="s">
        <v>139</v>
      </c>
      <c r="E60" s="41" t="s">
        <v>140</v>
      </c>
      <c r="I60" s="18" t="s">
        <v>53</v>
      </c>
      <c r="J60" s="23"/>
      <c r="K60" s="4"/>
      <c r="L60" s="15" t="s">
        <v>2</v>
      </c>
      <c r="M60" s="5"/>
      <c r="N60" s="5"/>
      <c r="O60" s="147">
        <v>2</v>
      </c>
      <c r="P60" s="15">
        <v>4</v>
      </c>
      <c r="Q60" s="148">
        <f t="shared" si="2"/>
        <v>6</v>
      </c>
      <c r="R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KONANTE ALIMANTOU BUYO SIKITEMONGOSSON   TCHETALY    KOUADIO KOFFI TEYA                 F  </v>
      </c>
      <c r="Z60" s="53"/>
      <c r="AA60" s="2"/>
      <c r="AB60" s="48"/>
      <c r="AD60" s="41"/>
      <c r="AH60" s="18"/>
      <c r="AI60" s="23"/>
      <c r="AJ60" s="4"/>
      <c r="AK60" s="15"/>
      <c r="AL60" s="5"/>
      <c r="AM60" s="5"/>
      <c r="AN60" s="147"/>
      <c r="AO60" s="15"/>
      <c r="AP60" s="148"/>
    </row>
    <row r="61" spans="1:42" ht="16.5" x14ac:dyDescent="0.35">
      <c r="A61" s="53">
        <v>60</v>
      </c>
      <c r="B61" s="2" t="s">
        <v>118</v>
      </c>
      <c r="C61" s="48" t="s">
        <v>660</v>
      </c>
      <c r="D61" t="s">
        <v>139</v>
      </c>
      <c r="E61" s="41" t="s">
        <v>140</v>
      </c>
      <c r="I61" s="18" t="s">
        <v>53</v>
      </c>
      <c r="J61" s="23"/>
      <c r="K61" s="4"/>
      <c r="L61" s="15" t="s">
        <v>2</v>
      </c>
      <c r="M61" s="5"/>
      <c r="N61" s="5"/>
      <c r="O61" s="147">
        <v>2</v>
      </c>
      <c r="P61" s="15">
        <v>1</v>
      </c>
      <c r="Q61" s="148">
        <f t="shared" si="2"/>
        <v>3</v>
      </c>
      <c r="R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KONE DJENEBA BUYO SIKITEMONGOSSON   TCHETALY    KOUADIO KOFFI TEYA                 F  </v>
      </c>
      <c r="Z61" s="53"/>
      <c r="AA61" s="2"/>
      <c r="AB61" s="48"/>
      <c r="AD61" s="41"/>
      <c r="AH61" s="18"/>
      <c r="AI61" s="23"/>
      <c r="AJ61" s="4"/>
      <c r="AK61" s="15"/>
      <c r="AL61" s="5"/>
      <c r="AM61" s="5"/>
      <c r="AN61" s="147"/>
      <c r="AO61" s="15"/>
      <c r="AP61" s="148"/>
    </row>
    <row r="62" spans="1:42" ht="16.5" x14ac:dyDescent="0.35">
      <c r="A62" s="53">
        <v>61</v>
      </c>
      <c r="B62" s="2" t="s">
        <v>119</v>
      </c>
      <c r="C62" s="48" t="s">
        <v>660</v>
      </c>
      <c r="D62" t="s">
        <v>139</v>
      </c>
      <c r="E62" s="41" t="s">
        <v>140</v>
      </c>
      <c r="I62" s="18" t="s">
        <v>53</v>
      </c>
      <c r="J62" s="23"/>
      <c r="K62" s="4"/>
      <c r="L62" s="15" t="s">
        <v>2</v>
      </c>
      <c r="M62" s="3"/>
      <c r="N62" s="5"/>
      <c r="O62" s="147">
        <v>1</v>
      </c>
      <c r="P62" s="15">
        <v>2</v>
      </c>
      <c r="Q62" s="148">
        <f t="shared" si="2"/>
        <v>3</v>
      </c>
      <c r="R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KONATE ADJARATOU BUYO SIKITEMONGOSSON   TCHETALY    KOUADIO KOFFI TEYA                 F  </v>
      </c>
      <c r="Z62" s="53"/>
      <c r="AA62" s="2"/>
      <c r="AB62" s="48"/>
      <c r="AD62" s="41"/>
      <c r="AH62" s="18"/>
      <c r="AI62" s="23"/>
      <c r="AJ62" s="4"/>
      <c r="AK62" s="15"/>
      <c r="AL62" s="3"/>
      <c r="AM62" s="5"/>
      <c r="AN62" s="147"/>
      <c r="AO62" s="15"/>
      <c r="AP62" s="148"/>
    </row>
    <row r="63" spans="1:42" ht="16.5" x14ac:dyDescent="0.35">
      <c r="A63" s="53">
        <v>62</v>
      </c>
      <c r="B63" s="2" t="s">
        <v>120</v>
      </c>
      <c r="C63" s="48" t="s">
        <v>660</v>
      </c>
      <c r="D63" t="s">
        <v>139</v>
      </c>
      <c r="E63" s="41" t="s">
        <v>140</v>
      </c>
      <c r="I63" s="18" t="s">
        <v>53</v>
      </c>
      <c r="J63" s="23" t="s">
        <v>107</v>
      </c>
      <c r="K63" s="4"/>
      <c r="L63" s="15" t="s">
        <v>2</v>
      </c>
      <c r="M63" s="5"/>
      <c r="N63" s="5"/>
      <c r="O63" s="147">
        <v>0</v>
      </c>
      <c r="P63" s="15">
        <v>1</v>
      </c>
      <c r="Q63" s="148">
        <f t="shared" si="2"/>
        <v>1</v>
      </c>
      <c r="R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KONE NAMINATA BUYO SIKITEMONGOSSON   TCHETALY    KOUADIO KOFFI TEYA               0749331951  F  </v>
      </c>
      <c r="Z63" s="53"/>
      <c r="AA63" s="2"/>
      <c r="AB63" s="48"/>
      <c r="AD63" s="41"/>
      <c r="AH63" s="18"/>
      <c r="AI63" s="23"/>
      <c r="AJ63" s="4"/>
      <c r="AK63" s="15"/>
      <c r="AL63" s="5"/>
      <c r="AM63" s="5"/>
      <c r="AN63" s="147"/>
      <c r="AO63" s="15"/>
      <c r="AP63" s="148"/>
    </row>
    <row r="64" spans="1:42" ht="16.5" x14ac:dyDescent="0.35">
      <c r="A64" s="53">
        <v>63</v>
      </c>
      <c r="B64" s="2" t="s">
        <v>121</v>
      </c>
      <c r="C64" s="48" t="s">
        <v>660</v>
      </c>
      <c r="D64" t="s">
        <v>139</v>
      </c>
      <c r="E64" s="41" t="s">
        <v>140</v>
      </c>
      <c r="I64" s="18" t="s">
        <v>53</v>
      </c>
      <c r="J64" s="23" t="s">
        <v>108</v>
      </c>
      <c r="K64" s="4"/>
      <c r="L64" s="15" t="s">
        <v>2</v>
      </c>
      <c r="M64" s="5"/>
      <c r="N64" s="5"/>
      <c r="O64" s="147">
        <v>3</v>
      </c>
      <c r="P64" s="15">
        <v>1</v>
      </c>
      <c r="Q64" s="148">
        <f t="shared" si="2"/>
        <v>4</v>
      </c>
      <c r="R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FATTY BUYO SIKITEMONGOSSON   TCHETALY    KOUADIO KOFFI TEYA               0709865907  F  </v>
      </c>
      <c r="Z64" s="53"/>
      <c r="AA64" s="2"/>
      <c r="AB64" s="48"/>
      <c r="AD64" s="41"/>
      <c r="AH64" s="18"/>
      <c r="AI64" s="23"/>
      <c r="AJ64" s="4"/>
      <c r="AK64" s="15"/>
      <c r="AL64" s="5"/>
      <c r="AM64" s="5"/>
      <c r="AN64" s="147"/>
      <c r="AO64" s="15"/>
      <c r="AP64" s="148"/>
    </row>
    <row r="65" spans="1:42" ht="16.5" x14ac:dyDescent="0.35">
      <c r="A65" s="53">
        <v>64</v>
      </c>
      <c r="B65" s="2" t="s">
        <v>122</v>
      </c>
      <c r="C65" s="48" t="s">
        <v>660</v>
      </c>
      <c r="D65" t="s">
        <v>139</v>
      </c>
      <c r="E65" s="41" t="s">
        <v>140</v>
      </c>
      <c r="I65" s="18" t="s">
        <v>53</v>
      </c>
      <c r="J65" s="23" t="s">
        <v>109</v>
      </c>
      <c r="K65" s="4"/>
      <c r="L65" s="15" t="s">
        <v>2</v>
      </c>
      <c r="M65" s="5"/>
      <c r="N65" s="5"/>
      <c r="O65" s="147">
        <v>0</v>
      </c>
      <c r="P65" s="15">
        <v>2</v>
      </c>
      <c r="Q65" s="148">
        <f t="shared" si="2"/>
        <v>2</v>
      </c>
      <c r="R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COULIBALY SALIMATA BUYO SIKITEMONGOSSON   TCHETALY    KOUADIO KOFFI TEYA               0909865907  F  </v>
      </c>
      <c r="Z65" s="53"/>
      <c r="AA65" s="2"/>
      <c r="AB65" s="48"/>
      <c r="AD65" s="41"/>
      <c r="AH65" s="18"/>
      <c r="AI65" s="23"/>
      <c r="AJ65" s="4"/>
      <c r="AK65" s="15"/>
      <c r="AL65" s="5"/>
      <c r="AM65" s="5"/>
      <c r="AN65" s="147"/>
      <c r="AO65" s="15"/>
      <c r="AP65" s="148"/>
    </row>
    <row r="66" spans="1:42" ht="16.5" x14ac:dyDescent="0.35">
      <c r="A66" s="53">
        <v>65</v>
      </c>
      <c r="B66" s="2" t="s">
        <v>123</v>
      </c>
      <c r="C66" s="48" t="s">
        <v>660</v>
      </c>
      <c r="D66" t="s">
        <v>139</v>
      </c>
      <c r="E66" s="41" t="s">
        <v>140</v>
      </c>
      <c r="I66" s="18" t="s">
        <v>53</v>
      </c>
      <c r="J66" s="23" t="s">
        <v>110</v>
      </c>
      <c r="K66" s="4"/>
      <c r="L66" s="15" t="s">
        <v>2</v>
      </c>
      <c r="M66" s="5"/>
      <c r="N66" s="5"/>
      <c r="O66" s="147">
        <v>1</v>
      </c>
      <c r="P66" s="15">
        <v>3</v>
      </c>
      <c r="Q66" s="148">
        <f t="shared" si="2"/>
        <v>4</v>
      </c>
      <c r="R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BOUAHINI TENIN BUYO SIKITEMONGOSSON   TCHETALY    KOUADIO KOFFI TEYA               0767135471  F  </v>
      </c>
      <c r="Z66" s="53"/>
      <c r="AA66" s="2"/>
      <c r="AB66" s="48"/>
      <c r="AD66" s="41"/>
      <c r="AH66" s="18"/>
      <c r="AI66" s="23"/>
      <c r="AJ66" s="4"/>
      <c r="AK66" s="15"/>
      <c r="AL66" s="5"/>
      <c r="AM66" s="5"/>
      <c r="AN66" s="147"/>
      <c r="AO66" s="15"/>
      <c r="AP66" s="148"/>
    </row>
    <row r="67" spans="1:42" ht="16.5" x14ac:dyDescent="0.35">
      <c r="A67" s="53">
        <v>66</v>
      </c>
      <c r="B67" s="2" t="s">
        <v>124</v>
      </c>
      <c r="C67" s="48" t="s">
        <v>660</v>
      </c>
      <c r="D67" t="s">
        <v>139</v>
      </c>
      <c r="E67" s="41" t="s">
        <v>140</v>
      </c>
      <c r="I67" s="18" t="s">
        <v>53</v>
      </c>
      <c r="J67" s="23"/>
      <c r="K67" s="4"/>
      <c r="L67" s="15" t="s">
        <v>2</v>
      </c>
      <c r="M67" s="5"/>
      <c r="N67" s="5"/>
      <c r="O67" s="147">
        <v>2</v>
      </c>
      <c r="P67" s="15">
        <v>0</v>
      </c>
      <c r="Q67" s="148">
        <f t="shared" si="2"/>
        <v>2</v>
      </c>
      <c r="R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KARIDJA KONATE BUYO SIKITEMONGOSSON   TCHETALY    KOUADIO KOFFI TEYA                 F  </v>
      </c>
      <c r="Z67" s="53"/>
      <c r="AA67" s="2"/>
      <c r="AB67" s="48"/>
      <c r="AD67" s="41"/>
      <c r="AH67" s="18"/>
      <c r="AI67" s="23"/>
      <c r="AJ67" s="4"/>
      <c r="AK67" s="15"/>
      <c r="AL67" s="5"/>
      <c r="AM67" s="5"/>
      <c r="AN67" s="147"/>
      <c r="AO67" s="15"/>
      <c r="AP67" s="148"/>
    </row>
    <row r="68" spans="1:42" ht="16.5" x14ac:dyDescent="0.35">
      <c r="A68" s="53">
        <v>67</v>
      </c>
      <c r="B68" s="2" t="s">
        <v>125</v>
      </c>
      <c r="C68" s="48" t="s">
        <v>660</v>
      </c>
      <c r="D68" t="s">
        <v>139</v>
      </c>
      <c r="E68" s="41" t="s">
        <v>140</v>
      </c>
      <c r="I68" s="18" t="s">
        <v>53</v>
      </c>
      <c r="J68" s="23"/>
      <c r="K68" s="4"/>
      <c r="L68" s="15" t="s">
        <v>2</v>
      </c>
      <c r="M68" s="5"/>
      <c r="N68" s="5"/>
      <c r="O68" s="147">
        <v>4</v>
      </c>
      <c r="P68" s="15">
        <v>2</v>
      </c>
      <c r="Q68" s="148">
        <f t="shared" si="2"/>
        <v>6</v>
      </c>
      <c r="R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KONATE ASSETOU BUYO SIKITEMONGOSSON   TCHETALY    KOUADIO KOFFI TEYA                 F  </v>
      </c>
      <c r="Z68" s="53"/>
      <c r="AA68" s="2"/>
      <c r="AB68" s="48"/>
      <c r="AD68" s="41"/>
      <c r="AH68" s="18"/>
      <c r="AI68" s="23"/>
      <c r="AJ68" s="4"/>
      <c r="AK68" s="15"/>
      <c r="AL68" s="5"/>
      <c r="AM68" s="5"/>
      <c r="AN68" s="147"/>
      <c r="AO68" s="15"/>
      <c r="AP68" s="148"/>
    </row>
    <row r="69" spans="1:42" ht="16.5" x14ac:dyDescent="0.35">
      <c r="A69" s="53">
        <v>68</v>
      </c>
      <c r="B69" s="2" t="s">
        <v>126</v>
      </c>
      <c r="C69" s="48" t="s">
        <v>660</v>
      </c>
      <c r="D69" t="s">
        <v>139</v>
      </c>
      <c r="E69" s="41" t="s">
        <v>140</v>
      </c>
      <c r="I69" s="18" t="s">
        <v>53</v>
      </c>
      <c r="J69" s="23" t="s">
        <v>111</v>
      </c>
      <c r="K69" s="4"/>
      <c r="L69" s="15" t="s">
        <v>2</v>
      </c>
      <c r="M69" s="5"/>
      <c r="N69" s="5"/>
      <c r="O69" s="147">
        <v>1</v>
      </c>
      <c r="P69" s="15">
        <v>2</v>
      </c>
      <c r="Q69" s="148">
        <f t="shared" si="2"/>
        <v>3</v>
      </c>
      <c r="R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KONATE KARIDJATOU BUYO SIKITEMONGOSSON   TCHETALY    KOUADIO KOFFI TEYA               0545101811  F  </v>
      </c>
      <c r="Z69" s="53"/>
      <c r="AA69" s="2"/>
      <c r="AB69" s="48"/>
      <c r="AD69" s="41"/>
      <c r="AH69" s="18"/>
      <c r="AI69" s="23"/>
      <c r="AJ69" s="4"/>
      <c r="AK69" s="15"/>
      <c r="AL69" s="5"/>
      <c r="AM69" s="5"/>
      <c r="AN69" s="147"/>
      <c r="AO69" s="15"/>
      <c r="AP69" s="148"/>
    </row>
    <row r="70" spans="1:42" ht="16.5" x14ac:dyDescent="0.35">
      <c r="A70" s="53">
        <v>69</v>
      </c>
      <c r="B70" s="2" t="s">
        <v>127</v>
      </c>
      <c r="C70" s="48" t="s">
        <v>660</v>
      </c>
      <c r="D70" t="s">
        <v>139</v>
      </c>
      <c r="E70" s="41" t="s">
        <v>140</v>
      </c>
      <c r="I70" s="18" t="s">
        <v>53</v>
      </c>
      <c r="J70" s="23" t="s">
        <v>112</v>
      </c>
      <c r="K70" s="4"/>
      <c r="L70" s="15" t="s">
        <v>2</v>
      </c>
      <c r="M70" s="5"/>
      <c r="N70" s="5"/>
      <c r="O70" s="147">
        <v>1</v>
      </c>
      <c r="P70" s="15">
        <v>1</v>
      </c>
      <c r="Q70" s="148">
        <f t="shared" si="2"/>
        <v>2</v>
      </c>
      <c r="R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KONE MAIMOUNA BUYO SIKITEMONGOSSON   TCHETALY    KOUADIO KOFFI TEYA               0707511710  F  </v>
      </c>
      <c r="Z70" s="53"/>
      <c r="AA70" s="2"/>
      <c r="AB70" s="48"/>
      <c r="AD70" s="41"/>
      <c r="AH70" s="18"/>
      <c r="AI70" s="23"/>
      <c r="AJ70" s="4"/>
      <c r="AK70" s="15"/>
      <c r="AL70" s="5"/>
      <c r="AM70" s="5"/>
      <c r="AN70" s="147"/>
      <c r="AO70" s="15"/>
      <c r="AP70" s="148"/>
    </row>
    <row r="71" spans="1:42" ht="16.5" x14ac:dyDescent="0.35">
      <c r="A71" s="53">
        <v>70</v>
      </c>
      <c r="B71" s="2" t="s">
        <v>128</v>
      </c>
      <c r="C71" s="48" t="s">
        <v>660</v>
      </c>
      <c r="D71" t="s">
        <v>139</v>
      </c>
      <c r="E71" s="41" t="s">
        <v>140</v>
      </c>
      <c r="I71" s="18" t="s">
        <v>53</v>
      </c>
      <c r="J71" s="23" t="s">
        <v>113</v>
      </c>
      <c r="K71" s="4"/>
      <c r="L71" s="15" t="s">
        <v>2</v>
      </c>
      <c r="M71" s="5"/>
      <c r="N71" s="5"/>
      <c r="O71" s="147">
        <v>1</v>
      </c>
      <c r="P71" s="15">
        <v>1</v>
      </c>
      <c r="Q71" s="148">
        <f t="shared" si="2"/>
        <v>2</v>
      </c>
      <c r="R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BANGALI SIATA BUYO SIKITEMONGOSSON   TCHETALY    KOUADIO KOFFI TEYA               0769171214  F  </v>
      </c>
      <c r="Z71" s="53"/>
      <c r="AA71" s="2"/>
      <c r="AB71" s="48"/>
      <c r="AD71" s="41"/>
      <c r="AH71" s="18"/>
      <c r="AI71" s="23"/>
      <c r="AJ71" s="4"/>
      <c r="AK71" s="15"/>
      <c r="AL71" s="5"/>
      <c r="AM71" s="5"/>
      <c r="AN71" s="147"/>
      <c r="AO71" s="15"/>
      <c r="AP71" s="148"/>
    </row>
    <row r="72" spans="1:42" ht="16.5" x14ac:dyDescent="0.35">
      <c r="A72" s="53">
        <v>71</v>
      </c>
      <c r="B72" s="2" t="s">
        <v>129</v>
      </c>
      <c r="C72" s="48" t="s">
        <v>660</v>
      </c>
      <c r="D72" t="s">
        <v>139</v>
      </c>
      <c r="E72" s="41" t="s">
        <v>140</v>
      </c>
      <c r="I72" s="18" t="s">
        <v>53</v>
      </c>
      <c r="J72" s="23"/>
      <c r="K72" s="4"/>
      <c r="L72" s="15" t="s">
        <v>2</v>
      </c>
      <c r="M72" s="5"/>
      <c r="N72" s="5"/>
      <c r="O72" s="147">
        <v>0</v>
      </c>
      <c r="P72" s="15">
        <v>0</v>
      </c>
      <c r="Q72" s="148">
        <f t="shared" si="2"/>
        <v>0</v>
      </c>
      <c r="R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SIATA BUYO SIKITEMONGOSSON   TCHETALY    KOUADIO KOFFI TEYA                 F  </v>
      </c>
      <c r="Z72" s="53"/>
      <c r="AA72" s="2"/>
      <c r="AB72" s="48"/>
      <c r="AD72" s="41"/>
      <c r="AH72" s="18"/>
      <c r="AI72" s="23"/>
      <c r="AJ72" s="4"/>
      <c r="AK72" s="15"/>
      <c r="AL72" s="5"/>
      <c r="AM72" s="5"/>
      <c r="AN72" s="147"/>
      <c r="AO72" s="15"/>
      <c r="AP72" s="148"/>
    </row>
    <row r="73" spans="1:42" ht="16.5" x14ac:dyDescent="0.35">
      <c r="A73" s="53">
        <v>72</v>
      </c>
      <c r="B73" s="2" t="s">
        <v>130</v>
      </c>
      <c r="C73" s="48" t="s">
        <v>660</v>
      </c>
      <c r="D73" t="s">
        <v>139</v>
      </c>
      <c r="E73" s="41" t="s">
        <v>140</v>
      </c>
      <c r="I73" s="18" t="s">
        <v>53</v>
      </c>
      <c r="J73" s="23"/>
      <c r="K73" s="4"/>
      <c r="L73" s="15" t="s">
        <v>2</v>
      </c>
      <c r="M73" s="5"/>
      <c r="N73" s="5"/>
      <c r="O73" s="147">
        <v>1</v>
      </c>
      <c r="P73" s="15">
        <v>2</v>
      </c>
      <c r="Q73" s="148">
        <f t="shared" si="2"/>
        <v>3</v>
      </c>
      <c r="R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AMENAN BUYO SIKITEMONGOSSON   TCHETALY    KOUADIO KOFFI TEYA                 F  </v>
      </c>
      <c r="Z73" s="53"/>
      <c r="AA73" s="2"/>
      <c r="AB73" s="48"/>
      <c r="AD73" s="41"/>
      <c r="AH73" s="18"/>
      <c r="AI73" s="23"/>
      <c r="AJ73" s="4"/>
      <c r="AK73" s="15"/>
      <c r="AL73" s="5"/>
      <c r="AM73" s="5"/>
      <c r="AN73" s="147"/>
      <c r="AO73" s="15"/>
      <c r="AP73" s="148"/>
    </row>
    <row r="74" spans="1:42" ht="16.5" x14ac:dyDescent="0.35">
      <c r="A74" s="53">
        <v>73</v>
      </c>
      <c r="B74" s="2" t="s">
        <v>131</v>
      </c>
      <c r="C74" s="48" t="s">
        <v>660</v>
      </c>
      <c r="D74" t="s">
        <v>139</v>
      </c>
      <c r="E74" s="41" t="s">
        <v>140</v>
      </c>
      <c r="I74" s="18" t="s">
        <v>53</v>
      </c>
      <c r="J74" s="23"/>
      <c r="K74" s="4"/>
      <c r="L74" s="15" t="s">
        <v>2</v>
      </c>
      <c r="M74" s="5"/>
      <c r="N74" s="5"/>
      <c r="O74" s="147">
        <v>2</v>
      </c>
      <c r="P74" s="15">
        <v>1</v>
      </c>
      <c r="Q74" s="148">
        <f t="shared" si="2"/>
        <v>3</v>
      </c>
      <c r="R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AYA BUYO SIKITEMONGOSSON   TCHETALY    KOUADIO KOFFI TEYA                 F  </v>
      </c>
      <c r="Z74" s="53"/>
      <c r="AA74" s="2"/>
      <c r="AB74" s="48"/>
      <c r="AD74" s="41"/>
      <c r="AH74" s="18"/>
      <c r="AI74" s="23"/>
      <c r="AJ74" s="4"/>
      <c r="AK74" s="15"/>
      <c r="AL74" s="5"/>
      <c r="AM74" s="5"/>
      <c r="AN74" s="147"/>
      <c r="AO74" s="15"/>
      <c r="AP74" s="148"/>
    </row>
    <row r="75" spans="1:42" ht="16.5" x14ac:dyDescent="0.35">
      <c r="A75" s="53">
        <v>74</v>
      </c>
      <c r="B75" s="2" t="s">
        <v>132</v>
      </c>
      <c r="C75" s="48" t="s">
        <v>660</v>
      </c>
      <c r="D75" t="s">
        <v>139</v>
      </c>
      <c r="E75" s="41" t="s">
        <v>140</v>
      </c>
      <c r="I75" s="18" t="s">
        <v>53</v>
      </c>
      <c r="J75" s="23"/>
      <c r="K75" s="4"/>
      <c r="L75" s="15" t="s">
        <v>2</v>
      </c>
      <c r="M75" s="5"/>
      <c r="N75" s="5"/>
      <c r="O75" s="147">
        <v>0</v>
      </c>
      <c r="P75" s="15">
        <v>2</v>
      </c>
      <c r="Q75" s="148">
        <f t="shared" si="2"/>
        <v>2</v>
      </c>
      <c r="R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DEMBELE DJENEBA BUYO SIKITEMONGOSSON   TCHETALY    KOUADIO KOFFI TEYA                 F  </v>
      </c>
      <c r="Z75" s="53"/>
      <c r="AA75" s="2"/>
      <c r="AB75" s="48"/>
      <c r="AD75" s="41"/>
      <c r="AH75" s="18"/>
      <c r="AI75" s="23"/>
      <c r="AJ75" s="4"/>
      <c r="AK75" s="15"/>
      <c r="AL75" s="5"/>
      <c r="AM75" s="5"/>
      <c r="AN75" s="147"/>
      <c r="AO75" s="15"/>
      <c r="AP75" s="148"/>
    </row>
    <row r="76" spans="1:42" ht="16.5" x14ac:dyDescent="0.35">
      <c r="A76" s="53">
        <v>75</v>
      </c>
      <c r="B76" s="2" t="s">
        <v>133</v>
      </c>
      <c r="C76" s="48" t="s">
        <v>660</v>
      </c>
      <c r="D76" t="s">
        <v>139</v>
      </c>
      <c r="E76" s="41" t="s">
        <v>140</v>
      </c>
      <c r="I76" s="18" t="s">
        <v>53</v>
      </c>
      <c r="J76" s="23"/>
      <c r="K76" s="4"/>
      <c r="L76" s="15" t="s">
        <v>2</v>
      </c>
      <c r="M76" s="5"/>
      <c r="N76" s="5"/>
      <c r="O76" s="147">
        <v>1</v>
      </c>
      <c r="P76" s="15">
        <v>2</v>
      </c>
      <c r="Q76" s="148">
        <f t="shared" si="2"/>
        <v>3</v>
      </c>
      <c r="R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MARIATOU FINON BUYO SIKITEMONGOSSON   TCHETALY    KOUADIO KOFFI TEYA                 F  </v>
      </c>
      <c r="Z76" s="53"/>
      <c r="AA76" s="2"/>
      <c r="AB76" s="48"/>
      <c r="AD76" s="41"/>
      <c r="AH76" s="18"/>
      <c r="AI76" s="23"/>
      <c r="AJ76" s="4"/>
      <c r="AK76" s="15"/>
      <c r="AL76" s="5"/>
      <c r="AM76" s="5"/>
      <c r="AN76" s="147"/>
      <c r="AO76" s="15"/>
      <c r="AP76" s="148"/>
    </row>
    <row r="77" spans="1:42" ht="16.5" x14ac:dyDescent="0.35">
      <c r="A77" s="53">
        <v>76</v>
      </c>
      <c r="B77" s="2" t="s">
        <v>134</v>
      </c>
      <c r="C77" s="48" t="s">
        <v>660</v>
      </c>
      <c r="D77" t="s">
        <v>139</v>
      </c>
      <c r="E77" s="41" t="s">
        <v>140</v>
      </c>
      <c r="I77" s="18" t="s">
        <v>53</v>
      </c>
      <c r="J77" s="23"/>
      <c r="K77" s="4"/>
      <c r="L77" s="15" t="s">
        <v>2</v>
      </c>
      <c r="M77" s="5"/>
      <c r="N77" s="5"/>
      <c r="O77" s="147">
        <v>2</v>
      </c>
      <c r="P77" s="15">
        <v>1</v>
      </c>
      <c r="Q77" s="148">
        <f t="shared" si="2"/>
        <v>3</v>
      </c>
      <c r="R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DIARRA MAMAN BUYO SIKITEMONGOSSON   TCHETALY    KOUADIO KOFFI TEYA                 F  </v>
      </c>
      <c r="Z77" s="53"/>
      <c r="AA77" s="2"/>
      <c r="AB77" s="48"/>
      <c r="AD77" s="41"/>
      <c r="AH77" s="18"/>
      <c r="AI77" s="23"/>
      <c r="AJ77" s="4"/>
      <c r="AK77" s="15"/>
      <c r="AL77" s="5"/>
      <c r="AM77" s="5"/>
      <c r="AN77" s="147"/>
      <c r="AO77" s="15"/>
      <c r="AP77" s="148"/>
    </row>
    <row r="78" spans="1:42" ht="16.5" x14ac:dyDescent="0.35">
      <c r="A78" s="53">
        <v>77</v>
      </c>
      <c r="B78" s="2" t="s">
        <v>135</v>
      </c>
      <c r="C78" s="48" t="s">
        <v>660</v>
      </c>
      <c r="D78" t="s">
        <v>139</v>
      </c>
      <c r="E78" s="41" t="s">
        <v>140</v>
      </c>
      <c r="I78" s="18" t="s">
        <v>53</v>
      </c>
      <c r="J78" s="23"/>
      <c r="K78" s="4"/>
      <c r="L78" s="15" t="s">
        <v>2</v>
      </c>
      <c r="M78" s="5"/>
      <c r="N78" s="5"/>
      <c r="O78" s="147">
        <v>1</v>
      </c>
      <c r="P78" s="15">
        <v>1</v>
      </c>
      <c r="Q78" s="148">
        <f t="shared" si="2"/>
        <v>2</v>
      </c>
      <c r="R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MARIATOU BUYO SIKITEMONGOSSON   TCHETALY    KOUADIO KOFFI TEYA                 F  </v>
      </c>
      <c r="Z78" s="53"/>
      <c r="AA78" s="2"/>
      <c r="AB78" s="48"/>
      <c r="AD78" s="41"/>
      <c r="AH78" s="18"/>
      <c r="AI78" s="23"/>
      <c r="AJ78" s="4"/>
      <c r="AK78" s="15"/>
      <c r="AL78" s="5"/>
      <c r="AM78" s="5"/>
      <c r="AN78" s="147"/>
      <c r="AO78" s="15"/>
      <c r="AP78" s="148"/>
    </row>
    <row r="79" spans="1:42" ht="16.5" x14ac:dyDescent="0.35">
      <c r="A79" s="53">
        <v>78</v>
      </c>
      <c r="B79" s="2" t="s">
        <v>136</v>
      </c>
      <c r="C79" s="48" t="s">
        <v>660</v>
      </c>
      <c r="D79" t="s">
        <v>139</v>
      </c>
      <c r="E79" s="41" t="s">
        <v>140</v>
      </c>
      <c r="I79" s="18" t="s">
        <v>53</v>
      </c>
      <c r="J79" s="23"/>
      <c r="K79" s="4"/>
      <c r="L79" s="15" t="s">
        <v>2</v>
      </c>
      <c r="M79" s="5"/>
      <c r="N79" s="5"/>
      <c r="O79" s="147">
        <v>1</v>
      </c>
      <c r="P79" s="15">
        <v>1</v>
      </c>
      <c r="Q79" s="148">
        <f t="shared" si="2"/>
        <v>2</v>
      </c>
      <c r="R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KONATE ARIMATOU BUYO SIKITEMONGOSSON   TCHETALY    KOUADIO KOFFI TEYA                 F  </v>
      </c>
      <c r="Z79" s="53"/>
      <c r="AA79" s="2"/>
      <c r="AB79" s="48"/>
      <c r="AD79" s="41"/>
      <c r="AH79" s="18"/>
      <c r="AI79" s="23"/>
      <c r="AJ79" s="4"/>
      <c r="AK79" s="15"/>
      <c r="AL79" s="5"/>
      <c r="AM79" s="5"/>
      <c r="AN79" s="147"/>
      <c r="AO79" s="15"/>
      <c r="AP79" s="148"/>
    </row>
    <row r="80" spans="1:42" ht="16.5" x14ac:dyDescent="0.35">
      <c r="A80" s="53">
        <v>79</v>
      </c>
      <c r="B80" s="2" t="s">
        <v>137</v>
      </c>
      <c r="C80" s="48" t="s">
        <v>660</v>
      </c>
      <c r="D80" t="s">
        <v>139</v>
      </c>
      <c r="E80" s="41" t="s">
        <v>140</v>
      </c>
      <c r="I80" s="18" t="s">
        <v>53</v>
      </c>
      <c r="J80" s="23"/>
      <c r="K80" s="4"/>
      <c r="L80" s="15" t="s">
        <v>2</v>
      </c>
      <c r="M80" s="5"/>
      <c r="N80" s="5"/>
      <c r="O80" s="147">
        <v>2</v>
      </c>
      <c r="P80" s="15">
        <v>0</v>
      </c>
      <c r="Q80" s="148">
        <f t="shared" si="2"/>
        <v>2</v>
      </c>
      <c r="R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BELLO ADELE BUYO SIKITEMONGOSSON   TCHETALY    KOUADIO KOFFI TEYA                 F  </v>
      </c>
      <c r="Z80" s="53"/>
      <c r="AA80" s="2"/>
      <c r="AB80" s="48"/>
      <c r="AD80" s="41"/>
      <c r="AH80" s="18"/>
      <c r="AI80" s="23"/>
      <c r="AJ80" s="4"/>
      <c r="AK80" s="15"/>
      <c r="AL80" s="5"/>
      <c r="AM80" s="5"/>
      <c r="AN80" s="147"/>
      <c r="AO80" s="15"/>
      <c r="AP80" s="148"/>
    </row>
    <row r="81" spans="1:42" ht="16.5" x14ac:dyDescent="0.35">
      <c r="A81" s="53">
        <v>80</v>
      </c>
      <c r="B81" s="2" t="s">
        <v>138</v>
      </c>
      <c r="C81" s="48" t="s">
        <v>660</v>
      </c>
      <c r="D81" t="s">
        <v>139</v>
      </c>
      <c r="E81" s="41" t="s">
        <v>140</v>
      </c>
      <c r="I81" s="18" t="s">
        <v>53</v>
      </c>
      <c r="J81" s="23"/>
      <c r="K81" s="4"/>
      <c r="L81" s="15" t="s">
        <v>9</v>
      </c>
      <c r="M81" s="5"/>
      <c r="N81" s="5"/>
      <c r="O81" s="147">
        <v>1</v>
      </c>
      <c r="P81" s="15">
        <v>1</v>
      </c>
      <c r="Q81" s="148">
        <f t="shared" si="2"/>
        <v>2</v>
      </c>
      <c r="R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BERRE PHILIPPE BUYO SIKITEMONGOSSON   TCHETALY    KOUADIO KOFFI TEYA                 M  </v>
      </c>
      <c r="Z81" s="53"/>
      <c r="AA81" s="2"/>
      <c r="AB81" s="48"/>
      <c r="AD81" s="41"/>
      <c r="AH81" s="18"/>
      <c r="AI81" s="23"/>
      <c r="AJ81" s="4"/>
      <c r="AK81" s="15"/>
      <c r="AL81" s="5"/>
      <c r="AM81" s="5"/>
      <c r="AN81" s="147"/>
      <c r="AO81" s="15"/>
      <c r="AP81" s="148"/>
    </row>
    <row r="82" spans="1:42" ht="16.5" x14ac:dyDescent="0.5">
      <c r="A82" s="53">
        <v>81</v>
      </c>
      <c r="B82" s="5" t="s">
        <v>141</v>
      </c>
      <c r="C82" s="48" t="s">
        <v>660</v>
      </c>
      <c r="D82" t="s">
        <v>161</v>
      </c>
      <c r="E82" s="41" t="s">
        <v>162</v>
      </c>
      <c r="I82" s="18" t="s">
        <v>53</v>
      </c>
      <c r="J82" s="23"/>
      <c r="K82" s="6"/>
      <c r="L82" s="15" t="s">
        <v>9</v>
      </c>
      <c r="M82" s="6"/>
      <c r="N82" s="6"/>
      <c r="O82" s="147">
        <v>0</v>
      </c>
      <c r="P82" s="15">
        <v>2</v>
      </c>
      <c r="Q82" s="148">
        <f>SUM(O82:P82)</f>
        <v>2</v>
      </c>
      <c r="R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ATTA KOUADIO ALFRED BUYO ATIWAKRO          AKIWAKRO    KOUADIO KOFFI TEYA                 M  </v>
      </c>
      <c r="Z82" s="53"/>
      <c r="AA82" s="5"/>
      <c r="AB82" s="48"/>
      <c r="AD82" s="41"/>
      <c r="AH82" s="18"/>
      <c r="AI82" s="23"/>
      <c r="AJ82" s="6"/>
      <c r="AK82" s="15"/>
      <c r="AL82" s="6"/>
      <c r="AM82" s="6"/>
      <c r="AN82" s="147"/>
      <c r="AO82" s="15"/>
      <c r="AP82" s="148"/>
    </row>
    <row r="83" spans="1:42" ht="16.5" x14ac:dyDescent="0.35">
      <c r="A83" s="53">
        <v>82</v>
      </c>
      <c r="B83" s="5" t="s">
        <v>142</v>
      </c>
      <c r="C83" s="48" t="s">
        <v>660</v>
      </c>
      <c r="D83" t="s">
        <v>161</v>
      </c>
      <c r="E83" s="41" t="s">
        <v>162</v>
      </c>
      <c r="I83" s="18" t="s">
        <v>53</v>
      </c>
      <c r="J83" s="24"/>
      <c r="K83" s="8"/>
      <c r="L83" s="15" t="s">
        <v>2</v>
      </c>
      <c r="M83" s="8"/>
      <c r="N83" s="8"/>
      <c r="O83" s="147">
        <v>2</v>
      </c>
      <c r="P83" s="15">
        <v>3</v>
      </c>
      <c r="Q83" s="148">
        <f t="shared" ref="Q83:Q101" si="3">SUM(O83:P83)</f>
        <v>5</v>
      </c>
      <c r="R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ADJOUA ANASTASIE BUYO ATIWAKRO          AKIWAKRO    KOUADIO KOFFI TEYA                 F  </v>
      </c>
      <c r="Z83" s="53"/>
      <c r="AA83" s="5"/>
      <c r="AB83" s="48"/>
      <c r="AD83" s="41"/>
      <c r="AH83" s="18"/>
      <c r="AI83" s="24"/>
      <c r="AJ83" s="8"/>
      <c r="AK83" s="15"/>
      <c r="AL83" s="8"/>
      <c r="AM83" s="8"/>
      <c r="AN83" s="147"/>
      <c r="AO83" s="15"/>
      <c r="AP83" s="148"/>
    </row>
    <row r="84" spans="1:42" ht="16.5" x14ac:dyDescent="0.35">
      <c r="A84" s="53">
        <v>83</v>
      </c>
      <c r="B84" s="5" t="s">
        <v>143</v>
      </c>
      <c r="C84" s="48" t="s">
        <v>660</v>
      </c>
      <c r="D84" t="s">
        <v>161</v>
      </c>
      <c r="E84" s="41" t="s">
        <v>162</v>
      </c>
      <c r="I84" s="18" t="s">
        <v>53</v>
      </c>
      <c r="J84" s="25"/>
      <c r="K84" s="11"/>
      <c r="L84" s="15" t="s">
        <v>2</v>
      </c>
      <c r="M84" s="11"/>
      <c r="N84" s="11"/>
      <c r="O84" s="147">
        <v>2</v>
      </c>
      <c r="P84" s="15">
        <v>1</v>
      </c>
      <c r="Q84" s="148">
        <f t="shared" si="3"/>
        <v>3</v>
      </c>
      <c r="R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AMENAN BLANDINE BUYO ATIWAKRO          AKIWAKRO    KOUADIO KOFFI TEYA                 F  </v>
      </c>
      <c r="Z84" s="53"/>
      <c r="AA84" s="5"/>
      <c r="AB84" s="48"/>
      <c r="AD84" s="41"/>
      <c r="AH84" s="18"/>
      <c r="AI84" s="25"/>
      <c r="AJ84" s="11"/>
      <c r="AK84" s="15"/>
      <c r="AL84" s="11"/>
      <c r="AM84" s="11"/>
      <c r="AN84" s="147"/>
      <c r="AO84" s="15"/>
      <c r="AP84" s="148"/>
    </row>
    <row r="85" spans="1:42" ht="17" thickBot="1" x14ac:dyDescent="0.4">
      <c r="A85" s="53">
        <v>84</v>
      </c>
      <c r="B85" s="5" t="s">
        <v>144</v>
      </c>
      <c r="C85" s="48" t="s">
        <v>660</v>
      </c>
      <c r="D85" t="s">
        <v>161</v>
      </c>
      <c r="E85" s="41" t="s">
        <v>162</v>
      </c>
      <c r="I85" s="18" t="s">
        <v>53</v>
      </c>
      <c r="J85" s="193"/>
      <c r="K85" s="14"/>
      <c r="L85" s="15" t="s">
        <v>2</v>
      </c>
      <c r="M85" s="14"/>
      <c r="N85" s="14"/>
      <c r="O85" s="147">
        <v>3</v>
      </c>
      <c r="P85" s="15">
        <v>1</v>
      </c>
      <c r="Q85" s="148">
        <f t="shared" si="3"/>
        <v>4</v>
      </c>
      <c r="R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AYA SARA BUYO ATIWAKRO          AKIWAKRO    KOUADIO KOFFI TEYA                 F  </v>
      </c>
      <c r="Z85" s="53"/>
      <c r="AA85" s="5"/>
      <c r="AB85" s="48"/>
      <c r="AD85" s="41"/>
      <c r="AH85" s="18"/>
      <c r="AI85" s="193"/>
      <c r="AJ85" s="14"/>
      <c r="AK85" s="15"/>
      <c r="AL85" s="14"/>
      <c r="AM85" s="14"/>
      <c r="AN85" s="147"/>
      <c r="AO85" s="15"/>
      <c r="AP85" s="148"/>
    </row>
    <row r="86" spans="1:42" ht="16.5" x14ac:dyDescent="0.35">
      <c r="A86" s="53">
        <v>85</v>
      </c>
      <c r="B86" s="5" t="s">
        <v>145</v>
      </c>
      <c r="C86" s="48" t="s">
        <v>660</v>
      </c>
      <c r="D86" t="s">
        <v>161</v>
      </c>
      <c r="E86" s="41" t="s">
        <v>162</v>
      </c>
      <c r="I86" s="18" t="s">
        <v>53</v>
      </c>
      <c r="L86" s="15" t="s">
        <v>9</v>
      </c>
      <c r="O86" s="147">
        <v>1</v>
      </c>
      <c r="P86" s="15">
        <v>4</v>
      </c>
      <c r="Q86" s="148">
        <f t="shared" si="3"/>
        <v>5</v>
      </c>
      <c r="R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GOTIE BUYO ATIWAKRO          AKIWAKRO    KOUADIO KOFFI TEYA                 M  </v>
      </c>
      <c r="Z86" s="53"/>
      <c r="AA86" s="5"/>
      <c r="AB86" s="48"/>
      <c r="AD86" s="41"/>
      <c r="AH86" s="18"/>
      <c r="AI86" s="17"/>
      <c r="AK86" s="15"/>
      <c r="AN86" s="147"/>
      <c r="AO86" s="15"/>
      <c r="AP86" s="148"/>
    </row>
    <row r="87" spans="1:42" ht="16.5" x14ac:dyDescent="0.35">
      <c r="A87" s="53">
        <v>86</v>
      </c>
      <c r="B87" s="5" t="s">
        <v>146</v>
      </c>
      <c r="C87" s="48" t="s">
        <v>660</v>
      </c>
      <c r="D87" t="s">
        <v>161</v>
      </c>
      <c r="E87" s="41" t="s">
        <v>162</v>
      </c>
      <c r="I87" s="18" t="s">
        <v>53</v>
      </c>
      <c r="L87" s="15" t="s">
        <v>2</v>
      </c>
      <c r="O87" s="147">
        <v>1</v>
      </c>
      <c r="P87" s="15">
        <v>1</v>
      </c>
      <c r="Q87" s="148">
        <f t="shared" si="3"/>
        <v>2</v>
      </c>
      <c r="R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AYA PAULINE BUYO ATIWAKRO          AKIWAKRO    KOUADIO KOFFI TEYA                 F  </v>
      </c>
      <c r="Z87" s="53"/>
      <c r="AA87" s="5"/>
      <c r="AB87" s="48"/>
      <c r="AD87" s="41"/>
      <c r="AH87" s="18"/>
      <c r="AI87" s="17"/>
      <c r="AK87" s="15"/>
      <c r="AN87" s="147"/>
      <c r="AO87" s="15"/>
      <c r="AP87" s="148"/>
    </row>
    <row r="88" spans="1:42" ht="16.5" x14ac:dyDescent="0.35">
      <c r="A88" s="53">
        <v>87</v>
      </c>
      <c r="B88" s="5" t="s">
        <v>147</v>
      </c>
      <c r="C88" s="48" t="s">
        <v>660</v>
      </c>
      <c r="D88" t="s">
        <v>161</v>
      </c>
      <c r="E88" s="41" t="s">
        <v>162</v>
      </c>
      <c r="I88" s="18" t="s">
        <v>53</v>
      </c>
      <c r="L88" s="15" t="s">
        <v>2</v>
      </c>
      <c r="O88" s="147">
        <v>2</v>
      </c>
      <c r="P88" s="15">
        <v>1</v>
      </c>
      <c r="Q88" s="148">
        <f t="shared" si="3"/>
        <v>3</v>
      </c>
      <c r="R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AMOIN MIREILLE BUYO ATIWAKRO          AKIWAKRO    KOUADIO KOFFI TEYA                 F  </v>
      </c>
      <c r="Z88" s="53"/>
      <c r="AA88" s="5"/>
      <c r="AB88" s="48"/>
      <c r="AD88" s="41"/>
      <c r="AH88" s="18"/>
      <c r="AI88" s="17"/>
      <c r="AK88" s="15"/>
      <c r="AN88" s="147"/>
      <c r="AO88" s="15"/>
      <c r="AP88" s="148"/>
    </row>
    <row r="89" spans="1:42" ht="16.5" x14ac:dyDescent="0.35">
      <c r="A89" s="53">
        <v>88</v>
      </c>
      <c r="B89" s="5" t="s">
        <v>148</v>
      </c>
      <c r="C89" s="48" t="s">
        <v>660</v>
      </c>
      <c r="D89" t="s">
        <v>161</v>
      </c>
      <c r="E89" s="41" t="s">
        <v>162</v>
      </c>
      <c r="I89" s="18" t="s">
        <v>53</v>
      </c>
      <c r="L89" s="15" t="s">
        <v>2</v>
      </c>
      <c r="O89" s="147">
        <v>1</v>
      </c>
      <c r="P89" s="15">
        <v>1</v>
      </c>
      <c r="Q89" s="148">
        <f t="shared" si="3"/>
        <v>2</v>
      </c>
      <c r="R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DIBI AKISSI BUYO ATIWAKRO          AKIWAKRO    KOUADIO KOFFI TEYA                 F  </v>
      </c>
      <c r="Z89" s="53"/>
      <c r="AA89" s="5"/>
      <c r="AB89" s="48"/>
      <c r="AD89" s="41"/>
      <c r="AH89" s="18"/>
      <c r="AI89" s="17"/>
      <c r="AK89" s="15"/>
      <c r="AN89" s="147"/>
      <c r="AO89" s="15"/>
      <c r="AP89" s="148"/>
    </row>
    <row r="90" spans="1:42" ht="16.5" x14ac:dyDescent="0.35">
      <c r="A90" s="53">
        <v>89</v>
      </c>
      <c r="B90" s="5" t="s">
        <v>149</v>
      </c>
      <c r="C90" s="48" t="s">
        <v>660</v>
      </c>
      <c r="D90" t="s">
        <v>161</v>
      </c>
      <c r="E90" s="41" t="s">
        <v>162</v>
      </c>
      <c r="I90" s="18" t="s">
        <v>53</v>
      </c>
      <c r="L90" s="15" t="s">
        <v>2</v>
      </c>
      <c r="O90" s="147">
        <v>1</v>
      </c>
      <c r="P90" s="15">
        <v>0</v>
      </c>
      <c r="Q90" s="148">
        <f t="shared" si="3"/>
        <v>1</v>
      </c>
      <c r="R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AYA EVELYNE BUYO ATIWAKRO          AKIWAKRO    KOUADIO KOFFI TEYA                 F  </v>
      </c>
      <c r="Z90" s="53"/>
      <c r="AA90" s="5"/>
      <c r="AB90" s="48"/>
      <c r="AD90" s="41"/>
      <c r="AH90" s="18"/>
      <c r="AI90" s="17"/>
      <c r="AK90" s="15"/>
      <c r="AN90" s="147"/>
      <c r="AO90" s="15"/>
      <c r="AP90" s="148"/>
    </row>
    <row r="91" spans="1:42" ht="16.5" x14ac:dyDescent="0.35">
      <c r="A91" s="53">
        <v>90</v>
      </c>
      <c r="B91" s="5" t="s">
        <v>150</v>
      </c>
      <c r="C91" s="48" t="s">
        <v>660</v>
      </c>
      <c r="D91" t="s">
        <v>161</v>
      </c>
      <c r="E91" s="41" t="s">
        <v>162</v>
      </c>
      <c r="I91" s="18" t="s">
        <v>53</v>
      </c>
      <c r="L91" s="15" t="s">
        <v>2</v>
      </c>
      <c r="O91" s="147">
        <v>1</v>
      </c>
      <c r="P91" s="15">
        <v>0</v>
      </c>
      <c r="Q91" s="148">
        <f t="shared" si="3"/>
        <v>1</v>
      </c>
      <c r="R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AMENAN SUZANNE BUYO ATIWAKRO          AKIWAKRO    KOUADIO KOFFI TEYA                 F  </v>
      </c>
      <c r="Z91" s="53"/>
      <c r="AA91" s="5"/>
      <c r="AB91" s="48"/>
      <c r="AD91" s="41"/>
      <c r="AH91" s="18"/>
      <c r="AI91" s="17"/>
      <c r="AK91" s="15"/>
      <c r="AN91" s="147"/>
      <c r="AO91" s="15"/>
      <c r="AP91" s="148"/>
    </row>
    <row r="92" spans="1:42" ht="16.5" x14ac:dyDescent="0.35">
      <c r="A92" s="53">
        <v>91</v>
      </c>
      <c r="B92" s="5" t="s">
        <v>151</v>
      </c>
      <c r="C92" s="48" t="s">
        <v>660</v>
      </c>
      <c r="D92" t="s">
        <v>161</v>
      </c>
      <c r="E92" s="41" t="s">
        <v>162</v>
      </c>
      <c r="I92" s="18" t="s">
        <v>53</v>
      </c>
      <c r="L92" s="15" t="s">
        <v>9</v>
      </c>
      <c r="O92" s="147">
        <v>1</v>
      </c>
      <c r="P92" s="15">
        <v>1</v>
      </c>
      <c r="Q92" s="148">
        <f t="shared" si="3"/>
        <v>2</v>
      </c>
      <c r="R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DANI KARI BUYO ATIWAKRO          AKIWAKRO    KOUADIO KOFFI TEYA                 M  </v>
      </c>
      <c r="Z92" s="53"/>
      <c r="AA92" s="5"/>
      <c r="AB92" s="48"/>
      <c r="AD92" s="41"/>
      <c r="AH92" s="18"/>
      <c r="AI92" s="17"/>
      <c r="AK92" s="15"/>
      <c r="AN92" s="147"/>
      <c r="AO92" s="15"/>
      <c r="AP92" s="148"/>
    </row>
    <row r="93" spans="1:42" ht="16.5" x14ac:dyDescent="0.35">
      <c r="A93" s="53">
        <v>92</v>
      </c>
      <c r="B93" s="5" t="s">
        <v>152</v>
      </c>
      <c r="C93" s="48" t="s">
        <v>660</v>
      </c>
      <c r="D93" t="s">
        <v>161</v>
      </c>
      <c r="E93" s="41" t="s">
        <v>162</v>
      </c>
      <c r="I93" s="18" t="s">
        <v>53</v>
      </c>
      <c r="L93" s="15" t="s">
        <v>2</v>
      </c>
      <c r="O93" s="147">
        <v>1</v>
      </c>
      <c r="P93" s="15">
        <v>1</v>
      </c>
      <c r="Q93" s="148">
        <f t="shared" si="3"/>
        <v>2</v>
      </c>
      <c r="R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EVARISTE BUYO ATIWAKRO          AKIWAKRO    KOUADIO KOFFI TEYA                 F  </v>
      </c>
      <c r="Z93" s="53"/>
      <c r="AA93" s="5"/>
      <c r="AB93" s="48"/>
      <c r="AD93" s="41"/>
      <c r="AH93" s="18"/>
      <c r="AI93" s="17"/>
      <c r="AK93" s="15"/>
      <c r="AN93" s="147"/>
      <c r="AO93" s="15"/>
      <c r="AP93" s="148"/>
    </row>
    <row r="94" spans="1:42" ht="16.5" x14ac:dyDescent="0.35">
      <c r="A94" s="53">
        <v>93</v>
      </c>
      <c r="B94" s="5" t="s">
        <v>153</v>
      </c>
      <c r="C94" s="48" t="s">
        <v>660</v>
      </c>
      <c r="D94" t="s">
        <v>161</v>
      </c>
      <c r="E94" s="41" t="s">
        <v>162</v>
      </c>
      <c r="I94" s="18" t="s">
        <v>53</v>
      </c>
      <c r="L94" s="15" t="s">
        <v>2</v>
      </c>
      <c r="O94" s="147">
        <v>1</v>
      </c>
      <c r="P94" s="15">
        <v>1</v>
      </c>
      <c r="Q94" s="148">
        <f t="shared" si="3"/>
        <v>2</v>
      </c>
      <c r="R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ERNEST BUYO ATIWAKRO          AKIWAKRO    KOUADIO KOFFI TEYA                 F  </v>
      </c>
      <c r="Z94" s="53"/>
      <c r="AA94" s="5"/>
      <c r="AB94" s="48"/>
      <c r="AD94" s="41"/>
      <c r="AH94" s="18"/>
      <c r="AI94" s="17"/>
      <c r="AK94" s="15"/>
      <c r="AN94" s="147"/>
      <c r="AO94" s="15"/>
      <c r="AP94" s="148"/>
    </row>
    <row r="95" spans="1:42" ht="16.5" x14ac:dyDescent="0.35">
      <c r="A95" s="53">
        <v>94</v>
      </c>
      <c r="B95" s="5" t="s">
        <v>154</v>
      </c>
      <c r="C95" s="48" t="s">
        <v>660</v>
      </c>
      <c r="D95" t="s">
        <v>161</v>
      </c>
      <c r="E95" s="41" t="s">
        <v>162</v>
      </c>
      <c r="I95" s="18" t="s">
        <v>53</v>
      </c>
      <c r="L95" s="15" t="s">
        <v>2</v>
      </c>
      <c r="O95" s="147">
        <v>1</v>
      </c>
      <c r="P95" s="15">
        <v>2</v>
      </c>
      <c r="Q95" s="148">
        <f t="shared" si="3"/>
        <v>3</v>
      </c>
      <c r="R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N'DA AHOU EDWIGE BUYO ATIWAKRO          AKIWAKRO    KOUADIO KOFFI TEYA                 F  </v>
      </c>
      <c r="Z95" s="53"/>
      <c r="AA95" s="5"/>
      <c r="AB95" s="48"/>
      <c r="AD95" s="41"/>
      <c r="AH95" s="18"/>
      <c r="AI95" s="17"/>
      <c r="AK95" s="15"/>
      <c r="AN95" s="147"/>
      <c r="AO95" s="15"/>
      <c r="AP95" s="148"/>
    </row>
    <row r="96" spans="1:42" ht="16.5" x14ac:dyDescent="0.35">
      <c r="A96" s="53">
        <v>95</v>
      </c>
      <c r="B96" s="5" t="s">
        <v>155</v>
      </c>
      <c r="C96" s="48" t="s">
        <v>660</v>
      </c>
      <c r="D96" t="s">
        <v>161</v>
      </c>
      <c r="E96" s="41" t="s">
        <v>162</v>
      </c>
      <c r="I96" s="18" t="s">
        <v>53</v>
      </c>
      <c r="L96" s="15" t="s">
        <v>2</v>
      </c>
      <c r="O96" s="147">
        <v>1</v>
      </c>
      <c r="P96" s="15">
        <v>3</v>
      </c>
      <c r="Q96" s="148">
        <f t="shared" si="3"/>
        <v>4</v>
      </c>
      <c r="R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LOUKOU JULIETTE BUYO ATIWAKRO          AKIWAKRO    KOUADIO KOFFI TEYA                 F  </v>
      </c>
      <c r="Z96" s="53"/>
      <c r="AA96" s="5"/>
      <c r="AB96" s="48"/>
      <c r="AD96" s="41"/>
      <c r="AH96" s="18"/>
      <c r="AI96" s="17"/>
      <c r="AK96" s="15"/>
      <c r="AN96" s="147"/>
      <c r="AO96" s="15"/>
      <c r="AP96" s="148"/>
    </row>
    <row r="97" spans="1:42" ht="16.5" x14ac:dyDescent="0.35">
      <c r="A97" s="53">
        <v>96</v>
      </c>
      <c r="B97" s="5" t="s">
        <v>156</v>
      </c>
      <c r="C97" s="48" t="s">
        <v>660</v>
      </c>
      <c r="D97" t="s">
        <v>161</v>
      </c>
      <c r="E97" s="41" t="s">
        <v>162</v>
      </c>
      <c r="I97" s="18" t="s">
        <v>53</v>
      </c>
      <c r="L97" s="15" t="s">
        <v>9</v>
      </c>
      <c r="O97" s="147">
        <v>3</v>
      </c>
      <c r="P97" s="15">
        <v>0</v>
      </c>
      <c r="Q97" s="148">
        <f t="shared" si="3"/>
        <v>3</v>
      </c>
      <c r="R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DENIS BUYO ATIWAKRO          AKIWAKRO    KOUADIO KOFFI TEYA                 M  </v>
      </c>
      <c r="Z97" s="53"/>
      <c r="AA97" s="5"/>
      <c r="AB97" s="48"/>
      <c r="AD97" s="41"/>
      <c r="AH97" s="18"/>
      <c r="AI97" s="17"/>
      <c r="AK97" s="15"/>
      <c r="AN97" s="147"/>
      <c r="AO97" s="15"/>
      <c r="AP97" s="148"/>
    </row>
    <row r="98" spans="1:42" ht="16.5" x14ac:dyDescent="0.35">
      <c r="A98" s="53">
        <v>97</v>
      </c>
      <c r="B98" s="5" t="s">
        <v>157</v>
      </c>
      <c r="C98" s="48" t="s">
        <v>660</v>
      </c>
      <c r="D98" t="s">
        <v>161</v>
      </c>
      <c r="E98" s="41" t="s">
        <v>162</v>
      </c>
      <c r="I98" s="18" t="s">
        <v>53</v>
      </c>
      <c r="L98" s="15" t="s">
        <v>2</v>
      </c>
      <c r="O98" s="147">
        <v>3</v>
      </c>
      <c r="P98" s="15">
        <v>0</v>
      </c>
      <c r="Q98" s="148">
        <f t="shared" si="3"/>
        <v>3</v>
      </c>
      <c r="R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AHOU BERNADETTE BUYO ATIWAKRO          AKIWAKRO    KOUADIO KOFFI TEYA                 F  </v>
      </c>
      <c r="Z98" s="53"/>
      <c r="AA98" s="5"/>
      <c r="AB98" s="48"/>
      <c r="AD98" s="41"/>
      <c r="AH98" s="18"/>
      <c r="AI98" s="17"/>
      <c r="AK98" s="15"/>
      <c r="AN98" s="147"/>
      <c r="AO98" s="15"/>
      <c r="AP98" s="148"/>
    </row>
    <row r="99" spans="1:42" ht="16.5" x14ac:dyDescent="0.35">
      <c r="A99" s="53">
        <v>98</v>
      </c>
      <c r="B99" s="5" t="s">
        <v>158</v>
      </c>
      <c r="C99" s="48" t="s">
        <v>660</v>
      </c>
      <c r="D99" t="s">
        <v>161</v>
      </c>
      <c r="E99" s="41" t="s">
        <v>162</v>
      </c>
      <c r="I99" s="18" t="s">
        <v>53</v>
      </c>
      <c r="L99" s="15" t="s">
        <v>2</v>
      </c>
      <c r="O99" s="147">
        <v>4</v>
      </c>
      <c r="P99" s="15">
        <v>1</v>
      </c>
      <c r="Q99" s="148">
        <f t="shared" si="3"/>
        <v>5</v>
      </c>
      <c r="R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TCHANDA AYA NOELLE BUYO ATIWAKRO          AKIWAKRO    KOUADIO KOFFI TEYA                 F  </v>
      </c>
      <c r="Z99" s="53"/>
      <c r="AA99" s="5"/>
      <c r="AB99" s="48"/>
      <c r="AD99" s="41"/>
      <c r="AH99" s="18"/>
      <c r="AI99" s="17"/>
      <c r="AK99" s="15"/>
      <c r="AN99" s="147"/>
      <c r="AO99" s="15"/>
      <c r="AP99" s="148"/>
    </row>
    <row r="100" spans="1:42" ht="16.5" x14ac:dyDescent="0.35">
      <c r="A100" s="53">
        <v>99</v>
      </c>
      <c r="B100" s="5" t="s">
        <v>159</v>
      </c>
      <c r="C100" s="48" t="s">
        <v>660</v>
      </c>
      <c r="D100" t="s">
        <v>161</v>
      </c>
      <c r="E100" s="41" t="s">
        <v>162</v>
      </c>
      <c r="I100" s="18" t="s">
        <v>53</v>
      </c>
      <c r="L100" s="15" t="s">
        <v>2</v>
      </c>
      <c r="O100" s="147">
        <v>2</v>
      </c>
      <c r="P100" s="15">
        <v>2</v>
      </c>
      <c r="Q100" s="148">
        <f t="shared" si="3"/>
        <v>4</v>
      </c>
      <c r="R1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AYA ELIANE BUYO ATIWAKRO          AKIWAKRO    KOUADIO KOFFI TEYA                 F  </v>
      </c>
      <c r="Z100" s="53"/>
      <c r="AA100" s="5"/>
      <c r="AB100" s="48"/>
      <c r="AD100" s="41"/>
      <c r="AH100" s="18"/>
      <c r="AI100" s="17"/>
      <c r="AK100" s="15"/>
      <c r="AN100" s="147"/>
      <c r="AO100" s="15"/>
      <c r="AP100" s="148"/>
    </row>
    <row r="101" spans="1:42" ht="16.5" x14ac:dyDescent="0.35">
      <c r="A101" s="53">
        <v>100</v>
      </c>
      <c r="B101" s="5" t="s">
        <v>160</v>
      </c>
      <c r="C101" s="48" t="s">
        <v>660</v>
      </c>
      <c r="D101" t="s">
        <v>161</v>
      </c>
      <c r="E101" s="41" t="s">
        <v>162</v>
      </c>
      <c r="I101" s="18" t="s">
        <v>53</v>
      </c>
      <c r="L101" s="15" t="s">
        <v>2</v>
      </c>
      <c r="O101" s="147">
        <v>4</v>
      </c>
      <c r="P101" s="15">
        <v>1</v>
      </c>
      <c r="Q101" s="148">
        <f t="shared" si="3"/>
        <v>5</v>
      </c>
      <c r="R1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ADJO PHILOMENE BUYO ATIWAKRO          AKIWAKRO    KOUADIO KOFFI TEYA                 F  </v>
      </c>
      <c r="Z101" s="53"/>
      <c r="AA101" s="5"/>
      <c r="AB101" s="48"/>
      <c r="AD101" s="41"/>
      <c r="AH101" s="18"/>
      <c r="AI101" s="17"/>
      <c r="AK101" s="15"/>
      <c r="AN101" s="147"/>
      <c r="AO101" s="15"/>
      <c r="AP101" s="148"/>
    </row>
    <row r="102" spans="1:42" ht="16.5" x14ac:dyDescent="0.35">
      <c r="A102" s="53">
        <v>101</v>
      </c>
      <c r="B102" s="2" t="s">
        <v>163</v>
      </c>
      <c r="C102" s="48" t="s">
        <v>660</v>
      </c>
      <c r="D102" t="s">
        <v>191</v>
      </c>
      <c r="E102" s="41" t="s">
        <v>190</v>
      </c>
      <c r="H102" s="3"/>
      <c r="I102" s="18" t="s">
        <v>53</v>
      </c>
      <c r="L102" s="15" t="s">
        <v>2</v>
      </c>
      <c r="O102" s="147">
        <v>2</v>
      </c>
      <c r="P102" s="15">
        <v>1</v>
      </c>
      <c r="Q102" s="148">
        <f>SUM(O102:P102)</f>
        <v>3</v>
      </c>
      <c r="R1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TAPE LINA BUYO N'TOBE  WONSEALY    KOUADIO KOFFI TEYA                 F  </v>
      </c>
      <c r="Z102" s="53"/>
      <c r="AA102" s="2"/>
      <c r="AB102" s="48"/>
      <c r="AD102" s="41"/>
      <c r="AG102" s="3"/>
      <c r="AH102" s="18"/>
      <c r="AI102" s="17"/>
      <c r="AK102" s="15"/>
      <c r="AN102" s="147"/>
      <c r="AO102" s="15"/>
      <c r="AP102" s="148"/>
    </row>
    <row r="103" spans="1:42" ht="16.5" x14ac:dyDescent="0.35">
      <c r="A103" s="53">
        <v>102</v>
      </c>
      <c r="B103" s="2" t="s">
        <v>164</v>
      </c>
      <c r="C103" s="48" t="s">
        <v>660</v>
      </c>
      <c r="D103" t="s">
        <v>191</v>
      </c>
      <c r="E103" s="41" t="s">
        <v>190</v>
      </c>
      <c r="H103" s="3"/>
      <c r="I103" s="18" t="s">
        <v>53</v>
      </c>
      <c r="L103" s="15" t="s">
        <v>9</v>
      </c>
      <c r="O103" s="147">
        <v>0</v>
      </c>
      <c r="P103" s="15">
        <v>2</v>
      </c>
      <c r="Q103" s="148">
        <f t="shared" ref="Q103:Q127" si="4">SUM(O103:P103)</f>
        <v>2</v>
      </c>
      <c r="R1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KOUASSI HONORE BUYO N'TOBE  WONSEALY    KOUADIO KOFFI TEYA                 M  </v>
      </c>
      <c r="Z103" s="53"/>
      <c r="AA103" s="2"/>
      <c r="AB103" s="48"/>
      <c r="AD103" s="41"/>
      <c r="AG103" s="3"/>
      <c r="AH103" s="18"/>
      <c r="AI103" s="17"/>
      <c r="AK103" s="15"/>
      <c r="AN103" s="147"/>
      <c r="AO103" s="15"/>
      <c r="AP103" s="148"/>
    </row>
    <row r="104" spans="1:42" ht="16.5" x14ac:dyDescent="0.35">
      <c r="A104" s="53">
        <v>103</v>
      </c>
      <c r="B104" s="2" t="s">
        <v>165</v>
      </c>
      <c r="C104" s="48" t="s">
        <v>660</v>
      </c>
      <c r="D104" t="s">
        <v>191</v>
      </c>
      <c r="E104" s="41" t="s">
        <v>190</v>
      </c>
      <c r="H104" s="3"/>
      <c r="I104" s="18" t="s">
        <v>53</v>
      </c>
      <c r="L104" s="15" t="s">
        <v>2</v>
      </c>
      <c r="O104" s="147">
        <v>1</v>
      </c>
      <c r="P104" s="15">
        <v>3</v>
      </c>
      <c r="Q104" s="148">
        <f t="shared" si="4"/>
        <v>4</v>
      </c>
      <c r="R1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AMOIN ANGELE BUYO N'TOBE  WONSEALY    KOUADIO KOFFI TEYA                 F  </v>
      </c>
      <c r="Z104" s="53"/>
      <c r="AA104" s="2"/>
      <c r="AB104" s="48"/>
      <c r="AD104" s="41"/>
      <c r="AG104" s="3"/>
      <c r="AH104" s="18"/>
      <c r="AI104" s="17"/>
      <c r="AK104" s="15"/>
      <c r="AN104" s="147"/>
      <c r="AO104" s="15"/>
      <c r="AP104" s="148"/>
    </row>
    <row r="105" spans="1:42" ht="16.5" x14ac:dyDescent="0.35">
      <c r="A105" s="53">
        <v>104</v>
      </c>
      <c r="B105" s="2" t="s">
        <v>166</v>
      </c>
      <c r="C105" s="48" t="s">
        <v>660</v>
      </c>
      <c r="D105" t="s">
        <v>191</v>
      </c>
      <c r="E105" s="41" t="s">
        <v>190</v>
      </c>
      <c r="H105" s="3"/>
      <c r="I105" s="18" t="s">
        <v>53</v>
      </c>
      <c r="L105" s="15" t="s">
        <v>2</v>
      </c>
      <c r="O105" s="147">
        <v>2</v>
      </c>
      <c r="P105" s="15">
        <v>1</v>
      </c>
      <c r="Q105" s="148">
        <f t="shared" si="4"/>
        <v>3</v>
      </c>
      <c r="R1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KIPRE NICOLE BUYO N'TOBE  WONSEALY    KOUADIO KOFFI TEYA                 F  </v>
      </c>
      <c r="Z105" s="53"/>
      <c r="AA105" s="2"/>
      <c r="AB105" s="48"/>
      <c r="AD105" s="41"/>
      <c r="AG105" s="3"/>
      <c r="AH105" s="18"/>
      <c r="AI105" s="17"/>
      <c r="AK105" s="15"/>
      <c r="AN105" s="147"/>
      <c r="AO105" s="15"/>
      <c r="AP105" s="148"/>
    </row>
    <row r="106" spans="1:42" ht="16.5" x14ac:dyDescent="0.35">
      <c r="A106" s="53">
        <v>105</v>
      </c>
      <c r="B106" s="2" t="s">
        <v>167</v>
      </c>
      <c r="C106" s="48" t="s">
        <v>660</v>
      </c>
      <c r="D106" t="s">
        <v>191</v>
      </c>
      <c r="E106" s="41" t="s">
        <v>190</v>
      </c>
      <c r="H106" s="3"/>
      <c r="I106" s="18" t="s">
        <v>53</v>
      </c>
      <c r="L106" s="15" t="s">
        <v>2</v>
      </c>
      <c r="O106" s="147">
        <v>1</v>
      </c>
      <c r="P106" s="15">
        <v>3</v>
      </c>
      <c r="Q106" s="148">
        <f t="shared" si="4"/>
        <v>4</v>
      </c>
      <c r="R1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AHOU THERESE BUYO N'TOBE  WONSEALY    KOUADIO KOFFI TEYA                 F  </v>
      </c>
      <c r="Z106" s="53"/>
      <c r="AA106" s="2"/>
      <c r="AB106" s="48"/>
      <c r="AD106" s="41"/>
      <c r="AG106" s="3"/>
      <c r="AH106" s="18"/>
      <c r="AI106" s="17"/>
      <c r="AK106" s="15"/>
      <c r="AN106" s="147"/>
      <c r="AO106" s="15"/>
      <c r="AP106" s="148"/>
    </row>
    <row r="107" spans="1:42" ht="16.5" x14ac:dyDescent="0.35">
      <c r="A107" s="53">
        <v>106</v>
      </c>
      <c r="B107" s="2" t="s">
        <v>168</v>
      </c>
      <c r="C107" s="48" t="s">
        <v>660</v>
      </c>
      <c r="D107" t="s">
        <v>191</v>
      </c>
      <c r="E107" s="41" t="s">
        <v>190</v>
      </c>
      <c r="H107" s="3"/>
      <c r="I107" s="18" t="s">
        <v>53</v>
      </c>
      <c r="L107" s="15" t="s">
        <v>2</v>
      </c>
      <c r="O107" s="147">
        <v>1</v>
      </c>
      <c r="P107" s="15">
        <v>2</v>
      </c>
      <c r="Q107" s="148">
        <f t="shared" si="4"/>
        <v>3</v>
      </c>
      <c r="R1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AYA ROSALIE  BUYO N'TOBE  WONSEALY    KOUADIO KOFFI TEYA                 F  </v>
      </c>
      <c r="Z107" s="53"/>
      <c r="AA107" s="2"/>
      <c r="AB107" s="48"/>
      <c r="AD107" s="41"/>
      <c r="AG107" s="3"/>
      <c r="AH107" s="18"/>
      <c r="AI107" s="17"/>
      <c r="AK107" s="15"/>
      <c r="AN107" s="147"/>
      <c r="AO107" s="15"/>
      <c r="AP107" s="148"/>
    </row>
    <row r="108" spans="1:42" ht="16.5" x14ac:dyDescent="0.35">
      <c r="A108" s="53">
        <v>107</v>
      </c>
      <c r="B108" s="2" t="s">
        <v>169</v>
      </c>
      <c r="C108" s="48" t="s">
        <v>660</v>
      </c>
      <c r="D108" t="s">
        <v>191</v>
      </c>
      <c r="E108" s="41" t="s">
        <v>190</v>
      </c>
      <c r="H108" s="3"/>
      <c r="I108" s="18" t="s">
        <v>53</v>
      </c>
      <c r="L108" s="15" t="s">
        <v>2</v>
      </c>
      <c r="O108" s="147">
        <v>2</v>
      </c>
      <c r="P108" s="15">
        <v>2</v>
      </c>
      <c r="Q108" s="148">
        <f t="shared" si="4"/>
        <v>4</v>
      </c>
      <c r="R1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AYA LOUISE BUYO N'TOBE  WONSEALY    KOUADIO KOFFI TEYA                 F  </v>
      </c>
      <c r="Z108" s="53"/>
      <c r="AA108" s="2"/>
      <c r="AB108" s="48"/>
      <c r="AD108" s="41"/>
      <c r="AG108" s="3"/>
      <c r="AH108" s="18"/>
      <c r="AI108" s="17"/>
      <c r="AK108" s="15"/>
      <c r="AN108" s="147"/>
      <c r="AO108" s="15"/>
      <c r="AP108" s="148"/>
    </row>
    <row r="109" spans="1:42" ht="16.5" x14ac:dyDescent="0.35">
      <c r="A109" s="53">
        <v>108</v>
      </c>
      <c r="B109" s="2" t="s">
        <v>170</v>
      </c>
      <c r="C109" s="48" t="s">
        <v>660</v>
      </c>
      <c r="D109" t="s">
        <v>191</v>
      </c>
      <c r="E109" s="41" t="s">
        <v>190</v>
      </c>
      <c r="H109" s="3" t="s">
        <v>189</v>
      </c>
      <c r="I109" s="18" t="s">
        <v>53</v>
      </c>
      <c r="L109" s="15" t="s">
        <v>9</v>
      </c>
      <c r="O109" s="147">
        <v>1</v>
      </c>
      <c r="P109" s="15">
        <v>1</v>
      </c>
      <c r="Q109" s="148">
        <f t="shared" si="4"/>
        <v>2</v>
      </c>
      <c r="R1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DIBI KOUASSI SAMUEL BUYO N'TOBE  WONSEALY   0757416265 KOUADIO KOFFI TEYA                 M  </v>
      </c>
      <c r="Z109" s="53"/>
      <c r="AA109" s="2"/>
      <c r="AB109" s="48"/>
      <c r="AD109" s="41"/>
      <c r="AG109" s="3"/>
      <c r="AH109" s="18"/>
      <c r="AI109" s="17"/>
      <c r="AK109" s="15"/>
      <c r="AN109" s="147"/>
      <c r="AO109" s="15"/>
      <c r="AP109" s="148"/>
    </row>
    <row r="110" spans="1:42" ht="16.5" x14ac:dyDescent="0.35">
      <c r="A110" s="53">
        <v>109</v>
      </c>
      <c r="B110" s="2" t="s">
        <v>171</v>
      </c>
      <c r="C110" s="48" t="s">
        <v>660</v>
      </c>
      <c r="D110" t="s">
        <v>191</v>
      </c>
      <c r="E110" s="41" t="s">
        <v>190</v>
      </c>
      <c r="H110" s="3"/>
      <c r="I110" s="18" t="s">
        <v>53</v>
      </c>
      <c r="L110" s="15" t="s">
        <v>2</v>
      </c>
      <c r="O110" s="147">
        <v>1</v>
      </c>
      <c r="P110" s="15">
        <v>1</v>
      </c>
      <c r="Q110" s="148">
        <f t="shared" si="4"/>
        <v>2</v>
      </c>
      <c r="R1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AYA VERONIQUE BUYO N'TOBE  WONSEALY    KOUADIO KOFFI TEYA                 F  </v>
      </c>
      <c r="Z110" s="53"/>
      <c r="AA110" s="2"/>
      <c r="AB110" s="48"/>
      <c r="AD110" s="41"/>
      <c r="AG110" s="3"/>
      <c r="AH110" s="18"/>
      <c r="AI110" s="17"/>
      <c r="AK110" s="15"/>
      <c r="AN110" s="147"/>
      <c r="AO110" s="15"/>
      <c r="AP110" s="148"/>
    </row>
    <row r="111" spans="1:42" ht="16.5" x14ac:dyDescent="0.35">
      <c r="A111" s="53">
        <v>110</v>
      </c>
      <c r="B111" s="2" t="s">
        <v>172</v>
      </c>
      <c r="C111" s="48" t="s">
        <v>660</v>
      </c>
      <c r="D111" t="s">
        <v>191</v>
      </c>
      <c r="E111" s="41" t="s">
        <v>190</v>
      </c>
      <c r="H111" s="3"/>
      <c r="I111" s="18" t="s">
        <v>53</v>
      </c>
      <c r="L111" s="15" t="s">
        <v>2</v>
      </c>
      <c r="O111" s="147">
        <v>1</v>
      </c>
      <c r="P111" s="15">
        <v>1</v>
      </c>
      <c r="Q111" s="148">
        <f t="shared" si="4"/>
        <v>2</v>
      </c>
      <c r="R1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LOUKOU AGNES BUYO N'TOBE  WONSEALY    KOUADIO KOFFI TEYA                 F  </v>
      </c>
      <c r="Z111" s="53"/>
      <c r="AA111" s="2"/>
      <c r="AB111" s="48"/>
      <c r="AD111" s="41"/>
      <c r="AG111" s="3"/>
      <c r="AH111" s="18"/>
      <c r="AI111" s="17"/>
      <c r="AK111" s="15"/>
      <c r="AN111" s="147"/>
      <c r="AO111" s="15"/>
      <c r="AP111" s="148"/>
    </row>
    <row r="112" spans="1:42" ht="16.5" x14ac:dyDescent="0.35">
      <c r="A112" s="53">
        <v>111</v>
      </c>
      <c r="B112" s="2" t="s">
        <v>173</v>
      </c>
      <c r="C112" s="48" t="s">
        <v>660</v>
      </c>
      <c r="D112" t="s">
        <v>191</v>
      </c>
      <c r="E112" s="41" t="s">
        <v>190</v>
      </c>
      <c r="H112" s="3"/>
      <c r="I112" s="18" t="s">
        <v>53</v>
      </c>
      <c r="L112" s="15" t="s">
        <v>9</v>
      </c>
      <c r="O112" s="147">
        <v>1</v>
      </c>
      <c r="P112" s="15">
        <v>2</v>
      </c>
      <c r="Q112" s="148">
        <f t="shared" si="4"/>
        <v>3</v>
      </c>
      <c r="R1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DIBI KOUAME FRANCOIS BUYO N'TOBE  WONSEALY    KOUADIO KOFFI TEYA                 M  </v>
      </c>
      <c r="Z112" s="53"/>
      <c r="AA112" s="2"/>
      <c r="AB112" s="48"/>
      <c r="AD112" s="41"/>
      <c r="AG112" s="3"/>
      <c r="AH112" s="18"/>
      <c r="AI112" s="17"/>
      <c r="AK112" s="15"/>
      <c r="AN112" s="147"/>
      <c r="AO112" s="15"/>
      <c r="AP112" s="148"/>
    </row>
    <row r="113" spans="1:42" ht="16.5" x14ac:dyDescent="0.35">
      <c r="A113" s="53">
        <v>112</v>
      </c>
      <c r="B113" s="2" t="s">
        <v>174</v>
      </c>
      <c r="C113" s="48" t="s">
        <v>660</v>
      </c>
      <c r="D113" t="s">
        <v>191</v>
      </c>
      <c r="E113" s="41" t="s">
        <v>190</v>
      </c>
      <c r="H113" s="3"/>
      <c r="I113" s="18" t="s">
        <v>53</v>
      </c>
      <c r="L113" s="15" t="s">
        <v>2</v>
      </c>
      <c r="O113" s="147">
        <v>1</v>
      </c>
      <c r="P113" s="15">
        <v>2</v>
      </c>
      <c r="Q113" s="148">
        <f t="shared" si="4"/>
        <v>3</v>
      </c>
      <c r="R1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ADJOUA MADELEINE BUYO N'TOBE  WONSEALY    KOUADIO KOFFI TEYA                 F  </v>
      </c>
      <c r="Z113" s="53"/>
      <c r="AA113" s="2"/>
      <c r="AB113" s="48"/>
      <c r="AD113" s="41"/>
      <c r="AG113" s="3"/>
      <c r="AH113" s="18"/>
      <c r="AI113" s="17"/>
      <c r="AK113" s="15"/>
      <c r="AN113" s="147"/>
      <c r="AO113" s="15"/>
      <c r="AP113" s="148"/>
    </row>
    <row r="114" spans="1:42" ht="16.5" x14ac:dyDescent="0.35">
      <c r="A114" s="53">
        <v>113</v>
      </c>
      <c r="B114" s="2" t="s">
        <v>175</v>
      </c>
      <c r="C114" s="48" t="s">
        <v>660</v>
      </c>
      <c r="D114" t="s">
        <v>191</v>
      </c>
      <c r="E114" s="41" t="s">
        <v>190</v>
      </c>
      <c r="H114" s="3"/>
      <c r="I114" s="18" t="s">
        <v>53</v>
      </c>
      <c r="L114" s="15" t="s">
        <v>2</v>
      </c>
      <c r="O114" s="147">
        <v>1</v>
      </c>
      <c r="P114" s="15">
        <v>0</v>
      </c>
      <c r="Q114" s="148">
        <f t="shared" si="4"/>
        <v>1</v>
      </c>
      <c r="R1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N'DA KONAN DENIS BUYO N'TOBE  WONSEALY    KOUADIO KOFFI TEYA                 F  </v>
      </c>
      <c r="Z114" s="53"/>
      <c r="AA114" s="2"/>
      <c r="AB114" s="48"/>
      <c r="AD114" s="41"/>
      <c r="AG114" s="3"/>
      <c r="AH114" s="18"/>
      <c r="AI114" s="17"/>
      <c r="AK114" s="15"/>
      <c r="AN114" s="147"/>
      <c r="AO114" s="15"/>
      <c r="AP114" s="148"/>
    </row>
    <row r="115" spans="1:42" ht="16.5" x14ac:dyDescent="0.35">
      <c r="A115" s="53">
        <v>114</v>
      </c>
      <c r="B115" s="2" t="s">
        <v>176</v>
      </c>
      <c r="C115" s="48" t="s">
        <v>660</v>
      </c>
      <c r="D115" t="s">
        <v>191</v>
      </c>
      <c r="E115" s="41" t="s">
        <v>190</v>
      </c>
      <c r="I115" s="18" t="s">
        <v>53</v>
      </c>
      <c r="L115" s="15" t="s">
        <v>2</v>
      </c>
      <c r="O115" s="147">
        <v>2</v>
      </c>
      <c r="P115" s="15">
        <v>1</v>
      </c>
      <c r="Q115" s="148">
        <f t="shared" si="4"/>
        <v>3</v>
      </c>
      <c r="R1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KOUAKOU ROMEO BUYO N'TOBE  WONSEALY    KOUADIO KOFFI TEYA                 F  </v>
      </c>
      <c r="Z115" s="53"/>
      <c r="AA115" s="2"/>
      <c r="AB115" s="48"/>
      <c r="AD115" s="41"/>
      <c r="AH115" s="18"/>
      <c r="AI115" s="17"/>
      <c r="AK115" s="15"/>
      <c r="AN115" s="147"/>
      <c r="AO115" s="15"/>
      <c r="AP115" s="148"/>
    </row>
    <row r="116" spans="1:42" ht="16.5" x14ac:dyDescent="0.35">
      <c r="A116" s="53">
        <v>115</v>
      </c>
      <c r="B116" s="2" t="s">
        <v>177</v>
      </c>
      <c r="C116" s="48" t="s">
        <v>660</v>
      </c>
      <c r="D116" t="s">
        <v>191</v>
      </c>
      <c r="E116" s="41" t="s">
        <v>190</v>
      </c>
      <c r="I116" s="18" t="s">
        <v>53</v>
      </c>
      <c r="L116" s="15" t="s">
        <v>2</v>
      </c>
      <c r="O116" s="147">
        <v>0</v>
      </c>
      <c r="P116" s="15">
        <v>0</v>
      </c>
      <c r="Q116" s="148">
        <f t="shared" si="4"/>
        <v>0</v>
      </c>
      <c r="R1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AYA VALERIE BUYO N'TOBE  WONSEALY    KOUADIO KOFFI TEYA                 F  </v>
      </c>
      <c r="Z116" s="53"/>
      <c r="AA116" s="2"/>
      <c r="AB116" s="48"/>
      <c r="AD116" s="41"/>
      <c r="AH116" s="18"/>
      <c r="AI116" s="17"/>
      <c r="AK116" s="15"/>
      <c r="AN116" s="147"/>
      <c r="AO116" s="15"/>
      <c r="AP116" s="148"/>
    </row>
    <row r="117" spans="1:42" ht="16.5" x14ac:dyDescent="0.35">
      <c r="A117" s="53">
        <v>116</v>
      </c>
      <c r="B117" s="2" t="s">
        <v>178</v>
      </c>
      <c r="C117" s="48" t="s">
        <v>660</v>
      </c>
      <c r="D117" t="s">
        <v>191</v>
      </c>
      <c r="E117" s="41" t="s">
        <v>190</v>
      </c>
      <c r="I117" s="18" t="s">
        <v>53</v>
      </c>
      <c r="L117" s="15" t="s">
        <v>2</v>
      </c>
      <c r="O117" s="147">
        <v>1</v>
      </c>
      <c r="P117" s="15">
        <v>2</v>
      </c>
      <c r="Q117" s="148">
        <f t="shared" si="4"/>
        <v>3</v>
      </c>
      <c r="R1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KOUADIO JEAN MODESTE BUYO N'TOBE  WONSEALY    KOUADIO KOFFI TEYA                 F  </v>
      </c>
      <c r="Z117" s="53"/>
      <c r="AA117" s="2"/>
      <c r="AB117" s="48"/>
      <c r="AD117" s="41"/>
      <c r="AH117" s="18"/>
      <c r="AI117" s="17"/>
      <c r="AK117" s="15"/>
      <c r="AN117" s="147"/>
      <c r="AO117" s="15"/>
      <c r="AP117" s="148"/>
    </row>
    <row r="118" spans="1:42" ht="16.5" x14ac:dyDescent="0.35">
      <c r="A118" s="53">
        <v>117</v>
      </c>
      <c r="B118" s="2" t="s">
        <v>179</v>
      </c>
      <c r="C118" s="48" t="s">
        <v>660</v>
      </c>
      <c r="D118" t="s">
        <v>191</v>
      </c>
      <c r="E118" s="41" t="s">
        <v>190</v>
      </c>
      <c r="I118" s="18" t="s">
        <v>53</v>
      </c>
      <c r="L118" s="15" t="s">
        <v>2</v>
      </c>
      <c r="O118" s="147">
        <v>2</v>
      </c>
      <c r="P118" s="15">
        <v>1</v>
      </c>
      <c r="Q118" s="148">
        <f t="shared" si="4"/>
        <v>3</v>
      </c>
      <c r="R1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KOUADIO JONAS BUYO N'TOBE  WONSEALY    KOUADIO KOFFI TEYA                 F  </v>
      </c>
      <c r="Z118" s="53"/>
      <c r="AA118" s="2"/>
      <c r="AB118" s="48"/>
      <c r="AD118" s="41"/>
      <c r="AH118" s="18"/>
      <c r="AI118" s="17"/>
      <c r="AK118" s="15"/>
      <c r="AN118" s="147"/>
      <c r="AO118" s="15"/>
      <c r="AP118" s="148"/>
    </row>
    <row r="119" spans="1:42" ht="16.5" x14ac:dyDescent="0.35">
      <c r="A119" s="53">
        <v>118</v>
      </c>
      <c r="B119" s="2" t="s">
        <v>180</v>
      </c>
      <c r="C119" s="48" t="s">
        <v>660</v>
      </c>
      <c r="D119" t="s">
        <v>191</v>
      </c>
      <c r="E119" s="41" t="s">
        <v>190</v>
      </c>
      <c r="I119" s="18" t="s">
        <v>53</v>
      </c>
      <c r="L119" s="15" t="s">
        <v>2</v>
      </c>
      <c r="O119" s="147">
        <v>4</v>
      </c>
      <c r="P119" s="15">
        <v>1</v>
      </c>
      <c r="Q119" s="148">
        <f t="shared" si="4"/>
        <v>5</v>
      </c>
      <c r="R1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N'DA N'DRI JULIETTE BUYO N'TOBE  WONSEALY    KOUADIO KOFFI TEYA                 F  </v>
      </c>
      <c r="Z119" s="53"/>
      <c r="AA119" s="2"/>
      <c r="AB119" s="48"/>
      <c r="AD119" s="41"/>
      <c r="AH119" s="18"/>
      <c r="AI119" s="17"/>
      <c r="AK119" s="15"/>
      <c r="AN119" s="147"/>
      <c r="AO119" s="15"/>
      <c r="AP119" s="148"/>
    </row>
    <row r="120" spans="1:42" ht="16.5" x14ac:dyDescent="0.35">
      <c r="A120" s="53">
        <v>119</v>
      </c>
      <c r="B120" s="2" t="s">
        <v>181</v>
      </c>
      <c r="C120" s="48" t="s">
        <v>660</v>
      </c>
      <c r="D120" t="s">
        <v>191</v>
      </c>
      <c r="E120" s="41" t="s">
        <v>190</v>
      </c>
      <c r="I120" s="18" t="s">
        <v>53</v>
      </c>
      <c r="L120" s="15" t="s">
        <v>2</v>
      </c>
      <c r="O120" s="147">
        <v>2</v>
      </c>
      <c r="P120" s="15">
        <v>1</v>
      </c>
      <c r="Q120" s="148">
        <f t="shared" si="4"/>
        <v>3</v>
      </c>
      <c r="R1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AFFOUE YVETTE BUYO N'TOBE  WONSEALY    KOUADIO KOFFI TEYA                 F  </v>
      </c>
      <c r="Z120" s="53"/>
      <c r="AA120" s="2"/>
      <c r="AB120" s="48"/>
      <c r="AD120" s="41"/>
      <c r="AH120" s="18"/>
      <c r="AI120" s="17"/>
      <c r="AK120" s="15"/>
      <c r="AN120" s="147"/>
      <c r="AO120" s="15"/>
      <c r="AP120" s="148"/>
    </row>
    <row r="121" spans="1:42" ht="16.5" x14ac:dyDescent="0.35">
      <c r="A121" s="53">
        <v>120</v>
      </c>
      <c r="B121" s="5" t="s">
        <v>182</v>
      </c>
      <c r="C121" s="48" t="s">
        <v>660</v>
      </c>
      <c r="D121" t="s">
        <v>191</v>
      </c>
      <c r="E121" s="41" t="s">
        <v>190</v>
      </c>
      <c r="I121" s="18" t="s">
        <v>53</v>
      </c>
      <c r="L121" s="15" t="s">
        <v>9</v>
      </c>
      <c r="O121" s="147">
        <v>2</v>
      </c>
      <c r="P121" s="15">
        <v>1</v>
      </c>
      <c r="Q121" s="148">
        <f t="shared" si="4"/>
        <v>3</v>
      </c>
      <c r="R1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ZOUGRANA OUSMANE BUYO N'TOBE  WONSEALY    KOUADIO KOFFI TEYA                 M  </v>
      </c>
      <c r="Z121" s="53"/>
      <c r="AA121" s="5"/>
      <c r="AB121" s="48"/>
      <c r="AD121" s="41"/>
      <c r="AH121" s="18"/>
      <c r="AI121" s="17"/>
      <c r="AK121" s="15"/>
      <c r="AN121" s="147"/>
      <c r="AO121" s="15"/>
      <c r="AP121" s="148"/>
    </row>
    <row r="122" spans="1:42" ht="16.5" x14ac:dyDescent="0.35">
      <c r="A122" s="53">
        <v>121</v>
      </c>
      <c r="B122" s="5" t="s">
        <v>183</v>
      </c>
      <c r="C122" s="48" t="s">
        <v>660</v>
      </c>
      <c r="D122" t="s">
        <v>191</v>
      </c>
      <c r="E122" s="41" t="s">
        <v>190</v>
      </c>
      <c r="I122" s="18" t="s">
        <v>53</v>
      </c>
      <c r="L122" s="15" t="s">
        <v>9</v>
      </c>
      <c r="O122" s="147">
        <v>1</v>
      </c>
      <c r="P122" s="15">
        <v>1</v>
      </c>
      <c r="Q122" s="148">
        <f t="shared" si="4"/>
        <v>2</v>
      </c>
      <c r="R1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KOUASSI GILDAS BUYO N'TOBE  WONSEALY    KOUADIO KOFFI TEYA                 M  </v>
      </c>
      <c r="Z122" s="53"/>
      <c r="AA122" s="5"/>
      <c r="AB122" s="48"/>
      <c r="AD122" s="41"/>
      <c r="AH122" s="18"/>
      <c r="AI122" s="17"/>
      <c r="AK122" s="15"/>
      <c r="AN122" s="147"/>
      <c r="AO122" s="15"/>
      <c r="AP122" s="148"/>
    </row>
    <row r="123" spans="1:42" ht="16.5" x14ac:dyDescent="0.35">
      <c r="A123" s="53">
        <v>122</v>
      </c>
      <c r="B123" s="5" t="s">
        <v>184</v>
      </c>
      <c r="C123" s="48" t="s">
        <v>660</v>
      </c>
      <c r="D123" t="s">
        <v>191</v>
      </c>
      <c r="E123" s="41" t="s">
        <v>190</v>
      </c>
      <c r="I123" s="18" t="s">
        <v>53</v>
      </c>
      <c r="L123" s="15" t="s">
        <v>2</v>
      </c>
      <c r="O123" s="147">
        <v>1</v>
      </c>
      <c r="P123" s="15">
        <v>1</v>
      </c>
      <c r="Q123" s="148">
        <f t="shared" si="4"/>
        <v>2</v>
      </c>
      <c r="R1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KRA AYA ROSE BUYO N'TOBE  WONSEALY    KOUADIO KOFFI TEYA                 F  </v>
      </c>
      <c r="Z123" s="53"/>
      <c r="AA123" s="5"/>
      <c r="AB123" s="48"/>
      <c r="AD123" s="41"/>
      <c r="AH123" s="18"/>
      <c r="AI123" s="17"/>
      <c r="AK123" s="15"/>
      <c r="AN123" s="147"/>
      <c r="AO123" s="15"/>
      <c r="AP123" s="148"/>
    </row>
    <row r="124" spans="1:42" ht="16.5" x14ac:dyDescent="0.35">
      <c r="A124" s="53">
        <v>123</v>
      </c>
      <c r="B124" s="5" t="s">
        <v>185</v>
      </c>
      <c r="C124" s="48" t="s">
        <v>660</v>
      </c>
      <c r="D124" t="s">
        <v>191</v>
      </c>
      <c r="E124" s="41" t="s">
        <v>190</v>
      </c>
      <c r="I124" s="18" t="s">
        <v>53</v>
      </c>
      <c r="L124" s="15" t="s">
        <v>9</v>
      </c>
      <c r="O124" s="147">
        <v>2</v>
      </c>
      <c r="P124" s="15">
        <v>0</v>
      </c>
      <c r="Q124" s="148">
        <f t="shared" si="4"/>
        <v>2</v>
      </c>
      <c r="R1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ATTA KOFFI DAVID  BUYO N'TOBE  WONSEALY    KOUADIO KOFFI TEYA                 M  </v>
      </c>
      <c r="Z124" s="53"/>
      <c r="AA124" s="5"/>
      <c r="AB124" s="48"/>
      <c r="AD124" s="41"/>
      <c r="AH124" s="18"/>
      <c r="AI124" s="17"/>
      <c r="AK124" s="15"/>
      <c r="AN124" s="147"/>
      <c r="AO124" s="15"/>
      <c r="AP124" s="148"/>
    </row>
    <row r="125" spans="1:42" ht="16.5" x14ac:dyDescent="0.35">
      <c r="A125" s="53">
        <v>124</v>
      </c>
      <c r="B125" s="5" t="s">
        <v>186</v>
      </c>
      <c r="C125" s="48" t="s">
        <v>660</v>
      </c>
      <c r="D125" t="s">
        <v>191</v>
      </c>
      <c r="E125" s="41" t="s">
        <v>190</v>
      </c>
      <c r="I125" s="18" t="s">
        <v>53</v>
      </c>
      <c r="L125" s="15" t="s">
        <v>2</v>
      </c>
      <c r="O125" s="147">
        <v>1</v>
      </c>
      <c r="P125" s="15">
        <v>1</v>
      </c>
      <c r="Q125" s="148">
        <f t="shared" si="4"/>
        <v>2</v>
      </c>
      <c r="R1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AMOIN JACQUELINE  BUYO N'TOBE  WONSEALY    KOUADIO KOFFI TEYA                 F  </v>
      </c>
      <c r="Z125" s="53"/>
      <c r="AA125" s="5"/>
      <c r="AB125" s="48"/>
      <c r="AD125" s="41"/>
      <c r="AH125" s="18"/>
      <c r="AI125" s="17"/>
      <c r="AK125" s="15"/>
      <c r="AN125" s="147"/>
      <c r="AO125" s="15"/>
      <c r="AP125" s="148"/>
    </row>
    <row r="126" spans="1:42" ht="16.5" x14ac:dyDescent="0.35">
      <c r="A126" s="53">
        <v>125</v>
      </c>
      <c r="B126" s="5" t="s">
        <v>187</v>
      </c>
      <c r="C126" s="48" t="s">
        <v>660</v>
      </c>
      <c r="D126" t="s">
        <v>191</v>
      </c>
      <c r="E126" s="41" t="s">
        <v>190</v>
      </c>
      <c r="I126" s="18" t="s">
        <v>53</v>
      </c>
      <c r="L126" s="15" t="s">
        <v>9</v>
      </c>
      <c r="O126" s="147">
        <v>2</v>
      </c>
      <c r="P126" s="15">
        <v>0</v>
      </c>
      <c r="Q126" s="148">
        <f t="shared" si="4"/>
        <v>2</v>
      </c>
      <c r="R1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INOUSSA  BUYO N'TOBE  WONSEALY    KOUADIO KOFFI TEYA                 M  </v>
      </c>
      <c r="Z126" s="53"/>
      <c r="AA126" s="5"/>
      <c r="AB126" s="48"/>
      <c r="AD126" s="41"/>
      <c r="AH126" s="18"/>
      <c r="AI126" s="17"/>
      <c r="AK126" s="15"/>
      <c r="AN126" s="147"/>
      <c r="AO126" s="15"/>
      <c r="AP126" s="148"/>
    </row>
    <row r="127" spans="1:42" ht="16.5" x14ac:dyDescent="0.35">
      <c r="A127" s="53">
        <v>126</v>
      </c>
      <c r="B127" s="5" t="s">
        <v>188</v>
      </c>
      <c r="C127" s="48" t="s">
        <v>660</v>
      </c>
      <c r="D127" t="s">
        <v>191</v>
      </c>
      <c r="E127" s="41" t="s">
        <v>190</v>
      </c>
      <c r="I127" s="18" t="s">
        <v>53</v>
      </c>
      <c r="L127" s="15" t="s">
        <v>2</v>
      </c>
      <c r="O127" s="147">
        <v>5</v>
      </c>
      <c r="P127" s="15">
        <v>0</v>
      </c>
      <c r="Q127" s="148">
        <f t="shared" si="4"/>
        <v>5</v>
      </c>
      <c r="R1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LARISSA JEANNE BUYO N'TOBE  WONSEALY    KOUADIO KOFFI TEYA                 F  </v>
      </c>
      <c r="Z127" s="53"/>
      <c r="AA127" s="5"/>
      <c r="AB127" s="48"/>
      <c r="AD127" s="41"/>
      <c r="AH127" s="18"/>
      <c r="AI127" s="17"/>
      <c r="AK127" s="15"/>
      <c r="AN127" s="147"/>
      <c r="AO127" s="15"/>
      <c r="AP127" s="148"/>
    </row>
    <row r="128" spans="1:42" ht="16.5" x14ac:dyDescent="0.35">
      <c r="A128" s="53">
        <v>127</v>
      </c>
      <c r="B128" s="5" t="s">
        <v>192</v>
      </c>
      <c r="C128" s="48" t="s">
        <v>660</v>
      </c>
      <c r="D128" t="s">
        <v>222</v>
      </c>
      <c r="E128" s="41" t="s">
        <v>221</v>
      </c>
      <c r="I128" s="18" t="s">
        <v>53</v>
      </c>
      <c r="L128" s="15" t="s">
        <v>2</v>
      </c>
      <c r="O128" s="147">
        <v>2</v>
      </c>
      <c r="P128" s="15">
        <v>1</v>
      </c>
      <c r="Q128" s="148">
        <f>SUM(O128:P128)</f>
        <v>3</v>
      </c>
      <c r="R1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DAMBELE BELCO BUYO BENKADI  TOLBA    KOUADIO KOFFI TEYA                 F  </v>
      </c>
      <c r="Z128" s="53"/>
      <c r="AA128" s="5"/>
      <c r="AB128" s="48"/>
      <c r="AD128" s="41"/>
      <c r="AH128" s="18"/>
      <c r="AI128" s="17"/>
      <c r="AK128" s="15"/>
      <c r="AN128" s="147"/>
      <c r="AO128" s="15"/>
      <c r="AP128" s="148"/>
    </row>
    <row r="129" spans="1:42" ht="16.5" x14ac:dyDescent="0.35">
      <c r="A129" s="53">
        <v>128</v>
      </c>
      <c r="B129" s="5" t="s">
        <v>193</v>
      </c>
      <c r="C129" s="48" t="s">
        <v>660</v>
      </c>
      <c r="D129" t="s">
        <v>222</v>
      </c>
      <c r="E129" s="41" t="s">
        <v>221</v>
      </c>
      <c r="I129" s="18" t="s">
        <v>53</v>
      </c>
      <c r="L129" s="15" t="s">
        <v>2</v>
      </c>
      <c r="O129" s="147">
        <v>2</v>
      </c>
      <c r="P129" s="15">
        <v>3</v>
      </c>
      <c r="Q129" s="148">
        <f t="shared" ref="Q129:Q157" si="5">SUM(O129:P129)</f>
        <v>5</v>
      </c>
      <c r="R1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SAMPANA GNAMOUE BUYO BENKADI  TOLBA    KOUADIO KOFFI TEYA                 F  </v>
      </c>
      <c r="Z129" s="53"/>
      <c r="AA129" s="5"/>
      <c r="AB129" s="48"/>
      <c r="AD129" s="41"/>
      <c r="AH129" s="18"/>
      <c r="AI129" s="17"/>
      <c r="AK129" s="15"/>
      <c r="AN129" s="147"/>
      <c r="AO129" s="15"/>
      <c r="AP129" s="148"/>
    </row>
    <row r="130" spans="1:42" ht="16.5" x14ac:dyDescent="0.35">
      <c r="A130" s="53">
        <v>129</v>
      </c>
      <c r="B130" s="5" t="s">
        <v>194</v>
      </c>
      <c r="C130" s="48" t="s">
        <v>660</v>
      </c>
      <c r="D130" t="s">
        <v>222</v>
      </c>
      <c r="E130" s="41" t="s">
        <v>221</v>
      </c>
      <c r="I130" s="18" t="s">
        <v>53</v>
      </c>
      <c r="L130" s="15" t="s">
        <v>2</v>
      </c>
      <c r="O130" s="147">
        <v>2</v>
      </c>
      <c r="P130" s="15">
        <v>1</v>
      </c>
      <c r="Q130" s="148">
        <f t="shared" si="5"/>
        <v>3</v>
      </c>
      <c r="R1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AMINATA ARMAN BUYO BENKADI  TOLBA    KOUADIO KOFFI TEYA                 F  </v>
      </c>
      <c r="Z130" s="53"/>
      <c r="AA130" s="5"/>
      <c r="AB130" s="48"/>
      <c r="AD130" s="41"/>
      <c r="AH130" s="18"/>
      <c r="AI130" s="17"/>
      <c r="AK130" s="15"/>
      <c r="AN130" s="147"/>
      <c r="AO130" s="15"/>
      <c r="AP130" s="148"/>
    </row>
    <row r="131" spans="1:42" ht="16.5" x14ac:dyDescent="0.35">
      <c r="A131" s="53">
        <v>130</v>
      </c>
      <c r="B131" s="5" t="s">
        <v>195</v>
      </c>
      <c r="C131" s="48" t="s">
        <v>660</v>
      </c>
      <c r="D131" t="s">
        <v>222</v>
      </c>
      <c r="E131" s="41" t="s">
        <v>221</v>
      </c>
      <c r="I131" s="18" t="s">
        <v>53</v>
      </c>
      <c r="L131" s="15" t="s">
        <v>2</v>
      </c>
      <c r="O131" s="147">
        <v>3</v>
      </c>
      <c r="P131" s="15">
        <v>1</v>
      </c>
      <c r="Q131" s="148">
        <f t="shared" si="5"/>
        <v>4</v>
      </c>
      <c r="R1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FATOUMATA BUYO BENKADI  TOLBA    KOUADIO KOFFI TEYA                 F  </v>
      </c>
      <c r="Z131" s="53"/>
      <c r="AA131" s="5"/>
      <c r="AB131" s="48"/>
      <c r="AD131" s="41"/>
      <c r="AH131" s="18"/>
      <c r="AI131" s="17"/>
      <c r="AK131" s="15"/>
      <c r="AN131" s="147"/>
      <c r="AO131" s="15"/>
      <c r="AP131" s="148"/>
    </row>
    <row r="132" spans="1:42" ht="16.5" x14ac:dyDescent="0.35">
      <c r="A132" s="53">
        <v>131</v>
      </c>
      <c r="B132" s="5" t="s">
        <v>196</v>
      </c>
      <c r="C132" s="48" t="s">
        <v>660</v>
      </c>
      <c r="D132" t="s">
        <v>222</v>
      </c>
      <c r="E132" s="41" t="s">
        <v>221</v>
      </c>
      <c r="I132" s="18" t="s">
        <v>53</v>
      </c>
      <c r="L132" s="15" t="s">
        <v>2</v>
      </c>
      <c r="O132" s="147">
        <v>1</v>
      </c>
      <c r="P132" s="15">
        <v>4</v>
      </c>
      <c r="Q132" s="148">
        <f t="shared" si="5"/>
        <v>5</v>
      </c>
      <c r="R1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DJEBEKA ELIANE BUYO BENKADI  TOLBA    KOUADIO KOFFI TEYA                 F  </v>
      </c>
      <c r="Z132" s="53"/>
      <c r="AA132" s="5"/>
      <c r="AB132" s="48"/>
      <c r="AD132" s="41"/>
      <c r="AH132" s="18"/>
      <c r="AI132" s="17"/>
      <c r="AK132" s="15"/>
      <c r="AN132" s="147"/>
      <c r="AO132" s="15"/>
      <c r="AP132" s="148"/>
    </row>
    <row r="133" spans="1:42" ht="16.5" x14ac:dyDescent="0.35">
      <c r="A133" s="53">
        <v>132</v>
      </c>
      <c r="B133" s="5" t="s">
        <v>197</v>
      </c>
      <c r="C133" s="48" t="s">
        <v>660</v>
      </c>
      <c r="D133" t="s">
        <v>222</v>
      </c>
      <c r="E133" s="41" t="s">
        <v>221</v>
      </c>
      <c r="I133" s="18" t="s">
        <v>53</v>
      </c>
      <c r="L133" s="15" t="s">
        <v>2</v>
      </c>
      <c r="O133" s="147">
        <v>1</v>
      </c>
      <c r="P133" s="15">
        <v>1</v>
      </c>
      <c r="Q133" s="148">
        <f t="shared" si="5"/>
        <v>2</v>
      </c>
      <c r="R1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DICO FATOUMATA BUYO BENKADI  TOLBA    KOUADIO KOFFI TEYA                 F  </v>
      </c>
      <c r="Z133" s="53"/>
      <c r="AA133" s="5"/>
      <c r="AB133" s="48"/>
      <c r="AD133" s="41"/>
      <c r="AH133" s="18"/>
      <c r="AI133" s="17"/>
      <c r="AK133" s="15"/>
      <c r="AN133" s="147"/>
      <c r="AO133" s="15"/>
      <c r="AP133" s="148"/>
    </row>
    <row r="134" spans="1:42" ht="16.5" x14ac:dyDescent="0.35">
      <c r="A134" s="53">
        <v>133</v>
      </c>
      <c r="B134" s="5" t="s">
        <v>198</v>
      </c>
      <c r="C134" s="48" t="s">
        <v>660</v>
      </c>
      <c r="D134" t="s">
        <v>222</v>
      </c>
      <c r="E134" s="41" t="s">
        <v>221</v>
      </c>
      <c r="I134" s="18" t="s">
        <v>53</v>
      </c>
      <c r="L134" s="15" t="s">
        <v>2</v>
      </c>
      <c r="O134" s="147">
        <v>2</v>
      </c>
      <c r="P134" s="15">
        <v>1</v>
      </c>
      <c r="Q134" s="148">
        <f t="shared" si="5"/>
        <v>3</v>
      </c>
      <c r="R1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TCHINTAO KONANAN BUYO BENKADI  TOLBA    KOUADIO KOFFI TEYA                 F  </v>
      </c>
      <c r="Z134" s="53"/>
      <c r="AA134" s="5"/>
      <c r="AB134" s="48"/>
      <c r="AD134" s="41"/>
      <c r="AH134" s="18"/>
      <c r="AI134" s="17"/>
      <c r="AK134" s="15"/>
      <c r="AN134" s="147"/>
      <c r="AO134" s="15"/>
      <c r="AP134" s="148"/>
    </row>
    <row r="135" spans="1:42" ht="16.5" x14ac:dyDescent="0.35">
      <c r="A135" s="53">
        <v>134</v>
      </c>
      <c r="B135" s="5" t="s">
        <v>199</v>
      </c>
      <c r="C135" s="48" t="s">
        <v>660</v>
      </c>
      <c r="D135" t="s">
        <v>222</v>
      </c>
      <c r="E135" s="41" t="s">
        <v>221</v>
      </c>
      <c r="I135" s="18" t="s">
        <v>53</v>
      </c>
      <c r="L135" s="15" t="s">
        <v>2</v>
      </c>
      <c r="O135" s="147">
        <v>1</v>
      </c>
      <c r="P135" s="15">
        <v>1</v>
      </c>
      <c r="Q135" s="148">
        <f t="shared" si="5"/>
        <v>2</v>
      </c>
      <c r="R1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SONDE FATOUMATA BUYO BENKADI  TOLBA    KOUADIO KOFFI TEYA                 F  </v>
      </c>
      <c r="Z135" s="53"/>
      <c r="AA135" s="5"/>
      <c r="AB135" s="48"/>
      <c r="AD135" s="41"/>
      <c r="AH135" s="18"/>
      <c r="AI135" s="17"/>
      <c r="AK135" s="15"/>
      <c r="AN135" s="147"/>
      <c r="AO135" s="15"/>
      <c r="AP135" s="148"/>
    </row>
    <row r="136" spans="1:42" ht="16.5" x14ac:dyDescent="0.35">
      <c r="A136" s="53">
        <v>135</v>
      </c>
      <c r="B136" s="5" t="s">
        <v>200</v>
      </c>
      <c r="C136" s="48" t="s">
        <v>660</v>
      </c>
      <c r="D136" t="s">
        <v>222</v>
      </c>
      <c r="E136" s="41" t="s">
        <v>221</v>
      </c>
      <c r="I136" s="18" t="s">
        <v>53</v>
      </c>
      <c r="L136" s="15" t="s">
        <v>2</v>
      </c>
      <c r="O136" s="147">
        <v>1</v>
      </c>
      <c r="P136" s="15">
        <v>0</v>
      </c>
      <c r="Q136" s="148">
        <f t="shared" si="5"/>
        <v>1</v>
      </c>
      <c r="R1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DIKOUROU DEMBELE BUYO BENKADI  TOLBA    KOUADIO KOFFI TEYA                 F  </v>
      </c>
      <c r="Z136" s="53"/>
      <c r="AA136" s="5"/>
      <c r="AB136" s="48"/>
      <c r="AD136" s="41"/>
      <c r="AH136" s="18"/>
      <c r="AI136" s="17"/>
      <c r="AK136" s="15"/>
      <c r="AN136" s="147"/>
      <c r="AO136" s="15"/>
      <c r="AP136" s="148"/>
    </row>
    <row r="137" spans="1:42" ht="16.5" x14ac:dyDescent="0.35">
      <c r="A137" s="53">
        <v>136</v>
      </c>
      <c r="B137" s="5" t="s">
        <v>201</v>
      </c>
      <c r="C137" s="48" t="s">
        <v>660</v>
      </c>
      <c r="D137" t="s">
        <v>222</v>
      </c>
      <c r="E137" s="41" t="s">
        <v>221</v>
      </c>
      <c r="I137" s="18" t="s">
        <v>53</v>
      </c>
      <c r="L137" s="15" t="s">
        <v>2</v>
      </c>
      <c r="O137" s="147">
        <v>1</v>
      </c>
      <c r="P137" s="15">
        <v>0</v>
      </c>
      <c r="Q137" s="148">
        <f t="shared" si="5"/>
        <v>1</v>
      </c>
      <c r="R1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TRAORE AWA BUYO BENKADI  TOLBA    KOUADIO KOFFI TEYA                 F  </v>
      </c>
      <c r="Z137" s="53"/>
      <c r="AA137" s="5"/>
      <c r="AB137" s="48"/>
      <c r="AD137" s="41"/>
      <c r="AH137" s="18"/>
      <c r="AI137" s="17"/>
      <c r="AK137" s="15"/>
      <c r="AN137" s="147"/>
      <c r="AO137" s="15"/>
      <c r="AP137" s="148"/>
    </row>
    <row r="138" spans="1:42" ht="16.5" x14ac:dyDescent="0.35">
      <c r="A138" s="53">
        <v>137</v>
      </c>
      <c r="B138" s="5" t="s">
        <v>202</v>
      </c>
      <c r="C138" s="48" t="s">
        <v>660</v>
      </c>
      <c r="D138" t="s">
        <v>222</v>
      </c>
      <c r="E138" s="41" t="s">
        <v>221</v>
      </c>
      <c r="I138" s="18" t="s">
        <v>53</v>
      </c>
      <c r="L138" s="15" t="s">
        <v>2</v>
      </c>
      <c r="O138" s="147">
        <v>1</v>
      </c>
      <c r="P138" s="15">
        <v>1</v>
      </c>
      <c r="Q138" s="148">
        <f t="shared" si="5"/>
        <v>2</v>
      </c>
      <c r="R1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FATOUMATA TOMOTA BUYO BENKADI  TOLBA    KOUADIO KOFFI TEYA                 F  </v>
      </c>
      <c r="Z138" s="53"/>
      <c r="AA138" s="5"/>
      <c r="AB138" s="48"/>
      <c r="AD138" s="41"/>
      <c r="AH138" s="18"/>
      <c r="AI138" s="17"/>
      <c r="AK138" s="15"/>
      <c r="AN138" s="147"/>
      <c r="AO138" s="15"/>
      <c r="AP138" s="148"/>
    </row>
    <row r="139" spans="1:42" ht="16.5" x14ac:dyDescent="0.35">
      <c r="A139" s="53">
        <v>138</v>
      </c>
      <c r="B139" s="5" t="s">
        <v>203</v>
      </c>
      <c r="C139" s="48" t="s">
        <v>660</v>
      </c>
      <c r="D139" t="s">
        <v>222</v>
      </c>
      <c r="E139" s="41" t="s">
        <v>221</v>
      </c>
      <c r="I139" s="18" t="s">
        <v>53</v>
      </c>
      <c r="L139" s="15" t="s">
        <v>2</v>
      </c>
      <c r="O139" s="147">
        <v>1</v>
      </c>
      <c r="P139" s="15">
        <v>1</v>
      </c>
      <c r="Q139" s="148">
        <f t="shared" si="5"/>
        <v>2</v>
      </c>
      <c r="R1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TAMBOURA FATOUMATA BUYO BENKADI  TOLBA    KOUADIO KOFFI TEYA                 F  </v>
      </c>
      <c r="Z139" s="53"/>
      <c r="AA139" s="5"/>
      <c r="AB139" s="48"/>
      <c r="AD139" s="41"/>
      <c r="AH139" s="18"/>
      <c r="AI139" s="17"/>
      <c r="AK139" s="15"/>
      <c r="AN139" s="147"/>
      <c r="AO139" s="15"/>
      <c r="AP139" s="148"/>
    </row>
    <row r="140" spans="1:42" ht="16.5" x14ac:dyDescent="0.35">
      <c r="A140" s="53">
        <v>139</v>
      </c>
      <c r="B140" s="5" t="s">
        <v>204</v>
      </c>
      <c r="C140" s="48" t="s">
        <v>660</v>
      </c>
      <c r="D140" t="s">
        <v>222</v>
      </c>
      <c r="E140" s="41" t="s">
        <v>221</v>
      </c>
      <c r="I140" s="18" t="s">
        <v>53</v>
      </c>
      <c r="L140" s="15" t="s">
        <v>2</v>
      </c>
      <c r="O140" s="147">
        <v>1</v>
      </c>
      <c r="P140" s="15">
        <v>1</v>
      </c>
      <c r="Q140" s="148">
        <f t="shared" si="5"/>
        <v>2</v>
      </c>
      <c r="R1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BORE AICHA BUYO BENKADI  TOLBA    KOUADIO KOFFI TEYA                 F  </v>
      </c>
      <c r="Z140" s="53"/>
      <c r="AA140" s="5"/>
      <c r="AB140" s="48"/>
      <c r="AD140" s="41"/>
      <c r="AH140" s="18"/>
      <c r="AI140" s="17"/>
      <c r="AK140" s="15"/>
      <c r="AN140" s="147"/>
      <c r="AO140" s="15"/>
      <c r="AP140" s="148"/>
    </row>
    <row r="141" spans="1:42" ht="16.5" x14ac:dyDescent="0.35">
      <c r="A141" s="53">
        <v>140</v>
      </c>
      <c r="B141" s="5" t="s">
        <v>205</v>
      </c>
      <c r="C141" s="48" t="s">
        <v>660</v>
      </c>
      <c r="D141" t="s">
        <v>222</v>
      </c>
      <c r="E141" s="41" t="s">
        <v>221</v>
      </c>
      <c r="I141" s="18" t="s">
        <v>53</v>
      </c>
      <c r="L141" s="15" t="s">
        <v>2</v>
      </c>
      <c r="O141" s="147">
        <v>1</v>
      </c>
      <c r="P141" s="15">
        <v>2</v>
      </c>
      <c r="Q141" s="148">
        <f t="shared" si="5"/>
        <v>3</v>
      </c>
      <c r="R1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DRAME KALIDJA BUYO BENKADI  TOLBA    KOUADIO KOFFI TEYA                 F  </v>
      </c>
      <c r="Z141" s="53"/>
      <c r="AA141" s="5"/>
      <c r="AB141" s="48"/>
      <c r="AD141" s="41"/>
      <c r="AH141" s="18"/>
      <c r="AI141" s="17"/>
      <c r="AK141" s="15"/>
      <c r="AN141" s="147"/>
      <c r="AO141" s="15"/>
      <c r="AP141" s="148"/>
    </row>
    <row r="142" spans="1:42" ht="16.5" x14ac:dyDescent="0.35">
      <c r="A142" s="53">
        <v>141</v>
      </c>
      <c r="B142" s="5" t="s">
        <v>206</v>
      </c>
      <c r="C142" s="48" t="s">
        <v>660</v>
      </c>
      <c r="D142" t="s">
        <v>222</v>
      </c>
      <c r="E142" s="41" t="s">
        <v>221</v>
      </c>
      <c r="I142" s="18" t="s">
        <v>53</v>
      </c>
      <c r="L142" s="15" t="s">
        <v>2</v>
      </c>
      <c r="O142" s="147">
        <v>1</v>
      </c>
      <c r="P142" s="15">
        <v>3</v>
      </c>
      <c r="Q142" s="148">
        <f t="shared" si="5"/>
        <v>4</v>
      </c>
      <c r="R1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SALIMATA DJINDO BUYO BENKADI  TOLBA    KOUADIO KOFFI TEYA                 F  </v>
      </c>
      <c r="Z142" s="53"/>
      <c r="AA142" s="5"/>
      <c r="AB142" s="48"/>
      <c r="AD142" s="41"/>
      <c r="AH142" s="18"/>
      <c r="AI142" s="17"/>
      <c r="AK142" s="15"/>
      <c r="AN142" s="147"/>
      <c r="AO142" s="15"/>
      <c r="AP142" s="148"/>
    </row>
    <row r="143" spans="1:42" ht="16.5" x14ac:dyDescent="0.35">
      <c r="A143" s="53">
        <v>142</v>
      </c>
      <c r="B143" s="5" t="s">
        <v>207</v>
      </c>
      <c r="C143" s="48" t="s">
        <v>660</v>
      </c>
      <c r="D143" t="s">
        <v>222</v>
      </c>
      <c r="E143" s="41" t="s">
        <v>221</v>
      </c>
      <c r="I143" s="18" t="s">
        <v>53</v>
      </c>
      <c r="L143" s="15" t="s">
        <v>2</v>
      </c>
      <c r="O143" s="147">
        <v>3</v>
      </c>
      <c r="P143" s="15">
        <v>0</v>
      </c>
      <c r="Q143" s="148">
        <f t="shared" si="5"/>
        <v>3</v>
      </c>
      <c r="R1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CAMARA AICHA BUYO BENKADI  TOLBA    KOUADIO KOFFI TEYA                 F  </v>
      </c>
      <c r="Z143" s="53"/>
      <c r="AA143" s="5"/>
      <c r="AB143" s="48"/>
      <c r="AD143" s="41"/>
      <c r="AH143" s="18"/>
      <c r="AI143" s="17"/>
      <c r="AK143" s="15"/>
      <c r="AN143" s="147"/>
      <c r="AO143" s="15"/>
      <c r="AP143" s="148"/>
    </row>
    <row r="144" spans="1:42" ht="16.5" x14ac:dyDescent="0.35">
      <c r="A144" s="53">
        <v>143</v>
      </c>
      <c r="B144" s="5" t="s">
        <v>197</v>
      </c>
      <c r="C144" s="48" t="s">
        <v>660</v>
      </c>
      <c r="D144" t="s">
        <v>222</v>
      </c>
      <c r="E144" s="41" t="s">
        <v>221</v>
      </c>
      <c r="I144" s="18" t="s">
        <v>53</v>
      </c>
      <c r="L144" s="15" t="s">
        <v>2</v>
      </c>
      <c r="O144" s="147">
        <v>3</v>
      </c>
      <c r="P144" s="15">
        <v>0</v>
      </c>
      <c r="Q144" s="148">
        <f t="shared" si="5"/>
        <v>3</v>
      </c>
      <c r="R1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DICO FATOUMATA BUYO BENKADI  TOLBA    KOUADIO KOFFI TEYA                 F  </v>
      </c>
      <c r="Z144" s="53"/>
      <c r="AA144" s="5"/>
      <c r="AB144" s="48"/>
      <c r="AD144" s="41"/>
      <c r="AH144" s="18"/>
      <c r="AI144" s="17"/>
      <c r="AK144" s="15"/>
      <c r="AN144" s="147"/>
      <c r="AO144" s="15"/>
      <c r="AP144" s="148"/>
    </row>
    <row r="145" spans="1:42" ht="16.5" x14ac:dyDescent="0.35">
      <c r="A145" s="53">
        <v>144</v>
      </c>
      <c r="B145" s="5" t="s">
        <v>208</v>
      </c>
      <c r="C145" s="48" t="s">
        <v>660</v>
      </c>
      <c r="D145" t="s">
        <v>222</v>
      </c>
      <c r="E145" s="41" t="s">
        <v>221</v>
      </c>
      <c r="I145" s="18" t="s">
        <v>53</v>
      </c>
      <c r="L145" s="15" t="s">
        <v>2</v>
      </c>
      <c r="O145" s="147">
        <v>4</v>
      </c>
      <c r="P145" s="15">
        <v>1</v>
      </c>
      <c r="Q145" s="148">
        <f t="shared" si="5"/>
        <v>5</v>
      </c>
      <c r="R1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DJINIMBA BUYO BENKADI  TOLBA    KOUADIO KOFFI TEYA                 F  </v>
      </c>
      <c r="Z145" s="53"/>
      <c r="AA145" s="5"/>
      <c r="AB145" s="48"/>
      <c r="AD145" s="41"/>
      <c r="AH145" s="18"/>
      <c r="AI145" s="17"/>
      <c r="AK145" s="15"/>
      <c r="AN145" s="147"/>
      <c r="AO145" s="15"/>
      <c r="AP145" s="148"/>
    </row>
    <row r="146" spans="1:42" ht="16.5" x14ac:dyDescent="0.35">
      <c r="A146" s="53">
        <v>145</v>
      </c>
      <c r="B146" s="5" t="s">
        <v>209</v>
      </c>
      <c r="C146" s="48" t="s">
        <v>660</v>
      </c>
      <c r="D146" t="s">
        <v>222</v>
      </c>
      <c r="E146" s="41" t="s">
        <v>221</v>
      </c>
      <c r="I146" s="18" t="s">
        <v>53</v>
      </c>
      <c r="L146" s="15" t="s">
        <v>2</v>
      </c>
      <c r="O146" s="147">
        <v>2</v>
      </c>
      <c r="P146" s="15">
        <v>2</v>
      </c>
      <c r="Q146" s="148">
        <f t="shared" si="5"/>
        <v>4</v>
      </c>
      <c r="R1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CENSER DJOULDE BUYO BENKADI  TOLBA    KOUADIO KOFFI TEYA                 F  </v>
      </c>
      <c r="Z146" s="53"/>
      <c r="AA146" s="5"/>
      <c r="AB146" s="48"/>
      <c r="AD146" s="41"/>
      <c r="AH146" s="18"/>
      <c r="AI146" s="17"/>
      <c r="AK146" s="15"/>
      <c r="AN146" s="147"/>
      <c r="AO146" s="15"/>
      <c r="AP146" s="148"/>
    </row>
    <row r="147" spans="1:42" ht="16.5" x14ac:dyDescent="0.35">
      <c r="A147" s="53">
        <v>146</v>
      </c>
      <c r="B147" s="5" t="s">
        <v>210</v>
      </c>
      <c r="C147" s="48" t="s">
        <v>660</v>
      </c>
      <c r="D147" t="s">
        <v>222</v>
      </c>
      <c r="E147" s="41" t="s">
        <v>221</v>
      </c>
      <c r="I147" s="18" t="s">
        <v>53</v>
      </c>
      <c r="L147" s="15" t="s">
        <v>2</v>
      </c>
      <c r="O147" s="147">
        <v>4</v>
      </c>
      <c r="P147" s="15">
        <v>1</v>
      </c>
      <c r="Q147" s="148">
        <f t="shared" si="5"/>
        <v>5</v>
      </c>
      <c r="R1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ADI 1 BUYO BENKADI  TOLBA    KOUADIO KOFFI TEYA                 F  </v>
      </c>
      <c r="Z147" s="53"/>
      <c r="AA147" s="5"/>
      <c r="AB147" s="48"/>
      <c r="AD147" s="41"/>
      <c r="AH147" s="18"/>
      <c r="AI147" s="17"/>
      <c r="AK147" s="15"/>
      <c r="AN147" s="147"/>
      <c r="AO147" s="15"/>
      <c r="AP147" s="148"/>
    </row>
    <row r="148" spans="1:42" ht="16.5" x14ac:dyDescent="0.35">
      <c r="A148" s="53">
        <v>147</v>
      </c>
      <c r="B148" s="5" t="s">
        <v>211</v>
      </c>
      <c r="C148" s="48" t="s">
        <v>660</v>
      </c>
      <c r="D148" t="s">
        <v>222</v>
      </c>
      <c r="E148" s="41" t="s">
        <v>221</v>
      </c>
      <c r="I148" s="18" t="s">
        <v>53</v>
      </c>
      <c r="L148" s="15" t="s">
        <v>2</v>
      </c>
      <c r="O148" s="147">
        <v>1</v>
      </c>
      <c r="P148" s="15">
        <v>1</v>
      </c>
      <c r="Q148" s="148">
        <f t="shared" si="5"/>
        <v>2</v>
      </c>
      <c r="R1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ADI 2 BUYO BENKADI  TOLBA    KOUADIO KOFFI TEYA                 F  </v>
      </c>
      <c r="Z148" s="53"/>
      <c r="AA148" s="5"/>
      <c r="AB148" s="48"/>
      <c r="AD148" s="41"/>
      <c r="AH148" s="18"/>
      <c r="AI148" s="17"/>
      <c r="AK148" s="15"/>
      <c r="AN148" s="147"/>
      <c r="AO148" s="15"/>
      <c r="AP148" s="148"/>
    </row>
    <row r="149" spans="1:42" ht="16.5" x14ac:dyDescent="0.35">
      <c r="A149" s="53">
        <v>148</v>
      </c>
      <c r="B149" s="5" t="s">
        <v>212</v>
      </c>
      <c r="C149" s="48" t="s">
        <v>660</v>
      </c>
      <c r="D149" t="s">
        <v>222</v>
      </c>
      <c r="E149" s="41" t="s">
        <v>221</v>
      </c>
      <c r="I149" s="18" t="s">
        <v>53</v>
      </c>
      <c r="L149" s="15" t="s">
        <v>2</v>
      </c>
      <c r="O149" s="147">
        <v>1</v>
      </c>
      <c r="P149" s="15">
        <v>1</v>
      </c>
      <c r="Q149" s="148">
        <f t="shared" si="5"/>
        <v>2</v>
      </c>
      <c r="R1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DEMBELE KOUMBA BUYO BENKADI  TOLBA    KOUADIO KOFFI TEYA                 F  </v>
      </c>
      <c r="Z149" s="53"/>
      <c r="AA149" s="5"/>
      <c r="AB149" s="48"/>
      <c r="AD149" s="41"/>
      <c r="AH149" s="18"/>
      <c r="AI149" s="17"/>
      <c r="AK149" s="15"/>
      <c r="AN149" s="147"/>
      <c r="AO149" s="15"/>
      <c r="AP149" s="148"/>
    </row>
    <row r="150" spans="1:42" ht="16.5" x14ac:dyDescent="0.35">
      <c r="A150" s="53">
        <v>149</v>
      </c>
      <c r="B150" s="5" t="s">
        <v>213</v>
      </c>
      <c r="C150" s="48" t="s">
        <v>660</v>
      </c>
      <c r="D150" t="s">
        <v>222</v>
      </c>
      <c r="E150" s="41" t="s">
        <v>221</v>
      </c>
      <c r="I150" s="18" t="s">
        <v>53</v>
      </c>
      <c r="L150" s="15" t="s">
        <v>2</v>
      </c>
      <c r="O150" s="147">
        <v>2</v>
      </c>
      <c r="P150" s="15">
        <v>0</v>
      </c>
      <c r="Q150" s="148">
        <f t="shared" si="5"/>
        <v>2</v>
      </c>
      <c r="R1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FATOUMATA TAMBOURA BUYO BENKADI  TOLBA    KOUADIO KOFFI TEYA                 F  </v>
      </c>
      <c r="Z150" s="53"/>
      <c r="AA150" s="5"/>
      <c r="AB150" s="48"/>
      <c r="AD150" s="41"/>
      <c r="AH150" s="18"/>
      <c r="AI150" s="17"/>
      <c r="AK150" s="15"/>
      <c r="AN150" s="147"/>
      <c r="AO150" s="15"/>
      <c r="AP150" s="148"/>
    </row>
    <row r="151" spans="1:42" ht="16.5" x14ac:dyDescent="0.35">
      <c r="A151" s="53">
        <v>150</v>
      </c>
      <c r="B151" s="5" t="s">
        <v>214</v>
      </c>
      <c r="C151" s="48" t="s">
        <v>660</v>
      </c>
      <c r="D151" t="s">
        <v>222</v>
      </c>
      <c r="E151" s="41" t="s">
        <v>221</v>
      </c>
      <c r="I151" s="18" t="s">
        <v>53</v>
      </c>
      <c r="L151" s="15" t="s">
        <v>2</v>
      </c>
      <c r="O151" s="147">
        <v>1</v>
      </c>
      <c r="P151" s="15">
        <v>1</v>
      </c>
      <c r="Q151" s="148">
        <f t="shared" si="5"/>
        <v>2</v>
      </c>
      <c r="R1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ZONGO FATI BUYO BENKADI  TOLBA    KOUADIO KOFFI TEYA                 F  </v>
      </c>
      <c r="Z151" s="53"/>
      <c r="AA151" s="5"/>
      <c r="AB151" s="48"/>
      <c r="AD151" s="41"/>
      <c r="AH151" s="18"/>
      <c r="AI151" s="17"/>
      <c r="AK151" s="15"/>
      <c r="AN151" s="147"/>
      <c r="AO151" s="15"/>
      <c r="AP151" s="148"/>
    </row>
    <row r="152" spans="1:42" ht="16.5" x14ac:dyDescent="0.35">
      <c r="A152" s="53">
        <v>151</v>
      </c>
      <c r="B152" s="5" t="s">
        <v>215</v>
      </c>
      <c r="C152" s="48" t="s">
        <v>660</v>
      </c>
      <c r="D152" t="s">
        <v>222</v>
      </c>
      <c r="E152" s="41" t="s">
        <v>221</v>
      </c>
      <c r="I152" s="18" t="s">
        <v>53</v>
      </c>
      <c r="L152" s="15" t="s">
        <v>2</v>
      </c>
      <c r="O152" s="147">
        <v>2</v>
      </c>
      <c r="P152" s="15">
        <v>0</v>
      </c>
      <c r="Q152" s="148">
        <f t="shared" si="5"/>
        <v>2</v>
      </c>
      <c r="R1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MARIAM SIDIBE BUYO BENKADI  TOLBA    KOUADIO KOFFI TEYA                 F  </v>
      </c>
      <c r="Z152" s="53"/>
      <c r="AA152" s="5"/>
      <c r="AB152" s="48"/>
      <c r="AD152" s="41"/>
      <c r="AH152" s="18"/>
      <c r="AI152" s="17"/>
      <c r="AK152" s="15"/>
      <c r="AN152" s="147"/>
      <c r="AO152" s="15"/>
      <c r="AP152" s="148"/>
    </row>
    <row r="153" spans="1:42" ht="16.5" x14ac:dyDescent="0.35">
      <c r="A153" s="53">
        <v>152</v>
      </c>
      <c r="B153" s="5" t="s">
        <v>216</v>
      </c>
      <c r="C153" s="48" t="s">
        <v>660</v>
      </c>
      <c r="D153" t="s">
        <v>222</v>
      </c>
      <c r="E153" s="41" t="s">
        <v>221</v>
      </c>
      <c r="I153" s="18" t="s">
        <v>53</v>
      </c>
      <c r="L153" s="15" t="s">
        <v>2</v>
      </c>
      <c r="O153" s="147">
        <v>5</v>
      </c>
      <c r="P153" s="15">
        <v>0</v>
      </c>
      <c r="Q153" s="148">
        <f t="shared" si="5"/>
        <v>5</v>
      </c>
      <c r="R1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AHIDARA RAHIMOUNAN BUYO BENKADI  TOLBA    KOUADIO KOFFI TEYA                 F  </v>
      </c>
      <c r="Z153" s="53"/>
      <c r="AA153" s="5"/>
      <c r="AB153" s="48"/>
      <c r="AD153" s="41"/>
      <c r="AH153" s="18"/>
      <c r="AI153" s="17"/>
      <c r="AK153" s="15"/>
      <c r="AN153" s="147"/>
      <c r="AO153" s="15"/>
      <c r="AP153" s="148"/>
    </row>
    <row r="154" spans="1:42" ht="16.5" x14ac:dyDescent="0.5">
      <c r="A154" s="53">
        <v>153</v>
      </c>
      <c r="B154" s="5" t="s">
        <v>217</v>
      </c>
      <c r="C154" s="48" t="s">
        <v>660</v>
      </c>
      <c r="D154" t="s">
        <v>222</v>
      </c>
      <c r="E154" s="41" t="s">
        <v>221</v>
      </c>
      <c r="I154" s="18" t="s">
        <v>53</v>
      </c>
      <c r="L154" s="15" t="s">
        <v>2</v>
      </c>
      <c r="O154" s="149">
        <v>2</v>
      </c>
      <c r="P154" s="149">
        <v>0</v>
      </c>
      <c r="Q154" s="148">
        <f t="shared" si="5"/>
        <v>2</v>
      </c>
      <c r="R1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AWA 1 BUYO BENKADI  TOLBA    KOUADIO KOFFI TEYA                 F  </v>
      </c>
      <c r="Z154" s="53"/>
      <c r="AA154" s="5"/>
      <c r="AB154" s="48"/>
      <c r="AD154" s="41"/>
      <c r="AH154" s="18"/>
      <c r="AI154" s="17"/>
      <c r="AK154" s="15"/>
      <c r="AN154" s="149"/>
      <c r="AO154" s="149"/>
      <c r="AP154" s="148"/>
    </row>
    <row r="155" spans="1:42" ht="16.5" x14ac:dyDescent="0.35">
      <c r="A155" s="53">
        <v>154</v>
      </c>
      <c r="B155" s="5" t="s">
        <v>218</v>
      </c>
      <c r="C155" s="48" t="s">
        <v>660</v>
      </c>
      <c r="D155" t="s">
        <v>222</v>
      </c>
      <c r="E155" s="41" t="s">
        <v>221</v>
      </c>
      <c r="I155" s="18" t="s">
        <v>53</v>
      </c>
      <c r="L155" s="15" t="s">
        <v>2</v>
      </c>
      <c r="O155" s="151">
        <v>5</v>
      </c>
      <c r="P155" s="151">
        <v>0</v>
      </c>
      <c r="Q155" s="148">
        <f t="shared" si="5"/>
        <v>5</v>
      </c>
      <c r="R1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AWA 2 BUYO BENKADI  TOLBA    KOUADIO KOFFI TEYA                 F  </v>
      </c>
      <c r="Z155" s="53"/>
      <c r="AA155" s="5"/>
      <c r="AB155" s="48"/>
      <c r="AD155" s="41"/>
      <c r="AH155" s="18"/>
      <c r="AI155" s="17"/>
      <c r="AK155" s="15"/>
      <c r="AN155" s="151"/>
      <c r="AO155" s="151"/>
      <c r="AP155" s="148"/>
    </row>
    <row r="156" spans="1:42" ht="16.5" x14ac:dyDescent="0.35">
      <c r="A156" s="53">
        <v>155</v>
      </c>
      <c r="B156" s="27" t="s">
        <v>219</v>
      </c>
      <c r="C156" s="48" t="s">
        <v>660</v>
      </c>
      <c r="D156" t="s">
        <v>222</v>
      </c>
      <c r="E156" s="41" t="s">
        <v>221</v>
      </c>
      <c r="I156" s="18" t="s">
        <v>53</v>
      </c>
      <c r="L156" s="16" t="s">
        <v>2</v>
      </c>
      <c r="O156" s="143">
        <v>4</v>
      </c>
      <c r="P156" s="143">
        <v>2</v>
      </c>
      <c r="Q156" s="148">
        <f t="shared" si="5"/>
        <v>6</v>
      </c>
      <c r="R1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AHOULATA BUYO BENKADI  TOLBA    KOUADIO KOFFI TEYA                 F  </v>
      </c>
      <c r="Z156" s="53"/>
      <c r="AA156" s="27"/>
      <c r="AB156" s="48"/>
      <c r="AD156" s="41"/>
      <c r="AH156" s="18"/>
      <c r="AI156" s="17"/>
      <c r="AK156" s="16"/>
      <c r="AN156" s="143"/>
      <c r="AO156" s="143"/>
      <c r="AP156" s="148"/>
    </row>
    <row r="157" spans="1:42" ht="17" thickBot="1" x14ac:dyDescent="0.4">
      <c r="A157" s="53">
        <v>156</v>
      </c>
      <c r="B157" s="12" t="s">
        <v>220</v>
      </c>
      <c r="C157" s="48" t="s">
        <v>660</v>
      </c>
      <c r="D157" t="s">
        <v>222</v>
      </c>
      <c r="E157" s="41" t="s">
        <v>221</v>
      </c>
      <c r="I157" s="18" t="s">
        <v>53</v>
      </c>
      <c r="L157" s="141" t="s">
        <v>2</v>
      </c>
      <c r="O157" s="143">
        <v>2</v>
      </c>
      <c r="P157" s="143">
        <v>2</v>
      </c>
      <c r="Q157" s="182">
        <f t="shared" si="5"/>
        <v>4</v>
      </c>
      <c r="R1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COULIBALY FATOUMATA BUYO BENKADI  TOLBA    KOUADIO KOFFI TEYA                 F  </v>
      </c>
      <c r="Z157" s="53"/>
      <c r="AA157" s="12"/>
      <c r="AB157" s="48"/>
      <c r="AD157" s="41"/>
      <c r="AH157" s="18"/>
      <c r="AI157" s="17"/>
      <c r="AK157" s="141"/>
      <c r="AN157" s="143"/>
      <c r="AO157" s="143"/>
      <c r="AP157" s="182"/>
    </row>
    <row r="158" spans="1:42" ht="16.5" x14ac:dyDescent="0.35">
      <c r="A158" s="53">
        <v>157</v>
      </c>
      <c r="B158" s="5" t="s">
        <v>223</v>
      </c>
      <c r="C158" s="48" t="s">
        <v>660</v>
      </c>
      <c r="D158" t="s">
        <v>253</v>
      </c>
      <c r="E158" s="41" t="s">
        <v>254</v>
      </c>
      <c r="H158" s="3" t="s">
        <v>285</v>
      </c>
      <c r="I158" s="18" t="s">
        <v>53</v>
      </c>
      <c r="L158" s="15" t="s">
        <v>2</v>
      </c>
      <c r="O158" s="147">
        <v>3</v>
      </c>
      <c r="P158" s="15">
        <v>1</v>
      </c>
      <c r="Q158" s="148">
        <f>SUM(O158:P158)</f>
        <v>4</v>
      </c>
      <c r="R1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KRAMO N'DRI BUYO NANKOKO  YAOBLEKRO   0566619111 KOUADIO KOFFI TEYA                 F  </v>
      </c>
      <c r="Z158" s="53"/>
      <c r="AA158" s="5"/>
      <c r="AB158" s="48"/>
      <c r="AD158" s="41"/>
      <c r="AG158" s="3"/>
      <c r="AH158" s="18"/>
      <c r="AI158" s="17"/>
      <c r="AK158" s="15"/>
      <c r="AN158" s="147"/>
      <c r="AO158" s="15"/>
      <c r="AP158" s="148"/>
    </row>
    <row r="159" spans="1:42" ht="16.5" x14ac:dyDescent="0.35">
      <c r="A159" s="53">
        <v>158</v>
      </c>
      <c r="B159" s="5" t="s">
        <v>224</v>
      </c>
      <c r="C159" s="48" t="s">
        <v>660</v>
      </c>
      <c r="D159" t="s">
        <v>253</v>
      </c>
      <c r="E159" s="41" t="s">
        <v>254</v>
      </c>
      <c r="H159" s="3" t="s">
        <v>286</v>
      </c>
      <c r="I159" s="18" t="s">
        <v>53</v>
      </c>
      <c r="L159" s="15" t="s">
        <v>9</v>
      </c>
      <c r="O159" s="147">
        <v>3</v>
      </c>
      <c r="P159" s="15">
        <v>3</v>
      </c>
      <c r="Q159" s="148">
        <f t="shared" ref="Q159:Q187" si="6">SUM(O159:P159)</f>
        <v>6</v>
      </c>
      <c r="R1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KOUAKOU DIDIER BUYO NANKOKO  YAOBLEKRO   0787632020 KOUADIO KOFFI TEYA                 M  </v>
      </c>
      <c r="Z159" s="53"/>
      <c r="AA159" s="5"/>
      <c r="AB159" s="48"/>
      <c r="AD159" s="41"/>
      <c r="AG159" s="3"/>
      <c r="AH159" s="18"/>
      <c r="AI159" s="17"/>
      <c r="AK159" s="15"/>
      <c r="AN159" s="147"/>
      <c r="AO159" s="15"/>
      <c r="AP159" s="148"/>
    </row>
    <row r="160" spans="1:42" ht="16.5" x14ac:dyDescent="0.35">
      <c r="A160" s="53">
        <v>159</v>
      </c>
      <c r="B160" s="5" t="s">
        <v>225</v>
      </c>
      <c r="C160" s="48" t="s">
        <v>660</v>
      </c>
      <c r="D160" t="s">
        <v>253</v>
      </c>
      <c r="E160" s="41" t="s">
        <v>254</v>
      </c>
      <c r="H160" s="3" t="s">
        <v>287</v>
      </c>
      <c r="I160" s="18" t="s">
        <v>53</v>
      </c>
      <c r="L160" s="15" t="s">
        <v>2</v>
      </c>
      <c r="O160" s="147">
        <v>4</v>
      </c>
      <c r="P160" s="15">
        <v>2</v>
      </c>
      <c r="Q160" s="148">
        <f t="shared" si="6"/>
        <v>6</v>
      </c>
      <c r="R1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AHOU BUYO NANKOKO  YAOBLEKRO   0789572158 KOUADIO KOFFI TEYA                 F  </v>
      </c>
      <c r="Z160" s="53"/>
      <c r="AA160" s="5"/>
      <c r="AB160" s="48"/>
      <c r="AD160" s="41"/>
      <c r="AG160" s="3"/>
      <c r="AH160" s="18"/>
      <c r="AI160" s="17"/>
      <c r="AK160" s="15"/>
      <c r="AN160" s="147"/>
      <c r="AO160" s="15"/>
      <c r="AP160" s="148"/>
    </row>
    <row r="161" spans="1:42" ht="16.5" x14ac:dyDescent="0.35">
      <c r="A161" s="53">
        <v>160</v>
      </c>
      <c r="B161" s="5" t="s">
        <v>226</v>
      </c>
      <c r="C161" s="48" t="s">
        <v>660</v>
      </c>
      <c r="D161" t="s">
        <v>253</v>
      </c>
      <c r="E161" s="41" t="s">
        <v>254</v>
      </c>
      <c r="H161" s="3" t="s">
        <v>288</v>
      </c>
      <c r="I161" s="18" t="s">
        <v>53</v>
      </c>
      <c r="L161" s="15" t="s">
        <v>2</v>
      </c>
      <c r="O161" s="147">
        <v>2</v>
      </c>
      <c r="P161" s="15">
        <v>4</v>
      </c>
      <c r="Q161" s="148">
        <f t="shared" si="6"/>
        <v>6</v>
      </c>
      <c r="R1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N'GATTA AHOU MARCELINE BUYO NANKOKO  YAOBLEKRO   015231510 KOUADIO KOFFI TEYA                 F  </v>
      </c>
      <c r="Z161" s="53"/>
      <c r="AA161" s="5"/>
      <c r="AB161" s="48"/>
      <c r="AD161" s="41"/>
      <c r="AG161" s="3"/>
      <c r="AH161" s="18"/>
      <c r="AI161" s="17"/>
      <c r="AK161" s="15"/>
      <c r="AN161" s="147"/>
      <c r="AO161" s="15"/>
      <c r="AP161" s="148"/>
    </row>
    <row r="162" spans="1:42" ht="16.5" x14ac:dyDescent="0.35">
      <c r="A162" s="53">
        <v>161</v>
      </c>
      <c r="B162" s="5" t="s">
        <v>227</v>
      </c>
      <c r="C162" s="48" t="s">
        <v>660</v>
      </c>
      <c r="D162" t="s">
        <v>253</v>
      </c>
      <c r="E162" s="41" t="s">
        <v>254</v>
      </c>
      <c r="H162" s="3" t="s">
        <v>289</v>
      </c>
      <c r="I162" s="18" t="s">
        <v>53</v>
      </c>
      <c r="L162" s="15" t="s">
        <v>9</v>
      </c>
      <c r="O162" s="147">
        <v>4</v>
      </c>
      <c r="P162" s="15">
        <v>3</v>
      </c>
      <c r="Q162" s="148">
        <f t="shared" si="6"/>
        <v>7</v>
      </c>
      <c r="R1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KOUASSI DESIRE BUYO NANKOKO  YAOBLEKRO   07768106255 KOUADIO KOFFI TEYA                 M  </v>
      </c>
      <c r="Z162" s="53"/>
      <c r="AA162" s="5"/>
      <c r="AB162" s="48"/>
      <c r="AD162" s="41"/>
      <c r="AG162" s="3"/>
      <c r="AH162" s="18"/>
      <c r="AI162" s="17"/>
      <c r="AK162" s="15"/>
      <c r="AN162" s="147"/>
      <c r="AO162" s="15"/>
      <c r="AP162" s="148"/>
    </row>
    <row r="163" spans="1:42" ht="16.5" x14ac:dyDescent="0.35">
      <c r="A163" s="53">
        <v>162</v>
      </c>
      <c r="B163" s="5" t="s">
        <v>228</v>
      </c>
      <c r="C163" s="48" t="s">
        <v>660</v>
      </c>
      <c r="D163" t="s">
        <v>253</v>
      </c>
      <c r="E163" s="41" t="s">
        <v>254</v>
      </c>
      <c r="H163" s="3" t="s">
        <v>290</v>
      </c>
      <c r="I163" s="18" t="s">
        <v>53</v>
      </c>
      <c r="L163" s="15" t="s">
        <v>9</v>
      </c>
      <c r="O163" s="147">
        <v>2</v>
      </c>
      <c r="P163" s="15">
        <v>1</v>
      </c>
      <c r="Q163" s="148">
        <f t="shared" si="6"/>
        <v>3</v>
      </c>
      <c r="R1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KOUASSI DESIRE BUYO NANKOKO  YAOBLEKRO   0546520208 KOUADIO KOFFI TEYA                 M  </v>
      </c>
      <c r="Z163" s="53"/>
      <c r="AA163" s="5"/>
      <c r="AB163" s="48"/>
      <c r="AD163" s="41"/>
      <c r="AG163" s="3"/>
      <c r="AH163" s="18"/>
      <c r="AI163" s="17"/>
      <c r="AK163" s="15"/>
      <c r="AN163" s="147"/>
      <c r="AO163" s="15"/>
      <c r="AP163" s="148"/>
    </row>
    <row r="164" spans="1:42" ht="16.5" x14ac:dyDescent="0.35">
      <c r="A164" s="53">
        <v>163</v>
      </c>
      <c r="B164" s="5" t="s">
        <v>229</v>
      </c>
      <c r="C164" s="48" t="s">
        <v>660</v>
      </c>
      <c r="D164" t="s">
        <v>253</v>
      </c>
      <c r="E164" s="41" t="s">
        <v>254</v>
      </c>
      <c r="H164" s="3"/>
      <c r="I164" s="18" t="s">
        <v>53</v>
      </c>
      <c r="L164" s="15" t="s">
        <v>9</v>
      </c>
      <c r="O164" s="147">
        <v>1</v>
      </c>
      <c r="P164" s="15">
        <v>3</v>
      </c>
      <c r="Q164" s="148">
        <f t="shared" si="6"/>
        <v>4</v>
      </c>
      <c r="R1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TORO ISSIAKA BUYO NANKOKO  YAOBLEKRO    KOUADIO KOFFI TEYA                 M  </v>
      </c>
      <c r="Z164" s="53"/>
      <c r="AA164" s="5"/>
      <c r="AB164" s="48"/>
      <c r="AD164" s="41"/>
      <c r="AG164" s="3"/>
      <c r="AH164" s="18"/>
      <c r="AI164" s="17"/>
      <c r="AK164" s="15"/>
      <c r="AN164" s="147"/>
      <c r="AO164" s="15"/>
      <c r="AP164" s="148"/>
    </row>
    <row r="165" spans="1:42" ht="16.5" x14ac:dyDescent="0.35">
      <c r="A165" s="53">
        <v>164</v>
      </c>
      <c r="B165" s="5" t="s">
        <v>230</v>
      </c>
      <c r="C165" s="48" t="s">
        <v>660</v>
      </c>
      <c r="D165" t="s">
        <v>253</v>
      </c>
      <c r="E165" s="41" t="s">
        <v>254</v>
      </c>
      <c r="H165" s="3" t="s">
        <v>291</v>
      </c>
      <c r="I165" s="18" t="s">
        <v>53</v>
      </c>
      <c r="L165" s="15" t="s">
        <v>9</v>
      </c>
      <c r="O165" s="147">
        <v>2</v>
      </c>
      <c r="P165" s="15">
        <v>2</v>
      </c>
      <c r="Q165" s="148">
        <f t="shared" si="6"/>
        <v>4</v>
      </c>
      <c r="R1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KONSA KOFFI N'DAYE BUYO NANKOKO  YAOBLEKRO   0798441003 KOUADIO KOFFI TEYA                 M  </v>
      </c>
      <c r="Z165" s="53"/>
      <c r="AA165" s="5"/>
      <c r="AB165" s="48"/>
      <c r="AD165" s="41"/>
      <c r="AG165" s="3"/>
      <c r="AH165" s="18"/>
      <c r="AI165" s="17"/>
      <c r="AK165" s="15"/>
      <c r="AN165" s="147"/>
      <c r="AO165" s="15"/>
      <c r="AP165" s="148"/>
    </row>
    <row r="166" spans="1:42" ht="16.5" x14ac:dyDescent="0.35">
      <c r="A166" s="53">
        <v>165</v>
      </c>
      <c r="B166" s="5" t="s">
        <v>231</v>
      </c>
      <c r="C166" s="48" t="s">
        <v>660</v>
      </c>
      <c r="D166" t="s">
        <v>253</v>
      </c>
      <c r="E166" s="41" t="s">
        <v>254</v>
      </c>
      <c r="H166" s="3"/>
      <c r="I166" s="18" t="s">
        <v>53</v>
      </c>
      <c r="L166" s="15" t="s">
        <v>2</v>
      </c>
      <c r="O166" s="147">
        <v>1</v>
      </c>
      <c r="P166" s="15">
        <v>0</v>
      </c>
      <c r="Q166" s="148">
        <f t="shared" si="6"/>
        <v>1</v>
      </c>
      <c r="R1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AHOU VIVIANE BUYO NANKOKO  YAOBLEKRO    KOUADIO KOFFI TEYA                 F  </v>
      </c>
      <c r="Z166" s="53"/>
      <c r="AA166" s="5"/>
      <c r="AB166" s="48"/>
      <c r="AD166" s="41"/>
      <c r="AG166" s="3"/>
      <c r="AH166" s="18"/>
      <c r="AI166" s="17"/>
      <c r="AK166" s="15"/>
      <c r="AN166" s="147"/>
      <c r="AO166" s="15"/>
      <c r="AP166" s="148"/>
    </row>
    <row r="167" spans="1:42" ht="16.5" x14ac:dyDescent="0.35">
      <c r="A167" s="53">
        <v>166</v>
      </c>
      <c r="B167" s="5" t="s">
        <v>232</v>
      </c>
      <c r="C167" s="48" t="s">
        <v>660</v>
      </c>
      <c r="D167" t="s">
        <v>253</v>
      </c>
      <c r="E167" s="41" t="s">
        <v>254</v>
      </c>
      <c r="H167" s="3"/>
      <c r="I167" s="18" t="s">
        <v>53</v>
      </c>
      <c r="L167" s="15" t="s">
        <v>2</v>
      </c>
      <c r="O167" s="147">
        <v>1</v>
      </c>
      <c r="P167" s="15">
        <v>1</v>
      </c>
      <c r="Q167" s="148">
        <f t="shared" si="6"/>
        <v>2</v>
      </c>
      <c r="R1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N'GUESSAN BUYO NANKOKO  YAOBLEKRO    KOUADIO KOFFI TEYA                 F  </v>
      </c>
      <c r="Z167" s="53"/>
      <c r="AA167" s="5"/>
      <c r="AB167" s="48"/>
      <c r="AD167" s="41"/>
      <c r="AG167" s="3"/>
      <c r="AH167" s="18"/>
      <c r="AI167" s="17"/>
      <c r="AK167" s="15"/>
      <c r="AN167" s="147"/>
      <c r="AO167" s="15"/>
      <c r="AP167" s="148"/>
    </row>
    <row r="168" spans="1:42" ht="16.5" x14ac:dyDescent="0.35">
      <c r="A168" s="53">
        <v>167</v>
      </c>
      <c r="B168" s="5" t="s">
        <v>233</v>
      </c>
      <c r="C168" s="48" t="s">
        <v>660</v>
      </c>
      <c r="D168" t="s">
        <v>253</v>
      </c>
      <c r="E168" s="41" t="s">
        <v>254</v>
      </c>
      <c r="H168" s="3"/>
      <c r="I168" s="18" t="s">
        <v>53</v>
      </c>
      <c r="L168" s="15" t="s">
        <v>2</v>
      </c>
      <c r="O168" s="147">
        <v>0</v>
      </c>
      <c r="P168" s="15">
        <v>2</v>
      </c>
      <c r="Q168" s="148">
        <f t="shared" si="6"/>
        <v>2</v>
      </c>
      <c r="R1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KRAMO AFFOUE BUYO NANKOKO  YAOBLEKRO    KOUADIO KOFFI TEYA                 F  </v>
      </c>
      <c r="Z168" s="53"/>
      <c r="AA168" s="5"/>
      <c r="AB168" s="48"/>
      <c r="AD168" s="41"/>
      <c r="AG168" s="3"/>
      <c r="AH168" s="18"/>
      <c r="AI168" s="17"/>
      <c r="AK168" s="15"/>
      <c r="AN168" s="147"/>
      <c r="AO168" s="15"/>
      <c r="AP168" s="148"/>
    </row>
    <row r="169" spans="1:42" ht="16.5" x14ac:dyDescent="0.35">
      <c r="A169" s="53">
        <v>168</v>
      </c>
      <c r="B169" s="5" t="s">
        <v>234</v>
      </c>
      <c r="C169" s="48" t="s">
        <v>660</v>
      </c>
      <c r="D169" t="s">
        <v>253</v>
      </c>
      <c r="E169" s="41" t="s">
        <v>254</v>
      </c>
      <c r="H169" s="3" t="s">
        <v>292</v>
      </c>
      <c r="I169" s="18" t="s">
        <v>53</v>
      </c>
      <c r="L169" s="15" t="s">
        <v>9</v>
      </c>
      <c r="O169" s="147">
        <v>3</v>
      </c>
      <c r="P169" s="15">
        <v>1</v>
      </c>
      <c r="Q169" s="148">
        <f t="shared" si="6"/>
        <v>4</v>
      </c>
      <c r="R1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N'DRI ALPHONSE BUYO NANKOKO  YAOBLEKRO   0708657302 KOUADIO KOFFI TEYA                 M  </v>
      </c>
      <c r="Z169" s="53"/>
      <c r="AA169" s="5"/>
      <c r="AB169" s="48"/>
      <c r="AD169" s="41"/>
      <c r="AG169" s="3"/>
      <c r="AH169" s="18"/>
      <c r="AI169" s="17"/>
      <c r="AK169" s="15"/>
      <c r="AN169" s="147"/>
      <c r="AO169" s="15"/>
      <c r="AP169" s="148"/>
    </row>
    <row r="170" spans="1:42" ht="16.5" x14ac:dyDescent="0.35">
      <c r="A170" s="53">
        <v>169</v>
      </c>
      <c r="B170" s="5" t="s">
        <v>235</v>
      </c>
      <c r="C170" s="48" t="s">
        <v>660</v>
      </c>
      <c r="D170" t="s">
        <v>253</v>
      </c>
      <c r="E170" s="41" t="s">
        <v>254</v>
      </c>
      <c r="H170" s="3" t="s">
        <v>293</v>
      </c>
      <c r="I170" s="18" t="s">
        <v>53</v>
      </c>
      <c r="L170" s="15" t="s">
        <v>9</v>
      </c>
      <c r="O170" s="147">
        <v>1</v>
      </c>
      <c r="P170" s="15">
        <v>1</v>
      </c>
      <c r="Q170" s="148">
        <f t="shared" si="6"/>
        <v>2</v>
      </c>
      <c r="R1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KOUAKOUSEYDOU DENIS BUYO NANKOKO  YAOBLEKRO   0778105884 KOUADIO KOFFI TEYA                 M  </v>
      </c>
      <c r="Z170" s="53"/>
      <c r="AA170" s="5"/>
      <c r="AB170" s="48"/>
      <c r="AD170" s="41"/>
      <c r="AG170" s="3"/>
      <c r="AH170" s="18"/>
      <c r="AI170" s="17"/>
      <c r="AK170" s="15"/>
      <c r="AN170" s="147"/>
      <c r="AO170" s="15"/>
      <c r="AP170" s="148"/>
    </row>
    <row r="171" spans="1:42" ht="16.5" x14ac:dyDescent="0.35">
      <c r="A171" s="53">
        <v>170</v>
      </c>
      <c r="B171" s="5" t="s">
        <v>236</v>
      </c>
      <c r="C171" s="48" t="s">
        <v>660</v>
      </c>
      <c r="D171" t="s">
        <v>253</v>
      </c>
      <c r="E171" s="41" t="s">
        <v>254</v>
      </c>
      <c r="H171" s="3"/>
      <c r="I171" s="18" t="s">
        <v>53</v>
      </c>
      <c r="L171" s="15" t="s">
        <v>2</v>
      </c>
      <c r="O171" s="147">
        <v>1</v>
      </c>
      <c r="P171" s="15">
        <v>2</v>
      </c>
      <c r="Q171" s="148">
        <f t="shared" si="6"/>
        <v>3</v>
      </c>
      <c r="R1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SIALOU CHANTAL BUYO NANKOKO  YAOBLEKRO    KOUADIO KOFFI TEYA                 F  </v>
      </c>
      <c r="Z171" s="53"/>
      <c r="AA171" s="5"/>
      <c r="AB171" s="48"/>
      <c r="AD171" s="41"/>
      <c r="AG171" s="3"/>
      <c r="AH171" s="18"/>
      <c r="AI171" s="17"/>
      <c r="AK171" s="15"/>
      <c r="AN171" s="147"/>
      <c r="AO171" s="15"/>
      <c r="AP171" s="148"/>
    </row>
    <row r="172" spans="1:42" ht="16.5" x14ac:dyDescent="0.35">
      <c r="A172" s="53">
        <v>171</v>
      </c>
      <c r="B172" s="5" t="s">
        <v>237</v>
      </c>
      <c r="C172" s="48" t="s">
        <v>660</v>
      </c>
      <c r="D172" t="s">
        <v>253</v>
      </c>
      <c r="E172" s="41" t="s">
        <v>254</v>
      </c>
      <c r="H172" s="3"/>
      <c r="I172" s="18" t="s">
        <v>53</v>
      </c>
      <c r="L172" s="15" t="s">
        <v>2</v>
      </c>
      <c r="O172" s="147">
        <v>3</v>
      </c>
      <c r="P172" s="15">
        <v>2</v>
      </c>
      <c r="Q172" s="148">
        <f t="shared" si="6"/>
        <v>5</v>
      </c>
      <c r="R1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AFFOUE BUYO NANKOKO  YAOBLEKRO    KOUADIO KOFFI TEYA                 F  </v>
      </c>
      <c r="Z172" s="53"/>
      <c r="AA172" s="5"/>
      <c r="AB172" s="48"/>
      <c r="AD172" s="41"/>
      <c r="AG172" s="3"/>
      <c r="AH172" s="18"/>
      <c r="AI172" s="17"/>
      <c r="AK172" s="15"/>
      <c r="AN172" s="147"/>
      <c r="AO172" s="15"/>
      <c r="AP172" s="148"/>
    </row>
    <row r="173" spans="1:42" ht="16.5" x14ac:dyDescent="0.35">
      <c r="A173" s="53">
        <v>172</v>
      </c>
      <c r="B173" s="5" t="s">
        <v>238</v>
      </c>
      <c r="C173" s="48" t="s">
        <v>660</v>
      </c>
      <c r="D173" t="s">
        <v>253</v>
      </c>
      <c r="E173" s="41" t="s">
        <v>254</v>
      </c>
      <c r="H173" s="3" t="s">
        <v>294</v>
      </c>
      <c r="I173" s="18" t="s">
        <v>53</v>
      </c>
      <c r="L173" s="15" t="s">
        <v>9</v>
      </c>
      <c r="O173" s="147">
        <v>2</v>
      </c>
      <c r="P173" s="15">
        <v>3</v>
      </c>
      <c r="Q173" s="148">
        <f t="shared" si="6"/>
        <v>5</v>
      </c>
      <c r="R1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TIEMOKO ADAMA BUYO NANKOKO  YAOBLEKRO   0748702967 KOUADIO KOFFI TEYA                 M  </v>
      </c>
      <c r="Z173" s="53"/>
      <c r="AA173" s="5"/>
      <c r="AB173" s="48"/>
      <c r="AD173" s="41"/>
      <c r="AG173" s="3"/>
      <c r="AH173" s="18"/>
      <c r="AI173" s="17"/>
      <c r="AK173" s="15"/>
      <c r="AN173" s="147"/>
      <c r="AO173" s="15"/>
      <c r="AP173" s="148"/>
    </row>
    <row r="174" spans="1:42" ht="16.5" x14ac:dyDescent="0.35">
      <c r="A174" s="53">
        <v>173</v>
      </c>
      <c r="B174" s="5" t="s">
        <v>239</v>
      </c>
      <c r="C174" s="48" t="s">
        <v>660</v>
      </c>
      <c r="D174" t="s">
        <v>253</v>
      </c>
      <c r="E174" s="41" t="s">
        <v>254</v>
      </c>
      <c r="H174" s="3"/>
      <c r="I174" s="18" t="s">
        <v>53</v>
      </c>
      <c r="L174" s="15" t="s">
        <v>2</v>
      </c>
      <c r="O174" s="147">
        <v>1</v>
      </c>
      <c r="P174" s="15">
        <v>3</v>
      </c>
      <c r="Q174" s="148">
        <f t="shared" si="6"/>
        <v>4</v>
      </c>
      <c r="R1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AKISSI BERNADETTE BUYO NANKOKO  YAOBLEKRO    KOUADIO KOFFI TEYA                 F  </v>
      </c>
      <c r="Z174" s="53"/>
      <c r="AA174" s="5"/>
      <c r="AB174" s="48"/>
      <c r="AD174" s="41"/>
      <c r="AG174" s="3"/>
      <c r="AH174" s="18"/>
      <c r="AI174" s="17"/>
      <c r="AK174" s="15"/>
      <c r="AN174" s="147"/>
      <c r="AO174" s="15"/>
      <c r="AP174" s="148"/>
    </row>
    <row r="175" spans="1:42" ht="16.5" x14ac:dyDescent="0.35">
      <c r="A175" s="53">
        <v>174</v>
      </c>
      <c r="B175" s="5" t="s">
        <v>240</v>
      </c>
      <c r="C175" s="48" t="s">
        <v>660</v>
      </c>
      <c r="D175" t="s">
        <v>253</v>
      </c>
      <c r="E175" s="41" t="s">
        <v>254</v>
      </c>
      <c r="H175" s="3"/>
      <c r="I175" s="18" t="s">
        <v>53</v>
      </c>
      <c r="L175" s="15" t="s">
        <v>2</v>
      </c>
      <c r="O175" s="147">
        <v>2</v>
      </c>
      <c r="P175" s="15">
        <v>1</v>
      </c>
      <c r="Q175" s="148">
        <f t="shared" si="6"/>
        <v>3</v>
      </c>
      <c r="R1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N'GUESSAN GEORGETTE BUYO NANKOKO  YAOBLEKRO    KOUADIO KOFFI TEYA                 F  </v>
      </c>
      <c r="Z175" s="53"/>
      <c r="AA175" s="5"/>
      <c r="AB175" s="48"/>
      <c r="AD175" s="41"/>
      <c r="AG175" s="3"/>
      <c r="AH175" s="18"/>
      <c r="AI175" s="17"/>
      <c r="AK175" s="15"/>
      <c r="AN175" s="147"/>
      <c r="AO175" s="15"/>
      <c r="AP175" s="148"/>
    </row>
    <row r="176" spans="1:42" ht="16.5" x14ac:dyDescent="0.35">
      <c r="A176" s="53">
        <v>175</v>
      </c>
      <c r="B176" s="5" t="s">
        <v>241</v>
      </c>
      <c r="C176" s="48" t="s">
        <v>660</v>
      </c>
      <c r="D176" t="s">
        <v>253</v>
      </c>
      <c r="E176" s="41" t="s">
        <v>254</v>
      </c>
      <c r="H176" s="3"/>
      <c r="I176" s="18" t="s">
        <v>53</v>
      </c>
      <c r="L176" s="15" t="s">
        <v>2</v>
      </c>
      <c r="O176" s="147">
        <v>1</v>
      </c>
      <c r="P176" s="15">
        <v>2</v>
      </c>
      <c r="Q176" s="148">
        <f t="shared" si="6"/>
        <v>3</v>
      </c>
      <c r="R1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LOME IRENE BUYO NANKOKO  YAOBLEKRO    KOUADIO KOFFI TEYA                 F  </v>
      </c>
      <c r="Z176" s="53"/>
      <c r="AA176" s="5"/>
      <c r="AB176" s="48"/>
      <c r="AD176" s="41"/>
      <c r="AG176" s="3"/>
      <c r="AH176" s="18"/>
      <c r="AI176" s="17"/>
      <c r="AK176" s="15"/>
      <c r="AN176" s="147"/>
      <c r="AO176" s="15"/>
      <c r="AP176" s="148"/>
    </row>
    <row r="177" spans="1:42" ht="16.5" x14ac:dyDescent="0.35">
      <c r="A177" s="53">
        <v>176</v>
      </c>
      <c r="B177" s="5" t="s">
        <v>242</v>
      </c>
      <c r="C177" s="48" t="s">
        <v>660</v>
      </c>
      <c r="D177" t="s">
        <v>253</v>
      </c>
      <c r="E177" s="41" t="s">
        <v>254</v>
      </c>
      <c r="H177" s="3"/>
      <c r="I177" s="18" t="s">
        <v>53</v>
      </c>
      <c r="L177" s="15" t="s">
        <v>2</v>
      </c>
      <c r="O177" s="147">
        <v>1</v>
      </c>
      <c r="P177" s="15">
        <v>4</v>
      </c>
      <c r="Q177" s="148">
        <f t="shared" si="6"/>
        <v>5</v>
      </c>
      <c r="R1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AMAN BUYO NANKOKO  YAOBLEKRO    KOUADIO KOFFI TEYA                 F  </v>
      </c>
      <c r="Z177" s="53"/>
      <c r="AA177" s="5"/>
      <c r="AB177" s="48"/>
      <c r="AD177" s="41"/>
      <c r="AG177" s="3"/>
      <c r="AH177" s="18"/>
      <c r="AI177" s="17"/>
      <c r="AK177" s="15"/>
      <c r="AN177" s="147"/>
      <c r="AO177" s="15"/>
      <c r="AP177" s="148"/>
    </row>
    <row r="178" spans="1:42" ht="16.5" x14ac:dyDescent="0.35">
      <c r="A178" s="53">
        <v>177</v>
      </c>
      <c r="B178" s="5" t="s">
        <v>243</v>
      </c>
      <c r="C178" s="48" t="s">
        <v>660</v>
      </c>
      <c r="D178" t="s">
        <v>253</v>
      </c>
      <c r="E178" s="41" t="s">
        <v>254</v>
      </c>
      <c r="H178" s="3" t="s">
        <v>295</v>
      </c>
      <c r="I178" s="18" t="s">
        <v>53</v>
      </c>
      <c r="L178" s="15" t="s">
        <v>9</v>
      </c>
      <c r="O178" s="147">
        <v>2</v>
      </c>
      <c r="P178" s="15">
        <v>2</v>
      </c>
      <c r="Q178" s="148">
        <f t="shared" si="6"/>
        <v>4</v>
      </c>
      <c r="R1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YAO DENIS BUYO NANKOKO  YAOBLEKRO   0151394507 KOUADIO KOFFI TEYA                 M  </v>
      </c>
      <c r="Z178" s="53"/>
      <c r="AA178" s="5"/>
      <c r="AB178" s="48"/>
      <c r="AD178" s="41"/>
      <c r="AG178" s="3"/>
      <c r="AH178" s="18"/>
      <c r="AI178" s="17"/>
      <c r="AK178" s="15"/>
      <c r="AN178" s="147"/>
      <c r="AO178" s="15"/>
      <c r="AP178" s="148"/>
    </row>
    <row r="179" spans="1:42" ht="16.5" x14ac:dyDescent="0.35">
      <c r="A179" s="53">
        <v>178</v>
      </c>
      <c r="B179" s="5" t="s">
        <v>244</v>
      </c>
      <c r="C179" s="48" t="s">
        <v>660</v>
      </c>
      <c r="D179" t="s">
        <v>253</v>
      </c>
      <c r="E179" s="41" t="s">
        <v>254</v>
      </c>
      <c r="H179" s="3"/>
      <c r="I179" s="18" t="s">
        <v>53</v>
      </c>
      <c r="L179" s="15" t="s">
        <v>2</v>
      </c>
      <c r="O179" s="147">
        <v>1</v>
      </c>
      <c r="P179" s="15">
        <v>2</v>
      </c>
      <c r="Q179" s="148">
        <f t="shared" si="6"/>
        <v>3</v>
      </c>
      <c r="R1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AHOU JUSTINE BUYO NANKOKO  YAOBLEKRO    KOUADIO KOFFI TEYA                 F  </v>
      </c>
      <c r="Z179" s="53"/>
      <c r="AA179" s="5"/>
      <c r="AB179" s="48"/>
      <c r="AD179" s="41"/>
      <c r="AG179" s="3"/>
      <c r="AH179" s="18"/>
      <c r="AI179" s="17"/>
      <c r="AK179" s="15"/>
      <c r="AN179" s="147"/>
      <c r="AO179" s="15"/>
      <c r="AP179" s="148"/>
    </row>
    <row r="180" spans="1:42" ht="16.5" x14ac:dyDescent="0.35">
      <c r="A180" s="53">
        <v>179</v>
      </c>
      <c r="B180" s="5" t="s">
        <v>245</v>
      </c>
      <c r="C180" s="48" t="s">
        <v>660</v>
      </c>
      <c r="D180" t="s">
        <v>253</v>
      </c>
      <c r="E180" s="41" t="s">
        <v>254</v>
      </c>
      <c r="H180" s="3"/>
      <c r="I180" s="18" t="s">
        <v>53</v>
      </c>
      <c r="L180" s="15" t="s">
        <v>9</v>
      </c>
      <c r="O180" s="147">
        <v>1</v>
      </c>
      <c r="P180" s="15">
        <v>1</v>
      </c>
      <c r="Q180" s="148">
        <f t="shared" si="6"/>
        <v>2</v>
      </c>
      <c r="R1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YAO BUYO NANKOKO  YAOBLEKRO    KOUADIO KOFFI TEYA                 M  </v>
      </c>
      <c r="Z180" s="53"/>
      <c r="AA180" s="5"/>
      <c r="AB180" s="48"/>
      <c r="AD180" s="41"/>
      <c r="AG180" s="3"/>
      <c r="AH180" s="18"/>
      <c r="AI180" s="17"/>
      <c r="AK180" s="15"/>
      <c r="AN180" s="147"/>
      <c r="AO180" s="15"/>
      <c r="AP180" s="148"/>
    </row>
    <row r="181" spans="1:42" ht="16.5" x14ac:dyDescent="0.35">
      <c r="A181" s="53">
        <v>180</v>
      </c>
      <c r="B181" s="5" t="s">
        <v>246</v>
      </c>
      <c r="C181" s="48" t="s">
        <v>660</v>
      </c>
      <c r="D181" t="s">
        <v>253</v>
      </c>
      <c r="E181" s="41" t="s">
        <v>254</v>
      </c>
      <c r="H181" s="3"/>
      <c r="I181" s="18" t="s">
        <v>53</v>
      </c>
      <c r="L181" s="15" t="s">
        <v>2</v>
      </c>
      <c r="O181" s="147">
        <v>1</v>
      </c>
      <c r="P181" s="15">
        <v>1</v>
      </c>
      <c r="Q181" s="148">
        <f t="shared" si="6"/>
        <v>2</v>
      </c>
      <c r="R1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KANGA ADJOUA SUZANNE BUYO NANKOKO  YAOBLEKRO    KOUADIO KOFFI TEYA                 F  </v>
      </c>
      <c r="Z181" s="53"/>
      <c r="AA181" s="5"/>
      <c r="AB181" s="48"/>
      <c r="AD181" s="41"/>
      <c r="AG181" s="3"/>
      <c r="AH181" s="18"/>
      <c r="AI181" s="17"/>
      <c r="AK181" s="15"/>
      <c r="AN181" s="147"/>
      <c r="AO181" s="15"/>
      <c r="AP181" s="148"/>
    </row>
    <row r="182" spans="1:42" ht="16.5" x14ac:dyDescent="0.35">
      <c r="A182" s="53">
        <v>181</v>
      </c>
      <c r="B182" s="5" t="s">
        <v>247</v>
      </c>
      <c r="C182" s="48" t="s">
        <v>660</v>
      </c>
      <c r="D182" t="s">
        <v>253</v>
      </c>
      <c r="E182" s="41" t="s">
        <v>254</v>
      </c>
      <c r="H182" s="3"/>
      <c r="I182" s="18" t="s">
        <v>53</v>
      </c>
      <c r="L182" s="15" t="s">
        <v>2</v>
      </c>
      <c r="O182" s="147">
        <v>2</v>
      </c>
      <c r="P182" s="15">
        <v>3</v>
      </c>
      <c r="Q182" s="148">
        <f t="shared" si="6"/>
        <v>5</v>
      </c>
      <c r="R1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AFFOUE SUZANNE BUYO NANKOKO  YAOBLEKRO    KOUADIO KOFFI TEYA                 F  </v>
      </c>
      <c r="Z182" s="53"/>
      <c r="AA182" s="5"/>
      <c r="AB182" s="48"/>
      <c r="AD182" s="41"/>
      <c r="AG182" s="3"/>
      <c r="AH182" s="18"/>
      <c r="AI182" s="17"/>
      <c r="AK182" s="15"/>
      <c r="AN182" s="147"/>
      <c r="AO182" s="15"/>
      <c r="AP182" s="148"/>
    </row>
    <row r="183" spans="1:42" ht="16.5" x14ac:dyDescent="0.35">
      <c r="A183" s="53">
        <v>182</v>
      </c>
      <c r="B183" s="5" t="s">
        <v>248</v>
      </c>
      <c r="C183" s="48" t="s">
        <v>660</v>
      </c>
      <c r="D183" t="s">
        <v>253</v>
      </c>
      <c r="E183" s="41" t="s">
        <v>254</v>
      </c>
      <c r="H183" s="3"/>
      <c r="I183" s="18" t="s">
        <v>53</v>
      </c>
      <c r="L183" s="15" t="s">
        <v>9</v>
      </c>
      <c r="O183" s="147">
        <v>0</v>
      </c>
      <c r="P183" s="15">
        <v>1</v>
      </c>
      <c r="Q183" s="148">
        <f t="shared" si="6"/>
        <v>1</v>
      </c>
      <c r="R1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AHOU VICTORINE BUYO NANKOKO  YAOBLEKRO    KOUADIO KOFFI TEYA                 M  </v>
      </c>
      <c r="Z183" s="53"/>
      <c r="AA183" s="5"/>
      <c r="AB183" s="48"/>
      <c r="AD183" s="41"/>
      <c r="AG183" s="3"/>
      <c r="AH183" s="18"/>
      <c r="AI183" s="17"/>
      <c r="AK183" s="15"/>
      <c r="AN183" s="147"/>
      <c r="AO183" s="15"/>
      <c r="AP183" s="148"/>
    </row>
    <row r="184" spans="1:42" ht="16.5" x14ac:dyDescent="0.5">
      <c r="A184" s="53">
        <v>183</v>
      </c>
      <c r="B184" s="5" t="s">
        <v>249</v>
      </c>
      <c r="C184" s="48" t="s">
        <v>660</v>
      </c>
      <c r="D184" t="s">
        <v>253</v>
      </c>
      <c r="E184" s="41" t="s">
        <v>254</v>
      </c>
      <c r="H184" s="3"/>
      <c r="I184" s="18" t="s">
        <v>53</v>
      </c>
      <c r="L184" s="15" t="s">
        <v>2</v>
      </c>
      <c r="O184" s="149">
        <v>0</v>
      </c>
      <c r="P184" s="149">
        <v>2</v>
      </c>
      <c r="Q184" s="148">
        <f t="shared" si="6"/>
        <v>2</v>
      </c>
      <c r="R1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AHOU NADEGE BUYO NANKOKO  YAOBLEKRO    KOUADIO KOFFI TEYA                 F  </v>
      </c>
      <c r="Z184" s="53"/>
      <c r="AA184" s="5"/>
      <c r="AB184" s="48"/>
      <c r="AD184" s="41"/>
      <c r="AG184" s="3"/>
      <c r="AH184" s="18"/>
      <c r="AI184" s="17"/>
      <c r="AK184" s="15"/>
      <c r="AN184" s="149"/>
      <c r="AO184" s="149"/>
      <c r="AP184" s="148"/>
    </row>
    <row r="185" spans="1:42" ht="16.5" x14ac:dyDescent="0.35">
      <c r="A185" s="53">
        <v>184</v>
      </c>
      <c r="B185" s="5" t="s">
        <v>250</v>
      </c>
      <c r="C185" s="48" t="s">
        <v>660</v>
      </c>
      <c r="D185" t="s">
        <v>253</v>
      </c>
      <c r="E185" s="41" t="s">
        <v>254</v>
      </c>
      <c r="H185" s="7" t="s">
        <v>296</v>
      </c>
      <c r="I185" s="18" t="s">
        <v>53</v>
      </c>
      <c r="L185" s="15" t="s">
        <v>9</v>
      </c>
      <c r="O185" s="151">
        <v>1</v>
      </c>
      <c r="P185" s="151">
        <v>2</v>
      </c>
      <c r="Q185" s="148">
        <f t="shared" si="6"/>
        <v>3</v>
      </c>
      <c r="R1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N'GUESSAN MAXIMIN BUYO NANKOKO  YAOBLEKRO   0777132580 KOUADIO KOFFI TEYA                 M  </v>
      </c>
      <c r="Z185" s="53"/>
      <c r="AA185" s="5"/>
      <c r="AB185" s="48"/>
      <c r="AD185" s="41"/>
      <c r="AG185" s="7"/>
      <c r="AH185" s="18"/>
      <c r="AI185" s="17"/>
      <c r="AK185" s="15"/>
      <c r="AN185" s="151"/>
      <c r="AO185" s="151"/>
      <c r="AP185" s="148"/>
    </row>
    <row r="186" spans="1:42" ht="16.5" x14ac:dyDescent="0.35">
      <c r="A186" s="53">
        <v>185</v>
      </c>
      <c r="B186" s="27" t="s">
        <v>251</v>
      </c>
      <c r="C186" s="48" t="s">
        <v>660</v>
      </c>
      <c r="D186" t="s">
        <v>253</v>
      </c>
      <c r="E186" s="41" t="s">
        <v>254</v>
      </c>
      <c r="H186" s="10"/>
      <c r="I186" s="18" t="s">
        <v>53</v>
      </c>
      <c r="L186" s="16" t="s">
        <v>2</v>
      </c>
      <c r="O186" s="143">
        <v>1</v>
      </c>
      <c r="P186" s="143">
        <v>0</v>
      </c>
      <c r="Q186" s="148">
        <f t="shared" si="6"/>
        <v>1</v>
      </c>
      <c r="R1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AFFOUE EUGENIE BUYO NANKOKO  YAOBLEKRO    KOUADIO KOFFI TEYA                 F  </v>
      </c>
      <c r="Z186" s="53"/>
      <c r="AA186" s="27"/>
      <c r="AB186" s="48"/>
      <c r="AD186" s="41"/>
      <c r="AG186" s="10"/>
      <c r="AH186" s="18"/>
      <c r="AI186" s="17"/>
      <c r="AK186" s="16"/>
      <c r="AN186" s="143"/>
      <c r="AO186" s="143"/>
      <c r="AP186" s="148"/>
    </row>
    <row r="187" spans="1:42" ht="17" thickBot="1" x14ac:dyDescent="0.4">
      <c r="A187" s="53">
        <v>186</v>
      </c>
      <c r="B187" s="12" t="s">
        <v>252</v>
      </c>
      <c r="C187" s="48" t="s">
        <v>660</v>
      </c>
      <c r="D187" t="s">
        <v>253</v>
      </c>
      <c r="E187" s="41" t="s">
        <v>254</v>
      </c>
      <c r="H187" s="13" t="s">
        <v>297</v>
      </c>
      <c r="I187" s="18" t="s">
        <v>53</v>
      </c>
      <c r="L187" s="141" t="s">
        <v>2</v>
      </c>
      <c r="O187" s="143">
        <v>2</v>
      </c>
      <c r="P187" s="143">
        <v>1</v>
      </c>
      <c r="Q187" s="182">
        <f t="shared" si="6"/>
        <v>3</v>
      </c>
      <c r="R1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KRA SIDONIE BUYO NANKOKO  YAOBLEKRO   0757068149 KOUADIO KOFFI TEYA                 F  </v>
      </c>
      <c r="Z187" s="53"/>
      <c r="AA187" s="12"/>
      <c r="AB187" s="48"/>
      <c r="AD187" s="41"/>
      <c r="AG187" s="13"/>
      <c r="AH187" s="18"/>
      <c r="AI187" s="17"/>
      <c r="AK187" s="141"/>
      <c r="AN187" s="143"/>
      <c r="AO187" s="143"/>
      <c r="AP187" s="182"/>
    </row>
    <row r="188" spans="1:42" ht="16.5" x14ac:dyDescent="0.35">
      <c r="A188" s="53">
        <v>187</v>
      </c>
      <c r="B188" s="5" t="s">
        <v>255</v>
      </c>
      <c r="C188" s="48" t="s">
        <v>660</v>
      </c>
      <c r="D188" t="s">
        <v>312</v>
      </c>
      <c r="E188" s="41" t="s">
        <v>313</v>
      </c>
      <c r="H188" s="3" t="s">
        <v>298</v>
      </c>
      <c r="I188" s="18" t="s">
        <v>53</v>
      </c>
      <c r="L188" s="15" t="s">
        <v>2</v>
      </c>
      <c r="O188" s="147">
        <v>1</v>
      </c>
      <c r="P188" s="15">
        <v>1</v>
      </c>
      <c r="Q188" s="148">
        <f>SUM(O188:P188)</f>
        <v>2</v>
      </c>
      <c r="R1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TIENDREBEOGO ELISABETH BUYO REED WENDE       MOSSIKRO NAN BODOGO   0747910820 KOUADIO KOFFI TEYA                 F  </v>
      </c>
      <c r="Z188" s="53"/>
      <c r="AA188" s="5"/>
      <c r="AB188" s="48"/>
      <c r="AD188" s="41"/>
      <c r="AG188" s="3"/>
      <c r="AH188" s="18"/>
      <c r="AI188" s="17"/>
      <c r="AK188" s="15"/>
      <c r="AN188" s="147"/>
      <c r="AO188" s="15"/>
      <c r="AP188" s="148"/>
    </row>
    <row r="189" spans="1:42" ht="16.5" x14ac:dyDescent="0.35">
      <c r="A189" s="53">
        <v>188</v>
      </c>
      <c r="B189" s="5" t="s">
        <v>256</v>
      </c>
      <c r="C189" s="48" t="s">
        <v>660</v>
      </c>
      <c r="D189" t="s">
        <v>312</v>
      </c>
      <c r="E189" s="41" t="s">
        <v>313</v>
      </c>
      <c r="H189" s="3" t="s">
        <v>299</v>
      </c>
      <c r="I189" s="18" t="s">
        <v>53</v>
      </c>
      <c r="L189" s="15" t="s">
        <v>9</v>
      </c>
      <c r="O189" s="147">
        <v>3</v>
      </c>
      <c r="P189" s="15">
        <v>4</v>
      </c>
      <c r="Q189" s="148">
        <f t="shared" ref="Q189:Q217" si="7">SUM(O189:P189)</f>
        <v>7</v>
      </c>
      <c r="R1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ALASSANE BUYO REED WENDE       MOSSIKRO NAN BODOGO   0778103746 KOUADIO KOFFI TEYA                 M  </v>
      </c>
      <c r="Z189" s="53"/>
      <c r="AA189" s="5"/>
      <c r="AB189" s="48"/>
      <c r="AD189" s="41"/>
      <c r="AG189" s="3"/>
      <c r="AH189" s="18"/>
      <c r="AI189" s="17"/>
      <c r="AK189" s="15"/>
      <c r="AN189" s="147"/>
      <c r="AO189" s="15"/>
      <c r="AP189" s="148"/>
    </row>
    <row r="190" spans="1:42" ht="16.5" x14ac:dyDescent="0.35">
      <c r="A190" s="53">
        <v>189</v>
      </c>
      <c r="B190" s="5" t="s">
        <v>257</v>
      </c>
      <c r="C190" s="48" t="s">
        <v>660</v>
      </c>
      <c r="D190" t="s">
        <v>312</v>
      </c>
      <c r="E190" s="41" t="s">
        <v>313</v>
      </c>
      <c r="H190" s="3" t="s">
        <v>300</v>
      </c>
      <c r="I190" s="18" t="s">
        <v>53</v>
      </c>
      <c r="L190" s="15" t="s">
        <v>2</v>
      </c>
      <c r="O190" s="147">
        <v>4</v>
      </c>
      <c r="P190" s="15">
        <v>2</v>
      </c>
      <c r="Q190" s="148">
        <f t="shared" si="7"/>
        <v>6</v>
      </c>
      <c r="R1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ZONGO MAMOUNATA BUYO REED WENDE       MOSSIKRO NAN BODOGO   0798113505 KOUADIO KOFFI TEYA                 F  </v>
      </c>
      <c r="Z190" s="53"/>
      <c r="AA190" s="5"/>
      <c r="AB190" s="48"/>
      <c r="AD190" s="41"/>
      <c r="AG190" s="3"/>
      <c r="AH190" s="18"/>
      <c r="AI190" s="17"/>
      <c r="AK190" s="15"/>
      <c r="AN190" s="147"/>
      <c r="AO190" s="15"/>
      <c r="AP190" s="148"/>
    </row>
    <row r="191" spans="1:42" ht="16.5" x14ac:dyDescent="0.35">
      <c r="A191" s="53">
        <v>190</v>
      </c>
      <c r="B191" s="5" t="s">
        <v>258</v>
      </c>
      <c r="C191" s="48" t="s">
        <v>660</v>
      </c>
      <c r="D191" t="s">
        <v>312</v>
      </c>
      <c r="E191" s="41" t="s">
        <v>313</v>
      </c>
      <c r="H191" s="3"/>
      <c r="I191" s="18" t="s">
        <v>53</v>
      </c>
      <c r="L191" s="15" t="s">
        <v>2</v>
      </c>
      <c r="O191" s="147">
        <v>4</v>
      </c>
      <c r="P191" s="15">
        <v>3</v>
      </c>
      <c r="Q191" s="148">
        <f t="shared" si="7"/>
        <v>7</v>
      </c>
      <c r="R1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NIKIEMA SAFIATOU BUYO REED WENDE       MOSSIKRO NAN BODOGO    KOUADIO KOFFI TEYA                 F  </v>
      </c>
      <c r="Z191" s="53"/>
      <c r="AA191" s="5"/>
      <c r="AB191" s="48"/>
      <c r="AD191" s="41"/>
      <c r="AG191" s="3"/>
      <c r="AH191" s="18"/>
      <c r="AI191" s="17"/>
      <c r="AK191" s="15"/>
      <c r="AN191" s="147"/>
      <c r="AO191" s="15"/>
      <c r="AP191" s="148"/>
    </row>
    <row r="192" spans="1:42" ht="16.5" x14ac:dyDescent="0.35">
      <c r="A192" s="53">
        <v>191</v>
      </c>
      <c r="B192" s="5" t="s">
        <v>259</v>
      </c>
      <c r="C192" s="48" t="s">
        <v>660</v>
      </c>
      <c r="D192" t="s">
        <v>312</v>
      </c>
      <c r="E192" s="41" t="s">
        <v>313</v>
      </c>
      <c r="H192" s="3" t="s">
        <v>301</v>
      </c>
      <c r="I192" s="18" t="s">
        <v>53</v>
      </c>
      <c r="L192" s="15" t="s">
        <v>9</v>
      </c>
      <c r="O192" s="147">
        <v>4</v>
      </c>
      <c r="P192" s="15">
        <v>3</v>
      </c>
      <c r="Q192" s="148">
        <f t="shared" si="7"/>
        <v>7</v>
      </c>
      <c r="R1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KOUALA ADAMA BUYO REED WENDE       MOSSIKRO NAN BODOGO   0747785419 KOUADIO KOFFI TEYA                 M  </v>
      </c>
      <c r="Z192" s="53"/>
      <c r="AA192" s="5"/>
      <c r="AB192" s="48"/>
      <c r="AD192" s="41"/>
      <c r="AG192" s="3"/>
      <c r="AH192" s="18"/>
      <c r="AI192" s="17"/>
      <c r="AK192" s="15"/>
      <c r="AN192" s="147"/>
      <c r="AO192" s="15"/>
      <c r="AP192" s="148"/>
    </row>
    <row r="193" spans="1:42" ht="16.5" x14ac:dyDescent="0.35">
      <c r="A193" s="53">
        <v>192</v>
      </c>
      <c r="B193" s="5" t="s">
        <v>260</v>
      </c>
      <c r="C193" s="48" t="s">
        <v>660</v>
      </c>
      <c r="D193" t="s">
        <v>312</v>
      </c>
      <c r="E193" s="41" t="s">
        <v>313</v>
      </c>
      <c r="H193" s="3"/>
      <c r="I193" s="18" t="s">
        <v>53</v>
      </c>
      <c r="L193" s="15" t="s">
        <v>2</v>
      </c>
      <c r="O193" s="147">
        <v>2</v>
      </c>
      <c r="P193" s="15">
        <v>1</v>
      </c>
      <c r="Q193" s="148">
        <f t="shared" si="7"/>
        <v>3</v>
      </c>
      <c r="R1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AMINATA BUYO REED WENDE       MOSSIKRO NAN BODOGO    KOUADIO KOFFI TEYA                 F  </v>
      </c>
      <c r="Z193" s="53"/>
      <c r="AA193" s="5"/>
      <c r="AB193" s="48"/>
      <c r="AD193" s="41"/>
      <c r="AG193" s="3"/>
      <c r="AH193" s="18"/>
      <c r="AI193" s="17"/>
      <c r="AK193" s="15"/>
      <c r="AN193" s="147"/>
      <c r="AO193" s="15"/>
      <c r="AP193" s="148"/>
    </row>
    <row r="194" spans="1:42" ht="16.5" x14ac:dyDescent="0.35">
      <c r="A194" s="53">
        <v>193</v>
      </c>
      <c r="B194" s="5" t="s">
        <v>261</v>
      </c>
      <c r="C194" s="48" t="s">
        <v>660</v>
      </c>
      <c r="D194" t="s">
        <v>312</v>
      </c>
      <c r="E194" s="41" t="s">
        <v>313</v>
      </c>
      <c r="H194" s="3"/>
      <c r="I194" s="18" t="s">
        <v>53</v>
      </c>
      <c r="L194" s="15" t="s">
        <v>2</v>
      </c>
      <c r="O194" s="147">
        <v>1</v>
      </c>
      <c r="P194" s="15">
        <v>3</v>
      </c>
      <c r="Q194" s="148">
        <f t="shared" si="7"/>
        <v>4</v>
      </c>
      <c r="R1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KARIDJATOU BUYO REED WENDE       MOSSIKRO NAN BODOGO    KOUADIO KOFFI TEYA                 F  </v>
      </c>
      <c r="Z194" s="53"/>
      <c r="AA194" s="5"/>
      <c r="AB194" s="48"/>
      <c r="AD194" s="41"/>
      <c r="AG194" s="3"/>
      <c r="AH194" s="18"/>
      <c r="AI194" s="17"/>
      <c r="AK194" s="15"/>
      <c r="AN194" s="147"/>
      <c r="AO194" s="15"/>
      <c r="AP194" s="148"/>
    </row>
    <row r="195" spans="1:42" ht="16.5" x14ac:dyDescent="0.35">
      <c r="A195" s="53">
        <v>194</v>
      </c>
      <c r="B195" s="5" t="s">
        <v>262</v>
      </c>
      <c r="C195" s="48" t="s">
        <v>660</v>
      </c>
      <c r="D195" t="s">
        <v>312</v>
      </c>
      <c r="E195" s="41" t="s">
        <v>313</v>
      </c>
      <c r="H195" s="3" t="s">
        <v>302</v>
      </c>
      <c r="I195" s="18" t="s">
        <v>53</v>
      </c>
      <c r="L195" s="15" t="s">
        <v>2</v>
      </c>
      <c r="O195" s="147">
        <v>2</v>
      </c>
      <c r="P195" s="15">
        <v>2</v>
      </c>
      <c r="Q195" s="148">
        <f t="shared" si="7"/>
        <v>4</v>
      </c>
      <c r="R1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LISATA BUYO REED WENDE       MOSSIKRO NAN BODOGO   0758510795 KOUADIO KOFFI TEYA                 F  </v>
      </c>
      <c r="Z195" s="53"/>
      <c r="AA195" s="5"/>
      <c r="AB195" s="48"/>
      <c r="AD195" s="41"/>
      <c r="AG195" s="3"/>
      <c r="AH195" s="18"/>
      <c r="AI195" s="17"/>
      <c r="AK195" s="15"/>
      <c r="AN195" s="147"/>
      <c r="AO195" s="15"/>
      <c r="AP195" s="148"/>
    </row>
    <row r="196" spans="1:42" ht="16.5" x14ac:dyDescent="0.35">
      <c r="A196" s="53">
        <v>195</v>
      </c>
      <c r="B196" s="5" t="s">
        <v>263</v>
      </c>
      <c r="C196" s="48" t="s">
        <v>660</v>
      </c>
      <c r="D196" t="s">
        <v>312</v>
      </c>
      <c r="E196" s="41" t="s">
        <v>313</v>
      </c>
      <c r="H196" s="3"/>
      <c r="I196" s="18" t="s">
        <v>53</v>
      </c>
      <c r="L196" s="15" t="s">
        <v>2</v>
      </c>
      <c r="O196" s="147">
        <v>1</v>
      </c>
      <c r="P196" s="15">
        <v>0</v>
      </c>
      <c r="Q196" s="148">
        <f t="shared" si="7"/>
        <v>1</v>
      </c>
      <c r="R1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NIKIEMA AMI BUYO REED WENDE       MOSSIKRO NAN BODOGO    KOUADIO KOFFI TEYA                 F  </v>
      </c>
      <c r="Z196" s="53"/>
      <c r="AA196" s="5"/>
      <c r="AB196" s="48"/>
      <c r="AD196" s="41"/>
      <c r="AG196" s="3"/>
      <c r="AH196" s="18"/>
      <c r="AI196" s="17"/>
      <c r="AK196" s="15"/>
      <c r="AN196" s="147"/>
      <c r="AO196" s="15"/>
      <c r="AP196" s="148"/>
    </row>
    <row r="197" spans="1:42" ht="16.5" x14ac:dyDescent="0.35">
      <c r="A197" s="53">
        <v>196</v>
      </c>
      <c r="B197" s="5" t="s">
        <v>264</v>
      </c>
      <c r="C197" s="48" t="s">
        <v>660</v>
      </c>
      <c r="D197" t="s">
        <v>312</v>
      </c>
      <c r="E197" s="41" t="s">
        <v>313</v>
      </c>
      <c r="H197" s="3"/>
      <c r="I197" s="18" t="s">
        <v>53</v>
      </c>
      <c r="L197" s="15" t="s">
        <v>9</v>
      </c>
      <c r="O197" s="147">
        <v>0</v>
      </c>
      <c r="P197" s="15">
        <v>0</v>
      </c>
      <c r="Q197" s="148">
        <f t="shared" si="7"/>
        <v>0</v>
      </c>
      <c r="R1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SOULEMANE BUYO REED WENDE       MOSSIKRO NAN BODOGO    KOUADIO KOFFI TEYA                 M  </v>
      </c>
      <c r="Z197" s="53"/>
      <c r="AA197" s="5"/>
      <c r="AB197" s="48"/>
      <c r="AD197" s="41"/>
      <c r="AG197" s="3"/>
      <c r="AH197" s="18"/>
      <c r="AI197" s="17"/>
      <c r="AK197" s="15"/>
      <c r="AN197" s="147"/>
      <c r="AO197" s="15"/>
      <c r="AP197" s="148"/>
    </row>
    <row r="198" spans="1:42" ht="16.5" x14ac:dyDescent="0.35">
      <c r="A198" s="53">
        <v>197</v>
      </c>
      <c r="B198" s="5" t="s">
        <v>265</v>
      </c>
      <c r="C198" s="48" t="s">
        <v>660</v>
      </c>
      <c r="D198" t="s">
        <v>312</v>
      </c>
      <c r="E198" s="41" t="s">
        <v>313</v>
      </c>
      <c r="H198" s="3" t="s">
        <v>303</v>
      </c>
      <c r="I198" s="18" t="s">
        <v>53</v>
      </c>
      <c r="L198" s="15" t="s">
        <v>9</v>
      </c>
      <c r="O198" s="147">
        <v>0</v>
      </c>
      <c r="P198" s="15">
        <v>0</v>
      </c>
      <c r="Q198" s="148">
        <f t="shared" si="7"/>
        <v>0</v>
      </c>
      <c r="R1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ISSIAKA BUYO REED WENDE       MOSSIKRO NAN BODOGO   0778103467 KOUADIO KOFFI TEYA                 M  </v>
      </c>
      <c r="Z198" s="53"/>
      <c r="AA198" s="5"/>
      <c r="AB198" s="48"/>
      <c r="AD198" s="41"/>
      <c r="AG198" s="3"/>
      <c r="AH198" s="18"/>
      <c r="AI198" s="17"/>
      <c r="AK198" s="15"/>
      <c r="AN198" s="147"/>
      <c r="AO198" s="15"/>
      <c r="AP198" s="148"/>
    </row>
    <row r="199" spans="1:42" ht="16.5" x14ac:dyDescent="0.35">
      <c r="A199" s="53">
        <v>198</v>
      </c>
      <c r="B199" s="5" t="s">
        <v>266</v>
      </c>
      <c r="C199" s="48" t="s">
        <v>660</v>
      </c>
      <c r="D199" t="s">
        <v>312</v>
      </c>
      <c r="E199" s="41" t="s">
        <v>313</v>
      </c>
      <c r="H199" s="3"/>
      <c r="I199" s="18" t="s">
        <v>53</v>
      </c>
      <c r="L199" s="15" t="s">
        <v>9</v>
      </c>
      <c r="O199" s="147">
        <v>3</v>
      </c>
      <c r="P199" s="15">
        <v>1</v>
      </c>
      <c r="Q199" s="148">
        <f t="shared" si="7"/>
        <v>4</v>
      </c>
      <c r="R1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MADI BUYO REED WENDE       MOSSIKRO NAN BODOGO    KOUADIO KOFFI TEYA                 M  </v>
      </c>
      <c r="Z199" s="53"/>
      <c r="AA199" s="5"/>
      <c r="AB199" s="48"/>
      <c r="AD199" s="41"/>
      <c r="AG199" s="3"/>
      <c r="AH199" s="18"/>
      <c r="AI199" s="17"/>
      <c r="AK199" s="15"/>
      <c r="AN199" s="147"/>
      <c r="AO199" s="15"/>
      <c r="AP199" s="148"/>
    </row>
    <row r="200" spans="1:42" ht="16.5" x14ac:dyDescent="0.35">
      <c r="A200" s="53">
        <v>199</v>
      </c>
      <c r="B200" s="5" t="s">
        <v>267</v>
      </c>
      <c r="C200" s="48" t="s">
        <v>660</v>
      </c>
      <c r="D200" t="s">
        <v>312</v>
      </c>
      <c r="E200" s="41" t="s">
        <v>313</v>
      </c>
      <c r="H200" s="3" t="s">
        <v>304</v>
      </c>
      <c r="I200" s="18" t="s">
        <v>53</v>
      </c>
      <c r="L200" s="15" t="s">
        <v>9</v>
      </c>
      <c r="O200" s="147">
        <v>1</v>
      </c>
      <c r="P200" s="15">
        <v>1</v>
      </c>
      <c r="Q200" s="148">
        <f t="shared" si="7"/>
        <v>2</v>
      </c>
      <c r="R2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ABDOULAYE BUYO REED WENDE       MOSSIKRO NAN BODOGO   0566195231 KOUADIO KOFFI TEYA                 M  </v>
      </c>
      <c r="Z200" s="53"/>
      <c r="AA200" s="5"/>
      <c r="AB200" s="48"/>
      <c r="AD200" s="41"/>
      <c r="AG200" s="3"/>
      <c r="AH200" s="18"/>
      <c r="AI200" s="17"/>
      <c r="AK200" s="15"/>
      <c r="AN200" s="147"/>
      <c r="AO200" s="15"/>
      <c r="AP200" s="148"/>
    </row>
    <row r="201" spans="1:42" ht="16.5" x14ac:dyDescent="0.35">
      <c r="A201" s="53">
        <v>200</v>
      </c>
      <c r="B201" s="5" t="s">
        <v>268</v>
      </c>
      <c r="C201" s="48" t="s">
        <v>660</v>
      </c>
      <c r="D201" t="s">
        <v>312</v>
      </c>
      <c r="E201" s="41" t="s">
        <v>313</v>
      </c>
      <c r="H201" s="3"/>
      <c r="I201" s="18" t="s">
        <v>53</v>
      </c>
      <c r="L201" s="15" t="s">
        <v>2</v>
      </c>
      <c r="O201" s="147">
        <v>1</v>
      </c>
      <c r="P201" s="15">
        <v>1</v>
      </c>
      <c r="Q201" s="148">
        <f t="shared" si="7"/>
        <v>2</v>
      </c>
      <c r="R2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NAHANA ZEYNAB BUYO REED WENDE       MOSSIKRO NAN BODOGO    KOUADIO KOFFI TEYA                 F  </v>
      </c>
      <c r="Z201" s="53"/>
      <c r="AA201" s="5"/>
      <c r="AB201" s="48"/>
      <c r="AD201" s="41"/>
      <c r="AG201" s="3"/>
      <c r="AH201" s="18"/>
      <c r="AI201" s="17"/>
      <c r="AK201" s="15"/>
      <c r="AN201" s="147"/>
      <c r="AO201" s="15"/>
      <c r="AP201" s="148"/>
    </row>
    <row r="202" spans="1:42" ht="16.5" x14ac:dyDescent="0.35">
      <c r="A202" s="53">
        <v>201</v>
      </c>
      <c r="B202" s="5" t="s">
        <v>269</v>
      </c>
      <c r="C202" s="48" t="s">
        <v>660</v>
      </c>
      <c r="D202" t="s">
        <v>312</v>
      </c>
      <c r="E202" s="41" t="s">
        <v>313</v>
      </c>
      <c r="H202" s="3"/>
      <c r="I202" s="18" t="s">
        <v>53</v>
      </c>
      <c r="L202" s="15" t="s">
        <v>2</v>
      </c>
      <c r="O202" s="147">
        <v>3</v>
      </c>
      <c r="P202" s="15">
        <v>3</v>
      </c>
      <c r="Q202" s="148">
        <f t="shared" si="7"/>
        <v>6</v>
      </c>
      <c r="R2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KOROTOUM BUYO REED WENDE       MOSSIKRO NAN BODOGO    KOUADIO KOFFI TEYA                 F  </v>
      </c>
      <c r="Z202" s="53"/>
      <c r="AA202" s="5"/>
      <c r="AB202" s="48"/>
      <c r="AD202" s="41"/>
      <c r="AG202" s="3"/>
      <c r="AH202" s="18"/>
      <c r="AI202" s="17"/>
      <c r="AK202" s="15"/>
      <c r="AN202" s="147"/>
      <c r="AO202" s="15"/>
      <c r="AP202" s="148"/>
    </row>
    <row r="203" spans="1:42" ht="16.5" x14ac:dyDescent="0.35">
      <c r="A203" s="53">
        <v>202</v>
      </c>
      <c r="B203" s="5" t="s">
        <v>270</v>
      </c>
      <c r="C203" s="48" t="s">
        <v>660</v>
      </c>
      <c r="D203" t="s">
        <v>312</v>
      </c>
      <c r="E203" s="41" t="s">
        <v>313</v>
      </c>
      <c r="H203" s="3"/>
      <c r="I203" s="18" t="s">
        <v>53</v>
      </c>
      <c r="L203" s="15" t="s">
        <v>2</v>
      </c>
      <c r="O203" s="147">
        <v>2</v>
      </c>
      <c r="P203" s="15">
        <v>2</v>
      </c>
      <c r="Q203" s="148">
        <f t="shared" si="7"/>
        <v>4</v>
      </c>
      <c r="R2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WILLI HABIBATO BUYO REED WENDE       MOSSIKRO NAN BODOGO    KOUADIO KOFFI TEYA                 F  </v>
      </c>
      <c r="Z203" s="53"/>
      <c r="AA203" s="5"/>
      <c r="AB203" s="48"/>
      <c r="AD203" s="41"/>
      <c r="AG203" s="3"/>
      <c r="AH203" s="18"/>
      <c r="AI203" s="17"/>
      <c r="AK203" s="15"/>
      <c r="AN203" s="147"/>
      <c r="AO203" s="15"/>
      <c r="AP203" s="148"/>
    </row>
    <row r="204" spans="1:42" ht="16.5" x14ac:dyDescent="0.35">
      <c r="A204" s="53">
        <v>203</v>
      </c>
      <c r="B204" s="5" t="s">
        <v>271</v>
      </c>
      <c r="C204" s="48" t="s">
        <v>660</v>
      </c>
      <c r="D204" t="s">
        <v>312</v>
      </c>
      <c r="E204" s="41" t="s">
        <v>313</v>
      </c>
      <c r="H204" s="3" t="s">
        <v>305</v>
      </c>
      <c r="I204" s="18" t="s">
        <v>53</v>
      </c>
      <c r="L204" s="15" t="s">
        <v>2</v>
      </c>
      <c r="O204" s="147">
        <v>1</v>
      </c>
      <c r="P204" s="15">
        <v>3</v>
      </c>
      <c r="Q204" s="148">
        <f t="shared" si="7"/>
        <v>4</v>
      </c>
      <c r="R2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MAMOUNATA BUYO REED WENDE       MOSSIKRO NAN BODOGO   0758876879 KOUADIO KOFFI TEYA                 F  </v>
      </c>
      <c r="Z204" s="53"/>
      <c r="AA204" s="5"/>
      <c r="AB204" s="48"/>
      <c r="AD204" s="41"/>
      <c r="AG204" s="3"/>
      <c r="AH204" s="18"/>
      <c r="AI204" s="17"/>
      <c r="AK204" s="15"/>
      <c r="AN204" s="147"/>
      <c r="AO204" s="15"/>
      <c r="AP204" s="148"/>
    </row>
    <row r="205" spans="1:42" ht="16.5" x14ac:dyDescent="0.35">
      <c r="A205" s="53">
        <v>204</v>
      </c>
      <c r="B205" s="5" t="s">
        <v>272</v>
      </c>
      <c r="C205" s="48" t="s">
        <v>660</v>
      </c>
      <c r="D205" t="s">
        <v>312</v>
      </c>
      <c r="E205" s="41" t="s">
        <v>313</v>
      </c>
      <c r="H205" s="3" t="s">
        <v>306</v>
      </c>
      <c r="I205" s="18" t="s">
        <v>53</v>
      </c>
      <c r="L205" s="15" t="s">
        <v>9</v>
      </c>
      <c r="O205" s="147">
        <v>2</v>
      </c>
      <c r="P205" s="15">
        <v>2</v>
      </c>
      <c r="Q205" s="148">
        <f t="shared" si="7"/>
        <v>4</v>
      </c>
      <c r="R2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IBRAHIM BUYO REED WENDE       MOSSIKRO NAN BODOGO   0742026800 KOUADIO KOFFI TEYA                 M  </v>
      </c>
      <c r="Z205" s="53"/>
      <c r="AA205" s="5"/>
      <c r="AB205" s="48"/>
      <c r="AD205" s="41"/>
      <c r="AG205" s="3"/>
      <c r="AH205" s="18"/>
      <c r="AI205" s="17"/>
      <c r="AK205" s="15"/>
      <c r="AN205" s="147"/>
      <c r="AO205" s="15"/>
      <c r="AP205" s="148"/>
    </row>
    <row r="206" spans="1:42" ht="16.5" x14ac:dyDescent="0.35">
      <c r="A206" s="53">
        <v>205</v>
      </c>
      <c r="B206" s="5" t="s">
        <v>273</v>
      </c>
      <c r="C206" s="48" t="s">
        <v>660</v>
      </c>
      <c r="D206" t="s">
        <v>312</v>
      </c>
      <c r="E206" s="41" t="s">
        <v>313</v>
      </c>
      <c r="H206" s="3" t="s">
        <v>307</v>
      </c>
      <c r="I206" s="18" t="s">
        <v>53</v>
      </c>
      <c r="L206" s="15" t="s">
        <v>9</v>
      </c>
      <c r="O206" s="147">
        <v>1</v>
      </c>
      <c r="P206" s="15">
        <v>2</v>
      </c>
      <c r="Q206" s="148">
        <f t="shared" si="7"/>
        <v>3</v>
      </c>
      <c r="R2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IBRAHIM BUYO REED WENDE       MOSSIKRO NAN BODOGO   0759014585 KOUADIO KOFFI TEYA                 M  </v>
      </c>
      <c r="Z206" s="53"/>
      <c r="AA206" s="5"/>
      <c r="AB206" s="48"/>
      <c r="AD206" s="41"/>
      <c r="AG206" s="3"/>
      <c r="AH206" s="18"/>
      <c r="AI206" s="17"/>
      <c r="AK206" s="15"/>
      <c r="AN206" s="147"/>
      <c r="AO206" s="15"/>
      <c r="AP206" s="148"/>
    </row>
    <row r="207" spans="1:42" ht="16.5" x14ac:dyDescent="0.35">
      <c r="A207" s="53">
        <v>206</v>
      </c>
      <c r="B207" s="5" t="s">
        <v>274</v>
      </c>
      <c r="C207" s="48" t="s">
        <v>660</v>
      </c>
      <c r="D207" t="s">
        <v>312</v>
      </c>
      <c r="E207" s="41" t="s">
        <v>313</v>
      </c>
      <c r="H207" s="3"/>
      <c r="I207" s="18" t="s">
        <v>53</v>
      </c>
      <c r="L207" s="15" t="s">
        <v>2</v>
      </c>
      <c r="O207" s="147">
        <v>1</v>
      </c>
      <c r="P207" s="15">
        <v>1</v>
      </c>
      <c r="Q207" s="148">
        <f t="shared" si="7"/>
        <v>2</v>
      </c>
      <c r="R2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AWA BUYO REED WENDE       MOSSIKRO NAN BODOGO    KOUADIO KOFFI TEYA                 F  </v>
      </c>
      <c r="Z207" s="53"/>
      <c r="AA207" s="5"/>
      <c r="AB207" s="48"/>
      <c r="AD207" s="41"/>
      <c r="AG207" s="3"/>
      <c r="AH207" s="18"/>
      <c r="AI207" s="17"/>
      <c r="AK207" s="15"/>
      <c r="AN207" s="147"/>
      <c r="AO207" s="15"/>
      <c r="AP207" s="148"/>
    </row>
    <row r="208" spans="1:42" ht="16.5" x14ac:dyDescent="0.35">
      <c r="A208" s="53">
        <v>207</v>
      </c>
      <c r="B208" s="5" t="s">
        <v>275</v>
      </c>
      <c r="C208" s="48" t="s">
        <v>660</v>
      </c>
      <c r="D208" t="s">
        <v>312</v>
      </c>
      <c r="E208" s="41" t="s">
        <v>313</v>
      </c>
      <c r="H208" s="3"/>
      <c r="I208" s="18" t="s">
        <v>53</v>
      </c>
      <c r="L208" s="15" t="s">
        <v>2</v>
      </c>
      <c r="O208" s="147">
        <v>2</v>
      </c>
      <c r="P208" s="15">
        <v>2</v>
      </c>
      <c r="Q208" s="148">
        <f t="shared" si="7"/>
        <v>4</v>
      </c>
      <c r="R2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TIENDREBEOGO RAMATA BUYO REED WENDE       MOSSIKRO NAN BODOGO    KOUADIO KOFFI TEYA                 F  </v>
      </c>
      <c r="Z208" s="53"/>
      <c r="AA208" s="5"/>
      <c r="AB208" s="48"/>
      <c r="AD208" s="41"/>
      <c r="AG208" s="3"/>
      <c r="AH208" s="18"/>
      <c r="AI208" s="17"/>
      <c r="AK208" s="15"/>
      <c r="AN208" s="147"/>
      <c r="AO208" s="15"/>
      <c r="AP208" s="148"/>
    </row>
    <row r="209" spans="1:42" ht="16.5" x14ac:dyDescent="0.35">
      <c r="A209" s="53">
        <v>208</v>
      </c>
      <c r="B209" s="5" t="s">
        <v>276</v>
      </c>
      <c r="C209" s="48" t="s">
        <v>660</v>
      </c>
      <c r="D209" t="s">
        <v>312</v>
      </c>
      <c r="E209" s="41" t="s">
        <v>313</v>
      </c>
      <c r="H209" s="3"/>
      <c r="I209" s="18" t="s">
        <v>53</v>
      </c>
      <c r="L209" s="15" t="s">
        <v>2</v>
      </c>
      <c r="O209" s="147">
        <v>1</v>
      </c>
      <c r="P209" s="15">
        <v>2</v>
      </c>
      <c r="Q209" s="148">
        <f t="shared" si="7"/>
        <v>3</v>
      </c>
      <c r="R2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KARIDJATOU BUYO REED WENDE       MOSSIKRO NAN BODOGO    KOUADIO KOFFI TEYA                 F  </v>
      </c>
      <c r="Z209" s="53"/>
      <c r="AA209" s="5"/>
      <c r="AB209" s="48"/>
      <c r="AD209" s="41"/>
      <c r="AG209" s="3"/>
      <c r="AH209" s="18"/>
      <c r="AI209" s="17"/>
      <c r="AK209" s="15"/>
      <c r="AN209" s="147"/>
      <c r="AO209" s="15"/>
      <c r="AP209" s="148"/>
    </row>
    <row r="210" spans="1:42" ht="16.5" x14ac:dyDescent="0.35">
      <c r="A210" s="53">
        <v>209</v>
      </c>
      <c r="B210" s="5" t="s">
        <v>277</v>
      </c>
      <c r="C210" s="48" t="s">
        <v>660</v>
      </c>
      <c r="D210" t="s">
        <v>312</v>
      </c>
      <c r="E210" s="41" t="s">
        <v>313</v>
      </c>
      <c r="H210" s="3" t="s">
        <v>308</v>
      </c>
      <c r="I210" s="18" t="s">
        <v>53</v>
      </c>
      <c r="L210" s="15" t="s">
        <v>9</v>
      </c>
      <c r="O210" s="147">
        <v>1</v>
      </c>
      <c r="P210" s="15">
        <v>1</v>
      </c>
      <c r="Q210" s="148">
        <f t="shared" si="7"/>
        <v>2</v>
      </c>
      <c r="R2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ZOUNGRANA AMIDOU BUYO REED WENDE       MOSSIKRO NAN BODOGO   0747912400 KOUADIO KOFFI TEYA                 M  </v>
      </c>
      <c r="Z210" s="53"/>
      <c r="AA210" s="5"/>
      <c r="AB210" s="48"/>
      <c r="AD210" s="41"/>
      <c r="AG210" s="3"/>
      <c r="AH210" s="18"/>
      <c r="AI210" s="17"/>
      <c r="AK210" s="15"/>
      <c r="AN210" s="147"/>
      <c r="AO210" s="15"/>
      <c r="AP210" s="148"/>
    </row>
    <row r="211" spans="1:42" ht="16.5" x14ac:dyDescent="0.35">
      <c r="A211" s="53">
        <v>210</v>
      </c>
      <c r="B211" s="5" t="s">
        <v>278</v>
      </c>
      <c r="C211" s="48" t="s">
        <v>660</v>
      </c>
      <c r="D211" t="s">
        <v>312</v>
      </c>
      <c r="E211" s="41" t="s">
        <v>313</v>
      </c>
      <c r="H211" s="3" t="s">
        <v>309</v>
      </c>
      <c r="I211" s="18" t="s">
        <v>53</v>
      </c>
      <c r="L211" s="15" t="s">
        <v>9</v>
      </c>
      <c r="O211" s="147">
        <v>1</v>
      </c>
      <c r="P211" s="15">
        <v>1</v>
      </c>
      <c r="Q211" s="148">
        <f t="shared" si="7"/>
        <v>2</v>
      </c>
      <c r="R2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ZOUNGRANA SOULEYMANE BUYO REED WENDE       MOSSIKRO NAN BODOGO   0768396232 KOUADIO KOFFI TEYA                 M  </v>
      </c>
      <c r="Z211" s="53"/>
      <c r="AA211" s="5"/>
      <c r="AB211" s="48"/>
      <c r="AD211" s="41"/>
      <c r="AG211" s="3"/>
      <c r="AH211" s="18"/>
      <c r="AI211" s="17"/>
      <c r="AK211" s="15"/>
      <c r="AN211" s="147"/>
      <c r="AO211" s="15"/>
      <c r="AP211" s="148"/>
    </row>
    <row r="212" spans="1:42" ht="16.5" x14ac:dyDescent="0.35">
      <c r="A212" s="53">
        <v>211</v>
      </c>
      <c r="B212" s="5" t="s">
        <v>279</v>
      </c>
      <c r="C212" s="48" t="s">
        <v>660</v>
      </c>
      <c r="D212" t="s">
        <v>312</v>
      </c>
      <c r="E212" s="41" t="s">
        <v>313</v>
      </c>
      <c r="H212" s="3" t="s">
        <v>310</v>
      </c>
      <c r="I212" s="18" t="s">
        <v>53</v>
      </c>
      <c r="L212" s="15" t="s">
        <v>9</v>
      </c>
      <c r="O212" s="147">
        <v>2</v>
      </c>
      <c r="P212" s="15">
        <v>0</v>
      </c>
      <c r="Q212" s="148">
        <f t="shared" si="7"/>
        <v>2</v>
      </c>
      <c r="R2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ZOUNGRANA OUSMANE BUYO REED WENDE       MOSSIKRO NAN BODOGO   0777204741 KOUADIO KOFFI TEYA                 M  </v>
      </c>
      <c r="Z212" s="53"/>
      <c r="AA212" s="5"/>
      <c r="AB212" s="48"/>
      <c r="AD212" s="41"/>
      <c r="AG212" s="3"/>
      <c r="AH212" s="18"/>
      <c r="AI212" s="17"/>
      <c r="AK212" s="15"/>
      <c r="AN212" s="147"/>
      <c r="AO212" s="15"/>
      <c r="AP212" s="148"/>
    </row>
    <row r="213" spans="1:42" ht="16.5" x14ac:dyDescent="0.35">
      <c r="A213" s="53">
        <v>212</v>
      </c>
      <c r="B213" s="5" t="s">
        <v>280</v>
      </c>
      <c r="C213" s="48" t="s">
        <v>660</v>
      </c>
      <c r="D213" t="s">
        <v>312</v>
      </c>
      <c r="E213" s="41" t="s">
        <v>313</v>
      </c>
      <c r="H213" s="3" t="s">
        <v>311</v>
      </c>
      <c r="I213" s="18" t="s">
        <v>53</v>
      </c>
      <c r="L213" s="15" t="s">
        <v>9</v>
      </c>
      <c r="O213" s="147">
        <v>0</v>
      </c>
      <c r="P213" s="15">
        <v>0</v>
      </c>
      <c r="Q213" s="148">
        <f t="shared" si="7"/>
        <v>0</v>
      </c>
      <c r="R2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BOUGOUM MOUSSA BUYO REED WENDE       MOSSIKRO NAN BODOGO   0748780881 KOUADIO KOFFI TEYA                 M  </v>
      </c>
      <c r="Z213" s="53"/>
      <c r="AA213" s="5"/>
      <c r="AB213" s="48"/>
      <c r="AD213" s="41"/>
      <c r="AG213" s="3"/>
      <c r="AH213" s="18"/>
      <c r="AI213" s="17"/>
      <c r="AK213" s="15"/>
      <c r="AN213" s="147"/>
      <c r="AO213" s="15"/>
      <c r="AP213" s="148"/>
    </row>
    <row r="214" spans="1:42" ht="16.5" x14ac:dyDescent="0.35">
      <c r="A214" s="53">
        <v>213</v>
      </c>
      <c r="B214" s="5" t="s">
        <v>281</v>
      </c>
      <c r="C214" s="48" t="s">
        <v>660</v>
      </c>
      <c r="D214" t="s">
        <v>312</v>
      </c>
      <c r="E214" s="41" t="s">
        <v>313</v>
      </c>
      <c r="H214" s="3"/>
      <c r="I214" s="18" t="s">
        <v>53</v>
      </c>
      <c r="L214" s="15" t="s">
        <v>9</v>
      </c>
      <c r="O214" s="147">
        <v>0</v>
      </c>
      <c r="P214" s="15">
        <v>0</v>
      </c>
      <c r="Q214" s="148">
        <f t="shared" si="7"/>
        <v>0</v>
      </c>
      <c r="R2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SALIMANTA BUYO REED WENDE       MOSSIKRO NAN BODOGO    KOUADIO KOFFI TEYA                 M  </v>
      </c>
      <c r="Z214" s="53"/>
      <c r="AA214" s="5"/>
      <c r="AB214" s="48"/>
      <c r="AD214" s="41"/>
      <c r="AG214" s="3"/>
      <c r="AH214" s="18"/>
      <c r="AI214" s="17"/>
      <c r="AK214" s="15"/>
      <c r="AN214" s="147"/>
      <c r="AO214" s="15"/>
      <c r="AP214" s="148"/>
    </row>
    <row r="215" spans="1:42" ht="16.5" x14ac:dyDescent="0.5">
      <c r="A215" s="53">
        <v>214</v>
      </c>
      <c r="B215" s="5" t="s">
        <v>282</v>
      </c>
      <c r="C215" s="48" t="s">
        <v>660</v>
      </c>
      <c r="D215" t="s">
        <v>312</v>
      </c>
      <c r="E215" s="41" t="s">
        <v>313</v>
      </c>
      <c r="H215" s="3"/>
      <c r="I215" s="18" t="s">
        <v>53</v>
      </c>
      <c r="L215" s="15" t="s">
        <v>2</v>
      </c>
      <c r="O215" s="149">
        <v>1</v>
      </c>
      <c r="P215" s="149">
        <v>2</v>
      </c>
      <c r="Q215" s="148">
        <f t="shared" si="7"/>
        <v>3</v>
      </c>
      <c r="R2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FATOUMATA BUYO REED WENDE       MOSSIKRO NAN BODOGO    KOUADIO KOFFI TEYA                 F  </v>
      </c>
      <c r="Z215" s="53"/>
      <c r="AA215" s="5"/>
      <c r="AB215" s="48"/>
      <c r="AD215" s="41"/>
      <c r="AG215" s="3"/>
      <c r="AH215" s="18"/>
      <c r="AI215" s="17"/>
      <c r="AK215" s="15"/>
      <c r="AN215" s="149"/>
      <c r="AO215" s="149"/>
      <c r="AP215" s="148"/>
    </row>
    <row r="216" spans="1:42" ht="16.5" x14ac:dyDescent="0.35">
      <c r="A216" s="53">
        <v>215</v>
      </c>
      <c r="B216" s="5" t="s">
        <v>283</v>
      </c>
      <c r="C216" s="48" t="s">
        <v>660</v>
      </c>
      <c r="D216" t="s">
        <v>312</v>
      </c>
      <c r="E216" s="41" t="s">
        <v>313</v>
      </c>
      <c r="H216" s="7"/>
      <c r="I216" s="18" t="s">
        <v>53</v>
      </c>
      <c r="L216" s="15" t="s">
        <v>2</v>
      </c>
      <c r="O216" s="151">
        <v>0</v>
      </c>
      <c r="P216" s="151">
        <v>0</v>
      </c>
      <c r="Q216" s="148">
        <f t="shared" si="7"/>
        <v>0</v>
      </c>
      <c r="R2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AMINATA BUYO REED WENDE       MOSSIKRO NAN BODOGO    KOUADIO KOFFI TEYA                 F  </v>
      </c>
      <c r="Z216" s="53"/>
      <c r="AA216" s="5"/>
      <c r="AB216" s="48"/>
      <c r="AD216" s="41"/>
      <c r="AG216" s="7"/>
      <c r="AH216" s="18"/>
      <c r="AI216" s="17"/>
      <c r="AK216" s="15"/>
      <c r="AN216" s="151"/>
      <c r="AO216" s="151"/>
      <c r="AP216" s="148"/>
    </row>
    <row r="217" spans="1:42" ht="17" thickBot="1" x14ac:dyDescent="0.4">
      <c r="A217" s="53">
        <v>216</v>
      </c>
      <c r="B217" s="12" t="s">
        <v>284</v>
      </c>
      <c r="C217" s="48" t="s">
        <v>660</v>
      </c>
      <c r="D217" t="s">
        <v>312</v>
      </c>
      <c r="E217" s="41" t="s">
        <v>313</v>
      </c>
      <c r="I217" s="18" t="s">
        <v>53</v>
      </c>
      <c r="L217" s="142" t="s">
        <v>2</v>
      </c>
      <c r="O217" s="143">
        <v>1</v>
      </c>
      <c r="P217" s="143">
        <v>1</v>
      </c>
      <c r="Q217" s="182">
        <f t="shared" si="7"/>
        <v>2</v>
      </c>
      <c r="R2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KOLOGO RAMATA  BUYO REED WENDE       MOSSIKRO NAN BODOGO    KOUADIO KOFFI TEYA                 F  </v>
      </c>
      <c r="Z217" s="53"/>
      <c r="AA217" s="12"/>
      <c r="AB217" s="48"/>
      <c r="AD217" s="41"/>
      <c r="AH217" s="18"/>
      <c r="AI217" s="17"/>
      <c r="AK217" s="142"/>
      <c r="AN217" s="143"/>
      <c r="AO217" s="143"/>
      <c r="AP217" s="182"/>
    </row>
    <row r="218" spans="1:42" ht="16.5" x14ac:dyDescent="0.35">
      <c r="A218" s="53">
        <v>217</v>
      </c>
      <c r="B218" s="5" t="s">
        <v>314</v>
      </c>
      <c r="C218" s="48" t="s">
        <v>660</v>
      </c>
      <c r="D218" t="s">
        <v>354</v>
      </c>
      <c r="E218" s="41" t="s">
        <v>355</v>
      </c>
      <c r="H218" s="3" t="s">
        <v>344</v>
      </c>
      <c r="I218" s="18" t="s">
        <v>53</v>
      </c>
      <c r="L218" s="15" t="s">
        <v>2</v>
      </c>
      <c r="O218" s="147">
        <v>0</v>
      </c>
      <c r="P218" s="15">
        <v>0</v>
      </c>
      <c r="Q218" s="148">
        <f>SUM(O218:P218)</f>
        <v>0</v>
      </c>
      <c r="R2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AMOIN HELENE BUYO EYO ENIAN OKABO   0708555498 KOUADIO KOFFI TEYA                 F  </v>
      </c>
      <c r="Z218" s="53"/>
      <c r="AA218" s="5"/>
      <c r="AB218" s="48"/>
      <c r="AD218" s="41"/>
      <c r="AG218" s="3"/>
      <c r="AH218" s="18"/>
      <c r="AI218" s="17"/>
      <c r="AK218" s="15"/>
      <c r="AN218" s="147"/>
      <c r="AO218" s="15"/>
      <c r="AP218" s="148"/>
    </row>
    <row r="219" spans="1:42" ht="16.5" x14ac:dyDescent="0.35">
      <c r="A219" s="53">
        <v>218</v>
      </c>
      <c r="B219" s="5" t="s">
        <v>315</v>
      </c>
      <c r="C219" s="48" t="s">
        <v>660</v>
      </c>
      <c r="D219" t="s">
        <v>354</v>
      </c>
      <c r="E219" s="41" t="s">
        <v>355</v>
      </c>
      <c r="H219" s="3"/>
      <c r="I219" s="18" t="s">
        <v>53</v>
      </c>
      <c r="L219" s="15" t="s">
        <v>2</v>
      </c>
      <c r="O219" s="147">
        <v>2</v>
      </c>
      <c r="P219" s="15">
        <v>2</v>
      </c>
      <c r="Q219" s="148">
        <f t="shared" ref="Q219:Q247" si="8">SUM(O219:P219)</f>
        <v>4</v>
      </c>
      <c r="R2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AMOIN ISABELLE BUYO EYO ENIAN OKABO    KOUADIO KOFFI TEYA                 F  </v>
      </c>
      <c r="Z219" s="53"/>
      <c r="AA219" s="5"/>
      <c r="AB219" s="48"/>
      <c r="AD219" s="41"/>
      <c r="AG219" s="3"/>
      <c r="AH219" s="18"/>
      <c r="AI219" s="17"/>
      <c r="AK219" s="15"/>
      <c r="AN219" s="147"/>
      <c r="AO219" s="15"/>
      <c r="AP219" s="148"/>
    </row>
    <row r="220" spans="1:42" ht="16.5" x14ac:dyDescent="0.35">
      <c r="A220" s="53">
        <v>219</v>
      </c>
      <c r="B220" s="5" t="s">
        <v>316</v>
      </c>
      <c r="C220" s="48" t="s">
        <v>660</v>
      </c>
      <c r="D220" t="s">
        <v>354</v>
      </c>
      <c r="E220" s="41" t="s">
        <v>355</v>
      </c>
      <c r="H220" s="3" t="s">
        <v>345</v>
      </c>
      <c r="I220" s="18" t="s">
        <v>53</v>
      </c>
      <c r="L220" s="15" t="s">
        <v>2</v>
      </c>
      <c r="O220" s="147">
        <v>2</v>
      </c>
      <c r="P220" s="15">
        <v>2</v>
      </c>
      <c r="Q220" s="148">
        <f t="shared" si="8"/>
        <v>4</v>
      </c>
      <c r="R2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DJE AFFOUE MARIE BUYO EYO ENIAN OKABO   0769779400 KOUADIO KOFFI TEYA                 F  </v>
      </c>
      <c r="Z220" s="53"/>
      <c r="AA220" s="5"/>
      <c r="AB220" s="48"/>
      <c r="AD220" s="41"/>
      <c r="AG220" s="3"/>
      <c r="AH220" s="18"/>
      <c r="AI220" s="17"/>
      <c r="AK220" s="15"/>
      <c r="AN220" s="147"/>
      <c r="AO220" s="15"/>
      <c r="AP220" s="148"/>
    </row>
    <row r="221" spans="1:42" ht="16.5" x14ac:dyDescent="0.35">
      <c r="A221" s="53">
        <v>220</v>
      </c>
      <c r="B221" s="5" t="s">
        <v>317</v>
      </c>
      <c r="C221" s="48" t="s">
        <v>660</v>
      </c>
      <c r="D221" t="s">
        <v>354</v>
      </c>
      <c r="E221" s="41" t="s">
        <v>355</v>
      </c>
      <c r="H221" s="3"/>
      <c r="I221" s="18" t="s">
        <v>53</v>
      </c>
      <c r="L221" s="15" t="s">
        <v>2</v>
      </c>
      <c r="O221" s="147">
        <v>3</v>
      </c>
      <c r="P221" s="15">
        <v>1</v>
      </c>
      <c r="Q221" s="148">
        <f t="shared" si="8"/>
        <v>4</v>
      </c>
      <c r="R2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AMENAN CATHERINE BUYO EYO ENIAN OKABO    KOUADIO KOFFI TEYA                 F  </v>
      </c>
      <c r="Z221" s="53"/>
      <c r="AA221" s="5"/>
      <c r="AB221" s="48"/>
      <c r="AD221" s="41"/>
      <c r="AG221" s="3"/>
      <c r="AH221" s="18"/>
      <c r="AI221" s="17"/>
      <c r="AK221" s="15"/>
      <c r="AN221" s="147"/>
      <c r="AO221" s="15"/>
      <c r="AP221" s="148"/>
    </row>
    <row r="222" spans="1:42" ht="16.5" x14ac:dyDescent="0.35">
      <c r="A222" s="53">
        <v>221</v>
      </c>
      <c r="B222" s="5" t="s">
        <v>318</v>
      </c>
      <c r="C222" s="48" t="s">
        <v>660</v>
      </c>
      <c r="D222" t="s">
        <v>354</v>
      </c>
      <c r="E222" s="41" t="s">
        <v>355</v>
      </c>
      <c r="H222" s="3"/>
      <c r="I222" s="18" t="s">
        <v>53</v>
      </c>
      <c r="L222" s="15" t="s">
        <v>2</v>
      </c>
      <c r="O222" s="147">
        <v>2</v>
      </c>
      <c r="P222" s="15">
        <v>1</v>
      </c>
      <c r="Q222" s="148">
        <f t="shared" si="8"/>
        <v>3</v>
      </c>
      <c r="R2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N'ZI AFFOUE JULIETTE  BUYO EYO ENIAN OKABO    KOUADIO KOFFI TEYA                 F  </v>
      </c>
      <c r="Z222" s="53"/>
      <c r="AA222" s="5"/>
      <c r="AB222" s="48"/>
      <c r="AD222" s="41"/>
      <c r="AG222" s="3"/>
      <c r="AH222" s="18"/>
      <c r="AI222" s="17"/>
      <c r="AK222" s="15"/>
      <c r="AN222" s="147"/>
      <c r="AO222" s="15"/>
      <c r="AP222" s="148"/>
    </row>
    <row r="223" spans="1:42" ht="16.5" x14ac:dyDescent="0.35">
      <c r="A223" s="53">
        <v>222</v>
      </c>
      <c r="B223" s="5" t="s">
        <v>319</v>
      </c>
      <c r="C223" s="48" t="s">
        <v>660</v>
      </c>
      <c r="D223" t="s">
        <v>354</v>
      </c>
      <c r="E223" s="41" t="s">
        <v>355</v>
      </c>
      <c r="H223" s="3"/>
      <c r="I223" s="18" t="s">
        <v>53</v>
      </c>
      <c r="L223" s="15" t="s">
        <v>2</v>
      </c>
      <c r="O223" s="147">
        <v>2</v>
      </c>
      <c r="P223" s="15">
        <v>1</v>
      </c>
      <c r="Q223" s="148">
        <f t="shared" si="8"/>
        <v>3</v>
      </c>
      <c r="R2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AYA ROSALIE BUYO EYO ENIAN OKABO    KOUADIO KOFFI TEYA                 F  </v>
      </c>
      <c r="Z223" s="53"/>
      <c r="AA223" s="5"/>
      <c r="AB223" s="48"/>
      <c r="AD223" s="41"/>
      <c r="AG223" s="3"/>
      <c r="AH223" s="18"/>
      <c r="AI223" s="17"/>
      <c r="AK223" s="15"/>
      <c r="AN223" s="147"/>
      <c r="AO223" s="15"/>
      <c r="AP223" s="148"/>
    </row>
    <row r="224" spans="1:42" ht="16.5" x14ac:dyDescent="0.35">
      <c r="A224" s="53">
        <v>223</v>
      </c>
      <c r="B224" s="5" t="s">
        <v>320</v>
      </c>
      <c r="C224" s="48" t="s">
        <v>660</v>
      </c>
      <c r="D224" t="s">
        <v>354</v>
      </c>
      <c r="E224" s="41" t="s">
        <v>355</v>
      </c>
      <c r="H224" s="3"/>
      <c r="I224" s="18" t="s">
        <v>53</v>
      </c>
      <c r="L224" s="15" t="s">
        <v>2</v>
      </c>
      <c r="O224" s="147">
        <v>1</v>
      </c>
      <c r="P224" s="15">
        <v>3</v>
      </c>
      <c r="Q224" s="148">
        <f t="shared" si="8"/>
        <v>4</v>
      </c>
      <c r="R2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AKISSI GENEVIEVE BUYO EYO ENIAN OKABO    KOUADIO KOFFI TEYA                 F  </v>
      </c>
      <c r="Z224" s="53"/>
      <c r="AA224" s="5"/>
      <c r="AB224" s="48"/>
      <c r="AD224" s="41"/>
      <c r="AG224" s="3"/>
      <c r="AH224" s="18"/>
      <c r="AI224" s="17"/>
      <c r="AK224" s="15"/>
      <c r="AN224" s="147"/>
      <c r="AO224" s="15"/>
      <c r="AP224" s="148"/>
    </row>
    <row r="225" spans="1:42" ht="16.5" x14ac:dyDescent="0.35">
      <c r="A225" s="53">
        <v>224</v>
      </c>
      <c r="B225" s="5" t="s">
        <v>321</v>
      </c>
      <c r="C225" s="48" t="s">
        <v>660</v>
      </c>
      <c r="D225" t="s">
        <v>354</v>
      </c>
      <c r="E225" s="41" t="s">
        <v>355</v>
      </c>
      <c r="H225" s="3"/>
      <c r="I225" s="18" t="s">
        <v>53</v>
      </c>
      <c r="L225" s="15" t="s">
        <v>2</v>
      </c>
      <c r="O225" s="147">
        <v>2</v>
      </c>
      <c r="P225" s="15">
        <v>2</v>
      </c>
      <c r="Q225" s="148">
        <f t="shared" si="8"/>
        <v>4</v>
      </c>
      <c r="R2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KRA AFFOUE EDITH BUYO EYO ENIAN OKABO    KOUADIO KOFFI TEYA                 F  </v>
      </c>
      <c r="Z225" s="53"/>
      <c r="AA225" s="5"/>
      <c r="AB225" s="48"/>
      <c r="AD225" s="41"/>
      <c r="AG225" s="3"/>
      <c r="AH225" s="18"/>
      <c r="AI225" s="17"/>
      <c r="AK225" s="15"/>
      <c r="AN225" s="147"/>
      <c r="AO225" s="15"/>
      <c r="AP225" s="148"/>
    </row>
    <row r="226" spans="1:42" ht="16.5" x14ac:dyDescent="0.35">
      <c r="A226" s="53">
        <v>225</v>
      </c>
      <c r="B226" s="5" t="s">
        <v>322</v>
      </c>
      <c r="C226" s="48" t="s">
        <v>660</v>
      </c>
      <c r="D226" t="s">
        <v>354</v>
      </c>
      <c r="E226" s="41" t="s">
        <v>355</v>
      </c>
      <c r="H226" s="3"/>
      <c r="I226" s="18" t="s">
        <v>53</v>
      </c>
      <c r="L226" s="15" t="s">
        <v>2</v>
      </c>
      <c r="O226" s="147">
        <v>1</v>
      </c>
      <c r="P226" s="15">
        <v>0</v>
      </c>
      <c r="Q226" s="148">
        <f t="shared" si="8"/>
        <v>1</v>
      </c>
      <c r="R2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N'DRI BUYO EYO ENIAN OKABO    KOUADIO KOFFI TEYA                 F  </v>
      </c>
      <c r="Z226" s="53"/>
      <c r="AA226" s="5"/>
      <c r="AB226" s="48"/>
      <c r="AD226" s="41"/>
      <c r="AG226" s="3"/>
      <c r="AH226" s="18"/>
      <c r="AI226" s="17"/>
      <c r="AK226" s="15"/>
      <c r="AN226" s="147"/>
      <c r="AO226" s="15"/>
      <c r="AP226" s="148"/>
    </row>
    <row r="227" spans="1:42" ht="16.5" x14ac:dyDescent="0.35">
      <c r="A227" s="53">
        <v>226</v>
      </c>
      <c r="B227" s="5" t="s">
        <v>323</v>
      </c>
      <c r="C227" s="48" t="s">
        <v>660</v>
      </c>
      <c r="D227" t="s">
        <v>354</v>
      </c>
      <c r="E227" s="41" t="s">
        <v>355</v>
      </c>
      <c r="H227" s="3"/>
      <c r="I227" s="18" t="s">
        <v>53</v>
      </c>
      <c r="L227" s="15" t="s">
        <v>2</v>
      </c>
      <c r="O227" s="147">
        <v>0</v>
      </c>
      <c r="P227" s="15">
        <v>0</v>
      </c>
      <c r="Q227" s="148">
        <f t="shared" si="8"/>
        <v>0</v>
      </c>
      <c r="R2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N'GORAN JEANNE BUYO EYO ENIAN OKABO    KOUADIO KOFFI TEYA                 F  </v>
      </c>
      <c r="Z227" s="53"/>
      <c r="AA227" s="5"/>
      <c r="AB227" s="48"/>
      <c r="AD227" s="41"/>
      <c r="AG227" s="3"/>
      <c r="AH227" s="18"/>
      <c r="AI227" s="17"/>
      <c r="AK227" s="15"/>
      <c r="AN227" s="147"/>
      <c r="AO227" s="15"/>
      <c r="AP227" s="148"/>
    </row>
    <row r="228" spans="1:42" ht="16.5" x14ac:dyDescent="0.35">
      <c r="A228" s="53">
        <v>227</v>
      </c>
      <c r="B228" s="5" t="s">
        <v>324</v>
      </c>
      <c r="C228" s="48" t="s">
        <v>660</v>
      </c>
      <c r="D228" t="s">
        <v>354</v>
      </c>
      <c r="E228" s="41" t="s">
        <v>355</v>
      </c>
      <c r="H228" s="3"/>
      <c r="I228" s="18" t="s">
        <v>53</v>
      </c>
      <c r="L228" s="15" t="s">
        <v>2</v>
      </c>
      <c r="O228" s="147">
        <v>0</v>
      </c>
      <c r="P228" s="15">
        <v>0</v>
      </c>
      <c r="Q228" s="148">
        <f t="shared" si="8"/>
        <v>0</v>
      </c>
      <c r="R2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LOUKOU BUYO EYO ENIAN OKABO    KOUADIO KOFFI TEYA                 F  </v>
      </c>
      <c r="Z228" s="53"/>
      <c r="AA228" s="5"/>
      <c r="AB228" s="48"/>
      <c r="AD228" s="41"/>
      <c r="AG228" s="3"/>
      <c r="AH228" s="18"/>
      <c r="AI228" s="17"/>
      <c r="AK228" s="15"/>
      <c r="AN228" s="147"/>
      <c r="AO228" s="15"/>
      <c r="AP228" s="148"/>
    </row>
    <row r="229" spans="1:42" ht="16.5" x14ac:dyDescent="0.35">
      <c r="A229" s="53">
        <v>228</v>
      </c>
      <c r="B229" s="5" t="s">
        <v>325</v>
      </c>
      <c r="C229" s="48" t="s">
        <v>660</v>
      </c>
      <c r="D229" t="s">
        <v>354</v>
      </c>
      <c r="E229" s="41" t="s">
        <v>355</v>
      </c>
      <c r="H229" s="3"/>
      <c r="I229" s="18" t="s">
        <v>53</v>
      </c>
      <c r="L229" s="15" t="s">
        <v>2</v>
      </c>
      <c r="O229" s="147">
        <v>3</v>
      </c>
      <c r="P229" s="15">
        <v>1</v>
      </c>
      <c r="Q229" s="148">
        <f t="shared" si="8"/>
        <v>4</v>
      </c>
      <c r="R2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AHOU JEANNE BUYO EYO ENIAN OKABO    KOUADIO KOFFI TEYA                 F  </v>
      </c>
      <c r="Z229" s="53"/>
      <c r="AA229" s="5"/>
      <c r="AB229" s="48"/>
      <c r="AD229" s="41"/>
      <c r="AG229" s="3"/>
      <c r="AH229" s="18"/>
      <c r="AI229" s="17"/>
      <c r="AK229" s="15"/>
      <c r="AN229" s="147"/>
      <c r="AO229" s="15"/>
      <c r="AP229" s="148"/>
    </row>
    <row r="230" spans="1:42" ht="16.5" x14ac:dyDescent="0.35">
      <c r="A230" s="53">
        <v>229</v>
      </c>
      <c r="B230" s="5" t="s">
        <v>326</v>
      </c>
      <c r="C230" s="48" t="s">
        <v>660</v>
      </c>
      <c r="D230" t="s">
        <v>354</v>
      </c>
      <c r="E230" s="41" t="s">
        <v>355</v>
      </c>
      <c r="H230" s="3"/>
      <c r="I230" s="18" t="s">
        <v>53</v>
      </c>
      <c r="L230" s="15" t="s">
        <v>2</v>
      </c>
      <c r="O230" s="147">
        <v>1</v>
      </c>
      <c r="P230" s="15">
        <v>1</v>
      </c>
      <c r="Q230" s="148">
        <f t="shared" si="8"/>
        <v>2</v>
      </c>
      <c r="R2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AFFOUE ESTELLE BUYO EYO ENIAN OKABO    KOUADIO KOFFI TEYA                 F  </v>
      </c>
      <c r="Z230" s="53"/>
      <c r="AA230" s="5"/>
      <c r="AB230" s="48"/>
      <c r="AD230" s="41"/>
      <c r="AG230" s="3"/>
      <c r="AH230" s="18"/>
      <c r="AI230" s="17"/>
      <c r="AK230" s="15"/>
      <c r="AN230" s="147"/>
      <c r="AO230" s="15"/>
      <c r="AP230" s="148"/>
    </row>
    <row r="231" spans="1:42" ht="16.5" x14ac:dyDescent="0.35">
      <c r="A231" s="53">
        <v>230</v>
      </c>
      <c r="B231" s="5" t="s">
        <v>327</v>
      </c>
      <c r="C231" s="48" t="s">
        <v>660</v>
      </c>
      <c r="D231" t="s">
        <v>354</v>
      </c>
      <c r="E231" s="41" t="s">
        <v>355</v>
      </c>
      <c r="H231" s="3"/>
      <c r="I231" s="18" t="s">
        <v>53</v>
      </c>
      <c r="L231" s="15" t="s">
        <v>2</v>
      </c>
      <c r="O231" s="147">
        <v>1</v>
      </c>
      <c r="P231" s="15">
        <v>1</v>
      </c>
      <c r="Q231" s="148">
        <f t="shared" si="8"/>
        <v>2</v>
      </c>
      <c r="R2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AKISSI CHANTAL BUYO EYO ENIAN OKABO    KOUADIO KOFFI TEYA                 F  </v>
      </c>
      <c r="Z231" s="53"/>
      <c r="AA231" s="5"/>
      <c r="AB231" s="48"/>
      <c r="AD231" s="41"/>
      <c r="AG231" s="3"/>
      <c r="AH231" s="18"/>
      <c r="AI231" s="17"/>
      <c r="AK231" s="15"/>
      <c r="AN231" s="147"/>
      <c r="AO231" s="15"/>
      <c r="AP231" s="148"/>
    </row>
    <row r="232" spans="1:42" ht="16.5" x14ac:dyDescent="0.35">
      <c r="A232" s="53">
        <v>231</v>
      </c>
      <c r="B232" s="5" t="s">
        <v>328</v>
      </c>
      <c r="C232" s="48" t="s">
        <v>660</v>
      </c>
      <c r="D232" t="s">
        <v>354</v>
      </c>
      <c r="E232" s="41" t="s">
        <v>355</v>
      </c>
      <c r="H232" s="3"/>
      <c r="I232" s="18" t="s">
        <v>53</v>
      </c>
      <c r="L232" s="15" t="s">
        <v>2</v>
      </c>
      <c r="O232" s="147">
        <v>3</v>
      </c>
      <c r="P232" s="15">
        <v>3</v>
      </c>
      <c r="Q232" s="148">
        <f t="shared" si="8"/>
        <v>6</v>
      </c>
      <c r="R2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AFFOUE ELISABETH BUYO EYO ENIAN OKABO    KOUADIO KOFFI TEYA                 F  </v>
      </c>
      <c r="Z232" s="53"/>
      <c r="AA232" s="5"/>
      <c r="AB232" s="48"/>
      <c r="AD232" s="41"/>
      <c r="AG232" s="3"/>
      <c r="AH232" s="18"/>
      <c r="AI232" s="17"/>
      <c r="AK232" s="15"/>
      <c r="AN232" s="147"/>
      <c r="AO232" s="15"/>
      <c r="AP232" s="148"/>
    </row>
    <row r="233" spans="1:42" ht="16.5" x14ac:dyDescent="0.35">
      <c r="A233" s="53">
        <v>232</v>
      </c>
      <c r="B233" s="5" t="s">
        <v>329</v>
      </c>
      <c r="C233" s="48" t="s">
        <v>660</v>
      </c>
      <c r="D233" t="s">
        <v>354</v>
      </c>
      <c r="E233" s="41" t="s">
        <v>355</v>
      </c>
      <c r="H233" s="3" t="s">
        <v>346</v>
      </c>
      <c r="I233" s="18" t="s">
        <v>53</v>
      </c>
      <c r="L233" s="15" t="s">
        <v>9</v>
      </c>
      <c r="O233" s="147">
        <v>2</v>
      </c>
      <c r="P233" s="15">
        <v>2</v>
      </c>
      <c r="Q233" s="148">
        <f t="shared" si="8"/>
        <v>4</v>
      </c>
      <c r="R2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KOFFI CHRISTOPHE BUYO EYO ENIAN OKABO   0778270468 KOUADIO KOFFI TEYA                 M  </v>
      </c>
      <c r="Z233" s="53"/>
      <c r="AA233" s="5"/>
      <c r="AB233" s="48"/>
      <c r="AD233" s="41"/>
      <c r="AG233" s="3"/>
      <c r="AH233" s="18"/>
      <c r="AI233" s="17"/>
      <c r="AK233" s="15"/>
      <c r="AN233" s="147"/>
      <c r="AO233" s="15"/>
      <c r="AP233" s="148"/>
    </row>
    <row r="234" spans="1:42" ht="16.5" x14ac:dyDescent="0.35">
      <c r="A234" s="53">
        <v>233</v>
      </c>
      <c r="B234" s="5" t="s">
        <v>330</v>
      </c>
      <c r="C234" s="48" t="s">
        <v>660</v>
      </c>
      <c r="D234" t="s">
        <v>354</v>
      </c>
      <c r="E234" s="41" t="s">
        <v>355</v>
      </c>
      <c r="H234" s="3" t="s">
        <v>347</v>
      </c>
      <c r="I234" s="18" t="s">
        <v>53</v>
      </c>
      <c r="L234" s="15" t="s">
        <v>9</v>
      </c>
      <c r="O234" s="147">
        <v>1</v>
      </c>
      <c r="P234" s="15">
        <v>3</v>
      </c>
      <c r="Q234" s="148">
        <f t="shared" si="8"/>
        <v>4</v>
      </c>
      <c r="R2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LOUKOU KOFFI JOEL BUYO EYO ENIAN OKABO   0788934156 KOUADIO KOFFI TEYA                 M  </v>
      </c>
      <c r="Z234" s="53"/>
      <c r="AA234" s="5"/>
      <c r="AB234" s="48"/>
      <c r="AD234" s="41"/>
      <c r="AG234" s="3"/>
      <c r="AH234" s="18"/>
      <c r="AI234" s="17"/>
      <c r="AK234" s="15"/>
      <c r="AN234" s="147"/>
      <c r="AO234" s="15"/>
      <c r="AP234" s="148"/>
    </row>
    <row r="235" spans="1:42" ht="16.5" x14ac:dyDescent="0.35">
      <c r="A235" s="53">
        <v>234</v>
      </c>
      <c r="B235" s="5" t="s">
        <v>331</v>
      </c>
      <c r="C235" s="48" t="s">
        <v>660</v>
      </c>
      <c r="D235" t="s">
        <v>354</v>
      </c>
      <c r="E235" s="41" t="s">
        <v>355</v>
      </c>
      <c r="H235" s="3" t="s">
        <v>348</v>
      </c>
      <c r="I235" s="18" t="s">
        <v>53</v>
      </c>
      <c r="L235" s="15" t="s">
        <v>9</v>
      </c>
      <c r="O235" s="147">
        <v>2</v>
      </c>
      <c r="P235" s="15">
        <v>2</v>
      </c>
      <c r="Q235" s="148">
        <f t="shared" si="8"/>
        <v>4</v>
      </c>
      <c r="R2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KAN BUYO EYO ENIAN OKABO   0748154989 KOUADIO KOFFI TEYA                 M  </v>
      </c>
      <c r="Z235" s="53"/>
      <c r="AA235" s="5"/>
      <c r="AB235" s="48"/>
      <c r="AD235" s="41"/>
      <c r="AG235" s="3"/>
      <c r="AH235" s="18"/>
      <c r="AI235" s="17"/>
      <c r="AK235" s="15"/>
      <c r="AN235" s="147"/>
      <c r="AO235" s="15"/>
      <c r="AP235" s="148"/>
    </row>
    <row r="236" spans="1:42" ht="16.5" x14ac:dyDescent="0.35">
      <c r="A236" s="53">
        <v>235</v>
      </c>
      <c r="B236" s="5" t="s">
        <v>332</v>
      </c>
      <c r="C236" s="48" t="s">
        <v>660</v>
      </c>
      <c r="D236" t="s">
        <v>354</v>
      </c>
      <c r="E236" s="41" t="s">
        <v>355</v>
      </c>
      <c r="H236" s="3" t="s">
        <v>349</v>
      </c>
      <c r="I236" s="18" t="s">
        <v>53</v>
      </c>
      <c r="L236" s="15" t="s">
        <v>9</v>
      </c>
      <c r="O236" s="147">
        <v>1</v>
      </c>
      <c r="P236" s="15">
        <v>2</v>
      </c>
      <c r="Q236" s="148">
        <f t="shared" si="8"/>
        <v>3</v>
      </c>
      <c r="R2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KOFFI ABDOULAYE BUYO EYO ENIAN OKABO   0758738736 KOUADIO KOFFI TEYA                 M  </v>
      </c>
      <c r="Z236" s="53"/>
      <c r="AA236" s="5"/>
      <c r="AB236" s="48"/>
      <c r="AD236" s="41"/>
      <c r="AG236" s="3"/>
      <c r="AH236" s="18"/>
      <c r="AI236" s="17"/>
      <c r="AK236" s="15"/>
      <c r="AN236" s="147"/>
      <c r="AO236" s="15"/>
      <c r="AP236" s="148"/>
    </row>
    <row r="237" spans="1:42" ht="16.5" x14ac:dyDescent="0.35">
      <c r="A237" s="53">
        <v>236</v>
      </c>
      <c r="B237" s="5" t="s">
        <v>333</v>
      </c>
      <c r="C237" s="48" t="s">
        <v>660</v>
      </c>
      <c r="D237" t="s">
        <v>354</v>
      </c>
      <c r="E237" s="41" t="s">
        <v>355</v>
      </c>
      <c r="H237" s="3"/>
      <c r="I237" s="18" t="s">
        <v>53</v>
      </c>
      <c r="L237" s="15" t="s">
        <v>2</v>
      </c>
      <c r="O237" s="147">
        <v>1</v>
      </c>
      <c r="P237" s="15">
        <v>1</v>
      </c>
      <c r="Q237" s="148">
        <f t="shared" si="8"/>
        <v>2</v>
      </c>
      <c r="R2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N'GORAN RACHELLE BUYO EYO ENIAN OKABO    KOUADIO KOFFI TEYA                 F  </v>
      </c>
      <c r="Z237" s="53"/>
      <c r="AA237" s="5"/>
      <c r="AB237" s="48"/>
      <c r="AD237" s="41"/>
      <c r="AG237" s="3"/>
      <c r="AH237" s="18"/>
      <c r="AI237" s="17"/>
      <c r="AK237" s="15"/>
      <c r="AN237" s="147"/>
      <c r="AO237" s="15"/>
      <c r="AP237" s="148"/>
    </row>
    <row r="238" spans="1:42" ht="16.5" x14ac:dyDescent="0.35">
      <c r="A238" s="53">
        <v>237</v>
      </c>
      <c r="B238" s="5" t="s">
        <v>334</v>
      </c>
      <c r="C238" s="48" t="s">
        <v>660</v>
      </c>
      <c r="D238" t="s">
        <v>354</v>
      </c>
      <c r="E238" s="41" t="s">
        <v>355</v>
      </c>
      <c r="H238" s="3"/>
      <c r="I238" s="18" t="s">
        <v>53</v>
      </c>
      <c r="L238" s="15" t="s">
        <v>2</v>
      </c>
      <c r="O238" s="147">
        <v>1</v>
      </c>
      <c r="P238" s="15">
        <v>1</v>
      </c>
      <c r="Q238" s="148">
        <f t="shared" si="8"/>
        <v>2</v>
      </c>
      <c r="R2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LOUKOU ALLA BUYO EYO ENIAN OKABO    KOUADIO KOFFI TEYA                 F  </v>
      </c>
      <c r="Z238" s="53"/>
      <c r="AA238" s="5"/>
      <c r="AB238" s="48"/>
      <c r="AD238" s="41"/>
      <c r="AG238" s="3"/>
      <c r="AH238" s="18"/>
      <c r="AI238" s="17"/>
      <c r="AK238" s="15"/>
      <c r="AN238" s="147"/>
      <c r="AO238" s="15"/>
      <c r="AP238" s="148"/>
    </row>
    <row r="239" spans="1:42" ht="16.5" x14ac:dyDescent="0.35">
      <c r="A239" s="53">
        <v>238</v>
      </c>
      <c r="B239" s="5" t="s">
        <v>335</v>
      </c>
      <c r="C239" s="48" t="s">
        <v>660</v>
      </c>
      <c r="D239" t="s">
        <v>354</v>
      </c>
      <c r="E239" s="41" t="s">
        <v>355</v>
      </c>
      <c r="H239" s="3"/>
      <c r="I239" s="18" t="s">
        <v>53</v>
      </c>
      <c r="L239" s="15" t="s">
        <v>2</v>
      </c>
      <c r="O239" s="147">
        <v>2</v>
      </c>
      <c r="P239" s="15">
        <v>2</v>
      </c>
      <c r="Q239" s="148">
        <f t="shared" si="8"/>
        <v>4</v>
      </c>
      <c r="R2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AYA DORCAS BUYO EYO ENIAN OKABO    KOUADIO KOFFI TEYA                 F  </v>
      </c>
      <c r="Z239" s="53"/>
      <c r="AA239" s="5"/>
      <c r="AB239" s="48"/>
      <c r="AD239" s="41"/>
      <c r="AG239" s="3"/>
      <c r="AH239" s="18"/>
      <c r="AI239" s="17"/>
      <c r="AK239" s="15"/>
      <c r="AN239" s="147"/>
      <c r="AO239" s="15"/>
      <c r="AP239" s="148"/>
    </row>
    <row r="240" spans="1:42" ht="16.5" x14ac:dyDescent="0.35">
      <c r="A240" s="53">
        <v>239</v>
      </c>
      <c r="B240" s="5" t="s">
        <v>336</v>
      </c>
      <c r="C240" s="48" t="s">
        <v>660</v>
      </c>
      <c r="D240" t="s">
        <v>354</v>
      </c>
      <c r="E240" s="41" t="s">
        <v>355</v>
      </c>
      <c r="H240" s="3" t="s">
        <v>350</v>
      </c>
      <c r="I240" s="18" t="s">
        <v>53</v>
      </c>
      <c r="L240" s="15" t="s">
        <v>2</v>
      </c>
      <c r="O240" s="147">
        <v>0</v>
      </c>
      <c r="P240" s="15">
        <v>4</v>
      </c>
      <c r="Q240" s="148">
        <f t="shared" si="8"/>
        <v>4</v>
      </c>
      <c r="R2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AMEMOU AMOIN CAROLINE BUYO EYO ENIAN OKABO   0749633092 KOUADIO KOFFI TEYA                 F  </v>
      </c>
      <c r="Z240" s="53"/>
      <c r="AA240" s="5"/>
      <c r="AB240" s="48"/>
      <c r="AD240" s="41"/>
      <c r="AG240" s="3"/>
      <c r="AH240" s="18"/>
      <c r="AI240" s="17"/>
      <c r="AK240" s="15"/>
      <c r="AN240" s="147"/>
      <c r="AO240" s="15"/>
      <c r="AP240" s="148"/>
    </row>
    <row r="241" spans="1:42" ht="16.5" x14ac:dyDescent="0.35">
      <c r="A241" s="53">
        <v>240</v>
      </c>
      <c r="B241" s="5" t="s">
        <v>337</v>
      </c>
      <c r="C241" s="48" t="s">
        <v>660</v>
      </c>
      <c r="D241" t="s">
        <v>354</v>
      </c>
      <c r="E241" s="41" t="s">
        <v>355</v>
      </c>
      <c r="H241" s="3" t="s">
        <v>351</v>
      </c>
      <c r="I241" s="18" t="s">
        <v>53</v>
      </c>
      <c r="L241" s="15" t="s">
        <v>9</v>
      </c>
      <c r="O241" s="147">
        <v>1</v>
      </c>
      <c r="P241" s="15">
        <v>1</v>
      </c>
      <c r="Q241" s="148">
        <f t="shared" si="8"/>
        <v>2</v>
      </c>
      <c r="R2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JUDICAEL BUYO EYO ENIAN OKABO   0778105883 KOUADIO KOFFI TEYA                 M  </v>
      </c>
      <c r="Z241" s="53"/>
      <c r="AA241" s="5"/>
      <c r="AB241" s="48"/>
      <c r="AD241" s="41"/>
      <c r="AG241" s="3"/>
      <c r="AH241" s="18"/>
      <c r="AI241" s="17"/>
      <c r="AK241" s="15"/>
      <c r="AN241" s="147"/>
      <c r="AO241" s="15"/>
      <c r="AP241" s="148"/>
    </row>
    <row r="242" spans="1:42" ht="16.5" x14ac:dyDescent="0.35">
      <c r="A242" s="53">
        <v>241</v>
      </c>
      <c r="B242" s="5" t="s">
        <v>338</v>
      </c>
      <c r="C242" s="48" t="s">
        <v>660</v>
      </c>
      <c r="D242" t="s">
        <v>354</v>
      </c>
      <c r="E242" s="41" t="s">
        <v>355</v>
      </c>
      <c r="H242" s="3"/>
      <c r="I242" s="18" t="s">
        <v>53</v>
      </c>
      <c r="L242" s="15" t="s">
        <v>2</v>
      </c>
      <c r="O242" s="147">
        <v>1</v>
      </c>
      <c r="P242" s="15">
        <v>3</v>
      </c>
      <c r="Q242" s="148">
        <f t="shared" si="8"/>
        <v>4</v>
      </c>
      <c r="R2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AHOU GENEVIEVE BUYO EYO ENIAN OKABO    KOUADIO KOFFI TEYA                 F  </v>
      </c>
      <c r="Z242" s="53"/>
      <c r="AA242" s="5"/>
      <c r="AB242" s="48"/>
      <c r="AD242" s="41"/>
      <c r="AG242" s="3"/>
      <c r="AH242" s="18"/>
      <c r="AI242" s="17"/>
      <c r="AK242" s="15"/>
      <c r="AN242" s="147"/>
      <c r="AO242" s="15"/>
      <c r="AP242" s="148"/>
    </row>
    <row r="243" spans="1:42" ht="16.5" x14ac:dyDescent="0.35">
      <c r="A243" s="53">
        <v>242</v>
      </c>
      <c r="B243" s="5" t="s">
        <v>339</v>
      </c>
      <c r="C243" s="48" t="s">
        <v>660</v>
      </c>
      <c r="D243" t="s">
        <v>354</v>
      </c>
      <c r="E243" s="41" t="s">
        <v>355</v>
      </c>
      <c r="H243" s="3"/>
      <c r="I243" s="18" t="s">
        <v>53</v>
      </c>
      <c r="L243" s="15" t="s">
        <v>2</v>
      </c>
      <c r="O243" s="147">
        <v>0</v>
      </c>
      <c r="P243" s="15">
        <v>0</v>
      </c>
      <c r="Q243" s="148">
        <f t="shared" si="8"/>
        <v>0</v>
      </c>
      <c r="R2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AMOIN ESTER BUYO EYO ENIAN OKABO    KOUADIO KOFFI TEYA                 F  </v>
      </c>
      <c r="Z243" s="53"/>
      <c r="AA243" s="5"/>
      <c r="AB243" s="48"/>
      <c r="AD243" s="41"/>
      <c r="AG243" s="3"/>
      <c r="AH243" s="18"/>
      <c r="AI243" s="17"/>
      <c r="AK243" s="15"/>
      <c r="AN243" s="147"/>
      <c r="AO243" s="15"/>
      <c r="AP243" s="148"/>
    </row>
    <row r="244" spans="1:42" ht="16.5" x14ac:dyDescent="0.5">
      <c r="A244" s="53">
        <v>243</v>
      </c>
      <c r="B244" s="5" t="s">
        <v>340</v>
      </c>
      <c r="C244" s="48" t="s">
        <v>660</v>
      </c>
      <c r="D244" t="s">
        <v>354</v>
      </c>
      <c r="E244" s="41" t="s">
        <v>355</v>
      </c>
      <c r="H244" s="3" t="s">
        <v>352</v>
      </c>
      <c r="I244" s="18" t="s">
        <v>53</v>
      </c>
      <c r="L244" s="15" t="s">
        <v>9</v>
      </c>
      <c r="O244" s="149">
        <v>1</v>
      </c>
      <c r="P244" s="149">
        <v>3</v>
      </c>
      <c r="Q244" s="148">
        <f t="shared" si="8"/>
        <v>4</v>
      </c>
      <c r="R2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ASSUI LOUKOU BUYO EYO ENIAN OKABO   0788934163 KOUADIO KOFFI TEYA                 M  </v>
      </c>
      <c r="Z244" s="53"/>
      <c r="AA244" s="5"/>
      <c r="AB244" s="48"/>
      <c r="AD244" s="41"/>
      <c r="AG244" s="3"/>
      <c r="AH244" s="18"/>
      <c r="AI244" s="17"/>
      <c r="AK244" s="15"/>
      <c r="AN244" s="149"/>
      <c r="AO244" s="149"/>
      <c r="AP244" s="148"/>
    </row>
    <row r="245" spans="1:42" ht="16.5" x14ac:dyDescent="0.35">
      <c r="A245" s="53">
        <v>244</v>
      </c>
      <c r="B245" s="5" t="s">
        <v>341</v>
      </c>
      <c r="C245" s="48" t="s">
        <v>660</v>
      </c>
      <c r="D245" t="s">
        <v>354</v>
      </c>
      <c r="E245" s="41" t="s">
        <v>355</v>
      </c>
      <c r="H245" s="7" t="s">
        <v>353</v>
      </c>
      <c r="I245" s="18" t="s">
        <v>53</v>
      </c>
      <c r="L245" s="15" t="s">
        <v>9</v>
      </c>
      <c r="O245" s="151">
        <v>2</v>
      </c>
      <c r="P245" s="151">
        <v>3</v>
      </c>
      <c r="Q245" s="148">
        <f t="shared" si="8"/>
        <v>5</v>
      </c>
      <c r="R2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ASSOU KOUADIO ALEXIS BUYO EYO ENIAN OKABO   0545037688 KOUADIO KOFFI TEYA                 M  </v>
      </c>
      <c r="Z245" s="53"/>
      <c r="AA245" s="5"/>
      <c r="AB245" s="48"/>
      <c r="AD245" s="41"/>
      <c r="AG245" s="7"/>
      <c r="AH245" s="18"/>
      <c r="AI245" s="17"/>
      <c r="AK245" s="15"/>
      <c r="AN245" s="151"/>
      <c r="AO245" s="151"/>
      <c r="AP245" s="148"/>
    </row>
    <row r="246" spans="1:42" ht="16.5" x14ac:dyDescent="0.35">
      <c r="A246" s="53">
        <v>245</v>
      </c>
      <c r="B246" s="27" t="s">
        <v>342</v>
      </c>
      <c r="C246" s="48" t="s">
        <v>660</v>
      </c>
      <c r="D246" t="s">
        <v>354</v>
      </c>
      <c r="E246" s="41" t="s">
        <v>355</v>
      </c>
      <c r="H246" s="10"/>
      <c r="I246" s="18" t="s">
        <v>53</v>
      </c>
      <c r="L246" s="16" t="s">
        <v>2</v>
      </c>
      <c r="O246" s="143">
        <v>0</v>
      </c>
      <c r="P246" s="143">
        <v>0</v>
      </c>
      <c r="Q246" s="148">
        <f t="shared" si="8"/>
        <v>0</v>
      </c>
      <c r="R2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KINDREBEOGO NATALIE BUYO EYO ENIAN OKABO    KOUADIO KOFFI TEYA                 F  </v>
      </c>
      <c r="Z246" s="53"/>
      <c r="AA246" s="27"/>
      <c r="AB246" s="48"/>
      <c r="AD246" s="41"/>
      <c r="AG246" s="10"/>
      <c r="AH246" s="18"/>
      <c r="AI246" s="17"/>
      <c r="AK246" s="16"/>
      <c r="AN246" s="143"/>
      <c r="AO246" s="143"/>
      <c r="AP246" s="148"/>
    </row>
    <row r="247" spans="1:42" ht="17" thickBot="1" x14ac:dyDescent="0.4">
      <c r="A247" s="53">
        <v>246</v>
      </c>
      <c r="B247" s="12" t="s">
        <v>343</v>
      </c>
      <c r="C247" s="48" t="s">
        <v>660</v>
      </c>
      <c r="D247" t="s">
        <v>354</v>
      </c>
      <c r="E247" s="41" t="s">
        <v>355</v>
      </c>
      <c r="H247" s="13"/>
      <c r="I247" s="18" t="s">
        <v>53</v>
      </c>
      <c r="L247" s="141" t="s">
        <v>9</v>
      </c>
      <c r="O247" s="143">
        <v>0</v>
      </c>
      <c r="P247" s="143">
        <v>0</v>
      </c>
      <c r="Q247" s="182">
        <f t="shared" si="8"/>
        <v>0</v>
      </c>
      <c r="R2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JEAN ROMARIC BUYO EYO ENIAN OKABO    KOUADIO KOFFI TEYA                 M  </v>
      </c>
      <c r="Z247" s="53"/>
      <c r="AA247" s="12"/>
      <c r="AB247" s="48"/>
      <c r="AD247" s="41"/>
      <c r="AG247" s="13"/>
      <c r="AH247" s="18"/>
      <c r="AI247" s="17"/>
      <c r="AK247" s="141"/>
      <c r="AN247" s="143"/>
      <c r="AO247" s="143"/>
      <c r="AP247" s="182"/>
    </row>
    <row r="248" spans="1:42" ht="16.5" x14ac:dyDescent="0.35">
      <c r="A248" s="53">
        <v>247</v>
      </c>
      <c r="B248" s="5" t="s">
        <v>356</v>
      </c>
      <c r="C248" s="48" t="s">
        <v>660</v>
      </c>
      <c r="D248" t="s">
        <v>389</v>
      </c>
      <c r="E248" s="41" t="s">
        <v>390</v>
      </c>
      <c r="H248" s="3" t="s">
        <v>376</v>
      </c>
      <c r="I248" s="18" t="s">
        <v>53</v>
      </c>
      <c r="L248" s="15" t="s">
        <v>2</v>
      </c>
      <c r="M248" s="5" t="s">
        <v>388</v>
      </c>
      <c r="O248" s="147">
        <v>2</v>
      </c>
      <c r="P248" s="15">
        <v>3</v>
      </c>
      <c r="Q248" s="148">
        <f t="shared" ref="Q248:Q267" si="9">SUM(M248:P248)</f>
        <v>5</v>
      </c>
      <c r="R2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N'DRI JACQUELINE BUYO YEKLOYEWU  TANO KOUADIOKRO   0757974948 KOUADIO KOFFI TEYA                 F Couple </v>
      </c>
      <c r="Z248" s="53"/>
      <c r="AA248" s="5"/>
      <c r="AB248" s="48"/>
      <c r="AD248" s="41"/>
      <c r="AG248" s="3"/>
      <c r="AH248" s="18"/>
      <c r="AI248" s="17"/>
      <c r="AK248" s="15"/>
      <c r="AL248" s="5"/>
      <c r="AN248" s="147"/>
      <c r="AO248" s="15"/>
      <c r="AP248" s="148"/>
    </row>
    <row r="249" spans="1:42" ht="16.5" x14ac:dyDescent="0.35">
      <c r="A249" s="53">
        <v>248</v>
      </c>
      <c r="B249" s="5" t="s">
        <v>357</v>
      </c>
      <c r="C249" s="48" t="s">
        <v>660</v>
      </c>
      <c r="D249" t="s">
        <v>389</v>
      </c>
      <c r="E249" s="41" t="s">
        <v>390</v>
      </c>
      <c r="H249" s="3" t="s">
        <v>377</v>
      </c>
      <c r="I249" s="18" t="s">
        <v>53</v>
      </c>
      <c r="L249" s="15" t="s">
        <v>9</v>
      </c>
      <c r="M249" s="5" t="s">
        <v>388</v>
      </c>
      <c r="O249" s="147">
        <v>1</v>
      </c>
      <c r="P249" s="15">
        <v>1</v>
      </c>
      <c r="Q249" s="148">
        <f t="shared" si="9"/>
        <v>2</v>
      </c>
      <c r="R2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KOUAKOU JOSE BUYO YEKLOYEWU  TANO KOUADIOKRO   0758152391 KOUADIO KOFFI TEYA                 M Couple </v>
      </c>
      <c r="Z249" s="53"/>
      <c r="AA249" s="5"/>
      <c r="AB249" s="48"/>
      <c r="AD249" s="41"/>
      <c r="AG249" s="3"/>
      <c r="AH249" s="18"/>
      <c r="AI249" s="17"/>
      <c r="AK249" s="15"/>
      <c r="AL249" s="5"/>
      <c r="AN249" s="147"/>
      <c r="AO249" s="15"/>
      <c r="AP249" s="148"/>
    </row>
    <row r="250" spans="1:42" ht="16.5" x14ac:dyDescent="0.35">
      <c r="A250" s="53">
        <v>249</v>
      </c>
      <c r="B250" s="5" t="s">
        <v>358</v>
      </c>
      <c r="C250" s="48" t="s">
        <v>660</v>
      </c>
      <c r="D250" t="s">
        <v>389</v>
      </c>
      <c r="E250" s="41" t="s">
        <v>390</v>
      </c>
      <c r="H250" s="3" t="s">
        <v>378</v>
      </c>
      <c r="I250" s="18" t="s">
        <v>53</v>
      </c>
      <c r="L250" s="15" t="s">
        <v>2</v>
      </c>
      <c r="M250" s="5" t="s">
        <v>388</v>
      </c>
      <c r="O250" s="147">
        <v>1</v>
      </c>
      <c r="P250" s="15">
        <v>1</v>
      </c>
      <c r="Q250" s="148">
        <f t="shared" si="9"/>
        <v>2</v>
      </c>
      <c r="R2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AMENAN BUYO YEKLOYEWU  TANO KOUADIOKRO   0709935743 KOUADIO KOFFI TEYA                 F Couple </v>
      </c>
      <c r="Z250" s="53"/>
      <c r="AA250" s="5"/>
      <c r="AB250" s="48"/>
      <c r="AD250" s="41"/>
      <c r="AG250" s="3"/>
      <c r="AH250" s="18"/>
      <c r="AI250" s="17"/>
      <c r="AK250" s="15"/>
      <c r="AL250" s="5"/>
      <c r="AN250" s="147"/>
      <c r="AO250" s="15"/>
      <c r="AP250" s="148"/>
    </row>
    <row r="251" spans="1:42" ht="16.5" x14ac:dyDescent="0.35">
      <c r="A251" s="53">
        <v>250</v>
      </c>
      <c r="B251" s="5" t="s">
        <v>359</v>
      </c>
      <c r="C251" s="48" t="s">
        <v>660</v>
      </c>
      <c r="D251" t="s">
        <v>389</v>
      </c>
      <c r="E251" s="41" t="s">
        <v>390</v>
      </c>
      <c r="H251" s="3" t="s">
        <v>379</v>
      </c>
      <c r="I251" s="18" t="s">
        <v>53</v>
      </c>
      <c r="L251" s="15" t="s">
        <v>2</v>
      </c>
      <c r="M251" s="5" t="s">
        <v>388</v>
      </c>
      <c r="O251" s="147">
        <v>2</v>
      </c>
      <c r="P251" s="15">
        <v>3</v>
      </c>
      <c r="Q251" s="148">
        <f t="shared" si="9"/>
        <v>5</v>
      </c>
      <c r="R2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AMOIN ODILE BUYO YEKLOYEWU  TANO KOUADIOKRO   0778109012 KOUADIO KOFFI TEYA                 F Couple </v>
      </c>
      <c r="Z251" s="53"/>
      <c r="AA251" s="5"/>
      <c r="AB251" s="48"/>
      <c r="AD251" s="41"/>
      <c r="AG251" s="3"/>
      <c r="AH251" s="18"/>
      <c r="AI251" s="17"/>
      <c r="AK251" s="15"/>
      <c r="AL251" s="5"/>
      <c r="AN251" s="147"/>
      <c r="AO251" s="15"/>
      <c r="AP251" s="148"/>
    </row>
    <row r="252" spans="1:42" ht="16.5" x14ac:dyDescent="0.35">
      <c r="A252" s="53">
        <v>251</v>
      </c>
      <c r="B252" s="5" t="s">
        <v>360</v>
      </c>
      <c r="C252" s="48" t="s">
        <v>660</v>
      </c>
      <c r="D252" t="s">
        <v>389</v>
      </c>
      <c r="E252" s="41" t="s">
        <v>390</v>
      </c>
      <c r="H252" s="3" t="s">
        <v>380</v>
      </c>
      <c r="I252" s="18" t="s">
        <v>53</v>
      </c>
      <c r="L252" s="15" t="s">
        <v>2</v>
      </c>
      <c r="M252" s="5" t="s">
        <v>388</v>
      </c>
      <c r="O252" s="147">
        <v>1</v>
      </c>
      <c r="P252" s="15">
        <v>4</v>
      </c>
      <c r="Q252" s="148">
        <f t="shared" si="9"/>
        <v>5</v>
      </c>
      <c r="R2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DELETO MOLAO  BUYO YEKLOYEWU  TANO KOUADIOKRO   0759022162 KOUADIO KOFFI TEYA                 F Couple </v>
      </c>
      <c r="Z252" s="53"/>
      <c r="AA252" s="5"/>
      <c r="AB252" s="48"/>
      <c r="AD252" s="41"/>
      <c r="AG252" s="3"/>
      <c r="AH252" s="18"/>
      <c r="AI252" s="17"/>
      <c r="AK252" s="15"/>
      <c r="AL252" s="5"/>
      <c r="AN252" s="147"/>
      <c r="AO252" s="15"/>
      <c r="AP252" s="148"/>
    </row>
    <row r="253" spans="1:42" ht="16.5" x14ac:dyDescent="0.35">
      <c r="A253" s="53">
        <v>252</v>
      </c>
      <c r="B253" s="5" t="s">
        <v>361</v>
      </c>
      <c r="C253" s="48" t="s">
        <v>660</v>
      </c>
      <c r="D253" t="s">
        <v>389</v>
      </c>
      <c r="E253" s="41" t="s">
        <v>390</v>
      </c>
      <c r="H253" s="3" t="s">
        <v>381</v>
      </c>
      <c r="I253" s="18" t="s">
        <v>53</v>
      </c>
      <c r="L253" s="15" t="s">
        <v>2</v>
      </c>
      <c r="M253" s="5" t="s">
        <v>388</v>
      </c>
      <c r="O253" s="147">
        <v>2</v>
      </c>
      <c r="P253" s="15">
        <v>1</v>
      </c>
      <c r="Q253" s="148">
        <f t="shared" si="9"/>
        <v>3</v>
      </c>
      <c r="R2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AHOSSI AMENAN AGNES BUYO YEKLOYEWU  TANO KOUADIOKRO   0747079237 KOUADIO KOFFI TEYA                 F Couple </v>
      </c>
      <c r="Z253" s="53"/>
      <c r="AA253" s="5"/>
      <c r="AB253" s="48"/>
      <c r="AD253" s="41"/>
      <c r="AG253" s="3"/>
      <c r="AH253" s="18"/>
      <c r="AI253" s="17"/>
      <c r="AK253" s="15"/>
      <c r="AL253" s="5"/>
      <c r="AN253" s="147"/>
      <c r="AO253" s="15"/>
      <c r="AP253" s="148"/>
    </row>
    <row r="254" spans="1:42" ht="16.5" x14ac:dyDescent="0.35">
      <c r="A254" s="53">
        <v>253</v>
      </c>
      <c r="B254" s="5" t="s">
        <v>362</v>
      </c>
      <c r="C254" s="48" t="s">
        <v>660</v>
      </c>
      <c r="D254" t="s">
        <v>389</v>
      </c>
      <c r="E254" s="41" t="s">
        <v>390</v>
      </c>
      <c r="H254" s="3"/>
      <c r="I254" s="18" t="s">
        <v>53</v>
      </c>
      <c r="L254" s="15" t="s">
        <v>2</v>
      </c>
      <c r="M254" s="5" t="s">
        <v>388</v>
      </c>
      <c r="O254" s="147">
        <v>1</v>
      </c>
      <c r="P254" s="15">
        <v>2</v>
      </c>
      <c r="Q254" s="148">
        <f t="shared" si="9"/>
        <v>3</v>
      </c>
      <c r="R2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N'GORAN MADELENE BUYO YEKLOYEWU  TANO KOUADIOKRO    KOUADIO KOFFI TEYA                 F Couple </v>
      </c>
      <c r="Z254" s="53"/>
      <c r="AA254" s="5"/>
      <c r="AB254" s="48"/>
      <c r="AD254" s="41"/>
      <c r="AG254" s="3"/>
      <c r="AH254" s="18"/>
      <c r="AI254" s="17"/>
      <c r="AK254" s="15"/>
      <c r="AL254" s="5"/>
      <c r="AN254" s="147"/>
      <c r="AO254" s="15"/>
      <c r="AP254" s="148"/>
    </row>
    <row r="255" spans="1:42" ht="16.5" x14ac:dyDescent="0.35">
      <c r="A255" s="53">
        <v>254</v>
      </c>
      <c r="B255" s="5" t="s">
        <v>363</v>
      </c>
      <c r="C255" s="48" t="s">
        <v>660</v>
      </c>
      <c r="D255" t="s">
        <v>389</v>
      </c>
      <c r="E255" s="41" t="s">
        <v>390</v>
      </c>
      <c r="H255" s="3"/>
      <c r="I255" s="18" t="s">
        <v>53</v>
      </c>
      <c r="L255" s="15" t="s">
        <v>2</v>
      </c>
      <c r="M255" s="5" t="s">
        <v>388</v>
      </c>
      <c r="O255" s="147">
        <v>2</v>
      </c>
      <c r="P255" s="15">
        <v>2</v>
      </c>
      <c r="Q255" s="148">
        <f t="shared" si="9"/>
        <v>4</v>
      </c>
      <c r="R2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AKISSI ODILE BUYO YEKLOYEWU  TANO KOUADIOKRO    KOUADIO KOFFI TEYA                 F Couple </v>
      </c>
      <c r="Z255" s="53"/>
      <c r="AA255" s="5"/>
      <c r="AB255" s="48"/>
      <c r="AD255" s="41"/>
      <c r="AG255" s="3"/>
      <c r="AH255" s="18"/>
      <c r="AI255" s="17"/>
      <c r="AK255" s="15"/>
      <c r="AL255" s="5"/>
      <c r="AN255" s="147"/>
      <c r="AO255" s="15"/>
      <c r="AP255" s="148"/>
    </row>
    <row r="256" spans="1:42" ht="16.5" x14ac:dyDescent="0.35">
      <c r="A256" s="53">
        <v>255</v>
      </c>
      <c r="B256" s="5" t="s">
        <v>364</v>
      </c>
      <c r="C256" s="48" t="s">
        <v>660</v>
      </c>
      <c r="D256" t="s">
        <v>389</v>
      </c>
      <c r="E256" s="41" t="s">
        <v>390</v>
      </c>
      <c r="H256" s="3"/>
      <c r="I256" s="18" t="s">
        <v>53</v>
      </c>
      <c r="L256" s="15" t="s">
        <v>2</v>
      </c>
      <c r="M256" s="5" t="s">
        <v>388</v>
      </c>
      <c r="O256" s="147">
        <v>3</v>
      </c>
      <c r="P256" s="15">
        <v>2</v>
      </c>
      <c r="Q256" s="148">
        <f t="shared" si="9"/>
        <v>5</v>
      </c>
      <c r="R2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AMENAN FELICITE BUYO YEKLOYEWU  TANO KOUADIOKRO    KOUADIO KOFFI TEYA                 F Couple </v>
      </c>
      <c r="Z256" s="53"/>
      <c r="AA256" s="5"/>
      <c r="AB256" s="48"/>
      <c r="AD256" s="41"/>
      <c r="AG256" s="3"/>
      <c r="AH256" s="18"/>
      <c r="AI256" s="17"/>
      <c r="AK256" s="15"/>
      <c r="AL256" s="5"/>
      <c r="AN256" s="147"/>
      <c r="AO256" s="15"/>
      <c r="AP256" s="148"/>
    </row>
    <row r="257" spans="1:42" ht="16.5" x14ac:dyDescent="0.35">
      <c r="A257" s="53">
        <v>256</v>
      </c>
      <c r="B257" s="5" t="s">
        <v>365</v>
      </c>
      <c r="C257" s="48" t="s">
        <v>660</v>
      </c>
      <c r="D257" t="s">
        <v>389</v>
      </c>
      <c r="E257" s="41" t="s">
        <v>390</v>
      </c>
      <c r="H257" s="3" t="s">
        <v>382</v>
      </c>
      <c r="I257" s="18" t="s">
        <v>53</v>
      </c>
      <c r="L257" s="15" t="s">
        <v>2</v>
      </c>
      <c r="M257" s="5" t="s">
        <v>388</v>
      </c>
      <c r="O257" s="147">
        <v>2</v>
      </c>
      <c r="P257" s="15">
        <v>3</v>
      </c>
      <c r="Q257" s="148">
        <f t="shared" si="9"/>
        <v>5</v>
      </c>
      <c r="R2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DOGA ELA  BUYO YEKLOYEWU  TANO KOUADIOKRO   0759041121 KOUADIO KOFFI TEYA                 F Couple </v>
      </c>
      <c r="Z257" s="53"/>
      <c r="AA257" s="5"/>
      <c r="AB257" s="48"/>
      <c r="AD257" s="41"/>
      <c r="AG257" s="3"/>
      <c r="AH257" s="18"/>
      <c r="AI257" s="17"/>
      <c r="AK257" s="15"/>
      <c r="AL257" s="5"/>
      <c r="AN257" s="147"/>
      <c r="AO257" s="15"/>
      <c r="AP257" s="148"/>
    </row>
    <row r="258" spans="1:42" ht="16.5" x14ac:dyDescent="0.35">
      <c r="A258" s="53">
        <v>257</v>
      </c>
      <c r="B258" s="5" t="s">
        <v>366</v>
      </c>
      <c r="C258" s="48" t="s">
        <v>660</v>
      </c>
      <c r="D258" t="s">
        <v>389</v>
      </c>
      <c r="E258" s="41" t="s">
        <v>390</v>
      </c>
      <c r="H258" s="3"/>
      <c r="I258" s="18" t="s">
        <v>53</v>
      </c>
      <c r="L258" s="15" t="s">
        <v>2</v>
      </c>
      <c r="M258" s="5" t="s">
        <v>388</v>
      </c>
      <c r="O258" s="147">
        <v>6</v>
      </c>
      <c r="P258" s="15">
        <v>3</v>
      </c>
      <c r="Q258" s="148">
        <f t="shared" si="9"/>
        <v>9</v>
      </c>
      <c r="R2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SATIA AMENAN EUGENIE BUYO YEKLOYEWU  TANO KOUADIOKRO    KOUADIO KOFFI TEYA                 F Couple </v>
      </c>
      <c r="Z258" s="53"/>
      <c r="AA258" s="5"/>
      <c r="AB258" s="48"/>
      <c r="AD258" s="41"/>
      <c r="AG258" s="3"/>
      <c r="AH258" s="18"/>
      <c r="AI258" s="17"/>
      <c r="AK258" s="15"/>
      <c r="AL258" s="5"/>
      <c r="AN258" s="147"/>
      <c r="AO258" s="15"/>
      <c r="AP258" s="148"/>
    </row>
    <row r="259" spans="1:42" ht="16.5" x14ac:dyDescent="0.35">
      <c r="A259" s="53">
        <v>258</v>
      </c>
      <c r="B259" s="5" t="s">
        <v>367</v>
      </c>
      <c r="C259" s="48" t="s">
        <v>660</v>
      </c>
      <c r="D259" t="s">
        <v>389</v>
      </c>
      <c r="E259" s="41" t="s">
        <v>390</v>
      </c>
      <c r="H259" s="3" t="s">
        <v>383</v>
      </c>
      <c r="I259" s="18" t="s">
        <v>53</v>
      </c>
      <c r="L259" s="15" t="s">
        <v>9</v>
      </c>
      <c r="M259" s="5" t="s">
        <v>388</v>
      </c>
      <c r="O259" s="147">
        <v>5</v>
      </c>
      <c r="P259" s="15">
        <v>4</v>
      </c>
      <c r="Q259" s="148">
        <f t="shared" si="9"/>
        <v>9</v>
      </c>
      <c r="R2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TODJOU DEROTO EUGENE BUYO YEKLOYEWU  TANO KOUADIOKRO   0747169851 KOUADIO KOFFI TEYA                 M Couple </v>
      </c>
      <c r="Z259" s="53"/>
      <c r="AA259" s="5"/>
      <c r="AB259" s="48"/>
      <c r="AD259" s="41"/>
      <c r="AG259" s="3"/>
      <c r="AH259" s="18"/>
      <c r="AI259" s="17"/>
      <c r="AK259" s="15"/>
      <c r="AL259" s="5"/>
      <c r="AN259" s="147"/>
      <c r="AO259" s="15"/>
      <c r="AP259" s="148"/>
    </row>
    <row r="260" spans="1:42" ht="16.5" x14ac:dyDescent="0.35">
      <c r="A260" s="53">
        <v>259</v>
      </c>
      <c r="B260" s="5" t="s">
        <v>368</v>
      </c>
      <c r="C260" s="48" t="s">
        <v>660</v>
      </c>
      <c r="D260" t="s">
        <v>389</v>
      </c>
      <c r="E260" s="41" t="s">
        <v>390</v>
      </c>
      <c r="H260" s="3" t="s">
        <v>384</v>
      </c>
      <c r="I260" s="18" t="s">
        <v>53</v>
      </c>
      <c r="L260" s="15" t="s">
        <v>9</v>
      </c>
      <c r="M260" s="5" t="s">
        <v>388</v>
      </c>
      <c r="O260" s="147">
        <v>3</v>
      </c>
      <c r="P260" s="15">
        <v>2</v>
      </c>
      <c r="Q260" s="148">
        <f t="shared" si="9"/>
        <v>5</v>
      </c>
      <c r="R2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N'DRI CLEMENT BUYO YEKLOYEWU  TANO KOUADIOKRO   0708936026 KOUADIO KOFFI TEYA                 M Couple </v>
      </c>
      <c r="Z260" s="53"/>
      <c r="AA260" s="5"/>
      <c r="AB260" s="48"/>
      <c r="AD260" s="41"/>
      <c r="AG260" s="3"/>
      <c r="AH260" s="18"/>
      <c r="AI260" s="17"/>
      <c r="AK260" s="15"/>
      <c r="AL260" s="5"/>
      <c r="AN260" s="147"/>
      <c r="AO260" s="15"/>
      <c r="AP260" s="148"/>
    </row>
    <row r="261" spans="1:42" ht="16.5" x14ac:dyDescent="0.35">
      <c r="A261" s="53">
        <v>260</v>
      </c>
      <c r="B261" s="5" t="s">
        <v>369</v>
      </c>
      <c r="C261" s="48" t="s">
        <v>660</v>
      </c>
      <c r="D261" t="s">
        <v>389</v>
      </c>
      <c r="E261" s="41" t="s">
        <v>390</v>
      </c>
      <c r="H261" s="3" t="s">
        <v>385</v>
      </c>
      <c r="I261" s="18" t="s">
        <v>53</v>
      </c>
      <c r="L261" s="15" t="s">
        <v>9</v>
      </c>
      <c r="M261" s="5" t="s">
        <v>388</v>
      </c>
      <c r="O261" s="147">
        <v>2</v>
      </c>
      <c r="P261" s="15">
        <v>1</v>
      </c>
      <c r="Q261" s="148">
        <f t="shared" si="9"/>
        <v>3</v>
      </c>
      <c r="R2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TANO KOUADIO BUYO YEKLOYEWU  TANO KOUADIOKRO   0707831671 KOUADIO KOFFI TEYA                 M Couple </v>
      </c>
      <c r="Z261" s="53"/>
      <c r="AA261" s="5"/>
      <c r="AB261" s="48"/>
      <c r="AD261" s="41"/>
      <c r="AG261" s="3"/>
      <c r="AH261" s="18"/>
      <c r="AI261" s="17"/>
      <c r="AK261" s="15"/>
      <c r="AL261" s="5"/>
      <c r="AN261" s="147"/>
      <c r="AO261" s="15"/>
      <c r="AP261" s="148"/>
    </row>
    <row r="262" spans="1:42" ht="16.5" x14ac:dyDescent="0.35">
      <c r="A262" s="53">
        <v>261</v>
      </c>
      <c r="B262" s="5" t="s">
        <v>370</v>
      </c>
      <c r="C262" s="48" t="s">
        <v>660</v>
      </c>
      <c r="D262" t="s">
        <v>389</v>
      </c>
      <c r="E262" s="41" t="s">
        <v>390</v>
      </c>
      <c r="H262" s="3" t="s">
        <v>386</v>
      </c>
      <c r="I262" s="18" t="s">
        <v>53</v>
      </c>
      <c r="L262" s="15" t="s">
        <v>9</v>
      </c>
      <c r="M262" s="5" t="s">
        <v>388</v>
      </c>
      <c r="O262" s="147">
        <v>2</v>
      </c>
      <c r="P262" s="15">
        <v>1</v>
      </c>
      <c r="Q262" s="148">
        <f t="shared" si="9"/>
        <v>3</v>
      </c>
      <c r="R2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ALLA GBA YAO EDOUARD BUYO YEKLOYEWU  TANO KOUADIOKRO   0707900401 KOUADIO KOFFI TEYA                 M Couple </v>
      </c>
      <c r="Z262" s="53"/>
      <c r="AA262" s="5"/>
      <c r="AB262" s="48"/>
      <c r="AD262" s="41"/>
      <c r="AG262" s="3"/>
      <c r="AH262" s="18"/>
      <c r="AI262" s="17"/>
      <c r="AK262" s="15"/>
      <c r="AL262" s="5"/>
      <c r="AN262" s="147"/>
      <c r="AO262" s="15"/>
      <c r="AP262" s="148"/>
    </row>
    <row r="263" spans="1:42" ht="16.5" x14ac:dyDescent="0.35">
      <c r="A263" s="53">
        <v>262</v>
      </c>
      <c r="B263" s="5" t="s">
        <v>371</v>
      </c>
      <c r="C263" s="48" t="s">
        <v>660</v>
      </c>
      <c r="D263" t="s">
        <v>389</v>
      </c>
      <c r="E263" s="41" t="s">
        <v>390</v>
      </c>
      <c r="H263" s="3"/>
      <c r="I263" s="18" t="s">
        <v>53</v>
      </c>
      <c r="L263" s="15" t="s">
        <v>9</v>
      </c>
      <c r="M263" s="5" t="s">
        <v>388</v>
      </c>
      <c r="O263" s="147">
        <v>2</v>
      </c>
      <c r="P263" s="15">
        <v>4</v>
      </c>
      <c r="Q263" s="148">
        <f t="shared" si="9"/>
        <v>6</v>
      </c>
      <c r="R2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LOPES BUYO YEKLOYEWU  TANO KOUADIOKRO    KOUADIO KOFFI TEYA                 M Couple </v>
      </c>
      <c r="Z263" s="53"/>
      <c r="AA263" s="5"/>
      <c r="AB263" s="48"/>
      <c r="AD263" s="41"/>
      <c r="AG263" s="3"/>
      <c r="AH263" s="18"/>
      <c r="AI263" s="17"/>
      <c r="AK263" s="15"/>
      <c r="AL263" s="5"/>
      <c r="AN263" s="147"/>
      <c r="AO263" s="15"/>
      <c r="AP263" s="148"/>
    </row>
    <row r="264" spans="1:42" ht="16.5" x14ac:dyDescent="0.35">
      <c r="A264" s="53">
        <v>263</v>
      </c>
      <c r="B264" s="5" t="s">
        <v>372</v>
      </c>
      <c r="C264" s="48" t="s">
        <v>660</v>
      </c>
      <c r="D264" t="s">
        <v>389</v>
      </c>
      <c r="E264" s="41" t="s">
        <v>390</v>
      </c>
      <c r="H264" s="3" t="s">
        <v>387</v>
      </c>
      <c r="I264" s="18" t="s">
        <v>53</v>
      </c>
      <c r="L264" s="15" t="s">
        <v>9</v>
      </c>
      <c r="M264" s="5" t="s">
        <v>388</v>
      </c>
      <c r="O264" s="147">
        <v>2</v>
      </c>
      <c r="P264" s="15">
        <v>4</v>
      </c>
      <c r="Q264" s="148">
        <f t="shared" si="9"/>
        <v>6</v>
      </c>
      <c r="R2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KONAN BUYO YEKLOYEWU  TANO KOUADIOKRO   0747553808 KOUADIO KOFFI TEYA                 M Couple </v>
      </c>
      <c r="Z264" s="53"/>
      <c r="AA264" s="5"/>
      <c r="AB264" s="48"/>
      <c r="AD264" s="41"/>
      <c r="AG264" s="3"/>
      <c r="AH264" s="18"/>
      <c r="AI264" s="17"/>
      <c r="AK264" s="15"/>
      <c r="AL264" s="5"/>
      <c r="AN264" s="147"/>
      <c r="AO264" s="15"/>
      <c r="AP264" s="148"/>
    </row>
    <row r="265" spans="1:42" ht="17" thickBot="1" x14ac:dyDescent="0.4">
      <c r="A265" s="53">
        <v>264</v>
      </c>
      <c r="B265" s="5" t="s">
        <v>373</v>
      </c>
      <c r="C265" s="48" t="s">
        <v>660</v>
      </c>
      <c r="D265" t="s">
        <v>389</v>
      </c>
      <c r="E265" s="41" t="s">
        <v>390</v>
      </c>
      <c r="H265" s="29"/>
      <c r="I265" s="18" t="s">
        <v>53</v>
      </c>
      <c r="L265" s="15" t="s">
        <v>2</v>
      </c>
      <c r="M265" s="5" t="s">
        <v>388</v>
      </c>
      <c r="O265" s="147">
        <v>2</v>
      </c>
      <c r="P265" s="15">
        <v>1</v>
      </c>
      <c r="Q265" s="148">
        <f t="shared" si="9"/>
        <v>3</v>
      </c>
      <c r="R2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AMENAN CLEMENTINE BUYO YEKLOYEWU  TANO KOUADIOKRO    KOUADIO KOFFI TEYA                 F Couple </v>
      </c>
      <c r="Z265" s="53"/>
      <c r="AA265" s="5"/>
      <c r="AB265" s="48"/>
      <c r="AD265" s="41"/>
      <c r="AG265" s="29"/>
      <c r="AH265" s="18"/>
      <c r="AI265" s="17"/>
      <c r="AK265" s="15"/>
      <c r="AL265" s="5"/>
      <c r="AN265" s="147"/>
      <c r="AO265" s="15"/>
      <c r="AP265" s="148"/>
    </row>
    <row r="266" spans="1:42" ht="17" thickBot="1" x14ac:dyDescent="0.4">
      <c r="A266" s="53">
        <v>265</v>
      </c>
      <c r="B266" s="28" t="s">
        <v>374</v>
      </c>
      <c r="C266" s="48" t="s">
        <v>660</v>
      </c>
      <c r="D266" t="s">
        <v>389</v>
      </c>
      <c r="E266" s="41" t="s">
        <v>390</v>
      </c>
      <c r="H266" s="30"/>
      <c r="I266" s="18" t="s">
        <v>53</v>
      </c>
      <c r="L266" s="15" t="s">
        <v>2</v>
      </c>
      <c r="M266" s="5" t="s">
        <v>388</v>
      </c>
      <c r="O266" s="147">
        <v>2</v>
      </c>
      <c r="P266" s="15">
        <v>1</v>
      </c>
      <c r="Q266" s="148">
        <f t="shared" si="9"/>
        <v>3</v>
      </c>
      <c r="R2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AHOU PRISCA BUYO YEKLOYEWU  TANO KOUADIOKRO    KOUADIO KOFFI TEYA                 F Couple </v>
      </c>
      <c r="Z266" s="53"/>
      <c r="AA266" s="28"/>
      <c r="AB266" s="48"/>
      <c r="AD266" s="41"/>
      <c r="AG266" s="30"/>
      <c r="AH266" s="18"/>
      <c r="AI266" s="17"/>
      <c r="AK266" s="15"/>
      <c r="AL266" s="5"/>
      <c r="AN266" s="147"/>
      <c r="AO266" s="15"/>
      <c r="AP266" s="148"/>
    </row>
    <row r="267" spans="1:42" ht="16.5" x14ac:dyDescent="0.35">
      <c r="A267" s="53">
        <v>266</v>
      </c>
      <c r="B267" s="5" t="s">
        <v>375</v>
      </c>
      <c r="C267" s="48" t="s">
        <v>660</v>
      </c>
      <c r="D267" t="s">
        <v>389</v>
      </c>
      <c r="E267" s="41" t="s">
        <v>390</v>
      </c>
      <c r="H267" s="31"/>
      <c r="I267" s="18" t="s">
        <v>53</v>
      </c>
      <c r="L267" s="15" t="s">
        <v>9</v>
      </c>
      <c r="M267" s="5" t="s">
        <v>388</v>
      </c>
      <c r="O267" s="147">
        <v>0</v>
      </c>
      <c r="P267" s="15">
        <v>0</v>
      </c>
      <c r="Q267" s="148">
        <f t="shared" si="9"/>
        <v>0</v>
      </c>
      <c r="R2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KAN MOISE BUYO YEKLOYEWU  TANO KOUADIOKRO    KOUADIO KOFFI TEYA                 M Couple </v>
      </c>
      <c r="Z267" s="53"/>
      <c r="AA267" s="5"/>
      <c r="AB267" s="48"/>
      <c r="AD267" s="41"/>
      <c r="AG267" s="31"/>
      <c r="AH267" s="18"/>
      <c r="AI267" s="17"/>
      <c r="AK267" s="15"/>
      <c r="AL267" s="5"/>
      <c r="AN267" s="147"/>
      <c r="AO267" s="15"/>
      <c r="AP267" s="148"/>
    </row>
    <row r="268" spans="1:42" ht="16.5" x14ac:dyDescent="0.35">
      <c r="A268" s="53">
        <v>267</v>
      </c>
      <c r="B268" s="5" t="s">
        <v>391</v>
      </c>
      <c r="C268" s="48" t="s">
        <v>660</v>
      </c>
      <c r="D268" t="s">
        <v>443</v>
      </c>
      <c r="E268" s="41" t="s">
        <v>444</v>
      </c>
      <c r="H268" s="3" t="s">
        <v>420</v>
      </c>
      <c r="I268" s="18" t="s">
        <v>53</v>
      </c>
      <c r="L268" s="15" t="s">
        <v>9</v>
      </c>
      <c r="M268" s="5" t="s">
        <v>442</v>
      </c>
      <c r="O268" s="147">
        <v>2</v>
      </c>
      <c r="P268" s="15">
        <v>2</v>
      </c>
      <c r="Q268" s="148">
        <f t="shared" ref="Q268:Q297" si="10">SUM(M268:P268)</f>
        <v>4</v>
      </c>
      <c r="R2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LAMINE KOFFI CELESTIN BUYO YEYO  KOFFI KONANKRO   0749239434 KOUADIO KOFFI TEYA                 M couple  </v>
      </c>
      <c r="Z268" s="53"/>
      <c r="AA268" s="5"/>
      <c r="AB268" s="48"/>
      <c r="AD268" s="41"/>
      <c r="AG268" s="3"/>
      <c r="AH268" s="18"/>
      <c r="AI268" s="17"/>
      <c r="AK268" s="15"/>
      <c r="AL268" s="5"/>
      <c r="AN268" s="147"/>
      <c r="AO268" s="15"/>
      <c r="AP268" s="148"/>
    </row>
    <row r="269" spans="1:42" ht="16.5" x14ac:dyDescent="0.35">
      <c r="A269" s="53">
        <v>268</v>
      </c>
      <c r="B269" s="5" t="s">
        <v>392</v>
      </c>
      <c r="C269" s="48" t="s">
        <v>660</v>
      </c>
      <c r="D269" t="s">
        <v>443</v>
      </c>
      <c r="E269" s="41" t="s">
        <v>444</v>
      </c>
      <c r="H269" s="3" t="s">
        <v>421</v>
      </c>
      <c r="I269" s="18" t="s">
        <v>53</v>
      </c>
      <c r="L269" s="15" t="s">
        <v>2</v>
      </c>
      <c r="M269" s="5" t="s">
        <v>442</v>
      </c>
      <c r="O269" s="147">
        <v>2</v>
      </c>
      <c r="P269" s="15">
        <v>1</v>
      </c>
      <c r="Q269" s="148">
        <f t="shared" si="10"/>
        <v>3</v>
      </c>
      <c r="R2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ADJOUA BUYO YEYO  KOFFI KONANKRO   0748803225 KOUADIO KOFFI TEYA                 F couple  </v>
      </c>
      <c r="Z269" s="53"/>
      <c r="AA269" s="5"/>
      <c r="AB269" s="48"/>
      <c r="AD269" s="41"/>
      <c r="AG269" s="3"/>
      <c r="AH269" s="18"/>
      <c r="AI269" s="17"/>
      <c r="AK269" s="15"/>
      <c r="AL269" s="5"/>
      <c r="AN269" s="147"/>
      <c r="AO269" s="15"/>
      <c r="AP269" s="148"/>
    </row>
    <row r="270" spans="1:42" ht="16.5" x14ac:dyDescent="0.35">
      <c r="A270" s="53">
        <v>269</v>
      </c>
      <c r="B270" s="5" t="s">
        <v>393</v>
      </c>
      <c r="C270" s="48" t="s">
        <v>660</v>
      </c>
      <c r="D270" t="s">
        <v>443</v>
      </c>
      <c r="E270" s="41" t="s">
        <v>444</v>
      </c>
      <c r="H270" s="3" t="s">
        <v>422</v>
      </c>
      <c r="I270" s="18" t="s">
        <v>53</v>
      </c>
      <c r="L270" s="15" t="s">
        <v>2</v>
      </c>
      <c r="M270" s="5" t="s">
        <v>442</v>
      </c>
      <c r="O270" s="147">
        <v>2</v>
      </c>
      <c r="P270" s="15">
        <v>0</v>
      </c>
      <c r="Q270" s="148">
        <f t="shared" si="10"/>
        <v>2</v>
      </c>
      <c r="R2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AFFOUE ASSE MONIQUE BUYO YEYO  KOFFI KONANKRO   0709200770 KOUADIO KOFFI TEYA                 F couple  </v>
      </c>
      <c r="Z270" s="53"/>
      <c r="AA270" s="5"/>
      <c r="AB270" s="48"/>
      <c r="AD270" s="41"/>
      <c r="AG270" s="3"/>
      <c r="AH270" s="18"/>
      <c r="AI270" s="17"/>
      <c r="AK270" s="15"/>
      <c r="AL270" s="5"/>
      <c r="AN270" s="147"/>
      <c r="AO270" s="15"/>
      <c r="AP270" s="148"/>
    </row>
    <row r="271" spans="1:42" ht="16.5" x14ac:dyDescent="0.35">
      <c r="A271" s="53">
        <v>270</v>
      </c>
      <c r="B271" s="5" t="s">
        <v>394</v>
      </c>
      <c r="C271" s="48" t="s">
        <v>660</v>
      </c>
      <c r="D271" t="s">
        <v>443</v>
      </c>
      <c r="E271" s="41" t="s">
        <v>444</v>
      </c>
      <c r="H271" s="3"/>
      <c r="I271" s="18" t="s">
        <v>53</v>
      </c>
      <c r="L271" s="15" t="s">
        <v>2</v>
      </c>
      <c r="M271" s="5" t="s">
        <v>442</v>
      </c>
      <c r="O271" s="147">
        <v>0</v>
      </c>
      <c r="P271" s="15">
        <v>0</v>
      </c>
      <c r="Q271" s="148">
        <f t="shared" si="10"/>
        <v>0</v>
      </c>
      <c r="R2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AFFOUE SANDRINE BUYO YEYO  KOFFI KONANKRO    KOUADIO KOFFI TEYA                 F couple  </v>
      </c>
      <c r="Z271" s="53"/>
      <c r="AA271" s="5"/>
      <c r="AB271" s="48"/>
      <c r="AD271" s="41"/>
      <c r="AG271" s="3"/>
      <c r="AH271" s="18"/>
      <c r="AI271" s="17"/>
      <c r="AK271" s="15"/>
      <c r="AL271" s="5"/>
      <c r="AN271" s="147"/>
      <c r="AO271" s="15"/>
      <c r="AP271" s="148"/>
    </row>
    <row r="272" spans="1:42" ht="16.5" x14ac:dyDescent="0.35">
      <c r="A272" s="53">
        <v>271</v>
      </c>
      <c r="B272" s="5" t="s">
        <v>395</v>
      </c>
      <c r="C272" s="48" t="s">
        <v>660</v>
      </c>
      <c r="D272" t="s">
        <v>443</v>
      </c>
      <c r="E272" s="41" t="s">
        <v>444</v>
      </c>
      <c r="H272" s="3"/>
      <c r="I272" s="18" t="s">
        <v>53</v>
      </c>
      <c r="L272" s="15" t="s">
        <v>2</v>
      </c>
      <c r="M272" s="5" t="s">
        <v>442</v>
      </c>
      <c r="O272" s="147">
        <v>0</v>
      </c>
      <c r="P272" s="15">
        <v>2</v>
      </c>
      <c r="Q272" s="148">
        <f t="shared" si="10"/>
        <v>2</v>
      </c>
      <c r="R2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CLARISSE AMOIN BUYO YEYO  KOFFI KONANKRO    KOUADIO KOFFI TEYA                 F couple  </v>
      </c>
      <c r="Z272" s="53"/>
      <c r="AA272" s="5"/>
      <c r="AB272" s="48"/>
      <c r="AD272" s="41"/>
      <c r="AG272" s="3"/>
      <c r="AH272" s="18"/>
      <c r="AI272" s="17"/>
      <c r="AK272" s="15"/>
      <c r="AL272" s="5"/>
      <c r="AN272" s="147"/>
      <c r="AO272" s="15"/>
      <c r="AP272" s="148"/>
    </row>
    <row r="273" spans="1:42" ht="16.5" x14ac:dyDescent="0.35">
      <c r="A273" s="53">
        <v>272</v>
      </c>
      <c r="B273" s="5" t="s">
        <v>396</v>
      </c>
      <c r="C273" s="48" t="s">
        <v>660</v>
      </c>
      <c r="D273" t="s">
        <v>443</v>
      </c>
      <c r="E273" s="41" t="s">
        <v>444</v>
      </c>
      <c r="H273" s="3" t="s">
        <v>423</v>
      </c>
      <c r="I273" s="18" t="s">
        <v>53</v>
      </c>
      <c r="L273" s="15" t="s">
        <v>2</v>
      </c>
      <c r="M273" s="5" t="s">
        <v>442</v>
      </c>
      <c r="O273" s="147">
        <v>0</v>
      </c>
      <c r="P273" s="15">
        <v>0</v>
      </c>
      <c r="Q273" s="148">
        <f t="shared" si="10"/>
        <v>0</v>
      </c>
      <c r="R2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AKISSI MARIE BUYO YEYO  KOFFI KONANKRO   0778573754 KOUADIO KOFFI TEYA                 F couple  </v>
      </c>
      <c r="Z273" s="53"/>
      <c r="AA273" s="5"/>
      <c r="AB273" s="48"/>
      <c r="AD273" s="41"/>
      <c r="AG273" s="3"/>
      <c r="AH273" s="18"/>
      <c r="AI273" s="17"/>
      <c r="AK273" s="15"/>
      <c r="AL273" s="5"/>
      <c r="AN273" s="147"/>
      <c r="AO273" s="15"/>
      <c r="AP273" s="148"/>
    </row>
    <row r="274" spans="1:42" ht="16.5" x14ac:dyDescent="0.35">
      <c r="A274" s="53">
        <v>273</v>
      </c>
      <c r="B274" s="5" t="s">
        <v>397</v>
      </c>
      <c r="C274" s="48" t="s">
        <v>660</v>
      </c>
      <c r="D274" t="s">
        <v>443</v>
      </c>
      <c r="E274" s="41" t="s">
        <v>444</v>
      </c>
      <c r="H274" s="3" t="s">
        <v>424</v>
      </c>
      <c r="I274" s="18" t="s">
        <v>53</v>
      </c>
      <c r="L274" s="15" t="s">
        <v>2</v>
      </c>
      <c r="M274" s="5" t="s">
        <v>442</v>
      </c>
      <c r="O274" s="147">
        <v>0</v>
      </c>
      <c r="P274" s="15">
        <v>0</v>
      </c>
      <c r="Q274" s="148">
        <f t="shared" si="10"/>
        <v>0</v>
      </c>
      <c r="R2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AKISSI CHANTAL BUYO YEYO  KOFFI KONANKRO   0709118719 KOUADIO KOFFI TEYA                 F couple  </v>
      </c>
      <c r="Z274" s="53"/>
      <c r="AA274" s="5"/>
      <c r="AB274" s="48"/>
      <c r="AD274" s="41"/>
      <c r="AG274" s="3"/>
      <c r="AH274" s="18"/>
      <c r="AI274" s="17"/>
      <c r="AK274" s="15"/>
      <c r="AL274" s="5"/>
      <c r="AN274" s="147"/>
      <c r="AO274" s="15"/>
      <c r="AP274" s="148"/>
    </row>
    <row r="275" spans="1:42" ht="16.5" x14ac:dyDescent="0.35">
      <c r="A275" s="53">
        <v>274</v>
      </c>
      <c r="B275" s="5" t="s">
        <v>398</v>
      </c>
      <c r="C275" s="48" t="s">
        <v>660</v>
      </c>
      <c r="D275" t="s">
        <v>443</v>
      </c>
      <c r="E275" s="41" t="s">
        <v>444</v>
      </c>
      <c r="H275" s="3" t="s">
        <v>425</v>
      </c>
      <c r="I275" s="18" t="s">
        <v>53</v>
      </c>
      <c r="L275" s="15" t="s">
        <v>2</v>
      </c>
      <c r="M275" s="5" t="s">
        <v>442</v>
      </c>
      <c r="O275" s="147">
        <v>0</v>
      </c>
      <c r="P275" s="15">
        <v>0</v>
      </c>
      <c r="Q275" s="148">
        <f t="shared" si="10"/>
        <v>0</v>
      </c>
      <c r="R2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AMENAN CHARLOTTE  BUYO YEYO  KOFFI KONANKRO   0708990224 KOUADIO KOFFI TEYA                 F couple  </v>
      </c>
      <c r="Z275" s="53"/>
      <c r="AA275" s="5"/>
      <c r="AB275" s="48"/>
      <c r="AD275" s="41"/>
      <c r="AG275" s="3"/>
      <c r="AH275" s="18"/>
      <c r="AI275" s="17"/>
      <c r="AK275" s="15"/>
      <c r="AL275" s="5"/>
      <c r="AN275" s="147"/>
      <c r="AO275" s="15"/>
      <c r="AP275" s="148"/>
    </row>
    <row r="276" spans="1:42" ht="16.5" x14ac:dyDescent="0.35">
      <c r="A276" s="53">
        <v>275</v>
      </c>
      <c r="B276" s="5" t="s">
        <v>399</v>
      </c>
      <c r="C276" s="48" t="s">
        <v>660</v>
      </c>
      <c r="D276" t="s">
        <v>443</v>
      </c>
      <c r="E276" s="41" t="s">
        <v>444</v>
      </c>
      <c r="H276" s="3" t="s">
        <v>426</v>
      </c>
      <c r="I276" s="18" t="s">
        <v>53</v>
      </c>
      <c r="L276" s="15" t="s">
        <v>2</v>
      </c>
      <c r="M276" s="5" t="s">
        <v>442</v>
      </c>
      <c r="O276" s="147">
        <v>2</v>
      </c>
      <c r="P276" s="15">
        <v>0</v>
      </c>
      <c r="Q276" s="148">
        <f t="shared" si="10"/>
        <v>2</v>
      </c>
      <c r="R2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AYA CELINE BUYO YEYO  KOFFI KONANKRO   0747848067 KOUADIO KOFFI TEYA                 F couple  </v>
      </c>
      <c r="Z276" s="53"/>
      <c r="AA276" s="5"/>
      <c r="AB276" s="48"/>
      <c r="AD276" s="41"/>
      <c r="AG276" s="3"/>
      <c r="AH276" s="18"/>
      <c r="AI276" s="17"/>
      <c r="AK276" s="15"/>
      <c r="AL276" s="5"/>
      <c r="AN276" s="147"/>
      <c r="AO276" s="15"/>
      <c r="AP276" s="148"/>
    </row>
    <row r="277" spans="1:42" ht="16.5" x14ac:dyDescent="0.35">
      <c r="A277" s="53">
        <v>276</v>
      </c>
      <c r="B277" s="5" t="s">
        <v>400</v>
      </c>
      <c r="C277" s="48" t="s">
        <v>660</v>
      </c>
      <c r="D277" t="s">
        <v>443</v>
      </c>
      <c r="E277" s="41" t="s">
        <v>444</v>
      </c>
      <c r="H277" s="3"/>
      <c r="I277" s="18" t="s">
        <v>53</v>
      </c>
      <c r="L277" s="15" t="s">
        <v>2</v>
      </c>
      <c r="M277" s="5" t="s">
        <v>442</v>
      </c>
      <c r="O277" s="147">
        <v>2</v>
      </c>
      <c r="P277" s="15">
        <v>1</v>
      </c>
      <c r="Q277" s="148">
        <f t="shared" si="10"/>
        <v>3</v>
      </c>
      <c r="R2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ADJOUA SUZANNE BUYO YEYO  KOFFI KONANKRO    KOUADIO KOFFI TEYA                 F couple  </v>
      </c>
      <c r="Z277" s="53"/>
      <c r="AA277" s="5"/>
      <c r="AB277" s="48"/>
      <c r="AD277" s="41"/>
      <c r="AG277" s="3"/>
      <c r="AH277" s="18"/>
      <c r="AI277" s="17"/>
      <c r="AK277" s="15"/>
      <c r="AL277" s="5"/>
      <c r="AN277" s="147"/>
      <c r="AO277" s="15"/>
      <c r="AP277" s="148"/>
    </row>
    <row r="278" spans="1:42" ht="16.5" x14ac:dyDescent="0.35">
      <c r="A278" s="53">
        <v>277</v>
      </c>
      <c r="B278" s="5" t="s">
        <v>401</v>
      </c>
      <c r="C278" s="48" t="s">
        <v>660</v>
      </c>
      <c r="D278" t="s">
        <v>443</v>
      </c>
      <c r="E278" s="41" t="s">
        <v>444</v>
      </c>
      <c r="H278" s="3"/>
      <c r="I278" s="18" t="s">
        <v>53</v>
      </c>
      <c r="L278" s="15" t="s">
        <v>2</v>
      </c>
      <c r="M278" s="5" t="s">
        <v>442</v>
      </c>
      <c r="O278" s="147">
        <v>2</v>
      </c>
      <c r="P278" s="15">
        <v>2</v>
      </c>
      <c r="Q278" s="148">
        <f t="shared" si="10"/>
        <v>4</v>
      </c>
      <c r="R2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ALLA AFFOUE BUYO YEYO  KOFFI KONANKRO    KOUADIO KOFFI TEYA                 F couple  </v>
      </c>
      <c r="Z278" s="53"/>
      <c r="AA278" s="5"/>
      <c r="AB278" s="48"/>
      <c r="AD278" s="41"/>
      <c r="AG278" s="3"/>
      <c r="AH278" s="18"/>
      <c r="AI278" s="17"/>
      <c r="AK278" s="15"/>
      <c r="AL278" s="5"/>
      <c r="AN278" s="147"/>
      <c r="AO278" s="15"/>
      <c r="AP278" s="148"/>
    </row>
    <row r="279" spans="1:42" ht="16.5" x14ac:dyDescent="0.35">
      <c r="A279" s="53">
        <v>278</v>
      </c>
      <c r="B279" s="5" t="s">
        <v>402</v>
      </c>
      <c r="C279" s="48" t="s">
        <v>660</v>
      </c>
      <c r="D279" t="s">
        <v>443</v>
      </c>
      <c r="E279" s="41" t="s">
        <v>444</v>
      </c>
      <c r="H279" s="3" t="s">
        <v>427</v>
      </c>
      <c r="I279" s="18" t="s">
        <v>53</v>
      </c>
      <c r="L279" s="15" t="s">
        <v>9</v>
      </c>
      <c r="M279" s="5" t="s">
        <v>442</v>
      </c>
      <c r="O279" s="147">
        <v>1</v>
      </c>
      <c r="P279" s="15">
        <v>0</v>
      </c>
      <c r="Q279" s="148">
        <f t="shared" si="10"/>
        <v>1</v>
      </c>
      <c r="R2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M'BRA N'GUESSAN CLEMENT  BUYO YEYO  KOFFI KONANKRO   0758967370 KOUADIO KOFFI TEYA                 M couple  </v>
      </c>
      <c r="Z279" s="53"/>
      <c r="AA279" s="5"/>
      <c r="AB279" s="48"/>
      <c r="AD279" s="41"/>
      <c r="AG279" s="3"/>
      <c r="AH279" s="18"/>
      <c r="AI279" s="17"/>
      <c r="AK279" s="15"/>
      <c r="AL279" s="5"/>
      <c r="AN279" s="147"/>
      <c r="AO279" s="15"/>
      <c r="AP279" s="148"/>
    </row>
    <row r="280" spans="1:42" ht="16.5" x14ac:dyDescent="0.35">
      <c r="A280" s="53">
        <v>279</v>
      </c>
      <c r="B280" s="5" t="s">
        <v>403</v>
      </c>
      <c r="C280" s="48" t="s">
        <v>660</v>
      </c>
      <c r="D280" t="s">
        <v>443</v>
      </c>
      <c r="E280" s="41" t="s">
        <v>444</v>
      </c>
      <c r="H280" s="3" t="s">
        <v>428</v>
      </c>
      <c r="I280" s="18" t="s">
        <v>53</v>
      </c>
      <c r="L280" s="15" t="s">
        <v>2</v>
      </c>
      <c r="M280" s="5" t="s">
        <v>442</v>
      </c>
      <c r="O280" s="147">
        <v>0</v>
      </c>
      <c r="P280" s="15">
        <v>0</v>
      </c>
      <c r="Q280" s="148">
        <f t="shared" si="10"/>
        <v>0</v>
      </c>
      <c r="R2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AHOU AGNES BUYO YEYO  KOFFI KONANKRO   0747482128 KOUADIO KOFFI TEYA                 F couple  </v>
      </c>
      <c r="Z280" s="53"/>
      <c r="AA280" s="5"/>
      <c r="AB280" s="48"/>
      <c r="AD280" s="41"/>
      <c r="AG280" s="3"/>
      <c r="AH280" s="18"/>
      <c r="AI280" s="17"/>
      <c r="AK280" s="15"/>
      <c r="AL280" s="5"/>
      <c r="AN280" s="147"/>
      <c r="AO280" s="15"/>
      <c r="AP280" s="148"/>
    </row>
    <row r="281" spans="1:42" ht="16.5" x14ac:dyDescent="0.35">
      <c r="A281" s="53">
        <v>280</v>
      </c>
      <c r="B281" s="5" t="s">
        <v>404</v>
      </c>
      <c r="C281" s="48" t="s">
        <v>660</v>
      </c>
      <c r="D281" t="s">
        <v>443</v>
      </c>
      <c r="E281" s="41" t="s">
        <v>444</v>
      </c>
      <c r="H281" s="3" t="s">
        <v>429</v>
      </c>
      <c r="I281" s="18" t="s">
        <v>53</v>
      </c>
      <c r="L281" s="15" t="s">
        <v>2</v>
      </c>
      <c r="M281" s="5" t="s">
        <v>442</v>
      </c>
      <c r="O281" s="147">
        <v>1</v>
      </c>
      <c r="P281" s="15">
        <v>2</v>
      </c>
      <c r="Q281" s="148">
        <f t="shared" si="10"/>
        <v>3</v>
      </c>
      <c r="R2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AFFOUE JOSEPHINE  BUYO YEYO  KOFFI KONANKRO   0787238317 KOUADIO KOFFI TEYA                 F couple  </v>
      </c>
      <c r="Z281" s="53"/>
      <c r="AA281" s="5"/>
      <c r="AB281" s="48"/>
      <c r="AD281" s="41"/>
      <c r="AG281" s="3"/>
      <c r="AH281" s="18"/>
      <c r="AI281" s="17"/>
      <c r="AK281" s="15"/>
      <c r="AL281" s="5"/>
      <c r="AN281" s="147"/>
      <c r="AO281" s="15"/>
      <c r="AP281" s="148"/>
    </row>
    <row r="282" spans="1:42" ht="16.5" x14ac:dyDescent="0.35">
      <c r="A282" s="53">
        <v>281</v>
      </c>
      <c r="B282" s="5" t="s">
        <v>405</v>
      </c>
      <c r="C282" s="48" t="s">
        <v>660</v>
      </c>
      <c r="D282" t="s">
        <v>443</v>
      </c>
      <c r="E282" s="41" t="s">
        <v>444</v>
      </c>
      <c r="H282" s="3"/>
      <c r="I282" s="18" t="s">
        <v>53</v>
      </c>
      <c r="L282" s="15" t="s">
        <v>2</v>
      </c>
      <c r="M282" s="5" t="s">
        <v>442</v>
      </c>
      <c r="O282" s="147">
        <v>2</v>
      </c>
      <c r="P282" s="15">
        <v>0</v>
      </c>
      <c r="Q282" s="148">
        <f t="shared" si="10"/>
        <v>2</v>
      </c>
      <c r="R2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AHOU ODETTE BUYO YEYO  KOFFI KONANKRO    KOUADIO KOFFI TEYA                 F couple  </v>
      </c>
      <c r="Z282" s="53"/>
      <c r="AA282" s="5"/>
      <c r="AB282" s="48"/>
      <c r="AD282" s="41"/>
      <c r="AG282" s="3"/>
      <c r="AH282" s="18"/>
      <c r="AI282" s="17"/>
      <c r="AK282" s="15"/>
      <c r="AL282" s="5"/>
      <c r="AN282" s="147"/>
      <c r="AO282" s="15"/>
      <c r="AP282" s="148"/>
    </row>
    <row r="283" spans="1:42" ht="16.5" x14ac:dyDescent="0.35">
      <c r="A283" s="53">
        <v>282</v>
      </c>
      <c r="B283" s="5" t="s">
        <v>406</v>
      </c>
      <c r="C283" s="48" t="s">
        <v>660</v>
      </c>
      <c r="D283" t="s">
        <v>443</v>
      </c>
      <c r="E283" s="41" t="s">
        <v>444</v>
      </c>
      <c r="H283" s="3" t="s">
        <v>430</v>
      </c>
      <c r="I283" s="18" t="s">
        <v>53</v>
      </c>
      <c r="L283" s="15" t="s">
        <v>2</v>
      </c>
      <c r="M283" s="5" t="s">
        <v>442</v>
      </c>
      <c r="O283" s="147">
        <v>1</v>
      </c>
      <c r="P283" s="15">
        <v>1</v>
      </c>
      <c r="Q283" s="148">
        <f t="shared" si="10"/>
        <v>2</v>
      </c>
      <c r="R2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KOUAKOU AKISSI EUGENIE BUYO YEYO  KOFFI KONANKRO   0768462369 KOUADIO KOFFI TEYA                 F couple  </v>
      </c>
      <c r="Z283" s="53"/>
      <c r="AA283" s="5"/>
      <c r="AB283" s="48"/>
      <c r="AD283" s="41"/>
      <c r="AG283" s="3"/>
      <c r="AH283" s="18"/>
      <c r="AI283" s="17"/>
      <c r="AK283" s="15"/>
      <c r="AL283" s="5"/>
      <c r="AN283" s="147"/>
      <c r="AO283" s="15"/>
      <c r="AP283" s="148"/>
    </row>
    <row r="284" spans="1:42" ht="16.5" x14ac:dyDescent="0.35">
      <c r="A284" s="53">
        <v>283</v>
      </c>
      <c r="B284" s="5" t="s">
        <v>407</v>
      </c>
      <c r="C284" s="48" t="s">
        <v>660</v>
      </c>
      <c r="D284" t="s">
        <v>443</v>
      </c>
      <c r="E284" s="41" t="s">
        <v>444</v>
      </c>
      <c r="H284" s="3" t="s">
        <v>431</v>
      </c>
      <c r="I284" s="18" t="s">
        <v>53</v>
      </c>
      <c r="L284" s="15" t="s">
        <v>2</v>
      </c>
      <c r="M284" s="5" t="s">
        <v>442</v>
      </c>
      <c r="O284" s="147">
        <v>1</v>
      </c>
      <c r="P284" s="15">
        <v>2</v>
      </c>
      <c r="Q284" s="148">
        <f t="shared" si="10"/>
        <v>3</v>
      </c>
      <c r="R2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AFFOUE  BUYO YEYO  KOFFI KONANKRO   0747520753 KOUADIO KOFFI TEYA                 F couple  </v>
      </c>
      <c r="Z284" s="53"/>
      <c r="AA284" s="5"/>
      <c r="AB284" s="48"/>
      <c r="AD284" s="41"/>
      <c r="AG284" s="3"/>
      <c r="AH284" s="18"/>
      <c r="AI284" s="17"/>
      <c r="AK284" s="15"/>
      <c r="AL284" s="5"/>
      <c r="AN284" s="147"/>
      <c r="AO284" s="15"/>
      <c r="AP284" s="148"/>
    </row>
    <row r="285" spans="1:42" ht="16.5" x14ac:dyDescent="0.35">
      <c r="A285" s="53">
        <v>284</v>
      </c>
      <c r="B285" s="5" t="s">
        <v>408</v>
      </c>
      <c r="C285" s="48" t="s">
        <v>660</v>
      </c>
      <c r="D285" t="s">
        <v>443</v>
      </c>
      <c r="E285" s="41" t="s">
        <v>444</v>
      </c>
      <c r="H285" s="3" t="s">
        <v>432</v>
      </c>
      <c r="I285" s="18" t="s">
        <v>53</v>
      </c>
      <c r="L285" s="15" t="s">
        <v>2</v>
      </c>
      <c r="M285" s="5" t="s">
        <v>442</v>
      </c>
      <c r="O285" s="147">
        <v>0</v>
      </c>
      <c r="P285" s="15">
        <v>0</v>
      </c>
      <c r="Q285" s="148">
        <f t="shared" si="10"/>
        <v>0</v>
      </c>
      <c r="R2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AMENAN JEANNETTE BUYO YEYO  KOFFI KONANKRO   0758199468 KOUADIO KOFFI TEYA                 F couple  </v>
      </c>
      <c r="Z285" s="53"/>
      <c r="AA285" s="5"/>
      <c r="AB285" s="48"/>
      <c r="AD285" s="41"/>
      <c r="AG285" s="3"/>
      <c r="AH285" s="18"/>
      <c r="AI285" s="17"/>
      <c r="AK285" s="15"/>
      <c r="AL285" s="5"/>
      <c r="AN285" s="147"/>
      <c r="AO285" s="15"/>
      <c r="AP285" s="148"/>
    </row>
    <row r="286" spans="1:42" ht="16.5" x14ac:dyDescent="0.35">
      <c r="A286" s="53">
        <v>285</v>
      </c>
      <c r="B286" s="5" t="s">
        <v>409</v>
      </c>
      <c r="C286" s="48" t="s">
        <v>660</v>
      </c>
      <c r="D286" t="s">
        <v>443</v>
      </c>
      <c r="E286" s="41" t="s">
        <v>444</v>
      </c>
      <c r="H286" s="3" t="s">
        <v>433</v>
      </c>
      <c r="I286" s="18" t="s">
        <v>53</v>
      </c>
      <c r="L286" s="15" t="s">
        <v>2</v>
      </c>
      <c r="M286" s="5" t="s">
        <v>442</v>
      </c>
      <c r="O286" s="147">
        <v>1</v>
      </c>
      <c r="P286" s="15">
        <v>1</v>
      </c>
      <c r="Q286" s="148">
        <f t="shared" si="10"/>
        <v>2</v>
      </c>
      <c r="R2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DOGBO AYA ROSALIE BUYO YEYO  KOFFI KONANKRO   0789950884 KOUADIO KOFFI TEYA                 F couple  </v>
      </c>
      <c r="Z286" s="53"/>
      <c r="AA286" s="5"/>
      <c r="AB286" s="48"/>
      <c r="AD286" s="41"/>
      <c r="AG286" s="3"/>
      <c r="AH286" s="18"/>
      <c r="AI286" s="17"/>
      <c r="AK286" s="15"/>
      <c r="AL286" s="5"/>
      <c r="AN286" s="147"/>
      <c r="AO286" s="15"/>
      <c r="AP286" s="148"/>
    </row>
    <row r="287" spans="1:42" ht="16.5" x14ac:dyDescent="0.35">
      <c r="A287" s="53">
        <v>286</v>
      </c>
      <c r="B287" s="5" t="s">
        <v>410</v>
      </c>
      <c r="C287" s="48" t="s">
        <v>660</v>
      </c>
      <c r="D287" t="s">
        <v>443</v>
      </c>
      <c r="E287" s="41" t="s">
        <v>444</v>
      </c>
      <c r="H287" s="3"/>
      <c r="I287" s="18" t="s">
        <v>53</v>
      </c>
      <c r="L287" s="15" t="s">
        <v>2</v>
      </c>
      <c r="M287" s="5" t="s">
        <v>442</v>
      </c>
      <c r="O287" s="147">
        <v>1</v>
      </c>
      <c r="P287" s="15">
        <v>2</v>
      </c>
      <c r="Q287" s="148">
        <f t="shared" si="10"/>
        <v>3</v>
      </c>
      <c r="R2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AFFOUE BUYO YEYO  KOFFI KONANKRO    KOUADIO KOFFI TEYA                 F couple  </v>
      </c>
      <c r="Z287" s="53"/>
      <c r="AA287" s="5"/>
      <c r="AB287" s="48"/>
      <c r="AD287" s="41"/>
      <c r="AG287" s="3"/>
      <c r="AH287" s="18"/>
      <c r="AI287" s="17"/>
      <c r="AK287" s="15"/>
      <c r="AL287" s="5"/>
      <c r="AN287" s="147"/>
      <c r="AO287" s="15"/>
      <c r="AP287" s="148"/>
    </row>
    <row r="288" spans="1:42" ht="16.5" x14ac:dyDescent="0.35">
      <c r="A288" s="53">
        <v>287</v>
      </c>
      <c r="B288" s="5" t="s">
        <v>411</v>
      </c>
      <c r="C288" s="48" t="s">
        <v>660</v>
      </c>
      <c r="D288" t="s">
        <v>443</v>
      </c>
      <c r="E288" s="41" t="s">
        <v>444</v>
      </c>
      <c r="H288" s="3" t="s">
        <v>434</v>
      </c>
      <c r="I288" s="18" t="s">
        <v>53</v>
      </c>
      <c r="L288" s="15" t="s">
        <v>2</v>
      </c>
      <c r="M288" s="5" t="s">
        <v>442</v>
      </c>
      <c r="O288" s="147">
        <v>2</v>
      </c>
      <c r="P288" s="15">
        <v>2</v>
      </c>
      <c r="Q288" s="148">
        <f t="shared" si="10"/>
        <v>4</v>
      </c>
      <c r="R2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AKISSI  BUYO YEYO  KOFFI KONANKRO   0758174336 KOUADIO KOFFI TEYA                 F couple  </v>
      </c>
      <c r="Z288" s="53"/>
      <c r="AA288" s="5"/>
      <c r="AB288" s="48"/>
      <c r="AD288" s="41"/>
      <c r="AG288" s="3"/>
      <c r="AH288" s="18"/>
      <c r="AI288" s="17"/>
      <c r="AK288" s="15"/>
      <c r="AL288" s="5"/>
      <c r="AN288" s="147"/>
      <c r="AO288" s="15"/>
      <c r="AP288" s="148"/>
    </row>
    <row r="289" spans="1:42" ht="16.5" x14ac:dyDescent="0.35">
      <c r="A289" s="53">
        <v>288</v>
      </c>
      <c r="B289" s="5" t="s">
        <v>412</v>
      </c>
      <c r="C289" s="48" t="s">
        <v>660</v>
      </c>
      <c r="D289" t="s">
        <v>443</v>
      </c>
      <c r="E289" s="41" t="s">
        <v>444</v>
      </c>
      <c r="H289" s="3" t="s">
        <v>435</v>
      </c>
      <c r="I289" s="18" t="s">
        <v>53</v>
      </c>
      <c r="L289" s="15" t="s">
        <v>2</v>
      </c>
      <c r="M289" s="5" t="s">
        <v>442</v>
      </c>
      <c r="O289" s="147">
        <v>1</v>
      </c>
      <c r="P289" s="15">
        <v>1</v>
      </c>
      <c r="Q289" s="148">
        <f t="shared" si="10"/>
        <v>2</v>
      </c>
      <c r="R2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KANGA AMENAN NATALIE BUYO YEYO  KOFFI KONANKRO   0789005725 KOUADIO KOFFI TEYA                 F couple  </v>
      </c>
      <c r="Z289" s="53"/>
      <c r="AA289" s="5"/>
      <c r="AB289" s="48"/>
      <c r="AD289" s="41"/>
      <c r="AG289" s="3"/>
      <c r="AH289" s="18"/>
      <c r="AI289" s="17"/>
      <c r="AK289" s="15"/>
      <c r="AL289" s="5"/>
      <c r="AN289" s="147"/>
      <c r="AO289" s="15"/>
      <c r="AP289" s="148"/>
    </row>
    <row r="290" spans="1:42" ht="16.5" x14ac:dyDescent="0.35">
      <c r="A290" s="53">
        <v>289</v>
      </c>
      <c r="B290" s="5" t="s">
        <v>413</v>
      </c>
      <c r="C290" s="48" t="s">
        <v>660</v>
      </c>
      <c r="D290" t="s">
        <v>443</v>
      </c>
      <c r="E290" s="41" t="s">
        <v>444</v>
      </c>
      <c r="H290" s="3"/>
      <c r="I290" s="18" t="s">
        <v>53</v>
      </c>
      <c r="L290" s="15" t="s">
        <v>2</v>
      </c>
      <c r="M290" s="5" t="s">
        <v>442</v>
      </c>
      <c r="O290" s="147">
        <v>2</v>
      </c>
      <c r="P290" s="15">
        <v>2</v>
      </c>
      <c r="Q290" s="148">
        <f t="shared" si="10"/>
        <v>4</v>
      </c>
      <c r="R2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AMOIN BENEDICTE BUYO YEYO  KOFFI KONANKRO    KOUADIO KOFFI TEYA                 F couple  </v>
      </c>
      <c r="Z290" s="53"/>
      <c r="AA290" s="5"/>
      <c r="AB290" s="48"/>
      <c r="AD290" s="41"/>
      <c r="AG290" s="3"/>
      <c r="AH290" s="18"/>
      <c r="AI290" s="17"/>
      <c r="AK290" s="15"/>
      <c r="AL290" s="5"/>
      <c r="AN290" s="147"/>
      <c r="AO290" s="15"/>
      <c r="AP290" s="148"/>
    </row>
    <row r="291" spans="1:42" ht="16.5" x14ac:dyDescent="0.35">
      <c r="A291" s="53">
        <v>290</v>
      </c>
      <c r="B291" s="5" t="s">
        <v>414</v>
      </c>
      <c r="C291" s="48" t="s">
        <v>660</v>
      </c>
      <c r="D291" t="s">
        <v>443</v>
      </c>
      <c r="E291" s="41" t="s">
        <v>444</v>
      </c>
      <c r="H291" s="3" t="s">
        <v>436</v>
      </c>
      <c r="I291" s="18" t="s">
        <v>53</v>
      </c>
      <c r="L291" s="15" t="s">
        <v>2</v>
      </c>
      <c r="M291" s="5" t="s">
        <v>442</v>
      </c>
      <c r="O291" s="147">
        <v>0</v>
      </c>
      <c r="P291" s="15">
        <v>0</v>
      </c>
      <c r="Q291" s="148">
        <f t="shared" si="10"/>
        <v>0</v>
      </c>
      <c r="R2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AHOU VALERIE CHARLOTTE BUYO YEYO  KOFFI KONANKRO   0749680005 KOUADIO KOFFI TEYA                 F couple  </v>
      </c>
      <c r="Z291" s="53"/>
      <c r="AA291" s="5"/>
      <c r="AB291" s="48"/>
      <c r="AD291" s="41"/>
      <c r="AG291" s="3"/>
      <c r="AH291" s="18"/>
      <c r="AI291" s="17"/>
      <c r="AK291" s="15"/>
      <c r="AL291" s="5"/>
      <c r="AN291" s="147"/>
      <c r="AO291" s="15"/>
      <c r="AP291" s="148"/>
    </row>
    <row r="292" spans="1:42" ht="16.5" x14ac:dyDescent="0.35">
      <c r="A292" s="53">
        <v>291</v>
      </c>
      <c r="B292" s="5" t="s">
        <v>415</v>
      </c>
      <c r="C292" s="48" t="s">
        <v>660</v>
      </c>
      <c r="D292" t="s">
        <v>443</v>
      </c>
      <c r="E292" s="41" t="s">
        <v>444</v>
      </c>
      <c r="H292" s="3" t="s">
        <v>437</v>
      </c>
      <c r="I292" s="18" t="s">
        <v>53</v>
      </c>
      <c r="L292" s="15" t="s">
        <v>2</v>
      </c>
      <c r="M292" s="5" t="s">
        <v>442</v>
      </c>
      <c r="O292" s="147">
        <v>1</v>
      </c>
      <c r="P292" s="15">
        <v>2</v>
      </c>
      <c r="Q292" s="148">
        <f t="shared" si="10"/>
        <v>3</v>
      </c>
      <c r="R2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N'GUESSAN AGNES BUYO YEYO  KOFFI KONANKRO   0778698015 KOUADIO KOFFI TEYA                 F couple  </v>
      </c>
      <c r="Z292" s="53"/>
      <c r="AA292" s="5"/>
      <c r="AB292" s="48"/>
      <c r="AD292" s="41"/>
      <c r="AG292" s="3"/>
      <c r="AH292" s="18"/>
      <c r="AI292" s="17"/>
      <c r="AK292" s="15"/>
      <c r="AL292" s="5"/>
      <c r="AN292" s="147"/>
      <c r="AO292" s="15"/>
      <c r="AP292" s="148"/>
    </row>
    <row r="293" spans="1:42" ht="16.5" x14ac:dyDescent="0.35">
      <c r="A293" s="53">
        <v>292</v>
      </c>
      <c r="B293" s="5" t="s">
        <v>416</v>
      </c>
      <c r="C293" s="48" t="s">
        <v>660</v>
      </c>
      <c r="D293" t="s">
        <v>443</v>
      </c>
      <c r="E293" s="41" t="s">
        <v>444</v>
      </c>
      <c r="H293" s="3" t="s">
        <v>438</v>
      </c>
      <c r="I293" s="18" t="s">
        <v>53</v>
      </c>
      <c r="L293" s="15" t="s">
        <v>2</v>
      </c>
      <c r="M293" s="5" t="s">
        <v>442</v>
      </c>
      <c r="O293" s="147">
        <v>0</v>
      </c>
      <c r="P293" s="15">
        <v>1</v>
      </c>
      <c r="Q293" s="148">
        <f t="shared" si="10"/>
        <v>1</v>
      </c>
      <c r="R2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AMOIN EMILIENNE BUYO YEYO  KOFFI KONANKRO   0749283383 KOUADIO KOFFI TEYA                 F couple  </v>
      </c>
      <c r="Z293" s="53"/>
      <c r="AA293" s="5"/>
      <c r="AB293" s="48"/>
      <c r="AD293" s="41"/>
      <c r="AG293" s="3"/>
      <c r="AH293" s="18"/>
      <c r="AI293" s="17"/>
      <c r="AK293" s="15"/>
      <c r="AL293" s="5"/>
      <c r="AN293" s="147"/>
      <c r="AO293" s="15"/>
      <c r="AP293" s="148"/>
    </row>
    <row r="294" spans="1:42" ht="16.5" x14ac:dyDescent="0.5">
      <c r="A294" s="53">
        <v>293</v>
      </c>
      <c r="B294" s="5" t="s">
        <v>417</v>
      </c>
      <c r="C294" s="48" t="s">
        <v>660</v>
      </c>
      <c r="D294" t="s">
        <v>443</v>
      </c>
      <c r="E294" s="41" t="s">
        <v>444</v>
      </c>
      <c r="H294" s="3" t="s">
        <v>439</v>
      </c>
      <c r="I294" s="18" t="s">
        <v>53</v>
      </c>
      <c r="L294" s="15" t="s">
        <v>2</v>
      </c>
      <c r="M294" s="5" t="s">
        <v>442</v>
      </c>
      <c r="O294" s="149">
        <v>0</v>
      </c>
      <c r="P294" s="149">
        <v>1</v>
      </c>
      <c r="Q294" s="150">
        <f t="shared" si="10"/>
        <v>1</v>
      </c>
      <c r="R2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TEMOU AYA MONIQUE BUYO YEYO  KOFFI KONANKRO   0758828830 KOUADIO KOFFI TEYA                 F couple  </v>
      </c>
      <c r="Z294" s="53"/>
      <c r="AA294" s="5"/>
      <c r="AB294" s="48"/>
      <c r="AD294" s="41"/>
      <c r="AG294" s="3"/>
      <c r="AH294" s="18"/>
      <c r="AI294" s="17"/>
      <c r="AK294" s="15"/>
      <c r="AL294" s="5"/>
      <c r="AN294" s="149"/>
      <c r="AO294" s="149"/>
      <c r="AP294" s="150"/>
    </row>
    <row r="295" spans="1:42" ht="16.5" x14ac:dyDescent="0.35">
      <c r="A295" s="53">
        <v>294</v>
      </c>
      <c r="B295" s="5" t="s">
        <v>418</v>
      </c>
      <c r="C295" s="48" t="s">
        <v>660</v>
      </c>
      <c r="D295" t="s">
        <v>443</v>
      </c>
      <c r="E295" s="41" t="s">
        <v>444</v>
      </c>
      <c r="H295" s="7" t="s">
        <v>440</v>
      </c>
      <c r="I295" s="18" t="s">
        <v>53</v>
      </c>
      <c r="L295" s="15" t="s">
        <v>2</v>
      </c>
      <c r="M295" s="5" t="s">
        <v>442</v>
      </c>
      <c r="O295" s="151">
        <v>0</v>
      </c>
      <c r="P295" s="151">
        <v>1</v>
      </c>
      <c r="Q295" s="152">
        <f t="shared" si="10"/>
        <v>1</v>
      </c>
      <c r="R2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MANSOUGHARI BUYO YEYO  KOFFI KONANKRO   0556808726 KOUADIO KOFFI TEYA                 F couple  </v>
      </c>
      <c r="Z295" s="53"/>
      <c r="AA295" s="5"/>
      <c r="AB295" s="48"/>
      <c r="AD295" s="41"/>
      <c r="AG295" s="7"/>
      <c r="AH295" s="18"/>
      <c r="AI295" s="17"/>
      <c r="AK295" s="15"/>
      <c r="AL295" s="5"/>
      <c r="AN295" s="151"/>
      <c r="AO295" s="151"/>
      <c r="AP295" s="152"/>
    </row>
    <row r="296" spans="1:42" ht="16.5" x14ac:dyDescent="0.35">
      <c r="A296" s="53">
        <v>295</v>
      </c>
      <c r="B296" s="27" t="s">
        <v>419</v>
      </c>
      <c r="C296" s="48" t="s">
        <v>660</v>
      </c>
      <c r="D296" t="s">
        <v>443</v>
      </c>
      <c r="E296" s="41" t="s">
        <v>444</v>
      </c>
      <c r="H296" s="10" t="s">
        <v>441</v>
      </c>
      <c r="I296" s="18" t="s">
        <v>53</v>
      </c>
      <c r="L296" s="16" t="s">
        <v>2</v>
      </c>
      <c r="M296" s="5" t="s">
        <v>442</v>
      </c>
      <c r="O296" s="143">
        <v>0</v>
      </c>
      <c r="P296" s="143">
        <v>1</v>
      </c>
      <c r="Q296" s="153">
        <f t="shared" si="10"/>
        <v>1</v>
      </c>
      <c r="R2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GRAMOUTE ROKIA BUYO YEYO  KOFFI KONANKRO   0574851861 KOUADIO KOFFI TEYA                 F couple  </v>
      </c>
      <c r="Z296" s="53"/>
      <c r="AA296" s="27"/>
      <c r="AB296" s="48"/>
      <c r="AD296" s="41"/>
      <c r="AG296" s="10"/>
      <c r="AH296" s="18"/>
      <c r="AI296" s="17"/>
      <c r="AK296" s="16"/>
      <c r="AL296" s="5"/>
      <c r="AN296" s="143"/>
      <c r="AO296" s="143"/>
      <c r="AP296" s="153"/>
    </row>
    <row r="297" spans="1:42" ht="16.5" x14ac:dyDescent="0.35">
      <c r="A297" s="53">
        <v>296</v>
      </c>
      <c r="B297" s="27" t="s">
        <v>407</v>
      </c>
      <c r="C297" s="48" t="s">
        <v>660</v>
      </c>
      <c r="D297" t="s">
        <v>443</v>
      </c>
      <c r="E297" s="41" t="s">
        <v>444</v>
      </c>
      <c r="H297" s="10" t="s">
        <v>431</v>
      </c>
      <c r="I297" s="18" t="s">
        <v>53</v>
      </c>
      <c r="L297" s="143" t="s">
        <v>2</v>
      </c>
      <c r="M297" s="27" t="s">
        <v>442</v>
      </c>
      <c r="O297" s="143">
        <v>2</v>
      </c>
      <c r="P297" s="143">
        <v>0</v>
      </c>
      <c r="Q297" s="153">
        <f t="shared" si="10"/>
        <v>2</v>
      </c>
      <c r="R2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AFFOUE  BUYO YEYO  KOFFI KONANKRO   0747520753 KOUADIO KOFFI TEYA                 F couple  </v>
      </c>
      <c r="Z297" s="53"/>
      <c r="AA297" s="27"/>
      <c r="AB297" s="48"/>
      <c r="AD297" s="41"/>
      <c r="AG297" s="10"/>
      <c r="AH297" s="18"/>
      <c r="AI297" s="17"/>
      <c r="AK297" s="143"/>
      <c r="AL297" s="27"/>
      <c r="AN297" s="143"/>
      <c r="AO297" s="143"/>
      <c r="AP297" s="153"/>
    </row>
    <row r="298" spans="1:42" ht="16.5" x14ac:dyDescent="0.35">
      <c r="A298" s="53">
        <v>297</v>
      </c>
      <c r="B298" s="5" t="s">
        <v>445</v>
      </c>
      <c r="C298" s="48" t="s">
        <v>660</v>
      </c>
      <c r="D298" t="s">
        <v>191</v>
      </c>
      <c r="E298" s="41" t="s">
        <v>190</v>
      </c>
      <c r="H298" s="3" t="s">
        <v>475</v>
      </c>
      <c r="I298" s="18" t="s">
        <v>53</v>
      </c>
      <c r="L298" s="15" t="s">
        <v>2</v>
      </c>
      <c r="M298" s="5" t="s">
        <v>499</v>
      </c>
      <c r="O298" s="147">
        <v>5</v>
      </c>
      <c r="P298" s="15">
        <v>2</v>
      </c>
      <c r="Q298" s="148">
        <f t="shared" ref="Q298:Q327" si="11">SUM(M298:P298)</f>
        <v>7</v>
      </c>
      <c r="R2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BENIN SALI BUYO N'TOBE  WONSEALY   0769052287 KOUADIO KOFFI TEYA                 F En couple  </v>
      </c>
      <c r="Z298" s="53"/>
      <c r="AA298" s="5"/>
      <c r="AB298" s="48"/>
      <c r="AD298" s="41"/>
      <c r="AG298" s="3"/>
      <c r="AH298" s="18"/>
      <c r="AI298" s="17"/>
      <c r="AK298" s="15"/>
      <c r="AL298" s="5"/>
      <c r="AN298" s="147"/>
      <c r="AO298" s="15"/>
      <c r="AP298" s="148"/>
    </row>
    <row r="299" spans="1:42" ht="16.5" x14ac:dyDescent="0.35">
      <c r="A299" s="53">
        <v>298</v>
      </c>
      <c r="B299" s="5" t="s">
        <v>446</v>
      </c>
      <c r="C299" s="48" t="s">
        <v>660</v>
      </c>
      <c r="D299" t="s">
        <v>191</v>
      </c>
      <c r="E299" s="41" t="s">
        <v>190</v>
      </c>
      <c r="H299" s="3" t="s">
        <v>476</v>
      </c>
      <c r="I299" s="18" t="s">
        <v>53</v>
      </c>
      <c r="L299" s="15" t="s">
        <v>2</v>
      </c>
      <c r="M299" s="5" t="s">
        <v>499</v>
      </c>
      <c r="O299" s="147">
        <v>1</v>
      </c>
      <c r="P299" s="15">
        <v>1</v>
      </c>
      <c r="Q299" s="148">
        <f t="shared" si="11"/>
        <v>2</v>
      </c>
      <c r="R2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MIREILLE BUYO N'TOBE  WONSEALY   0789384925 KOUADIO KOFFI TEYA                 F En couple  </v>
      </c>
      <c r="Z299" s="53"/>
      <c r="AA299" s="5"/>
      <c r="AB299" s="48"/>
      <c r="AD299" s="41"/>
      <c r="AG299" s="3"/>
      <c r="AH299" s="18"/>
      <c r="AI299" s="17"/>
      <c r="AK299" s="15"/>
      <c r="AL299" s="5"/>
      <c r="AN299" s="147"/>
      <c r="AO299" s="15"/>
      <c r="AP299" s="148"/>
    </row>
    <row r="300" spans="1:42" ht="16.5" x14ac:dyDescent="0.35">
      <c r="A300" s="53">
        <v>299</v>
      </c>
      <c r="B300" s="5" t="s">
        <v>447</v>
      </c>
      <c r="C300" s="48" t="s">
        <v>660</v>
      </c>
      <c r="D300" t="s">
        <v>191</v>
      </c>
      <c r="E300" s="41" t="s">
        <v>190</v>
      </c>
      <c r="H300" s="3" t="s">
        <v>477</v>
      </c>
      <c r="I300" s="18" t="s">
        <v>53</v>
      </c>
      <c r="L300" s="15" t="s">
        <v>2</v>
      </c>
      <c r="M300" s="5" t="s">
        <v>499</v>
      </c>
      <c r="O300" s="147">
        <v>1</v>
      </c>
      <c r="P300" s="15">
        <v>5</v>
      </c>
      <c r="Q300" s="148">
        <f t="shared" si="11"/>
        <v>6</v>
      </c>
      <c r="R3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KIN MTORE ZARA BUYO N'TOBE  WONSEALY   0747219701 KOUADIO KOFFI TEYA                 F En couple  </v>
      </c>
      <c r="Z300" s="53"/>
      <c r="AA300" s="5"/>
      <c r="AB300" s="48"/>
      <c r="AD300" s="41"/>
      <c r="AG300" s="3"/>
      <c r="AH300" s="18"/>
      <c r="AI300" s="17"/>
      <c r="AK300" s="15"/>
      <c r="AL300" s="5"/>
      <c r="AN300" s="147"/>
      <c r="AO300" s="15"/>
      <c r="AP300" s="148"/>
    </row>
    <row r="301" spans="1:42" ht="16.5" x14ac:dyDescent="0.35">
      <c r="A301" s="53">
        <v>300</v>
      </c>
      <c r="B301" s="5" t="s">
        <v>448</v>
      </c>
      <c r="C301" s="48" t="s">
        <v>660</v>
      </c>
      <c r="D301" t="s">
        <v>191</v>
      </c>
      <c r="E301" s="41" t="s">
        <v>190</v>
      </c>
      <c r="H301" s="3" t="s">
        <v>478</v>
      </c>
      <c r="I301" s="18" t="s">
        <v>53</v>
      </c>
      <c r="L301" s="15" t="s">
        <v>2</v>
      </c>
      <c r="M301" s="5" t="s">
        <v>499</v>
      </c>
      <c r="O301" s="147">
        <v>5</v>
      </c>
      <c r="P301" s="15">
        <v>2</v>
      </c>
      <c r="Q301" s="148">
        <f t="shared" si="11"/>
        <v>7</v>
      </c>
      <c r="R3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NEBIE ABI  BUYO N'TOBE  WONSEALY   0708084515 KOUADIO KOFFI TEYA                 F En couple  </v>
      </c>
      <c r="Z301" s="53"/>
      <c r="AA301" s="5"/>
      <c r="AB301" s="48"/>
      <c r="AD301" s="41"/>
      <c r="AG301" s="3"/>
      <c r="AH301" s="18"/>
      <c r="AI301" s="17"/>
      <c r="AK301" s="15"/>
      <c r="AL301" s="5"/>
      <c r="AN301" s="147"/>
      <c r="AO301" s="15"/>
      <c r="AP301" s="148"/>
    </row>
    <row r="302" spans="1:42" ht="16.5" x14ac:dyDescent="0.35">
      <c r="A302" s="53">
        <v>301</v>
      </c>
      <c r="B302" s="5" t="s">
        <v>449</v>
      </c>
      <c r="C302" s="48" t="s">
        <v>660</v>
      </c>
      <c r="D302" t="s">
        <v>191</v>
      </c>
      <c r="E302" s="41" t="s">
        <v>190</v>
      </c>
      <c r="H302" s="3" t="s">
        <v>479</v>
      </c>
      <c r="I302" s="18" t="s">
        <v>53</v>
      </c>
      <c r="L302" s="15" t="s">
        <v>2</v>
      </c>
      <c r="M302" s="5" t="s">
        <v>499</v>
      </c>
      <c r="O302" s="147">
        <v>2</v>
      </c>
      <c r="P302" s="15">
        <v>2</v>
      </c>
      <c r="Q302" s="148">
        <f t="shared" si="11"/>
        <v>4</v>
      </c>
      <c r="R3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AMENAN NADEGE BUYO N'TOBE  WONSEALY   0757494591 KOUADIO KOFFI TEYA                 F En couple  </v>
      </c>
      <c r="Z302" s="53"/>
      <c r="AA302" s="5"/>
      <c r="AB302" s="48"/>
      <c r="AD302" s="41"/>
      <c r="AG302" s="3"/>
      <c r="AH302" s="18"/>
      <c r="AI302" s="17"/>
      <c r="AK302" s="15"/>
      <c r="AL302" s="5"/>
      <c r="AN302" s="147"/>
      <c r="AO302" s="15"/>
      <c r="AP302" s="148"/>
    </row>
    <row r="303" spans="1:42" ht="16.5" x14ac:dyDescent="0.35">
      <c r="A303" s="53">
        <v>302</v>
      </c>
      <c r="B303" s="5" t="s">
        <v>450</v>
      </c>
      <c r="C303" s="48" t="s">
        <v>660</v>
      </c>
      <c r="D303" t="s">
        <v>191</v>
      </c>
      <c r="E303" s="41" t="s">
        <v>190</v>
      </c>
      <c r="H303" s="3" t="s">
        <v>480</v>
      </c>
      <c r="I303" s="18" t="s">
        <v>53</v>
      </c>
      <c r="L303" s="15" t="s">
        <v>2</v>
      </c>
      <c r="M303" s="5" t="s">
        <v>499</v>
      </c>
      <c r="O303" s="147">
        <v>3</v>
      </c>
      <c r="P303" s="15">
        <v>2</v>
      </c>
      <c r="Q303" s="148">
        <f t="shared" si="11"/>
        <v>5</v>
      </c>
      <c r="R3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ADJOUA CLARISSE BUYO N'TOBE  WONSEALY   0707478025 KOUADIO KOFFI TEYA                 F En couple  </v>
      </c>
      <c r="Z303" s="53"/>
      <c r="AA303" s="5"/>
      <c r="AB303" s="48"/>
      <c r="AD303" s="41"/>
      <c r="AG303" s="3"/>
      <c r="AH303" s="18"/>
      <c r="AI303" s="17"/>
      <c r="AK303" s="15"/>
      <c r="AL303" s="5"/>
      <c r="AN303" s="147"/>
      <c r="AO303" s="15"/>
      <c r="AP303" s="148"/>
    </row>
    <row r="304" spans="1:42" ht="16.5" x14ac:dyDescent="0.35">
      <c r="A304" s="53">
        <v>303</v>
      </c>
      <c r="B304" s="5" t="s">
        <v>451</v>
      </c>
      <c r="C304" s="48" t="s">
        <v>660</v>
      </c>
      <c r="D304" t="s">
        <v>191</v>
      </c>
      <c r="E304" s="41" t="s">
        <v>190</v>
      </c>
      <c r="H304" s="3" t="s">
        <v>481</v>
      </c>
      <c r="I304" s="18" t="s">
        <v>53</v>
      </c>
      <c r="L304" s="15" t="s">
        <v>2</v>
      </c>
      <c r="M304" s="5" t="s">
        <v>499</v>
      </c>
      <c r="O304" s="147">
        <v>3</v>
      </c>
      <c r="P304" s="15">
        <v>1</v>
      </c>
      <c r="Q304" s="148">
        <f t="shared" si="11"/>
        <v>4</v>
      </c>
      <c r="R3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NAFIATOU BUYO N'TOBE  WONSEALY   0141318138 KOUADIO KOFFI TEYA                 F En couple  </v>
      </c>
      <c r="Z304" s="53"/>
      <c r="AA304" s="5"/>
      <c r="AB304" s="48"/>
      <c r="AD304" s="41"/>
      <c r="AG304" s="3"/>
      <c r="AH304" s="18"/>
      <c r="AI304" s="17"/>
      <c r="AK304" s="15"/>
      <c r="AL304" s="5"/>
      <c r="AN304" s="147"/>
      <c r="AO304" s="15"/>
      <c r="AP304" s="148"/>
    </row>
    <row r="305" spans="1:42" ht="16.5" x14ac:dyDescent="0.35">
      <c r="A305" s="53">
        <v>304</v>
      </c>
      <c r="B305" s="5" t="s">
        <v>452</v>
      </c>
      <c r="C305" s="48" t="s">
        <v>660</v>
      </c>
      <c r="D305" t="s">
        <v>191</v>
      </c>
      <c r="E305" s="41" t="s">
        <v>190</v>
      </c>
      <c r="H305" s="3" t="s">
        <v>482</v>
      </c>
      <c r="I305" s="18" t="s">
        <v>53</v>
      </c>
      <c r="L305" s="15" t="s">
        <v>2</v>
      </c>
      <c r="M305" s="5" t="s">
        <v>499</v>
      </c>
      <c r="O305" s="147">
        <v>0</v>
      </c>
      <c r="P305" s="15">
        <v>1</v>
      </c>
      <c r="Q305" s="148">
        <f t="shared" si="11"/>
        <v>1</v>
      </c>
      <c r="R3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GOLI AFFOUE BUYO N'TOBE  WONSEALY   0768316591 KOUADIO KOFFI TEYA                 F En couple  </v>
      </c>
      <c r="Z305" s="53"/>
      <c r="AA305" s="5"/>
      <c r="AB305" s="48"/>
      <c r="AD305" s="41"/>
      <c r="AG305" s="3"/>
      <c r="AH305" s="18"/>
      <c r="AI305" s="17"/>
      <c r="AK305" s="15"/>
      <c r="AL305" s="5"/>
      <c r="AN305" s="147"/>
      <c r="AO305" s="15"/>
      <c r="AP305" s="148"/>
    </row>
    <row r="306" spans="1:42" ht="16.5" x14ac:dyDescent="0.35">
      <c r="A306" s="53">
        <v>305</v>
      </c>
      <c r="B306" s="5" t="s">
        <v>453</v>
      </c>
      <c r="C306" s="48" t="s">
        <v>660</v>
      </c>
      <c r="D306" t="s">
        <v>191</v>
      </c>
      <c r="E306" s="41" t="s">
        <v>190</v>
      </c>
      <c r="H306" s="3" t="s">
        <v>483</v>
      </c>
      <c r="I306" s="18" t="s">
        <v>53</v>
      </c>
      <c r="L306" s="15" t="s">
        <v>2</v>
      </c>
      <c r="M306" s="5" t="s">
        <v>499</v>
      </c>
      <c r="O306" s="147">
        <v>0</v>
      </c>
      <c r="P306" s="15">
        <v>3</v>
      </c>
      <c r="Q306" s="148">
        <f t="shared" si="11"/>
        <v>3</v>
      </c>
      <c r="R3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MARIE LAURE BUYO N'TOBE  WONSEALY   0749233589 KOUADIO KOFFI TEYA                 F En couple  </v>
      </c>
      <c r="Z306" s="53"/>
      <c r="AA306" s="5"/>
      <c r="AB306" s="48"/>
      <c r="AD306" s="41"/>
      <c r="AG306" s="3"/>
      <c r="AH306" s="18"/>
      <c r="AI306" s="17"/>
      <c r="AK306" s="15"/>
      <c r="AL306" s="5"/>
      <c r="AN306" s="147"/>
      <c r="AO306" s="15"/>
      <c r="AP306" s="148"/>
    </row>
    <row r="307" spans="1:42" ht="16.5" x14ac:dyDescent="0.35">
      <c r="A307" s="53">
        <v>306</v>
      </c>
      <c r="B307" s="5" t="s">
        <v>454</v>
      </c>
      <c r="C307" s="48" t="s">
        <v>660</v>
      </c>
      <c r="D307" t="s">
        <v>191</v>
      </c>
      <c r="E307" s="41" t="s">
        <v>190</v>
      </c>
      <c r="H307" s="3" t="s">
        <v>484</v>
      </c>
      <c r="I307" s="18" t="s">
        <v>53</v>
      </c>
      <c r="L307" s="15" t="s">
        <v>2</v>
      </c>
      <c r="M307" s="5" t="s">
        <v>499</v>
      </c>
      <c r="O307" s="147">
        <v>2</v>
      </c>
      <c r="P307" s="15">
        <v>1</v>
      </c>
      <c r="Q307" s="148">
        <f t="shared" si="11"/>
        <v>3</v>
      </c>
      <c r="R3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MAIMOUNA BUYO N'TOBE  WONSEALY   0708809629 KOUADIO KOFFI TEYA                 F En couple  </v>
      </c>
      <c r="Z307" s="53"/>
      <c r="AA307" s="5"/>
      <c r="AB307" s="48"/>
      <c r="AD307" s="41"/>
      <c r="AG307" s="3"/>
      <c r="AH307" s="18"/>
      <c r="AI307" s="17"/>
      <c r="AK307" s="15"/>
      <c r="AL307" s="5"/>
      <c r="AN307" s="147"/>
      <c r="AO307" s="15"/>
      <c r="AP307" s="148"/>
    </row>
    <row r="308" spans="1:42" ht="16.5" x14ac:dyDescent="0.35">
      <c r="A308" s="53">
        <v>307</v>
      </c>
      <c r="B308" s="5" t="s">
        <v>455</v>
      </c>
      <c r="C308" s="48" t="s">
        <v>660</v>
      </c>
      <c r="D308" t="s">
        <v>191</v>
      </c>
      <c r="E308" s="41" t="s">
        <v>190</v>
      </c>
      <c r="H308" s="3" t="s">
        <v>485</v>
      </c>
      <c r="I308" s="18" t="s">
        <v>53</v>
      </c>
      <c r="L308" s="15" t="s">
        <v>2</v>
      </c>
      <c r="M308" s="5" t="s">
        <v>499</v>
      </c>
      <c r="O308" s="147">
        <v>1</v>
      </c>
      <c r="P308" s="15">
        <v>3</v>
      </c>
      <c r="Q308" s="148">
        <f t="shared" si="11"/>
        <v>4</v>
      </c>
      <c r="R3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GANAME RAMATA BUYO N'TOBE  WONSEALY   0777717097 KOUADIO KOFFI TEYA                 F En couple  </v>
      </c>
      <c r="Z308" s="53"/>
      <c r="AA308" s="5"/>
      <c r="AB308" s="48"/>
      <c r="AD308" s="41"/>
      <c r="AG308" s="3"/>
      <c r="AH308" s="18"/>
      <c r="AI308" s="17"/>
      <c r="AK308" s="15"/>
      <c r="AL308" s="5"/>
      <c r="AN308" s="147"/>
      <c r="AO308" s="15"/>
      <c r="AP308" s="148"/>
    </row>
    <row r="309" spans="1:42" ht="16.5" x14ac:dyDescent="0.35">
      <c r="A309" s="53">
        <v>308</v>
      </c>
      <c r="B309" s="5" t="s">
        <v>456</v>
      </c>
      <c r="C309" s="48" t="s">
        <v>660</v>
      </c>
      <c r="D309" t="s">
        <v>191</v>
      </c>
      <c r="E309" s="41" t="s">
        <v>190</v>
      </c>
      <c r="H309" s="3" t="s">
        <v>486</v>
      </c>
      <c r="I309" s="18" t="s">
        <v>53</v>
      </c>
      <c r="L309" s="15" t="s">
        <v>2</v>
      </c>
      <c r="M309" s="5" t="s">
        <v>499</v>
      </c>
      <c r="O309" s="147">
        <v>3</v>
      </c>
      <c r="P309" s="15">
        <v>4</v>
      </c>
      <c r="Q309" s="148">
        <f t="shared" si="11"/>
        <v>7</v>
      </c>
      <c r="R3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N'GORAN AMOIN ELISEE BUYO N'TOBE  WONSEALY   0748407370 KOUADIO KOFFI TEYA                 F En couple  </v>
      </c>
      <c r="Z309" s="53"/>
      <c r="AA309" s="5"/>
      <c r="AB309" s="48"/>
      <c r="AD309" s="41"/>
      <c r="AG309" s="3"/>
      <c r="AH309" s="18"/>
      <c r="AI309" s="17"/>
      <c r="AK309" s="15"/>
      <c r="AL309" s="5"/>
      <c r="AN309" s="147"/>
      <c r="AO309" s="15"/>
      <c r="AP309" s="148"/>
    </row>
    <row r="310" spans="1:42" ht="16.5" x14ac:dyDescent="0.35">
      <c r="A310" s="53">
        <v>309</v>
      </c>
      <c r="B310" s="5" t="s">
        <v>457</v>
      </c>
      <c r="C310" s="48" t="s">
        <v>660</v>
      </c>
      <c r="D310" t="s">
        <v>191</v>
      </c>
      <c r="E310" s="41" t="s">
        <v>190</v>
      </c>
      <c r="H310" s="3" t="s">
        <v>487</v>
      </c>
      <c r="I310" s="18" t="s">
        <v>53</v>
      </c>
      <c r="L310" s="15" t="s">
        <v>2</v>
      </c>
      <c r="M310" s="5" t="s">
        <v>499</v>
      </c>
      <c r="O310" s="147">
        <v>2</v>
      </c>
      <c r="P310" s="15">
        <v>4</v>
      </c>
      <c r="Q310" s="148">
        <f t="shared" si="11"/>
        <v>6</v>
      </c>
      <c r="R3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RABOU MINATA BUYO N'TOBE  WONSEALY   0768316542 KOUADIO KOFFI TEYA                 F En couple  </v>
      </c>
      <c r="Z310" s="53"/>
      <c r="AA310" s="5"/>
      <c r="AB310" s="48"/>
      <c r="AD310" s="41"/>
      <c r="AG310" s="3"/>
      <c r="AH310" s="18"/>
      <c r="AI310" s="17"/>
      <c r="AK310" s="15"/>
      <c r="AL310" s="5"/>
      <c r="AN310" s="147"/>
      <c r="AO310" s="15"/>
      <c r="AP310" s="148"/>
    </row>
    <row r="311" spans="1:42" ht="16.5" x14ac:dyDescent="0.35">
      <c r="A311" s="53">
        <v>310</v>
      </c>
      <c r="B311" s="5" t="s">
        <v>458</v>
      </c>
      <c r="C311" s="48" t="s">
        <v>660</v>
      </c>
      <c r="D311" t="s">
        <v>191</v>
      </c>
      <c r="E311" s="41" t="s">
        <v>190</v>
      </c>
      <c r="H311" s="3" t="s">
        <v>488</v>
      </c>
      <c r="I311" s="18" t="s">
        <v>53</v>
      </c>
      <c r="L311" s="15" t="s">
        <v>2</v>
      </c>
      <c r="M311" s="5" t="s">
        <v>499</v>
      </c>
      <c r="O311" s="147">
        <v>1</v>
      </c>
      <c r="P311" s="15">
        <v>2</v>
      </c>
      <c r="Q311" s="148">
        <f t="shared" si="11"/>
        <v>3</v>
      </c>
      <c r="R3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NEBIE ADJARA BUYO N'TOBE  WONSEALY   0709034711 KOUADIO KOFFI TEYA                 F En couple  </v>
      </c>
      <c r="Z311" s="53"/>
      <c r="AA311" s="5"/>
      <c r="AB311" s="48"/>
      <c r="AD311" s="41"/>
      <c r="AG311" s="3"/>
      <c r="AH311" s="18"/>
      <c r="AI311" s="17"/>
      <c r="AK311" s="15"/>
      <c r="AL311" s="5"/>
      <c r="AN311" s="147"/>
      <c r="AO311" s="15"/>
      <c r="AP311" s="148"/>
    </row>
    <row r="312" spans="1:42" ht="16.5" x14ac:dyDescent="0.35">
      <c r="A312" s="53">
        <v>311</v>
      </c>
      <c r="B312" s="5" t="s">
        <v>459</v>
      </c>
      <c r="C312" s="48" t="s">
        <v>660</v>
      </c>
      <c r="D312" t="s">
        <v>191</v>
      </c>
      <c r="E312" s="41" t="s">
        <v>190</v>
      </c>
      <c r="H312" s="3"/>
      <c r="I312" s="18" t="s">
        <v>53</v>
      </c>
      <c r="L312" s="15" t="s">
        <v>2</v>
      </c>
      <c r="M312" s="5" t="s">
        <v>499</v>
      </c>
      <c r="O312" s="147">
        <v>3</v>
      </c>
      <c r="P312" s="15">
        <v>4</v>
      </c>
      <c r="Q312" s="148">
        <f t="shared" si="11"/>
        <v>7</v>
      </c>
      <c r="R3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GANAME SAFIATOU BUYO N'TOBE  WONSEALY    KOUADIO KOFFI TEYA                 F En couple  </v>
      </c>
      <c r="Z312" s="53"/>
      <c r="AA312" s="5"/>
      <c r="AB312" s="48"/>
      <c r="AD312" s="41"/>
      <c r="AG312" s="3"/>
      <c r="AH312" s="18"/>
      <c r="AI312" s="17"/>
      <c r="AK312" s="15"/>
      <c r="AL312" s="5"/>
      <c r="AN312" s="147"/>
      <c r="AO312" s="15"/>
      <c r="AP312" s="148"/>
    </row>
    <row r="313" spans="1:42" ht="16.5" x14ac:dyDescent="0.35">
      <c r="A313" s="53">
        <v>312</v>
      </c>
      <c r="B313" s="5" t="s">
        <v>460</v>
      </c>
      <c r="C313" s="48" t="s">
        <v>660</v>
      </c>
      <c r="D313" t="s">
        <v>191</v>
      </c>
      <c r="E313" s="41" t="s">
        <v>190</v>
      </c>
      <c r="H313" s="3" t="s">
        <v>489</v>
      </c>
      <c r="I313" s="18" t="s">
        <v>53</v>
      </c>
      <c r="L313" s="15" t="s">
        <v>2</v>
      </c>
      <c r="M313" s="5" t="s">
        <v>499</v>
      </c>
      <c r="O313" s="147">
        <v>1</v>
      </c>
      <c r="P313" s="15">
        <v>1</v>
      </c>
      <c r="Q313" s="148">
        <f t="shared" si="11"/>
        <v>2</v>
      </c>
      <c r="R3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BOKA SIMONE DAVILA BUYO N'TOBE  WONSEALY   0767159576 KOUADIO KOFFI TEYA                 F En couple  </v>
      </c>
      <c r="Z313" s="53"/>
      <c r="AA313" s="5"/>
      <c r="AB313" s="48"/>
      <c r="AD313" s="41"/>
      <c r="AG313" s="3"/>
      <c r="AH313" s="18"/>
      <c r="AI313" s="17"/>
      <c r="AK313" s="15"/>
      <c r="AL313" s="5"/>
      <c r="AN313" s="147"/>
      <c r="AO313" s="15"/>
      <c r="AP313" s="148"/>
    </row>
    <row r="314" spans="1:42" ht="16.5" x14ac:dyDescent="0.35">
      <c r="A314" s="53">
        <v>313</v>
      </c>
      <c r="B314" s="5" t="s">
        <v>461</v>
      </c>
      <c r="C314" s="48" t="s">
        <v>660</v>
      </c>
      <c r="D314" t="s">
        <v>191</v>
      </c>
      <c r="E314" s="41" t="s">
        <v>190</v>
      </c>
      <c r="H314" s="3"/>
      <c r="I314" s="18" t="s">
        <v>53</v>
      </c>
      <c r="L314" s="15" t="s">
        <v>2</v>
      </c>
      <c r="M314" s="5" t="s">
        <v>499</v>
      </c>
      <c r="O314" s="147">
        <v>3</v>
      </c>
      <c r="P314" s="15">
        <v>2</v>
      </c>
      <c r="Q314" s="148">
        <f t="shared" si="11"/>
        <v>5</v>
      </c>
      <c r="R3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ALIMATA BUYO N'TOBE  WONSEALY    KOUADIO KOFFI TEYA                 F En couple  </v>
      </c>
      <c r="Z314" s="53"/>
      <c r="AA314" s="5"/>
      <c r="AB314" s="48"/>
      <c r="AD314" s="41"/>
      <c r="AG314" s="3"/>
      <c r="AH314" s="18"/>
      <c r="AI314" s="17"/>
      <c r="AK314" s="15"/>
      <c r="AL314" s="5"/>
      <c r="AN314" s="147"/>
      <c r="AO314" s="15"/>
      <c r="AP314" s="148"/>
    </row>
    <row r="315" spans="1:42" ht="16.5" x14ac:dyDescent="0.35">
      <c r="A315" s="53">
        <v>314</v>
      </c>
      <c r="B315" s="5" t="s">
        <v>462</v>
      </c>
      <c r="C315" s="48" t="s">
        <v>660</v>
      </c>
      <c r="D315" t="s">
        <v>191</v>
      </c>
      <c r="E315" s="41" t="s">
        <v>190</v>
      </c>
      <c r="H315" s="3"/>
      <c r="I315" s="18" t="s">
        <v>53</v>
      </c>
      <c r="L315" s="15" t="s">
        <v>2</v>
      </c>
      <c r="M315" s="5" t="s">
        <v>499</v>
      </c>
      <c r="O315" s="147">
        <v>3</v>
      </c>
      <c r="P315" s="15">
        <v>4</v>
      </c>
      <c r="Q315" s="148">
        <f t="shared" si="11"/>
        <v>7</v>
      </c>
      <c r="R3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LIMATA BUYO N'TOBE  WONSEALY    KOUADIO KOFFI TEYA                 F En couple  </v>
      </c>
      <c r="Z315" s="53"/>
      <c r="AA315" s="5"/>
      <c r="AB315" s="48"/>
      <c r="AD315" s="41"/>
      <c r="AG315" s="3"/>
      <c r="AH315" s="18"/>
      <c r="AI315" s="17"/>
      <c r="AK315" s="15"/>
      <c r="AL315" s="5"/>
      <c r="AN315" s="147"/>
      <c r="AO315" s="15"/>
      <c r="AP315" s="148"/>
    </row>
    <row r="316" spans="1:42" ht="16.5" x14ac:dyDescent="0.35">
      <c r="A316" s="53">
        <v>315</v>
      </c>
      <c r="B316" s="5" t="s">
        <v>463</v>
      </c>
      <c r="C316" s="48" t="s">
        <v>660</v>
      </c>
      <c r="D316" t="s">
        <v>191</v>
      </c>
      <c r="E316" s="41" t="s">
        <v>190</v>
      </c>
      <c r="H316" s="3" t="s">
        <v>490</v>
      </c>
      <c r="I316" s="18" t="s">
        <v>53</v>
      </c>
      <c r="L316" s="15" t="s">
        <v>2</v>
      </c>
      <c r="M316" s="5" t="s">
        <v>499</v>
      </c>
      <c r="O316" s="147">
        <v>2</v>
      </c>
      <c r="P316" s="15">
        <v>2</v>
      </c>
      <c r="Q316" s="148">
        <f t="shared" si="11"/>
        <v>4</v>
      </c>
      <c r="R3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SINON MONNIN  BUYO N'TOBE  WONSEALY   0777786916 KOUADIO KOFFI TEYA                 F En couple  </v>
      </c>
      <c r="Z316" s="53"/>
      <c r="AA316" s="5"/>
      <c r="AB316" s="48"/>
      <c r="AD316" s="41"/>
      <c r="AG316" s="3"/>
      <c r="AH316" s="18"/>
      <c r="AI316" s="17"/>
      <c r="AK316" s="15"/>
      <c r="AL316" s="5"/>
      <c r="AN316" s="147"/>
      <c r="AO316" s="15"/>
      <c r="AP316" s="148"/>
    </row>
    <row r="317" spans="1:42" ht="16.5" x14ac:dyDescent="0.35">
      <c r="A317" s="53">
        <v>316</v>
      </c>
      <c r="B317" s="5" t="s">
        <v>464</v>
      </c>
      <c r="C317" s="48" t="s">
        <v>660</v>
      </c>
      <c r="D317" t="s">
        <v>191</v>
      </c>
      <c r="E317" s="41" t="s">
        <v>190</v>
      </c>
      <c r="H317" s="3" t="s">
        <v>491</v>
      </c>
      <c r="I317" s="18" t="s">
        <v>53</v>
      </c>
      <c r="L317" s="15" t="s">
        <v>2</v>
      </c>
      <c r="M317" s="5" t="s">
        <v>499</v>
      </c>
      <c r="O317" s="147">
        <v>2</v>
      </c>
      <c r="P317" s="15">
        <v>2</v>
      </c>
      <c r="Q317" s="148">
        <f t="shared" si="11"/>
        <v>4</v>
      </c>
      <c r="R3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SALIMATA BUYO N'TOBE  WONSEALY   0747227960 KOUADIO KOFFI TEYA                 F En couple  </v>
      </c>
      <c r="Z317" s="53"/>
      <c r="AA317" s="5"/>
      <c r="AB317" s="48"/>
      <c r="AD317" s="41"/>
      <c r="AG317" s="3"/>
      <c r="AH317" s="18"/>
      <c r="AI317" s="17"/>
      <c r="AK317" s="15"/>
      <c r="AL317" s="5"/>
      <c r="AN317" s="147"/>
      <c r="AO317" s="15"/>
      <c r="AP317" s="148"/>
    </row>
    <row r="318" spans="1:42" ht="16.5" x14ac:dyDescent="0.35">
      <c r="A318" s="53">
        <v>317</v>
      </c>
      <c r="B318" s="5" t="s">
        <v>465</v>
      </c>
      <c r="C318" s="48" t="s">
        <v>660</v>
      </c>
      <c r="D318" t="s">
        <v>191</v>
      </c>
      <c r="E318" s="41" t="s">
        <v>190</v>
      </c>
      <c r="H318" s="3" t="s">
        <v>492</v>
      </c>
      <c r="I318" s="18" t="s">
        <v>53</v>
      </c>
      <c r="L318" s="15" t="s">
        <v>2</v>
      </c>
      <c r="M318" s="5" t="s">
        <v>499</v>
      </c>
      <c r="O318" s="147">
        <v>3</v>
      </c>
      <c r="P318" s="15">
        <v>2</v>
      </c>
      <c r="Q318" s="148">
        <f t="shared" si="11"/>
        <v>5</v>
      </c>
      <c r="R3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SANATA  BUYO N'TOBE  WONSEALY   0768394490 KOUADIO KOFFI TEYA                 F En couple  </v>
      </c>
      <c r="Z318" s="53"/>
      <c r="AA318" s="5"/>
      <c r="AB318" s="48"/>
      <c r="AD318" s="41"/>
      <c r="AG318" s="3"/>
      <c r="AH318" s="18"/>
      <c r="AI318" s="17"/>
      <c r="AK318" s="15"/>
      <c r="AL318" s="5"/>
      <c r="AN318" s="147"/>
      <c r="AO318" s="15"/>
      <c r="AP318" s="148"/>
    </row>
    <row r="319" spans="1:42" ht="16.5" x14ac:dyDescent="0.35">
      <c r="A319" s="53">
        <v>318</v>
      </c>
      <c r="B319" s="5" t="s">
        <v>466</v>
      </c>
      <c r="C319" s="48" t="s">
        <v>660</v>
      </c>
      <c r="D319" t="s">
        <v>191</v>
      </c>
      <c r="E319" s="41" t="s">
        <v>190</v>
      </c>
      <c r="H319" s="3"/>
      <c r="I319" s="18" t="s">
        <v>53</v>
      </c>
      <c r="L319" s="15" t="s">
        <v>2</v>
      </c>
      <c r="M319" s="5" t="s">
        <v>499</v>
      </c>
      <c r="O319" s="147">
        <v>3</v>
      </c>
      <c r="P319" s="15">
        <v>1</v>
      </c>
      <c r="Q319" s="148">
        <f t="shared" si="11"/>
        <v>4</v>
      </c>
      <c r="R3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FATIMATA BUYO N'TOBE  WONSEALY    KOUADIO KOFFI TEYA                 F En couple  </v>
      </c>
      <c r="Z319" s="53"/>
      <c r="AA319" s="5"/>
      <c r="AB319" s="48"/>
      <c r="AD319" s="41"/>
      <c r="AG319" s="3"/>
      <c r="AH319" s="18"/>
      <c r="AI319" s="17"/>
      <c r="AK319" s="15"/>
      <c r="AL319" s="5"/>
      <c r="AN319" s="147"/>
      <c r="AO319" s="15"/>
      <c r="AP319" s="148"/>
    </row>
    <row r="320" spans="1:42" ht="16.5" x14ac:dyDescent="0.35">
      <c r="A320" s="53">
        <v>319</v>
      </c>
      <c r="B320" s="5" t="s">
        <v>467</v>
      </c>
      <c r="C320" s="48" t="s">
        <v>660</v>
      </c>
      <c r="D320" t="s">
        <v>191</v>
      </c>
      <c r="E320" s="41" t="s">
        <v>190</v>
      </c>
      <c r="H320" s="3"/>
      <c r="I320" s="18" t="s">
        <v>53</v>
      </c>
      <c r="L320" s="15" t="s">
        <v>2</v>
      </c>
      <c r="M320" s="5" t="s">
        <v>499</v>
      </c>
      <c r="O320" s="147">
        <v>1</v>
      </c>
      <c r="P320" s="15">
        <v>1</v>
      </c>
      <c r="Q320" s="148">
        <f t="shared" si="11"/>
        <v>2</v>
      </c>
      <c r="R3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KOUDJOLON RACHELLE BUYO N'TOBE  WONSEALY    KOUADIO KOFFI TEYA                 F En couple  </v>
      </c>
      <c r="Z320" s="53"/>
      <c r="AA320" s="5"/>
      <c r="AB320" s="48"/>
      <c r="AD320" s="41"/>
      <c r="AG320" s="3"/>
      <c r="AH320" s="18"/>
      <c r="AI320" s="17"/>
      <c r="AK320" s="15"/>
      <c r="AL320" s="5"/>
      <c r="AN320" s="147"/>
      <c r="AO320" s="15"/>
      <c r="AP320" s="148"/>
    </row>
    <row r="321" spans="1:42" ht="16.5" x14ac:dyDescent="0.35">
      <c r="A321" s="53">
        <v>320</v>
      </c>
      <c r="B321" s="5" t="s">
        <v>468</v>
      </c>
      <c r="C321" s="48" t="s">
        <v>660</v>
      </c>
      <c r="D321" t="s">
        <v>191</v>
      </c>
      <c r="E321" s="41" t="s">
        <v>190</v>
      </c>
      <c r="H321" s="3" t="s">
        <v>493</v>
      </c>
      <c r="I321" s="18" t="s">
        <v>53</v>
      </c>
      <c r="L321" s="15" t="s">
        <v>2</v>
      </c>
      <c r="M321" s="5" t="s">
        <v>499</v>
      </c>
      <c r="O321" s="147">
        <v>2</v>
      </c>
      <c r="P321" s="15">
        <v>2</v>
      </c>
      <c r="Q321" s="148">
        <f t="shared" si="11"/>
        <v>4</v>
      </c>
      <c r="R3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SINPORE DJENEBOU BUYO N'TOBE  WONSEALY   0768392932 KOUADIO KOFFI TEYA                 F En couple  </v>
      </c>
      <c r="Z321" s="53"/>
      <c r="AA321" s="5"/>
      <c r="AB321" s="48"/>
      <c r="AD321" s="41"/>
      <c r="AG321" s="3"/>
      <c r="AH321" s="18"/>
      <c r="AI321" s="17"/>
      <c r="AK321" s="15"/>
      <c r="AL321" s="5"/>
      <c r="AN321" s="147"/>
      <c r="AO321" s="15"/>
      <c r="AP321" s="148"/>
    </row>
    <row r="322" spans="1:42" ht="16.5" x14ac:dyDescent="0.35">
      <c r="A322" s="53">
        <v>321</v>
      </c>
      <c r="B322" s="5" t="s">
        <v>469</v>
      </c>
      <c r="C322" s="48" t="s">
        <v>660</v>
      </c>
      <c r="D322" t="s">
        <v>191</v>
      </c>
      <c r="E322" s="41" t="s">
        <v>190</v>
      </c>
      <c r="H322" s="3"/>
      <c r="I322" s="18" t="s">
        <v>53</v>
      </c>
      <c r="L322" s="15" t="s">
        <v>2</v>
      </c>
      <c r="M322" s="5" t="s">
        <v>499</v>
      </c>
      <c r="O322" s="147">
        <v>2</v>
      </c>
      <c r="P322" s="15">
        <v>2</v>
      </c>
      <c r="Q322" s="148">
        <f t="shared" si="11"/>
        <v>4</v>
      </c>
      <c r="R3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ZONGO MARIE BUYO N'TOBE  WONSEALY    KOUADIO KOFFI TEYA                 F En couple  </v>
      </c>
      <c r="Z322" s="53"/>
      <c r="AA322" s="5"/>
      <c r="AB322" s="48"/>
      <c r="AD322" s="41"/>
      <c r="AG322" s="3"/>
      <c r="AH322" s="18"/>
      <c r="AI322" s="17"/>
      <c r="AK322" s="15"/>
      <c r="AL322" s="5"/>
      <c r="AN322" s="147"/>
      <c r="AO322" s="15"/>
      <c r="AP322" s="148"/>
    </row>
    <row r="323" spans="1:42" ht="16.5" x14ac:dyDescent="0.35">
      <c r="A323" s="53">
        <v>322</v>
      </c>
      <c r="B323" s="5" t="s">
        <v>470</v>
      </c>
      <c r="C323" s="48" t="s">
        <v>660</v>
      </c>
      <c r="D323" t="s">
        <v>191</v>
      </c>
      <c r="E323" s="41" t="s">
        <v>190</v>
      </c>
      <c r="H323" s="3" t="s">
        <v>494</v>
      </c>
      <c r="I323" s="18" t="s">
        <v>53</v>
      </c>
      <c r="L323" s="15" t="s">
        <v>9</v>
      </c>
      <c r="M323" s="5" t="s">
        <v>499</v>
      </c>
      <c r="O323" s="147">
        <v>3</v>
      </c>
      <c r="P323" s="15">
        <v>3</v>
      </c>
      <c r="Q323" s="148">
        <f t="shared" si="11"/>
        <v>6</v>
      </c>
      <c r="R3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SARAKA N'GUESSAN JEANNOT BUYO N'TOBE  WONSEALY   0707341177 KOUADIO KOFFI TEYA                 M En couple  </v>
      </c>
      <c r="Z323" s="53"/>
      <c r="AA323" s="5"/>
      <c r="AB323" s="48"/>
      <c r="AD323" s="41"/>
      <c r="AG323" s="3"/>
      <c r="AH323" s="18"/>
      <c r="AI323" s="17"/>
      <c r="AK323" s="15"/>
      <c r="AL323" s="5"/>
      <c r="AN323" s="147"/>
      <c r="AO323" s="15"/>
      <c r="AP323" s="148"/>
    </row>
    <row r="324" spans="1:42" ht="16.5" x14ac:dyDescent="0.5">
      <c r="A324" s="53">
        <v>323</v>
      </c>
      <c r="B324" s="5" t="s">
        <v>471</v>
      </c>
      <c r="C324" s="48" t="s">
        <v>660</v>
      </c>
      <c r="D324" t="s">
        <v>191</v>
      </c>
      <c r="E324" s="41" t="s">
        <v>190</v>
      </c>
      <c r="H324" s="3" t="s">
        <v>495</v>
      </c>
      <c r="I324" s="18" t="s">
        <v>53</v>
      </c>
      <c r="L324" s="15" t="s">
        <v>2</v>
      </c>
      <c r="M324" s="5" t="s">
        <v>499</v>
      </c>
      <c r="O324" s="149">
        <v>1</v>
      </c>
      <c r="P324" s="149">
        <v>1</v>
      </c>
      <c r="Q324" s="150">
        <f t="shared" si="11"/>
        <v>2</v>
      </c>
      <c r="R3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TRAORE ABI  BUYO N'TOBE  WONSEALY   0759044988 KOUADIO KOFFI TEYA                 F En couple  </v>
      </c>
      <c r="Z324" s="53"/>
      <c r="AA324" s="5"/>
      <c r="AB324" s="48"/>
      <c r="AD324" s="41"/>
      <c r="AG324" s="3"/>
      <c r="AH324" s="18"/>
      <c r="AI324" s="17"/>
      <c r="AK324" s="15"/>
      <c r="AL324" s="5"/>
      <c r="AN324" s="149"/>
      <c r="AO324" s="149"/>
      <c r="AP324" s="150"/>
    </row>
    <row r="325" spans="1:42" ht="16.5" x14ac:dyDescent="0.35">
      <c r="A325" s="53">
        <v>324</v>
      </c>
      <c r="B325" s="5" t="s">
        <v>472</v>
      </c>
      <c r="C325" s="48" t="s">
        <v>660</v>
      </c>
      <c r="D325" t="s">
        <v>191</v>
      </c>
      <c r="E325" s="41" t="s">
        <v>190</v>
      </c>
      <c r="H325" s="7" t="s">
        <v>496</v>
      </c>
      <c r="I325" s="18" t="s">
        <v>53</v>
      </c>
      <c r="L325" s="15" t="s">
        <v>2</v>
      </c>
      <c r="M325" s="5" t="s">
        <v>499</v>
      </c>
      <c r="O325" s="151">
        <v>1</v>
      </c>
      <c r="P325" s="151">
        <v>3</v>
      </c>
      <c r="Q325" s="152">
        <f t="shared" si="11"/>
        <v>4</v>
      </c>
      <c r="R3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RABE LAWINDE  BUYO N'TOBE  WONSEALY   0708102647 KOUADIO KOFFI TEYA                 F En couple  </v>
      </c>
      <c r="Z325" s="53"/>
      <c r="AA325" s="5"/>
      <c r="AB325" s="48"/>
      <c r="AD325" s="41"/>
      <c r="AG325" s="7"/>
      <c r="AH325" s="18"/>
      <c r="AI325" s="17"/>
      <c r="AK325" s="15"/>
      <c r="AL325" s="5"/>
      <c r="AN325" s="151"/>
      <c r="AO325" s="151"/>
      <c r="AP325" s="152"/>
    </row>
    <row r="326" spans="1:42" ht="16.5" x14ac:dyDescent="0.35">
      <c r="A326" s="53">
        <v>325</v>
      </c>
      <c r="B326" s="27" t="s">
        <v>473</v>
      </c>
      <c r="C326" s="48" t="s">
        <v>660</v>
      </c>
      <c r="D326" t="s">
        <v>191</v>
      </c>
      <c r="E326" s="41" t="s">
        <v>190</v>
      </c>
      <c r="H326" s="10" t="s">
        <v>497</v>
      </c>
      <c r="I326" s="18" t="s">
        <v>53</v>
      </c>
      <c r="L326" s="16" t="s">
        <v>2</v>
      </c>
      <c r="M326" s="5" t="s">
        <v>499</v>
      </c>
      <c r="O326" s="143">
        <v>2</v>
      </c>
      <c r="P326" s="143">
        <v>0</v>
      </c>
      <c r="Q326" s="153">
        <f t="shared" si="11"/>
        <v>2</v>
      </c>
      <c r="R3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KAGAMBEGA OUANGO BUYO N'TOBE  WONSEALY   0709420642 KOUADIO KOFFI TEYA                 F En couple  </v>
      </c>
      <c r="Z326" s="53"/>
      <c r="AA326" s="27"/>
      <c r="AB326" s="48"/>
      <c r="AD326" s="41"/>
      <c r="AG326" s="10"/>
      <c r="AH326" s="18"/>
      <c r="AI326" s="17"/>
      <c r="AK326" s="16"/>
      <c r="AL326" s="5"/>
      <c r="AN326" s="143"/>
      <c r="AO326" s="143"/>
      <c r="AP326" s="153"/>
    </row>
    <row r="327" spans="1:42" ht="16.5" x14ac:dyDescent="0.35">
      <c r="A327" s="53">
        <v>326</v>
      </c>
      <c r="B327" s="27" t="s">
        <v>474</v>
      </c>
      <c r="C327" s="48" t="s">
        <v>660</v>
      </c>
      <c r="D327" t="s">
        <v>191</v>
      </c>
      <c r="E327" s="41" t="s">
        <v>190</v>
      </c>
      <c r="H327" s="10" t="s">
        <v>498</v>
      </c>
      <c r="I327" s="18" t="s">
        <v>53</v>
      </c>
      <c r="L327" s="143" t="s">
        <v>2</v>
      </c>
      <c r="M327" s="5" t="s">
        <v>499</v>
      </c>
      <c r="O327" s="143">
        <v>1</v>
      </c>
      <c r="P327" s="143">
        <v>1</v>
      </c>
      <c r="Q327" s="153">
        <f t="shared" si="11"/>
        <v>2</v>
      </c>
      <c r="R3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AFFOUE RACHELLE BUYO N'TOBE  WONSEALY   0757494590 KOUADIO KOFFI TEYA                 F En couple  </v>
      </c>
      <c r="Z327" s="53"/>
      <c r="AA327" s="27"/>
      <c r="AB327" s="48"/>
      <c r="AD327" s="41"/>
      <c r="AG327" s="10"/>
      <c r="AH327" s="18"/>
      <c r="AI327" s="17"/>
      <c r="AK327" s="143"/>
      <c r="AL327" s="5"/>
      <c r="AN327" s="143"/>
      <c r="AO327" s="143"/>
      <c r="AP327" s="153"/>
    </row>
    <row r="328" spans="1:42" ht="16.5" x14ac:dyDescent="0.35">
      <c r="A328" s="53">
        <v>327</v>
      </c>
      <c r="B328" s="5" t="s">
        <v>500</v>
      </c>
      <c r="C328" s="48" t="s">
        <v>660</v>
      </c>
      <c r="D328" s="17" t="s">
        <v>564</v>
      </c>
      <c r="E328" s="41" t="s">
        <v>565</v>
      </c>
      <c r="H328" s="3"/>
      <c r="I328" s="18" t="s">
        <v>53</v>
      </c>
      <c r="L328" s="15" t="s">
        <v>2</v>
      </c>
      <c r="M328" s="5" t="s">
        <v>522</v>
      </c>
      <c r="O328" s="147">
        <v>2</v>
      </c>
      <c r="P328" s="15">
        <v>3</v>
      </c>
      <c r="Q328" s="148">
        <f t="shared" ref="Q328:Q343" si="12">SUM(M328:P328)</f>
        <v>5</v>
      </c>
      <c r="R3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AHOU CHRISTINE BUYO BOKON YOLE  SRABANAN    KOUADIO KOFFI TEYA                 F En couple </v>
      </c>
      <c r="Z328" s="53"/>
      <c r="AA328" s="5"/>
      <c r="AB328" s="48"/>
      <c r="AC328" s="17"/>
      <c r="AD328" s="41"/>
      <c r="AG328" s="3"/>
      <c r="AH328" s="18"/>
      <c r="AI328" s="17"/>
      <c r="AK328" s="15"/>
      <c r="AL328" s="5"/>
      <c r="AN328" s="147"/>
      <c r="AO328" s="15"/>
      <c r="AP328" s="148"/>
    </row>
    <row r="329" spans="1:42" ht="16.5" x14ac:dyDescent="0.35">
      <c r="A329" s="53">
        <v>328</v>
      </c>
      <c r="B329" s="5" t="s">
        <v>501</v>
      </c>
      <c r="C329" s="48" t="s">
        <v>660</v>
      </c>
      <c r="D329" s="17" t="s">
        <v>564</v>
      </c>
      <c r="E329" s="41" t="s">
        <v>565</v>
      </c>
      <c r="H329" s="3" t="s">
        <v>516</v>
      </c>
      <c r="I329" s="18" t="s">
        <v>53</v>
      </c>
      <c r="L329" s="15" t="s">
        <v>2</v>
      </c>
      <c r="M329" s="5" t="s">
        <v>522</v>
      </c>
      <c r="O329" s="147">
        <v>4</v>
      </c>
      <c r="P329" s="15">
        <v>1</v>
      </c>
      <c r="Q329" s="148">
        <f t="shared" si="12"/>
        <v>5</v>
      </c>
      <c r="R3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AHOU SONIA BUYO BOKON YOLE  SRABANAN   0749491409 KOUADIO KOFFI TEYA                 F En couple </v>
      </c>
      <c r="Z329" s="53"/>
      <c r="AA329" s="5"/>
      <c r="AB329" s="48"/>
      <c r="AC329" s="17"/>
      <c r="AD329" s="41"/>
      <c r="AG329" s="3"/>
      <c r="AH329" s="18"/>
      <c r="AI329" s="17"/>
      <c r="AK329" s="15"/>
      <c r="AL329" s="5"/>
      <c r="AN329" s="147"/>
      <c r="AO329" s="15"/>
      <c r="AP329" s="148"/>
    </row>
    <row r="330" spans="1:42" ht="16.5" x14ac:dyDescent="0.35">
      <c r="A330" s="53">
        <v>329</v>
      </c>
      <c r="B330" s="5" t="s">
        <v>502</v>
      </c>
      <c r="C330" s="48" t="s">
        <v>660</v>
      </c>
      <c r="D330" s="17" t="s">
        <v>564</v>
      </c>
      <c r="E330" s="41" t="s">
        <v>565</v>
      </c>
      <c r="H330" s="3"/>
      <c r="I330" s="18" t="s">
        <v>53</v>
      </c>
      <c r="L330" s="15" t="s">
        <v>2</v>
      </c>
      <c r="M330" s="5" t="s">
        <v>522</v>
      </c>
      <c r="O330" s="147">
        <v>2</v>
      </c>
      <c r="P330" s="15">
        <v>2</v>
      </c>
      <c r="Q330" s="148">
        <f t="shared" si="12"/>
        <v>4</v>
      </c>
      <c r="R3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AYA BUYO BOKON YOLE  SRABANAN    KOUADIO KOFFI TEYA                 F En couple </v>
      </c>
      <c r="Z330" s="53"/>
      <c r="AA330" s="5"/>
      <c r="AB330" s="48"/>
      <c r="AC330" s="17"/>
      <c r="AD330" s="41"/>
      <c r="AG330" s="3"/>
      <c r="AH330" s="18"/>
      <c r="AI330" s="17"/>
      <c r="AK330" s="15"/>
      <c r="AL330" s="5"/>
      <c r="AN330" s="147"/>
      <c r="AO330" s="15"/>
      <c r="AP330" s="148"/>
    </row>
    <row r="331" spans="1:42" ht="16.5" x14ac:dyDescent="0.35">
      <c r="A331" s="53">
        <v>330</v>
      </c>
      <c r="B331" s="5" t="s">
        <v>503</v>
      </c>
      <c r="C331" s="48" t="s">
        <v>660</v>
      </c>
      <c r="D331" s="17" t="s">
        <v>564</v>
      </c>
      <c r="E331" s="41" t="s">
        <v>565</v>
      </c>
      <c r="H331" s="3" t="s">
        <v>517</v>
      </c>
      <c r="I331" s="18" t="s">
        <v>53</v>
      </c>
      <c r="L331" s="15" t="s">
        <v>2</v>
      </c>
      <c r="M331" s="5" t="s">
        <v>522</v>
      </c>
      <c r="O331" s="147">
        <v>1</v>
      </c>
      <c r="P331" s="15">
        <v>3</v>
      </c>
      <c r="Q331" s="148">
        <f t="shared" si="12"/>
        <v>4</v>
      </c>
      <c r="R3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TUINA TIWAWE ELENE BUYO BOKON YOLE  SRABANAN   0758090220 KOUADIO KOFFI TEYA                 F En couple </v>
      </c>
      <c r="Z331" s="53"/>
      <c r="AA331" s="5"/>
      <c r="AB331" s="48"/>
      <c r="AC331" s="17"/>
      <c r="AD331" s="41"/>
      <c r="AG331" s="3"/>
      <c r="AH331" s="18"/>
      <c r="AI331" s="17"/>
      <c r="AK331" s="15"/>
      <c r="AL331" s="5"/>
      <c r="AN331" s="147"/>
      <c r="AO331" s="15"/>
      <c r="AP331" s="148"/>
    </row>
    <row r="332" spans="1:42" ht="16.5" x14ac:dyDescent="0.35">
      <c r="A332" s="53">
        <v>331</v>
      </c>
      <c r="B332" s="5" t="s">
        <v>504</v>
      </c>
      <c r="C332" s="48" t="s">
        <v>660</v>
      </c>
      <c r="D332" s="17" t="s">
        <v>564</v>
      </c>
      <c r="E332" s="41" t="s">
        <v>565</v>
      </c>
      <c r="H332" s="3" t="s">
        <v>518</v>
      </c>
      <c r="I332" s="18" t="s">
        <v>53</v>
      </c>
      <c r="L332" s="15" t="s">
        <v>2</v>
      </c>
      <c r="M332" s="5" t="s">
        <v>522</v>
      </c>
      <c r="O332" s="147">
        <v>1</v>
      </c>
      <c r="P332" s="15">
        <v>1</v>
      </c>
      <c r="Q332" s="148">
        <f t="shared" si="12"/>
        <v>2</v>
      </c>
      <c r="R3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OUFFOUE CLOYA ODETTE  BUYO BOKON YOLE  SRABANAN   0768396237 KOUADIO KOFFI TEYA                 F En couple </v>
      </c>
      <c r="Z332" s="53"/>
      <c r="AA332" s="5"/>
      <c r="AB332" s="48"/>
      <c r="AC332" s="17"/>
      <c r="AD332" s="41"/>
      <c r="AG332" s="3"/>
      <c r="AH332" s="18"/>
      <c r="AI332" s="17"/>
      <c r="AK332" s="15"/>
      <c r="AL332" s="5"/>
      <c r="AN332" s="147"/>
      <c r="AO332" s="15"/>
      <c r="AP332" s="148"/>
    </row>
    <row r="333" spans="1:42" ht="16.5" x14ac:dyDescent="0.35">
      <c r="A333" s="53">
        <v>332</v>
      </c>
      <c r="B333" s="5" t="s">
        <v>505</v>
      </c>
      <c r="C333" s="48" t="s">
        <v>660</v>
      </c>
      <c r="D333" s="17" t="s">
        <v>564</v>
      </c>
      <c r="E333" s="41" t="s">
        <v>565</v>
      </c>
      <c r="H333" s="3" t="s">
        <v>519</v>
      </c>
      <c r="I333" s="18" t="s">
        <v>53</v>
      </c>
      <c r="L333" s="15" t="s">
        <v>9</v>
      </c>
      <c r="M333" s="5" t="s">
        <v>522</v>
      </c>
      <c r="O333" s="147">
        <v>0</v>
      </c>
      <c r="P333" s="15">
        <v>2</v>
      </c>
      <c r="Q333" s="148">
        <f t="shared" si="12"/>
        <v>2</v>
      </c>
      <c r="R3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N'DRI RODRIGUE BUYO BOKON YOLE  SRABANAN   0778266112 KOUADIO KOFFI TEYA                 M En couple </v>
      </c>
      <c r="Z333" s="53"/>
      <c r="AA333" s="5"/>
      <c r="AB333" s="48"/>
      <c r="AC333" s="17"/>
      <c r="AD333" s="41"/>
      <c r="AG333" s="3"/>
      <c r="AH333" s="18"/>
      <c r="AI333" s="17"/>
      <c r="AK333" s="15"/>
      <c r="AL333" s="5"/>
      <c r="AN333" s="147"/>
      <c r="AO333" s="15"/>
      <c r="AP333" s="148"/>
    </row>
    <row r="334" spans="1:42" ht="16.5" x14ac:dyDescent="0.35">
      <c r="A334" s="53">
        <v>333</v>
      </c>
      <c r="B334" s="5" t="s">
        <v>506</v>
      </c>
      <c r="C334" s="48" t="s">
        <v>660</v>
      </c>
      <c r="D334" s="17" t="s">
        <v>564</v>
      </c>
      <c r="E334" s="41" t="s">
        <v>565</v>
      </c>
      <c r="H334" s="3"/>
      <c r="I334" s="18" t="s">
        <v>53</v>
      </c>
      <c r="L334" s="15" t="s">
        <v>9</v>
      </c>
      <c r="M334" s="5" t="s">
        <v>522</v>
      </c>
      <c r="O334" s="147">
        <v>2</v>
      </c>
      <c r="P334" s="15">
        <v>1</v>
      </c>
      <c r="Q334" s="148">
        <f t="shared" si="12"/>
        <v>3</v>
      </c>
      <c r="R3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KOFFI JEAN CLAUDE BUYO BOKON YOLE  SRABANAN    KOUADIO KOFFI TEYA                 M En couple </v>
      </c>
      <c r="Z334" s="53"/>
      <c r="AA334" s="5"/>
      <c r="AB334" s="48"/>
      <c r="AC334" s="17"/>
      <c r="AD334" s="41"/>
      <c r="AG334" s="3"/>
      <c r="AH334" s="18"/>
      <c r="AI334" s="17"/>
      <c r="AK334" s="15"/>
      <c r="AL334" s="5"/>
      <c r="AN334" s="147"/>
      <c r="AO334" s="15"/>
      <c r="AP334" s="148"/>
    </row>
    <row r="335" spans="1:42" ht="16.5" x14ac:dyDescent="0.35">
      <c r="A335" s="53">
        <v>334</v>
      </c>
      <c r="B335" s="5" t="s">
        <v>507</v>
      </c>
      <c r="C335" s="48" t="s">
        <v>660</v>
      </c>
      <c r="D335" s="17" t="s">
        <v>564</v>
      </c>
      <c r="E335" s="41" t="s">
        <v>565</v>
      </c>
      <c r="H335" s="3" t="s">
        <v>520</v>
      </c>
      <c r="I335" s="18" t="s">
        <v>53</v>
      </c>
      <c r="L335" s="15" t="s">
        <v>9</v>
      </c>
      <c r="M335" s="5" t="s">
        <v>522</v>
      </c>
      <c r="O335" s="147">
        <v>3</v>
      </c>
      <c r="P335" s="15">
        <v>0</v>
      </c>
      <c r="Q335" s="148">
        <f t="shared" si="12"/>
        <v>3</v>
      </c>
      <c r="R3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N'GORAN KOUASSI AUBIN  BUYO BOKON YOLE  SRABANAN   0749 233589 KOUADIO KOFFI TEYA                 M En couple </v>
      </c>
      <c r="Z335" s="53"/>
      <c r="AA335" s="5"/>
      <c r="AB335" s="48"/>
      <c r="AC335" s="17"/>
      <c r="AD335" s="41"/>
      <c r="AG335" s="3"/>
      <c r="AH335" s="18"/>
      <c r="AI335" s="17"/>
      <c r="AK335" s="15"/>
      <c r="AL335" s="5"/>
      <c r="AN335" s="147"/>
      <c r="AO335" s="15"/>
      <c r="AP335" s="148"/>
    </row>
    <row r="336" spans="1:42" ht="16.5" x14ac:dyDescent="0.35">
      <c r="A336" s="53">
        <v>335</v>
      </c>
      <c r="B336" s="5" t="s">
        <v>508</v>
      </c>
      <c r="C336" s="48" t="s">
        <v>660</v>
      </c>
      <c r="D336" s="17" t="s">
        <v>564</v>
      </c>
      <c r="E336" s="41" t="s">
        <v>565</v>
      </c>
      <c r="H336" s="3"/>
      <c r="I336" s="18" t="s">
        <v>53</v>
      </c>
      <c r="L336" s="15" t="s">
        <v>2</v>
      </c>
      <c r="M336" s="5" t="s">
        <v>522</v>
      </c>
      <c r="O336" s="147">
        <v>2</v>
      </c>
      <c r="P336" s="15">
        <v>1</v>
      </c>
      <c r="Q336" s="148">
        <f t="shared" si="12"/>
        <v>3</v>
      </c>
      <c r="R3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N'DRI THERESE BUYO BOKON YOLE  SRABANAN    KOUADIO KOFFI TEYA                 F En couple </v>
      </c>
      <c r="Z336" s="53"/>
      <c r="AA336" s="5"/>
      <c r="AB336" s="48"/>
      <c r="AC336" s="17"/>
      <c r="AD336" s="41"/>
      <c r="AG336" s="3"/>
      <c r="AH336" s="18"/>
      <c r="AI336" s="17"/>
      <c r="AK336" s="15"/>
      <c r="AL336" s="5"/>
      <c r="AN336" s="147"/>
      <c r="AO336" s="15"/>
      <c r="AP336" s="148"/>
    </row>
    <row r="337" spans="1:42" ht="16.5" x14ac:dyDescent="0.35">
      <c r="A337" s="53">
        <v>336</v>
      </c>
      <c r="B337" s="5" t="s">
        <v>509</v>
      </c>
      <c r="C337" s="48" t="s">
        <v>660</v>
      </c>
      <c r="D337" s="17" t="s">
        <v>564</v>
      </c>
      <c r="E337" s="41" t="s">
        <v>565</v>
      </c>
      <c r="H337" s="3" t="s">
        <v>521</v>
      </c>
      <c r="I337" s="18" t="s">
        <v>53</v>
      </c>
      <c r="L337" s="15" t="s">
        <v>2</v>
      </c>
      <c r="M337" s="5" t="s">
        <v>522</v>
      </c>
      <c r="O337" s="147">
        <v>3</v>
      </c>
      <c r="P337" s="15">
        <v>1</v>
      </c>
      <c r="Q337" s="148">
        <f t="shared" si="12"/>
        <v>4</v>
      </c>
      <c r="R3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TONDE WINDINDA BUYO BOKON YOLE  SRABANAN   0748695507 KOUADIO KOFFI TEYA                 F En couple </v>
      </c>
      <c r="Z337" s="53"/>
      <c r="AA337" s="5"/>
      <c r="AB337" s="48"/>
      <c r="AC337" s="17"/>
      <c r="AD337" s="41"/>
      <c r="AG337" s="3"/>
      <c r="AH337" s="18"/>
      <c r="AI337" s="17"/>
      <c r="AK337" s="15"/>
      <c r="AL337" s="5"/>
      <c r="AN337" s="147"/>
      <c r="AO337" s="15"/>
      <c r="AP337" s="148"/>
    </row>
    <row r="338" spans="1:42" ht="16.5" x14ac:dyDescent="0.35">
      <c r="A338" s="53">
        <v>337</v>
      </c>
      <c r="B338" s="5" t="s">
        <v>510</v>
      </c>
      <c r="C338" s="48" t="s">
        <v>660</v>
      </c>
      <c r="D338" s="17" t="s">
        <v>564</v>
      </c>
      <c r="E338" s="41" t="s">
        <v>565</v>
      </c>
      <c r="H338" s="3"/>
      <c r="I338" s="18" t="s">
        <v>53</v>
      </c>
      <c r="L338" s="15" t="s">
        <v>2</v>
      </c>
      <c r="M338" s="5" t="s">
        <v>522</v>
      </c>
      <c r="O338" s="147">
        <v>3</v>
      </c>
      <c r="P338" s="15">
        <v>2</v>
      </c>
      <c r="Q338" s="148">
        <f t="shared" si="12"/>
        <v>5</v>
      </c>
      <c r="R3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N'GORAN SUZANNE BUYO BOKON YOLE  SRABANAN    KOUADIO KOFFI TEYA                 F En couple </v>
      </c>
      <c r="Z338" s="53"/>
      <c r="AA338" s="5"/>
      <c r="AB338" s="48"/>
      <c r="AC338" s="17"/>
      <c r="AD338" s="41"/>
      <c r="AG338" s="3"/>
      <c r="AH338" s="18"/>
      <c r="AI338" s="17"/>
      <c r="AK338" s="15"/>
      <c r="AL338" s="5"/>
      <c r="AN338" s="147"/>
      <c r="AO338" s="15"/>
      <c r="AP338" s="148"/>
    </row>
    <row r="339" spans="1:42" ht="16.5" x14ac:dyDescent="0.35">
      <c r="A339" s="53">
        <v>338</v>
      </c>
      <c r="B339" s="5" t="s">
        <v>511</v>
      </c>
      <c r="C339" s="48" t="s">
        <v>660</v>
      </c>
      <c r="D339" s="17" t="s">
        <v>564</v>
      </c>
      <c r="E339" s="41" t="s">
        <v>565</v>
      </c>
      <c r="H339" s="3"/>
      <c r="I339" s="18" t="s">
        <v>53</v>
      </c>
      <c r="L339" s="15" t="s">
        <v>2</v>
      </c>
      <c r="M339" s="5" t="s">
        <v>522</v>
      </c>
      <c r="O339" s="147">
        <v>2</v>
      </c>
      <c r="P339" s="15">
        <v>2</v>
      </c>
      <c r="Q339" s="148">
        <f t="shared" si="12"/>
        <v>4</v>
      </c>
      <c r="R3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AFFOUE CHANTAL BUYO BOKON YOLE  SRABANAN    KOUADIO KOFFI TEYA                 F En couple </v>
      </c>
      <c r="Z339" s="53"/>
      <c r="AA339" s="5"/>
      <c r="AB339" s="48"/>
      <c r="AC339" s="17"/>
      <c r="AD339" s="41"/>
      <c r="AG339" s="3"/>
      <c r="AH339" s="18"/>
      <c r="AI339" s="17"/>
      <c r="AK339" s="15"/>
      <c r="AL339" s="5"/>
      <c r="AN339" s="147"/>
      <c r="AO339" s="15"/>
      <c r="AP339" s="148"/>
    </row>
    <row r="340" spans="1:42" ht="16.5" x14ac:dyDescent="0.35">
      <c r="A340" s="53">
        <v>339</v>
      </c>
      <c r="B340" s="5" t="s">
        <v>512</v>
      </c>
      <c r="C340" s="48" t="s">
        <v>660</v>
      </c>
      <c r="D340" s="17" t="s">
        <v>564</v>
      </c>
      <c r="E340" s="41" t="s">
        <v>565</v>
      </c>
      <c r="H340" s="3"/>
      <c r="I340" s="18" t="s">
        <v>53</v>
      </c>
      <c r="L340" s="15" t="s">
        <v>2</v>
      </c>
      <c r="M340" s="5" t="s">
        <v>522</v>
      </c>
      <c r="O340" s="147">
        <v>2</v>
      </c>
      <c r="P340" s="15">
        <v>1</v>
      </c>
      <c r="Q340" s="148">
        <f t="shared" si="12"/>
        <v>3</v>
      </c>
      <c r="R3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AMOIN ROSE BUYO BOKON YOLE  SRABANAN    KOUADIO KOFFI TEYA                 F En couple </v>
      </c>
      <c r="Z340" s="53"/>
      <c r="AA340" s="5"/>
      <c r="AB340" s="48"/>
      <c r="AC340" s="17"/>
      <c r="AD340" s="41"/>
      <c r="AG340" s="3"/>
      <c r="AH340" s="18"/>
      <c r="AI340" s="17"/>
      <c r="AK340" s="15"/>
      <c r="AL340" s="5"/>
      <c r="AN340" s="147"/>
      <c r="AO340" s="15"/>
      <c r="AP340" s="148"/>
    </row>
    <row r="341" spans="1:42" ht="16.5" x14ac:dyDescent="0.35">
      <c r="A341" s="53">
        <v>340</v>
      </c>
      <c r="B341" s="5" t="s">
        <v>513</v>
      </c>
      <c r="C341" s="48" t="s">
        <v>660</v>
      </c>
      <c r="D341" s="17" t="s">
        <v>564</v>
      </c>
      <c r="E341" s="41" t="s">
        <v>565</v>
      </c>
      <c r="H341" s="3"/>
      <c r="I341" s="18" t="s">
        <v>53</v>
      </c>
      <c r="L341" s="15" t="s">
        <v>2</v>
      </c>
      <c r="M341" s="5" t="s">
        <v>522</v>
      </c>
      <c r="O341" s="147">
        <v>1</v>
      </c>
      <c r="P341" s="15">
        <v>1</v>
      </c>
      <c r="Q341" s="148">
        <f t="shared" si="12"/>
        <v>2</v>
      </c>
      <c r="R3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AYA DEBORAH BUYO BOKON YOLE  SRABANAN    KOUADIO KOFFI TEYA                 F En couple </v>
      </c>
      <c r="Z341" s="53"/>
      <c r="AA341" s="5"/>
      <c r="AB341" s="48"/>
      <c r="AC341" s="17"/>
      <c r="AD341" s="41"/>
      <c r="AG341" s="3"/>
      <c r="AH341" s="18"/>
      <c r="AI341" s="17"/>
      <c r="AK341" s="15"/>
      <c r="AL341" s="5"/>
      <c r="AN341" s="147"/>
      <c r="AO341" s="15"/>
      <c r="AP341" s="148"/>
    </row>
    <row r="342" spans="1:42" ht="16.5" x14ac:dyDescent="0.35">
      <c r="A342" s="53">
        <v>341</v>
      </c>
      <c r="B342" s="5" t="s">
        <v>514</v>
      </c>
      <c r="C342" s="48" t="s">
        <v>660</v>
      </c>
      <c r="D342" s="17" t="s">
        <v>564</v>
      </c>
      <c r="E342" s="41" t="s">
        <v>565</v>
      </c>
      <c r="H342" s="3"/>
      <c r="I342" s="18" t="s">
        <v>53</v>
      </c>
      <c r="L342" s="15" t="s">
        <v>2</v>
      </c>
      <c r="M342" s="5" t="s">
        <v>522</v>
      </c>
      <c r="O342" s="147">
        <v>2</v>
      </c>
      <c r="P342" s="15">
        <v>1</v>
      </c>
      <c r="Q342" s="148">
        <f t="shared" si="12"/>
        <v>3</v>
      </c>
      <c r="R3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BOUGMA RELWENDE BUYO BOKON YOLE  SRABANAN    KOUADIO KOFFI TEYA                 F En couple </v>
      </c>
      <c r="Z342" s="53"/>
      <c r="AA342" s="5"/>
      <c r="AB342" s="48"/>
      <c r="AC342" s="17"/>
      <c r="AD342" s="41"/>
      <c r="AG342" s="3"/>
      <c r="AH342" s="18"/>
      <c r="AI342" s="17"/>
      <c r="AK342" s="15"/>
      <c r="AL342" s="5"/>
      <c r="AN342" s="147"/>
      <c r="AO342" s="15"/>
      <c r="AP342" s="148"/>
    </row>
    <row r="343" spans="1:42" ht="16.5" x14ac:dyDescent="0.35">
      <c r="A343" s="53">
        <v>342</v>
      </c>
      <c r="B343" s="5" t="s">
        <v>515</v>
      </c>
      <c r="C343" s="48" t="s">
        <v>660</v>
      </c>
      <c r="D343" s="17" t="s">
        <v>564</v>
      </c>
      <c r="E343" s="41" t="s">
        <v>565</v>
      </c>
      <c r="I343" s="18" t="s">
        <v>53</v>
      </c>
      <c r="L343" s="15" t="s">
        <v>2</v>
      </c>
      <c r="M343" s="5" t="s">
        <v>522</v>
      </c>
      <c r="O343" s="147">
        <v>2</v>
      </c>
      <c r="P343" s="15">
        <v>1</v>
      </c>
      <c r="Q343" s="148">
        <f t="shared" si="12"/>
        <v>3</v>
      </c>
      <c r="R3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AYA ANNE MARIE BUYO BOKON YOLE  SRABANAN    KOUADIO KOFFI TEYA                 F En couple </v>
      </c>
      <c r="Z343" s="53"/>
      <c r="AA343" s="5"/>
      <c r="AB343" s="48"/>
      <c r="AC343" s="17"/>
      <c r="AD343" s="41"/>
      <c r="AH343" s="18"/>
      <c r="AI343" s="17"/>
      <c r="AK343" s="15"/>
      <c r="AL343" s="5"/>
      <c r="AN343" s="147"/>
      <c r="AO343" s="15"/>
      <c r="AP343" s="148"/>
    </row>
    <row r="344" spans="1:42" ht="16.5" x14ac:dyDescent="0.35">
      <c r="A344" s="53">
        <v>343</v>
      </c>
      <c r="B344" s="5" t="s">
        <v>523</v>
      </c>
      <c r="C344" s="48" t="s">
        <v>660</v>
      </c>
      <c r="D344" t="s">
        <v>562</v>
      </c>
      <c r="E344" s="41" t="s">
        <v>563</v>
      </c>
      <c r="H344" s="3"/>
      <c r="I344" s="18" t="s">
        <v>53</v>
      </c>
      <c r="L344" s="15" t="s">
        <v>2</v>
      </c>
      <c r="M344" s="5" t="s">
        <v>522</v>
      </c>
      <c r="O344" s="147">
        <v>3</v>
      </c>
      <c r="P344" s="15">
        <v>6</v>
      </c>
      <c r="Q344" s="148">
        <f t="shared" ref="Q344:Q373" si="13">SUM(M344:P344)</f>
        <v>9</v>
      </c>
      <c r="R3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AYA BERNADETTE BUYO SIGUITEMOGOSSON     KOUAMEKRO    KOUADIO KOFFI TEYA                 F En couple </v>
      </c>
      <c r="Z344" s="53"/>
      <c r="AA344" s="5"/>
      <c r="AB344" s="48"/>
      <c r="AD344" s="41"/>
      <c r="AG344" s="3"/>
      <c r="AH344" s="18"/>
      <c r="AI344" s="17"/>
      <c r="AK344" s="15"/>
      <c r="AL344" s="5"/>
      <c r="AN344" s="147"/>
      <c r="AO344" s="15"/>
      <c r="AP344" s="148"/>
    </row>
    <row r="345" spans="1:42" ht="16.5" x14ac:dyDescent="0.35">
      <c r="A345" s="53">
        <v>344</v>
      </c>
      <c r="B345" s="5" t="s">
        <v>524</v>
      </c>
      <c r="C345" s="48" t="s">
        <v>660</v>
      </c>
      <c r="D345" t="s">
        <v>562</v>
      </c>
      <c r="E345" s="41" t="s">
        <v>563</v>
      </c>
      <c r="H345" s="3"/>
      <c r="I345" s="18" t="s">
        <v>53</v>
      </c>
      <c r="L345" s="15" t="s">
        <v>2</v>
      </c>
      <c r="M345" s="5" t="s">
        <v>522</v>
      </c>
      <c r="O345" s="147">
        <v>1</v>
      </c>
      <c r="P345" s="15">
        <v>4</v>
      </c>
      <c r="Q345" s="148">
        <f t="shared" si="13"/>
        <v>5</v>
      </c>
      <c r="R3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 BAZIE CLEMENTINE BUYO SIGUITEMOGOSSON     KOUAMEKRO    KOUADIO KOFFI TEYA                 F En couple </v>
      </c>
      <c r="Z345" s="53"/>
      <c r="AA345" s="5"/>
      <c r="AB345" s="48"/>
      <c r="AD345" s="41"/>
      <c r="AG345" s="3"/>
      <c r="AH345" s="18"/>
      <c r="AI345" s="17"/>
      <c r="AK345" s="15"/>
      <c r="AL345" s="5"/>
      <c r="AN345" s="147"/>
      <c r="AO345" s="15"/>
      <c r="AP345" s="148"/>
    </row>
    <row r="346" spans="1:42" ht="16.5" x14ac:dyDescent="0.35">
      <c r="A346" s="53">
        <v>345</v>
      </c>
      <c r="B346" s="5" t="s">
        <v>525</v>
      </c>
      <c r="C346" s="48" t="s">
        <v>660</v>
      </c>
      <c r="D346" t="s">
        <v>562</v>
      </c>
      <c r="E346" s="41" t="s">
        <v>563</v>
      </c>
      <c r="H346" s="5"/>
      <c r="I346" s="18" t="s">
        <v>53</v>
      </c>
      <c r="L346" s="15" t="s">
        <v>2</v>
      </c>
      <c r="M346" s="5" t="s">
        <v>522</v>
      </c>
      <c r="O346" s="147">
        <v>3</v>
      </c>
      <c r="P346" s="15">
        <v>3</v>
      </c>
      <c r="Q346" s="148">
        <f t="shared" si="13"/>
        <v>6</v>
      </c>
      <c r="R3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ALI AKISSI PELAGIE BUYO SIGUITEMOGOSSON     KOUAMEKRO    KOUADIO KOFFI TEYA                 F En couple </v>
      </c>
      <c r="Z346" s="53"/>
      <c r="AA346" s="5"/>
      <c r="AB346" s="48"/>
      <c r="AD346" s="41"/>
      <c r="AG346" s="5"/>
      <c r="AH346" s="18"/>
      <c r="AI346" s="17"/>
      <c r="AK346" s="15"/>
      <c r="AL346" s="5"/>
      <c r="AN346" s="147"/>
      <c r="AO346" s="15"/>
      <c r="AP346" s="148"/>
    </row>
    <row r="347" spans="1:42" ht="16.5" x14ac:dyDescent="0.35">
      <c r="A347" s="53">
        <v>346</v>
      </c>
      <c r="B347" s="5" t="s">
        <v>526</v>
      </c>
      <c r="C347" s="48" t="s">
        <v>660</v>
      </c>
      <c r="D347" t="s">
        <v>562</v>
      </c>
      <c r="E347" s="41" t="s">
        <v>563</v>
      </c>
      <c r="H347" s="3"/>
      <c r="I347" s="18" t="s">
        <v>53</v>
      </c>
      <c r="L347" s="15" t="s">
        <v>2</v>
      </c>
      <c r="M347" s="5" t="s">
        <v>522</v>
      </c>
      <c r="O347" s="147">
        <v>3</v>
      </c>
      <c r="P347" s="15">
        <v>3</v>
      </c>
      <c r="Q347" s="148">
        <f t="shared" si="13"/>
        <v>6</v>
      </c>
      <c r="R3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BAKOUAN ASSETOU BUYO SIGUITEMOGOSSON     KOUAMEKRO    KOUADIO KOFFI TEYA                 F En couple </v>
      </c>
      <c r="Z347" s="53"/>
      <c r="AA347" s="5"/>
      <c r="AB347" s="48"/>
      <c r="AD347" s="41"/>
      <c r="AG347" s="3"/>
      <c r="AH347" s="18"/>
      <c r="AI347" s="17"/>
      <c r="AK347" s="15"/>
      <c r="AL347" s="5"/>
      <c r="AN347" s="147"/>
      <c r="AO347" s="15"/>
      <c r="AP347" s="148"/>
    </row>
    <row r="348" spans="1:42" ht="16.5" x14ac:dyDescent="0.35">
      <c r="A348" s="53">
        <v>347</v>
      </c>
      <c r="B348" s="2" t="s">
        <v>527</v>
      </c>
      <c r="C348" s="48" t="s">
        <v>660</v>
      </c>
      <c r="D348" t="s">
        <v>562</v>
      </c>
      <c r="E348" s="41" t="s">
        <v>563</v>
      </c>
      <c r="H348" s="33"/>
      <c r="I348" s="18" t="s">
        <v>53</v>
      </c>
      <c r="L348" s="144" t="s">
        <v>2</v>
      </c>
      <c r="M348" s="5" t="s">
        <v>522</v>
      </c>
      <c r="O348" s="183">
        <f t="shared" ref="O348:P348" si="14">SUM(K348:N348)</f>
        <v>0</v>
      </c>
      <c r="P348" s="183">
        <f t="shared" si="14"/>
        <v>0</v>
      </c>
      <c r="Q348" s="183">
        <f t="shared" si="13"/>
        <v>0</v>
      </c>
      <c r="R3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AKISSI HENRIETTE BUYO SIGUITEMOGOSSON     KOUAMEKRO    KOUADIO KOFFI TEYA                 F En couple </v>
      </c>
      <c r="Z348" s="53"/>
      <c r="AA348" s="2"/>
      <c r="AB348" s="48"/>
      <c r="AD348" s="41"/>
      <c r="AG348" s="33"/>
      <c r="AH348" s="18"/>
      <c r="AI348" s="17"/>
      <c r="AK348" s="144"/>
      <c r="AL348" s="5"/>
      <c r="AN348" s="183"/>
      <c r="AO348" s="183"/>
      <c r="AP348" s="183"/>
    </row>
    <row r="349" spans="1:42" ht="16.5" x14ac:dyDescent="0.35">
      <c r="A349" s="53">
        <v>348</v>
      </c>
      <c r="B349" s="2" t="s">
        <v>528</v>
      </c>
      <c r="C349" s="48" t="s">
        <v>660</v>
      </c>
      <c r="D349" t="s">
        <v>562</v>
      </c>
      <c r="E349" s="41" t="s">
        <v>563</v>
      </c>
      <c r="H349" s="33"/>
      <c r="I349" s="18" t="s">
        <v>53</v>
      </c>
      <c r="L349" s="144" t="s">
        <v>2</v>
      </c>
      <c r="M349" s="5" t="s">
        <v>522</v>
      </c>
      <c r="O349" s="18">
        <v>3</v>
      </c>
      <c r="P349" s="144">
        <v>2</v>
      </c>
      <c r="Q349" s="183">
        <f t="shared" si="13"/>
        <v>5</v>
      </c>
      <c r="R3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ALICE BUYO SIGUITEMOGOSSON     KOUAMEKRO    KOUADIO KOFFI TEYA                 F En couple </v>
      </c>
      <c r="Z349" s="53"/>
      <c r="AA349" s="2"/>
      <c r="AB349" s="48"/>
      <c r="AD349" s="41"/>
      <c r="AG349" s="33"/>
      <c r="AH349" s="18"/>
      <c r="AI349" s="17"/>
      <c r="AK349" s="144"/>
      <c r="AL349" s="5"/>
      <c r="AN349" s="18"/>
      <c r="AO349" s="144"/>
      <c r="AP349" s="183"/>
    </row>
    <row r="350" spans="1:42" ht="16.5" x14ac:dyDescent="0.35">
      <c r="A350" s="53">
        <v>349</v>
      </c>
      <c r="B350" s="2" t="s">
        <v>529</v>
      </c>
      <c r="C350" s="48" t="s">
        <v>660</v>
      </c>
      <c r="D350" t="s">
        <v>562</v>
      </c>
      <c r="E350" s="41" t="s">
        <v>563</v>
      </c>
      <c r="H350" s="33"/>
      <c r="I350" s="18" t="s">
        <v>53</v>
      </c>
      <c r="L350" s="144" t="s">
        <v>2</v>
      </c>
      <c r="M350" s="5" t="s">
        <v>522</v>
      </c>
      <c r="O350" s="18">
        <v>3</v>
      </c>
      <c r="P350" s="144">
        <v>3</v>
      </c>
      <c r="Q350" s="183">
        <f t="shared" si="13"/>
        <v>6</v>
      </c>
      <c r="R3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ZONGO FATOUMATA  BUYO SIGUITEMOGOSSON     KOUAMEKRO    KOUADIO KOFFI TEYA                 F En couple </v>
      </c>
      <c r="Z350" s="53"/>
      <c r="AA350" s="2"/>
      <c r="AB350" s="48"/>
      <c r="AD350" s="41"/>
      <c r="AG350" s="33"/>
      <c r="AH350" s="18"/>
      <c r="AI350" s="17"/>
      <c r="AK350" s="144"/>
      <c r="AL350" s="5"/>
      <c r="AN350" s="18"/>
      <c r="AO350" s="144"/>
      <c r="AP350" s="183"/>
    </row>
    <row r="351" spans="1:42" ht="16.5" x14ac:dyDescent="0.35">
      <c r="A351" s="53">
        <v>350</v>
      </c>
      <c r="B351" s="2" t="s">
        <v>530</v>
      </c>
      <c r="C351" s="48" t="s">
        <v>660</v>
      </c>
      <c r="D351" t="s">
        <v>562</v>
      </c>
      <c r="E351" s="41" t="s">
        <v>563</v>
      </c>
      <c r="H351" s="33"/>
      <c r="I351" s="18" t="s">
        <v>53</v>
      </c>
      <c r="L351" s="144" t="s">
        <v>2</v>
      </c>
      <c r="M351" s="5" t="s">
        <v>522</v>
      </c>
      <c r="O351" s="18">
        <v>4</v>
      </c>
      <c r="P351" s="144">
        <v>1</v>
      </c>
      <c r="Q351" s="183">
        <f t="shared" si="13"/>
        <v>5</v>
      </c>
      <c r="R3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JUSTINE BUYO SIGUITEMOGOSSON     KOUAMEKRO    KOUADIO KOFFI TEYA                 F En couple </v>
      </c>
      <c r="Z351" s="53"/>
      <c r="AA351" s="2"/>
      <c r="AB351" s="48"/>
      <c r="AD351" s="41"/>
      <c r="AG351" s="33"/>
      <c r="AH351" s="18"/>
      <c r="AI351" s="17"/>
      <c r="AK351" s="144"/>
      <c r="AL351" s="5"/>
      <c r="AN351" s="18"/>
      <c r="AO351" s="144"/>
      <c r="AP351" s="183"/>
    </row>
    <row r="352" spans="1:42" ht="16.5" x14ac:dyDescent="0.35">
      <c r="A352" s="53">
        <v>351</v>
      </c>
      <c r="B352" s="2" t="s">
        <v>531</v>
      </c>
      <c r="C352" s="48" t="s">
        <v>660</v>
      </c>
      <c r="D352" t="s">
        <v>562</v>
      </c>
      <c r="E352" s="41" t="s">
        <v>563</v>
      </c>
      <c r="H352" s="33"/>
      <c r="I352" s="18" t="s">
        <v>53</v>
      </c>
      <c r="L352" s="144" t="s">
        <v>2</v>
      </c>
      <c r="M352" s="5" t="s">
        <v>522</v>
      </c>
      <c r="O352" s="18">
        <v>4</v>
      </c>
      <c r="P352" s="144">
        <v>2</v>
      </c>
      <c r="Q352" s="183">
        <f t="shared" si="13"/>
        <v>6</v>
      </c>
      <c r="R3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ADJOUA MARIE LAURE BUYO SIGUITEMOGOSSON     KOUAMEKRO    KOUADIO KOFFI TEYA                 F En couple </v>
      </c>
      <c r="Z352" s="53"/>
      <c r="AA352" s="2"/>
      <c r="AB352" s="48"/>
      <c r="AD352" s="41"/>
      <c r="AG352" s="33"/>
      <c r="AH352" s="18"/>
      <c r="AI352" s="17"/>
      <c r="AK352" s="144"/>
      <c r="AL352" s="5"/>
      <c r="AN352" s="18"/>
      <c r="AO352" s="144"/>
      <c r="AP352" s="183"/>
    </row>
    <row r="353" spans="1:42" ht="16.5" x14ac:dyDescent="0.35">
      <c r="A353" s="53">
        <v>352</v>
      </c>
      <c r="B353" s="2" t="s">
        <v>532</v>
      </c>
      <c r="C353" s="48" t="s">
        <v>660</v>
      </c>
      <c r="D353" t="s">
        <v>562</v>
      </c>
      <c r="E353" s="41" t="s">
        <v>563</v>
      </c>
      <c r="H353" s="33" t="s">
        <v>552</v>
      </c>
      <c r="I353" s="18" t="s">
        <v>53</v>
      </c>
      <c r="L353" s="144" t="s">
        <v>9</v>
      </c>
      <c r="M353" s="5" t="s">
        <v>522</v>
      </c>
      <c r="O353" s="18">
        <v>0</v>
      </c>
      <c r="P353" s="144">
        <v>0</v>
      </c>
      <c r="Q353" s="183">
        <f t="shared" si="13"/>
        <v>0</v>
      </c>
      <c r="R3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AMANI KOUAKOU JOSEPH BUYO SIGUITEMOGOSSON     KOUAMEKRO   0747078900 KOUADIO KOFFI TEYA                 M En couple </v>
      </c>
      <c r="Z353" s="53"/>
      <c r="AA353" s="2"/>
      <c r="AB353" s="48"/>
      <c r="AD353" s="41"/>
      <c r="AG353" s="33"/>
      <c r="AH353" s="18"/>
      <c r="AI353" s="17"/>
      <c r="AK353" s="144"/>
      <c r="AL353" s="5"/>
      <c r="AN353" s="18"/>
      <c r="AO353" s="144"/>
      <c r="AP353" s="183"/>
    </row>
    <row r="354" spans="1:42" ht="16.5" x14ac:dyDescent="0.35">
      <c r="A354" s="53">
        <v>353</v>
      </c>
      <c r="B354" s="2" t="s">
        <v>533</v>
      </c>
      <c r="C354" s="48" t="s">
        <v>660</v>
      </c>
      <c r="D354" t="s">
        <v>562</v>
      </c>
      <c r="E354" s="41" t="s">
        <v>563</v>
      </c>
      <c r="H354" s="33"/>
      <c r="I354" s="18" t="s">
        <v>53</v>
      </c>
      <c r="L354" s="144" t="s">
        <v>9</v>
      </c>
      <c r="M354" s="5" t="s">
        <v>522</v>
      </c>
      <c r="O354" s="18">
        <v>3</v>
      </c>
      <c r="P354" s="144">
        <v>3</v>
      </c>
      <c r="Q354" s="183">
        <f t="shared" si="13"/>
        <v>6</v>
      </c>
      <c r="R3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KOUADIO HYACINTHE  BUYO SIGUITEMOGOSSON     KOUAMEKRO    KOUADIO KOFFI TEYA                 M En couple </v>
      </c>
      <c r="Z354" s="53"/>
      <c r="AA354" s="2"/>
      <c r="AB354" s="48"/>
      <c r="AD354" s="41"/>
      <c r="AG354" s="33"/>
      <c r="AH354" s="18"/>
      <c r="AI354" s="17"/>
      <c r="AK354" s="144"/>
      <c r="AL354" s="5"/>
      <c r="AN354" s="18"/>
      <c r="AO354" s="144"/>
      <c r="AP354" s="183"/>
    </row>
    <row r="355" spans="1:42" ht="16.5" x14ac:dyDescent="0.35">
      <c r="A355" s="53">
        <v>354</v>
      </c>
      <c r="B355" s="2" t="s">
        <v>534</v>
      </c>
      <c r="C355" s="48" t="s">
        <v>660</v>
      </c>
      <c r="D355" t="s">
        <v>562</v>
      </c>
      <c r="E355" s="41" t="s">
        <v>563</v>
      </c>
      <c r="H355" s="33" t="s">
        <v>553</v>
      </c>
      <c r="I355" s="18" t="s">
        <v>53</v>
      </c>
      <c r="L355" s="144" t="s">
        <v>9</v>
      </c>
      <c r="M355" s="5" t="s">
        <v>522</v>
      </c>
      <c r="O355" s="18">
        <v>0</v>
      </c>
      <c r="P355" s="144">
        <v>0</v>
      </c>
      <c r="Q355" s="183">
        <f t="shared" si="13"/>
        <v>0</v>
      </c>
      <c r="R3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ALI N'GUESSAN DIDIER BUYO SIGUITEMOGOSSON     KOUAMEKRO   0748172534 KOUADIO KOFFI TEYA                 M En couple </v>
      </c>
      <c r="Z355" s="53"/>
      <c r="AA355" s="2"/>
      <c r="AB355" s="48"/>
      <c r="AD355" s="41"/>
      <c r="AG355" s="33"/>
      <c r="AH355" s="18"/>
      <c r="AI355" s="17"/>
      <c r="AK355" s="144"/>
      <c r="AL355" s="5"/>
      <c r="AN355" s="18"/>
      <c r="AO355" s="144"/>
      <c r="AP355" s="183"/>
    </row>
    <row r="356" spans="1:42" ht="16.5" x14ac:dyDescent="0.35">
      <c r="A356" s="53">
        <v>355</v>
      </c>
      <c r="B356" s="2" t="s">
        <v>535</v>
      </c>
      <c r="C356" s="48" t="s">
        <v>660</v>
      </c>
      <c r="D356" t="s">
        <v>562</v>
      </c>
      <c r="E356" s="41" t="s">
        <v>563</v>
      </c>
      <c r="H356" s="33" t="s">
        <v>554</v>
      </c>
      <c r="I356" s="18" t="s">
        <v>53</v>
      </c>
      <c r="L356" s="144" t="s">
        <v>2</v>
      </c>
      <c r="M356" s="5" t="s">
        <v>522</v>
      </c>
      <c r="O356" s="18">
        <v>4</v>
      </c>
      <c r="P356" s="144">
        <v>4</v>
      </c>
      <c r="Q356" s="183">
        <f t="shared" si="13"/>
        <v>8</v>
      </c>
      <c r="R3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AHOU SUZANNE BUYO SIGUITEMOGOSSON     KOUAMEKRO   0747105336 KOUADIO KOFFI TEYA                 F En couple </v>
      </c>
      <c r="Z356" s="53"/>
      <c r="AA356" s="2"/>
      <c r="AB356" s="48"/>
      <c r="AD356" s="41"/>
      <c r="AG356" s="33"/>
      <c r="AH356" s="18"/>
      <c r="AI356" s="17"/>
      <c r="AK356" s="144"/>
      <c r="AL356" s="5"/>
      <c r="AN356" s="18"/>
      <c r="AO356" s="144"/>
      <c r="AP356" s="183"/>
    </row>
    <row r="357" spans="1:42" ht="16.5" x14ac:dyDescent="0.35">
      <c r="A357" s="53">
        <v>356</v>
      </c>
      <c r="B357" s="2" t="s">
        <v>536</v>
      </c>
      <c r="C357" s="48" t="s">
        <v>660</v>
      </c>
      <c r="D357" t="s">
        <v>562</v>
      </c>
      <c r="E357" s="41" t="s">
        <v>563</v>
      </c>
      <c r="H357" s="33"/>
      <c r="I357" s="18" t="s">
        <v>53</v>
      </c>
      <c r="L357" s="144" t="s">
        <v>2</v>
      </c>
      <c r="M357" s="5" t="s">
        <v>522</v>
      </c>
      <c r="O357" s="18">
        <v>1</v>
      </c>
      <c r="P357" s="144">
        <v>4</v>
      </c>
      <c r="Q357" s="183">
        <f t="shared" si="13"/>
        <v>5</v>
      </c>
      <c r="R3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BADO EWABOUE PAULINE BUYO SIGUITEMOGOSSON     KOUAMEKRO    KOUADIO KOFFI TEYA                 F En couple </v>
      </c>
      <c r="Z357" s="53"/>
      <c r="AA357" s="2"/>
      <c r="AB357" s="48"/>
      <c r="AD357" s="41"/>
      <c r="AG357" s="33"/>
      <c r="AH357" s="18"/>
      <c r="AI357" s="17"/>
      <c r="AK357" s="144"/>
      <c r="AL357" s="5"/>
      <c r="AN357" s="18"/>
      <c r="AO357" s="144"/>
      <c r="AP357" s="183"/>
    </row>
    <row r="358" spans="1:42" ht="16.5" x14ac:dyDescent="0.35">
      <c r="A358" s="53">
        <v>357</v>
      </c>
      <c r="B358" s="2" t="s">
        <v>537</v>
      </c>
      <c r="C358" s="48" t="s">
        <v>660</v>
      </c>
      <c r="D358" t="s">
        <v>562</v>
      </c>
      <c r="E358" s="41" t="s">
        <v>563</v>
      </c>
      <c r="H358" s="33"/>
      <c r="I358" s="18" t="s">
        <v>53</v>
      </c>
      <c r="L358" s="144" t="s">
        <v>2</v>
      </c>
      <c r="M358" s="5" t="s">
        <v>522</v>
      </c>
      <c r="O358" s="18">
        <v>2</v>
      </c>
      <c r="P358" s="144">
        <v>7</v>
      </c>
      <c r="Q358" s="183">
        <f t="shared" si="13"/>
        <v>9</v>
      </c>
      <c r="R3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CLARISSE BUYO SIGUITEMOGOSSON     KOUAMEKRO    KOUADIO KOFFI TEYA                 F En couple </v>
      </c>
      <c r="Z358" s="53"/>
      <c r="AA358" s="2"/>
      <c r="AB358" s="48"/>
      <c r="AD358" s="41"/>
      <c r="AG358" s="33"/>
      <c r="AH358" s="18"/>
      <c r="AI358" s="17"/>
      <c r="AK358" s="144"/>
      <c r="AL358" s="5"/>
      <c r="AN358" s="18"/>
      <c r="AO358" s="144"/>
      <c r="AP358" s="183"/>
    </row>
    <row r="359" spans="1:42" ht="16.5" x14ac:dyDescent="0.35">
      <c r="A359" s="53">
        <v>358</v>
      </c>
      <c r="B359" s="2" t="s">
        <v>538</v>
      </c>
      <c r="C359" s="48" t="s">
        <v>660</v>
      </c>
      <c r="D359" t="s">
        <v>562</v>
      </c>
      <c r="E359" s="41" t="s">
        <v>563</v>
      </c>
      <c r="H359" s="33" t="s">
        <v>555</v>
      </c>
      <c r="I359" s="18" t="s">
        <v>53</v>
      </c>
      <c r="L359" s="144" t="s">
        <v>2</v>
      </c>
      <c r="M359" s="5" t="s">
        <v>522</v>
      </c>
      <c r="O359" s="18">
        <v>6</v>
      </c>
      <c r="P359" s="144">
        <v>5</v>
      </c>
      <c r="Q359" s="183">
        <f t="shared" si="13"/>
        <v>11</v>
      </c>
      <c r="R3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LOU DJENAN BERNADETTE BUYO SIGUITEMOGOSSON     KOUAMEKRO   0748884824 KOUADIO KOFFI TEYA                 F En couple </v>
      </c>
      <c r="Z359" s="53"/>
      <c r="AA359" s="2"/>
      <c r="AB359" s="48"/>
      <c r="AD359" s="41"/>
      <c r="AG359" s="33"/>
      <c r="AH359" s="18"/>
      <c r="AI359" s="17"/>
      <c r="AK359" s="144"/>
      <c r="AL359" s="5"/>
      <c r="AN359" s="18"/>
      <c r="AO359" s="144"/>
      <c r="AP359" s="183"/>
    </row>
    <row r="360" spans="1:42" ht="16.5" x14ac:dyDescent="0.35">
      <c r="A360" s="53">
        <v>359</v>
      </c>
      <c r="B360" s="2" t="s">
        <v>539</v>
      </c>
      <c r="C360" s="48" t="s">
        <v>660</v>
      </c>
      <c r="D360" t="s">
        <v>562</v>
      </c>
      <c r="E360" s="41" t="s">
        <v>563</v>
      </c>
      <c r="H360" s="33"/>
      <c r="I360" s="18" t="s">
        <v>53</v>
      </c>
      <c r="L360" s="144" t="s">
        <v>2</v>
      </c>
      <c r="M360" s="5" t="s">
        <v>522</v>
      </c>
      <c r="O360" s="18">
        <v>4</v>
      </c>
      <c r="P360" s="144">
        <v>2</v>
      </c>
      <c r="Q360" s="183">
        <f t="shared" si="13"/>
        <v>6</v>
      </c>
      <c r="R3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KENZIGA MONIQUE BUYO SIGUITEMOGOSSON     KOUAMEKRO    KOUADIO KOFFI TEYA                 F En couple </v>
      </c>
      <c r="Z360" s="53"/>
      <c r="AA360" s="2"/>
      <c r="AB360" s="48"/>
      <c r="AD360" s="41"/>
      <c r="AG360" s="33"/>
      <c r="AH360" s="18"/>
      <c r="AI360" s="17"/>
      <c r="AK360" s="144"/>
      <c r="AL360" s="5"/>
      <c r="AN360" s="18"/>
      <c r="AO360" s="144"/>
      <c r="AP360" s="183"/>
    </row>
    <row r="361" spans="1:42" ht="16.5" x14ac:dyDescent="0.35">
      <c r="A361" s="53">
        <v>360</v>
      </c>
      <c r="B361" s="2" t="s">
        <v>540</v>
      </c>
      <c r="C361" s="48" t="s">
        <v>660</v>
      </c>
      <c r="D361" t="s">
        <v>562</v>
      </c>
      <c r="E361" s="41" t="s">
        <v>563</v>
      </c>
      <c r="H361" s="33"/>
      <c r="I361" s="18" t="s">
        <v>53</v>
      </c>
      <c r="L361" s="144" t="s">
        <v>2</v>
      </c>
      <c r="M361" s="5" t="s">
        <v>522</v>
      </c>
      <c r="O361" s="18">
        <v>4</v>
      </c>
      <c r="P361" s="144">
        <v>2</v>
      </c>
      <c r="Q361" s="183">
        <f t="shared" si="13"/>
        <v>6</v>
      </c>
      <c r="R3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BOUDOU EMILIENNE BUYO SIGUITEMOGOSSON     KOUAMEKRO    KOUADIO KOFFI TEYA                 F En couple </v>
      </c>
      <c r="Z361" s="53"/>
      <c r="AA361" s="2"/>
      <c r="AB361" s="48"/>
      <c r="AD361" s="41"/>
      <c r="AG361" s="33"/>
      <c r="AH361" s="18"/>
      <c r="AI361" s="17"/>
      <c r="AK361" s="144"/>
      <c r="AL361" s="5"/>
      <c r="AN361" s="18"/>
      <c r="AO361" s="144"/>
      <c r="AP361" s="183"/>
    </row>
    <row r="362" spans="1:42" ht="16.5" x14ac:dyDescent="0.35">
      <c r="A362" s="53">
        <v>361</v>
      </c>
      <c r="B362" s="2" t="s">
        <v>541</v>
      </c>
      <c r="C362" s="48" t="s">
        <v>660</v>
      </c>
      <c r="D362" t="s">
        <v>562</v>
      </c>
      <c r="E362" s="41" t="s">
        <v>563</v>
      </c>
      <c r="H362" s="33" t="s">
        <v>556</v>
      </c>
      <c r="I362" s="18" t="s">
        <v>53</v>
      </c>
      <c r="L362" s="144" t="s">
        <v>2</v>
      </c>
      <c r="M362" s="5" t="s">
        <v>522</v>
      </c>
      <c r="O362" s="18">
        <v>2</v>
      </c>
      <c r="P362" s="144">
        <v>6</v>
      </c>
      <c r="Q362" s="183">
        <f t="shared" si="13"/>
        <v>8</v>
      </c>
      <c r="R3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EYAMAN BUYO SIGUITEMOGOSSON     KOUAMEKRO   0787989169 KOUADIO KOFFI TEYA                 F En couple </v>
      </c>
      <c r="Z362" s="53"/>
      <c r="AA362" s="2"/>
      <c r="AB362" s="48"/>
      <c r="AD362" s="41"/>
      <c r="AG362" s="33"/>
      <c r="AH362" s="18"/>
      <c r="AI362" s="17"/>
      <c r="AK362" s="144"/>
      <c r="AL362" s="5"/>
      <c r="AN362" s="18"/>
      <c r="AO362" s="144"/>
      <c r="AP362" s="183"/>
    </row>
    <row r="363" spans="1:42" ht="16.5" x14ac:dyDescent="0.35">
      <c r="A363" s="53">
        <v>362</v>
      </c>
      <c r="B363" s="2" t="s">
        <v>542</v>
      </c>
      <c r="C363" s="48" t="s">
        <v>660</v>
      </c>
      <c r="D363" t="s">
        <v>562</v>
      </c>
      <c r="E363" s="41" t="s">
        <v>563</v>
      </c>
      <c r="H363" s="33"/>
      <c r="I363" s="18" t="s">
        <v>53</v>
      </c>
      <c r="L363" s="144" t="s">
        <v>2</v>
      </c>
      <c r="M363" s="5" t="s">
        <v>522</v>
      </c>
      <c r="O363" s="18">
        <v>4</v>
      </c>
      <c r="P363" s="144">
        <v>6</v>
      </c>
      <c r="Q363" s="183">
        <f t="shared" si="13"/>
        <v>10</v>
      </c>
      <c r="R3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DELPHINE BUYO SIGUITEMOGOSSON     KOUAMEKRO    KOUADIO KOFFI TEYA                 F En couple </v>
      </c>
      <c r="Z363" s="53"/>
      <c r="AA363" s="2"/>
      <c r="AB363" s="48"/>
      <c r="AD363" s="41"/>
      <c r="AG363" s="33"/>
      <c r="AH363" s="18"/>
      <c r="AI363" s="17"/>
      <c r="AK363" s="144"/>
      <c r="AL363" s="5"/>
      <c r="AN363" s="18"/>
      <c r="AO363" s="144"/>
      <c r="AP363" s="183"/>
    </row>
    <row r="364" spans="1:42" ht="16.5" x14ac:dyDescent="0.35">
      <c r="A364" s="53">
        <v>363</v>
      </c>
      <c r="B364" s="2" t="s">
        <v>543</v>
      </c>
      <c r="C364" s="48" t="s">
        <v>660</v>
      </c>
      <c r="D364" t="s">
        <v>562</v>
      </c>
      <c r="E364" s="41" t="s">
        <v>563</v>
      </c>
      <c r="H364" s="33" t="s">
        <v>557</v>
      </c>
      <c r="I364" s="18" t="s">
        <v>53</v>
      </c>
      <c r="L364" s="144" t="s">
        <v>2</v>
      </c>
      <c r="M364" s="5" t="s">
        <v>522</v>
      </c>
      <c r="O364" s="18">
        <v>2</v>
      </c>
      <c r="P364" s="144">
        <v>5</v>
      </c>
      <c r="Q364" s="183">
        <f t="shared" si="13"/>
        <v>7</v>
      </c>
      <c r="R3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BAKOUAN MAIMOUNAN BUYO SIGUITEMOGOSSON     KOUAMEKRO   0709170960 KOUADIO KOFFI TEYA                 F En couple </v>
      </c>
      <c r="Z364" s="53"/>
      <c r="AA364" s="2"/>
      <c r="AB364" s="48"/>
      <c r="AD364" s="41"/>
      <c r="AG364" s="33"/>
      <c r="AH364" s="18"/>
      <c r="AI364" s="17"/>
      <c r="AK364" s="144"/>
      <c r="AL364" s="5"/>
      <c r="AN364" s="18"/>
      <c r="AO364" s="144"/>
      <c r="AP364" s="183"/>
    </row>
    <row r="365" spans="1:42" ht="16.5" x14ac:dyDescent="0.35">
      <c r="A365" s="53">
        <v>364</v>
      </c>
      <c r="B365" s="2" t="s">
        <v>526</v>
      </c>
      <c r="C365" s="48" t="s">
        <v>660</v>
      </c>
      <c r="D365" t="s">
        <v>562</v>
      </c>
      <c r="E365" s="41" t="s">
        <v>563</v>
      </c>
      <c r="H365" s="33"/>
      <c r="I365" s="18" t="s">
        <v>53</v>
      </c>
      <c r="L365" s="144" t="s">
        <v>2</v>
      </c>
      <c r="M365" s="5" t="s">
        <v>522</v>
      </c>
      <c r="O365" s="18">
        <v>3</v>
      </c>
      <c r="P365" s="144">
        <v>3</v>
      </c>
      <c r="Q365" s="183">
        <f t="shared" si="13"/>
        <v>6</v>
      </c>
      <c r="R3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BAKOUAN ASSETOU BUYO SIGUITEMOGOSSON     KOUAMEKRO    KOUADIO KOFFI TEYA                 F En couple </v>
      </c>
      <c r="Z365" s="53"/>
      <c r="AA365" s="2"/>
      <c r="AB365" s="48"/>
      <c r="AD365" s="41"/>
      <c r="AG365" s="33"/>
      <c r="AH365" s="18"/>
      <c r="AI365" s="17"/>
      <c r="AK365" s="144"/>
      <c r="AL365" s="5"/>
      <c r="AN365" s="18"/>
      <c r="AO365" s="144"/>
      <c r="AP365" s="183"/>
    </row>
    <row r="366" spans="1:42" ht="16.5" x14ac:dyDescent="0.35">
      <c r="A366" s="53">
        <v>365</v>
      </c>
      <c r="B366" s="2" t="s">
        <v>544</v>
      </c>
      <c r="C366" s="48" t="s">
        <v>660</v>
      </c>
      <c r="D366" t="s">
        <v>562</v>
      </c>
      <c r="E366" s="41" t="s">
        <v>563</v>
      </c>
      <c r="H366" s="33"/>
      <c r="I366" s="18" t="s">
        <v>53</v>
      </c>
      <c r="L366" s="144" t="s">
        <v>2</v>
      </c>
      <c r="M366" s="5" t="s">
        <v>522</v>
      </c>
      <c r="O366" s="18">
        <v>2</v>
      </c>
      <c r="P366" s="144">
        <v>2</v>
      </c>
      <c r="Q366" s="183">
        <f t="shared" si="13"/>
        <v>4</v>
      </c>
      <c r="R3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BAKOUAN THERESE BUYO SIGUITEMOGOSSON     KOUAMEKRO    KOUADIO KOFFI TEYA                 F En couple </v>
      </c>
      <c r="Z366" s="53"/>
      <c r="AA366" s="2"/>
      <c r="AB366" s="48"/>
      <c r="AD366" s="41"/>
      <c r="AG366" s="33"/>
      <c r="AH366" s="18"/>
      <c r="AI366" s="17"/>
      <c r="AK366" s="144"/>
      <c r="AL366" s="5"/>
      <c r="AN366" s="18"/>
      <c r="AO366" s="144"/>
      <c r="AP366" s="183"/>
    </row>
    <row r="367" spans="1:42" ht="16.5" x14ac:dyDescent="0.35">
      <c r="A367" s="53">
        <v>366</v>
      </c>
      <c r="B367" s="2" t="s">
        <v>545</v>
      </c>
      <c r="C367" s="48" t="s">
        <v>660</v>
      </c>
      <c r="D367" t="s">
        <v>562</v>
      </c>
      <c r="E367" s="41" t="s">
        <v>563</v>
      </c>
      <c r="H367" s="33" t="s">
        <v>558</v>
      </c>
      <c r="I367" s="18" t="s">
        <v>53</v>
      </c>
      <c r="L367" s="144" t="s">
        <v>2</v>
      </c>
      <c r="M367" s="5" t="s">
        <v>522</v>
      </c>
      <c r="O367" s="18">
        <v>6</v>
      </c>
      <c r="P367" s="144">
        <v>6</v>
      </c>
      <c r="Q367" s="183">
        <f t="shared" si="13"/>
        <v>12</v>
      </c>
      <c r="R3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TOLOU MARIE FRANCOISE BUYO SIGUITEMOGOSSON     KOUAMEKRO   0747664583 KOUADIO KOFFI TEYA                 F En couple </v>
      </c>
      <c r="Z367" s="53"/>
      <c r="AA367" s="2"/>
      <c r="AB367" s="48"/>
      <c r="AD367" s="41"/>
      <c r="AG367" s="33"/>
      <c r="AH367" s="18"/>
      <c r="AI367" s="17"/>
      <c r="AK367" s="144"/>
      <c r="AL367" s="5"/>
      <c r="AN367" s="18"/>
      <c r="AO367" s="144"/>
      <c r="AP367" s="183"/>
    </row>
    <row r="368" spans="1:42" ht="16.5" x14ac:dyDescent="0.35">
      <c r="A368" s="53">
        <v>367</v>
      </c>
      <c r="B368" s="2" t="s">
        <v>546</v>
      </c>
      <c r="C368" s="48" t="s">
        <v>660</v>
      </c>
      <c r="D368" t="s">
        <v>562</v>
      </c>
      <c r="E368" s="41" t="s">
        <v>563</v>
      </c>
      <c r="H368" s="33"/>
      <c r="I368" s="18" t="s">
        <v>53</v>
      </c>
      <c r="L368" s="144" t="s">
        <v>2</v>
      </c>
      <c r="M368" s="5" t="s">
        <v>522</v>
      </c>
      <c r="O368" s="18">
        <v>3</v>
      </c>
      <c r="P368" s="144">
        <v>3</v>
      </c>
      <c r="Q368" s="183">
        <f t="shared" si="13"/>
        <v>6</v>
      </c>
      <c r="R3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PALE CECILE BUYO SIGUITEMOGOSSON     KOUAMEKRO    KOUADIO KOFFI TEYA                 F En couple </v>
      </c>
      <c r="Z368" s="53"/>
      <c r="AA368" s="2"/>
      <c r="AB368" s="48"/>
      <c r="AD368" s="41"/>
      <c r="AG368" s="33"/>
      <c r="AH368" s="18"/>
      <c r="AI368" s="17"/>
      <c r="AK368" s="144"/>
      <c r="AL368" s="5"/>
      <c r="AN368" s="18"/>
      <c r="AO368" s="144"/>
      <c r="AP368" s="183"/>
    </row>
    <row r="369" spans="1:42" ht="16.5" x14ac:dyDescent="0.35">
      <c r="A369" s="53">
        <v>368</v>
      </c>
      <c r="B369" s="2" t="s">
        <v>547</v>
      </c>
      <c r="C369" s="48" t="s">
        <v>660</v>
      </c>
      <c r="D369" t="s">
        <v>562</v>
      </c>
      <c r="E369" s="41" t="s">
        <v>563</v>
      </c>
      <c r="H369" s="33" t="s">
        <v>559</v>
      </c>
      <c r="I369" s="18" t="s">
        <v>53</v>
      </c>
      <c r="L369" s="144" t="s">
        <v>2</v>
      </c>
      <c r="M369" s="5" t="s">
        <v>522</v>
      </c>
      <c r="O369" s="18">
        <v>2</v>
      </c>
      <c r="P369" s="144">
        <v>2</v>
      </c>
      <c r="Q369" s="183">
        <f t="shared" si="13"/>
        <v>4</v>
      </c>
      <c r="R3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BADO BAKA BUYO SIGUITEMOGOSSON     KOUAMEKRO   0707449762 KOUADIO KOFFI TEYA                 F En couple </v>
      </c>
      <c r="Z369" s="53"/>
      <c r="AA369" s="2"/>
      <c r="AB369" s="48"/>
      <c r="AD369" s="41"/>
      <c r="AG369" s="33"/>
      <c r="AH369" s="18"/>
      <c r="AI369" s="17"/>
      <c r="AK369" s="144"/>
      <c r="AL369" s="5"/>
      <c r="AN369" s="18"/>
      <c r="AO369" s="144"/>
      <c r="AP369" s="183"/>
    </row>
    <row r="370" spans="1:42" ht="16.5" x14ac:dyDescent="0.5">
      <c r="A370" s="53">
        <v>369</v>
      </c>
      <c r="B370" s="2" t="s">
        <v>548</v>
      </c>
      <c r="C370" s="48" t="s">
        <v>660</v>
      </c>
      <c r="D370" t="s">
        <v>562</v>
      </c>
      <c r="E370" s="41" t="s">
        <v>563</v>
      </c>
      <c r="H370" s="33" t="s">
        <v>560</v>
      </c>
      <c r="I370" s="18" t="s">
        <v>53</v>
      </c>
      <c r="L370" s="144" t="s">
        <v>9</v>
      </c>
      <c r="M370" s="5" t="s">
        <v>522</v>
      </c>
      <c r="O370" s="184">
        <v>3</v>
      </c>
      <c r="P370" s="184">
        <v>2</v>
      </c>
      <c r="Q370" s="185">
        <f t="shared" si="13"/>
        <v>5</v>
      </c>
      <c r="R3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KOFFI EUGENE BUYO SIGUITEMOGOSSON     KOUAMEKRO   0708557881 KOUADIO KOFFI TEYA                 M En couple </v>
      </c>
      <c r="Z370" s="53"/>
      <c r="AA370" s="2"/>
      <c r="AB370" s="48"/>
      <c r="AD370" s="41"/>
      <c r="AG370" s="33"/>
      <c r="AH370" s="18"/>
      <c r="AI370" s="17"/>
      <c r="AK370" s="144"/>
      <c r="AL370" s="5"/>
      <c r="AN370" s="184"/>
      <c r="AO370" s="184"/>
      <c r="AP370" s="185"/>
    </row>
    <row r="371" spans="1:42" ht="16.5" x14ac:dyDescent="0.35">
      <c r="A371" s="53">
        <v>370</v>
      </c>
      <c r="B371" s="2" t="s">
        <v>549</v>
      </c>
      <c r="C371" s="48" t="s">
        <v>660</v>
      </c>
      <c r="D371" t="s">
        <v>562</v>
      </c>
      <c r="E371" s="41" t="s">
        <v>563</v>
      </c>
      <c r="H371" s="34" t="s">
        <v>561</v>
      </c>
      <c r="I371" s="18" t="s">
        <v>53</v>
      </c>
      <c r="L371" s="144" t="s">
        <v>2</v>
      </c>
      <c r="M371" s="5" t="s">
        <v>522</v>
      </c>
      <c r="O371" s="186">
        <v>1</v>
      </c>
      <c r="P371" s="186">
        <v>1</v>
      </c>
      <c r="Q371" s="187">
        <f t="shared" si="13"/>
        <v>2</v>
      </c>
      <c r="R3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KADIDJA BUYO SIGUITEMOGOSSON     KOUAMEKRO   0708173019 KOUADIO KOFFI TEYA                 F En couple </v>
      </c>
      <c r="Z371" s="53"/>
      <c r="AA371" s="2"/>
      <c r="AB371" s="48"/>
      <c r="AD371" s="41"/>
      <c r="AG371" s="34"/>
      <c r="AH371" s="18"/>
      <c r="AI371" s="17"/>
      <c r="AK371" s="144"/>
      <c r="AL371" s="5"/>
      <c r="AN371" s="186"/>
      <c r="AO371" s="186"/>
      <c r="AP371" s="187"/>
    </row>
    <row r="372" spans="1:42" ht="16.5" x14ac:dyDescent="0.35">
      <c r="A372" s="53">
        <v>371</v>
      </c>
      <c r="B372" s="9" t="s">
        <v>550</v>
      </c>
      <c r="C372" s="48" t="s">
        <v>660</v>
      </c>
      <c r="D372" t="s">
        <v>562</v>
      </c>
      <c r="E372" s="41" t="s">
        <v>563</v>
      </c>
      <c r="H372" s="35"/>
      <c r="I372" s="18" t="s">
        <v>53</v>
      </c>
      <c r="L372" s="145" t="s">
        <v>9</v>
      </c>
      <c r="M372" s="5" t="s">
        <v>522</v>
      </c>
      <c r="O372" s="188">
        <v>4</v>
      </c>
      <c r="P372" s="188">
        <v>5</v>
      </c>
      <c r="Q372" s="189">
        <f t="shared" si="13"/>
        <v>9</v>
      </c>
      <c r="R3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BAKO KOURBE BUYO SIGUITEMOGOSSON     KOUAMEKRO    KOUADIO KOFFI TEYA                 M En couple </v>
      </c>
      <c r="Z372" s="53"/>
      <c r="AA372" s="9"/>
      <c r="AB372" s="48"/>
      <c r="AD372" s="41"/>
      <c r="AG372" s="35"/>
      <c r="AH372" s="18"/>
      <c r="AI372" s="17"/>
      <c r="AK372" s="145"/>
      <c r="AL372" s="5"/>
      <c r="AN372" s="188"/>
      <c r="AO372" s="188"/>
      <c r="AP372" s="189"/>
    </row>
    <row r="373" spans="1:42" ht="17" thickBot="1" x14ac:dyDescent="0.4">
      <c r="A373" s="53">
        <v>372</v>
      </c>
      <c r="B373" s="32" t="s">
        <v>551</v>
      </c>
      <c r="C373" s="48" t="s">
        <v>660</v>
      </c>
      <c r="D373" t="s">
        <v>562</v>
      </c>
      <c r="E373" s="41" t="s">
        <v>563</v>
      </c>
      <c r="H373" s="36"/>
      <c r="I373" s="18" t="s">
        <v>53</v>
      </c>
      <c r="L373" s="146" t="s">
        <v>9</v>
      </c>
      <c r="M373" s="5" t="s">
        <v>522</v>
      </c>
      <c r="O373" s="188">
        <v>2</v>
      </c>
      <c r="P373" s="188">
        <v>5</v>
      </c>
      <c r="Q373" s="189">
        <f t="shared" si="13"/>
        <v>7</v>
      </c>
      <c r="R3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KOUADIO KEVIN BUYO SIGUITEMOGOSSON     KOUAMEKRO    KOUADIO KOFFI TEYA                 M En couple </v>
      </c>
      <c r="Z373" s="53"/>
      <c r="AA373" s="32"/>
      <c r="AB373" s="48"/>
      <c r="AD373" s="41"/>
      <c r="AG373" s="36"/>
      <c r="AH373" s="18"/>
      <c r="AI373" s="17"/>
      <c r="AK373" s="146"/>
      <c r="AL373" s="5"/>
      <c r="AN373" s="188"/>
      <c r="AO373" s="188"/>
      <c r="AP373" s="189"/>
    </row>
    <row r="374" spans="1:42" ht="16.5" x14ac:dyDescent="0.35">
      <c r="A374" s="53">
        <v>373</v>
      </c>
      <c r="B374" s="2" t="s">
        <v>566</v>
      </c>
      <c r="C374" s="48" t="s">
        <v>660</v>
      </c>
      <c r="D374" t="s">
        <v>604</v>
      </c>
      <c r="E374" s="41" t="s">
        <v>563</v>
      </c>
      <c r="H374" s="3"/>
      <c r="I374" s="18" t="s">
        <v>53</v>
      </c>
      <c r="L374" s="15" t="s">
        <v>2</v>
      </c>
      <c r="M374" s="5" t="s">
        <v>522</v>
      </c>
      <c r="O374" s="147">
        <v>4</v>
      </c>
      <c r="P374" s="15">
        <v>3</v>
      </c>
      <c r="Q374" s="148">
        <f t="shared" ref="Q374:Q403" si="15">SUM(M374:P374)</f>
        <v>7</v>
      </c>
      <c r="R3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MILOGO MARIE BUYO SABARIKAN  KOUAMEKRO    KOUADIO KOFFI TEYA                 F En couple </v>
      </c>
      <c r="Z374" s="53"/>
      <c r="AA374" s="2"/>
      <c r="AB374" s="48"/>
      <c r="AD374" s="41"/>
      <c r="AG374" s="3"/>
      <c r="AH374" s="18"/>
      <c r="AI374" s="17"/>
      <c r="AK374" s="15"/>
      <c r="AL374" s="5"/>
      <c r="AN374" s="147"/>
      <c r="AO374" s="15"/>
      <c r="AP374" s="148"/>
    </row>
    <row r="375" spans="1:42" ht="16.5" x14ac:dyDescent="0.35">
      <c r="A375" s="53">
        <v>374</v>
      </c>
      <c r="B375" s="2" t="s">
        <v>567</v>
      </c>
      <c r="C375" s="48" t="s">
        <v>660</v>
      </c>
      <c r="D375" t="s">
        <v>604</v>
      </c>
      <c r="E375" s="41" t="s">
        <v>563</v>
      </c>
      <c r="H375" s="3"/>
      <c r="I375" s="18" t="s">
        <v>53</v>
      </c>
      <c r="L375" s="15" t="s">
        <v>2</v>
      </c>
      <c r="M375" s="5" t="s">
        <v>522</v>
      </c>
      <c r="O375" s="147">
        <v>3</v>
      </c>
      <c r="P375" s="15">
        <v>2</v>
      </c>
      <c r="Q375" s="148">
        <f t="shared" si="15"/>
        <v>5</v>
      </c>
      <c r="R3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AMOIN ROSALIE BUYO SABARIKAN  KOUAMEKRO    KOUADIO KOFFI TEYA                 F En couple </v>
      </c>
      <c r="Z375" s="53"/>
      <c r="AA375" s="2"/>
      <c r="AB375" s="48"/>
      <c r="AD375" s="41"/>
      <c r="AG375" s="3"/>
      <c r="AH375" s="18"/>
      <c r="AI375" s="17"/>
      <c r="AK375" s="15"/>
      <c r="AL375" s="5"/>
      <c r="AN375" s="147"/>
      <c r="AO375" s="15"/>
      <c r="AP375" s="148"/>
    </row>
    <row r="376" spans="1:42" ht="16.5" x14ac:dyDescent="0.35">
      <c r="A376" s="53">
        <v>375</v>
      </c>
      <c r="B376" s="2" t="s">
        <v>568</v>
      </c>
      <c r="C376" s="48" t="s">
        <v>660</v>
      </c>
      <c r="D376" t="s">
        <v>604</v>
      </c>
      <c r="E376" s="41" t="s">
        <v>563</v>
      </c>
      <c r="H376" s="5"/>
      <c r="I376" s="18" t="s">
        <v>53</v>
      </c>
      <c r="L376" s="15" t="s">
        <v>2</v>
      </c>
      <c r="M376" s="5" t="s">
        <v>522</v>
      </c>
      <c r="O376" s="147">
        <v>4</v>
      </c>
      <c r="P376" s="15">
        <v>2</v>
      </c>
      <c r="Q376" s="148">
        <f t="shared" si="15"/>
        <v>6</v>
      </c>
      <c r="R3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MINATA  BUYO SABARIKAN  KOUAMEKRO    KOUADIO KOFFI TEYA                 F En couple </v>
      </c>
      <c r="Z376" s="53"/>
      <c r="AA376" s="2"/>
      <c r="AB376" s="48"/>
      <c r="AD376" s="41"/>
      <c r="AG376" s="5"/>
      <c r="AH376" s="18"/>
      <c r="AI376" s="17"/>
      <c r="AK376" s="15"/>
      <c r="AL376" s="5"/>
      <c r="AN376" s="147"/>
      <c r="AO376" s="15"/>
      <c r="AP376" s="148"/>
    </row>
    <row r="377" spans="1:42" ht="16.5" x14ac:dyDescent="0.35">
      <c r="A377" s="53">
        <v>376</v>
      </c>
      <c r="B377" s="2" t="s">
        <v>569</v>
      </c>
      <c r="C377" s="48" t="s">
        <v>660</v>
      </c>
      <c r="D377" t="s">
        <v>604</v>
      </c>
      <c r="E377" s="41" t="s">
        <v>563</v>
      </c>
      <c r="H377" s="3" t="s">
        <v>596</v>
      </c>
      <c r="I377" s="18" t="s">
        <v>53</v>
      </c>
      <c r="L377" s="15" t="s">
        <v>2</v>
      </c>
      <c r="M377" s="5" t="s">
        <v>522</v>
      </c>
      <c r="O377" s="147">
        <v>7</v>
      </c>
      <c r="P377" s="15">
        <v>0</v>
      </c>
      <c r="Q377" s="148">
        <f t="shared" si="15"/>
        <v>7</v>
      </c>
      <c r="R3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ZOLOU HORTENSE BUYO SABARIKAN  KOUAMEKRO   0747049830 KOUADIO KOFFI TEYA                 F En couple </v>
      </c>
      <c r="Z377" s="53"/>
      <c r="AA377" s="2"/>
      <c r="AB377" s="48"/>
      <c r="AD377" s="41"/>
      <c r="AG377" s="3"/>
      <c r="AH377" s="18"/>
      <c r="AI377" s="17"/>
      <c r="AK377" s="15"/>
      <c r="AL377" s="5"/>
      <c r="AN377" s="147"/>
      <c r="AO377" s="15"/>
      <c r="AP377" s="148"/>
    </row>
    <row r="378" spans="1:42" ht="16.5" x14ac:dyDescent="0.35">
      <c r="A378" s="53">
        <v>377</v>
      </c>
      <c r="B378" s="2" t="s">
        <v>570</v>
      </c>
      <c r="C378" s="48" t="s">
        <v>660</v>
      </c>
      <c r="D378" t="s">
        <v>604</v>
      </c>
      <c r="E378" s="41" t="s">
        <v>563</v>
      </c>
      <c r="H378" s="3"/>
      <c r="I378" s="18" t="s">
        <v>53</v>
      </c>
      <c r="L378" s="15" t="s">
        <v>2</v>
      </c>
      <c r="M378" s="5" t="s">
        <v>522</v>
      </c>
      <c r="O378" s="147">
        <v>3</v>
      </c>
      <c r="P378" s="15">
        <v>6</v>
      </c>
      <c r="Q378" s="148">
        <f t="shared" si="15"/>
        <v>9</v>
      </c>
      <c r="R3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TIENTEGA HABIBATOU BUYO SABARIKAN  KOUAMEKRO    KOUADIO KOFFI TEYA                 F En couple </v>
      </c>
      <c r="Z378" s="53"/>
      <c r="AA378" s="2"/>
      <c r="AB378" s="48"/>
      <c r="AD378" s="41"/>
      <c r="AG378" s="3"/>
      <c r="AH378" s="18"/>
      <c r="AI378" s="17"/>
      <c r="AK378" s="15"/>
      <c r="AL378" s="5"/>
      <c r="AN378" s="147"/>
      <c r="AO378" s="15"/>
      <c r="AP378" s="148"/>
    </row>
    <row r="379" spans="1:42" ht="16.5" x14ac:dyDescent="0.35">
      <c r="A379" s="53">
        <v>378</v>
      </c>
      <c r="B379" s="2" t="s">
        <v>571</v>
      </c>
      <c r="C379" s="48" t="s">
        <v>660</v>
      </c>
      <c r="D379" t="s">
        <v>604</v>
      </c>
      <c r="E379" s="41" t="s">
        <v>563</v>
      </c>
      <c r="H379" s="3"/>
      <c r="I379" s="18" t="s">
        <v>53</v>
      </c>
      <c r="L379" s="15" t="s">
        <v>2</v>
      </c>
      <c r="M379" s="5" t="s">
        <v>522</v>
      </c>
      <c r="O379" s="147">
        <v>3</v>
      </c>
      <c r="P379" s="15">
        <v>4</v>
      </c>
      <c r="Q379" s="148">
        <f t="shared" si="15"/>
        <v>7</v>
      </c>
      <c r="R3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KANYALA JACQUELINE BUYO SABARIKAN  KOUAMEKRO    KOUADIO KOFFI TEYA                 F En couple </v>
      </c>
      <c r="Z379" s="53"/>
      <c r="AA379" s="2"/>
      <c r="AB379" s="48"/>
      <c r="AD379" s="41"/>
      <c r="AG379" s="3"/>
      <c r="AH379" s="18"/>
      <c r="AI379" s="17"/>
      <c r="AK379" s="15"/>
      <c r="AL379" s="5"/>
      <c r="AN379" s="147"/>
      <c r="AO379" s="15"/>
      <c r="AP379" s="148"/>
    </row>
    <row r="380" spans="1:42" ht="16.5" x14ac:dyDescent="0.35">
      <c r="A380" s="53">
        <v>379</v>
      </c>
      <c r="B380" s="2" t="s">
        <v>572</v>
      </c>
      <c r="C380" s="48" t="s">
        <v>660</v>
      </c>
      <c r="D380" t="s">
        <v>604</v>
      </c>
      <c r="E380" s="41" t="s">
        <v>563</v>
      </c>
      <c r="H380" s="3" t="s">
        <v>597</v>
      </c>
      <c r="I380" s="18" t="s">
        <v>53</v>
      </c>
      <c r="L380" s="15" t="s">
        <v>2</v>
      </c>
      <c r="M380" s="5" t="s">
        <v>522</v>
      </c>
      <c r="O380" s="147">
        <v>1</v>
      </c>
      <c r="P380" s="15">
        <v>2</v>
      </c>
      <c r="Q380" s="148">
        <f t="shared" si="15"/>
        <v>3</v>
      </c>
      <c r="R3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KONE MARIAM BUYO SABARIKAN  KOUAMEKRO   0152023177 KOUADIO KOFFI TEYA                 F En couple </v>
      </c>
      <c r="Z380" s="53"/>
      <c r="AA380" s="2"/>
      <c r="AB380" s="48"/>
      <c r="AD380" s="41"/>
      <c r="AG380" s="3"/>
      <c r="AH380" s="18"/>
      <c r="AI380" s="17"/>
      <c r="AK380" s="15"/>
      <c r="AL380" s="5"/>
      <c r="AN380" s="147"/>
      <c r="AO380" s="15"/>
      <c r="AP380" s="148"/>
    </row>
    <row r="381" spans="1:42" ht="16.5" x14ac:dyDescent="0.35">
      <c r="A381" s="53">
        <v>380</v>
      </c>
      <c r="B381" s="2" t="s">
        <v>573</v>
      </c>
      <c r="C381" s="48" t="s">
        <v>660</v>
      </c>
      <c r="D381" t="s">
        <v>604</v>
      </c>
      <c r="E381" s="41" t="s">
        <v>563</v>
      </c>
      <c r="H381" s="3"/>
      <c r="I381" s="18" t="s">
        <v>53</v>
      </c>
      <c r="L381" s="15" t="s">
        <v>2</v>
      </c>
      <c r="M381" s="5" t="s">
        <v>522</v>
      </c>
      <c r="O381" s="147">
        <v>2</v>
      </c>
      <c r="P381" s="15">
        <v>10</v>
      </c>
      <c r="Q381" s="148">
        <f t="shared" si="15"/>
        <v>12</v>
      </c>
      <c r="R3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ELIBIE SOLANGE BUYO SABARIKAN  KOUAMEKRO    KOUADIO KOFFI TEYA                 F En couple </v>
      </c>
      <c r="Z381" s="53"/>
      <c r="AA381" s="2"/>
      <c r="AB381" s="48"/>
      <c r="AD381" s="41"/>
      <c r="AG381" s="3"/>
      <c r="AH381" s="18"/>
      <c r="AI381" s="17"/>
      <c r="AK381" s="15"/>
      <c r="AL381" s="5"/>
      <c r="AN381" s="147"/>
      <c r="AO381" s="15"/>
      <c r="AP381" s="148"/>
    </row>
    <row r="382" spans="1:42" ht="16.5" x14ac:dyDescent="0.35">
      <c r="A382" s="53">
        <v>381</v>
      </c>
      <c r="B382" s="2" t="s">
        <v>574</v>
      </c>
      <c r="C382" s="48" t="s">
        <v>660</v>
      </c>
      <c r="D382" t="s">
        <v>604</v>
      </c>
      <c r="E382" s="41" t="s">
        <v>563</v>
      </c>
      <c r="H382" s="3"/>
      <c r="I382" s="18" t="s">
        <v>53</v>
      </c>
      <c r="L382" s="15" t="s">
        <v>2</v>
      </c>
      <c r="M382" s="5" t="s">
        <v>522</v>
      </c>
      <c r="O382" s="147">
        <v>2</v>
      </c>
      <c r="P382" s="15">
        <v>3</v>
      </c>
      <c r="Q382" s="148">
        <f t="shared" si="15"/>
        <v>5</v>
      </c>
      <c r="R3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MILOGO ROSALIE BUYO SABARIKAN  KOUAMEKRO    KOUADIO KOFFI TEYA                 F En couple </v>
      </c>
      <c r="Z382" s="53"/>
      <c r="AA382" s="2"/>
      <c r="AB382" s="48"/>
      <c r="AD382" s="41"/>
      <c r="AG382" s="3"/>
      <c r="AH382" s="18"/>
      <c r="AI382" s="17"/>
      <c r="AK382" s="15"/>
      <c r="AL382" s="5"/>
      <c r="AN382" s="147"/>
      <c r="AO382" s="15"/>
      <c r="AP382" s="148"/>
    </row>
    <row r="383" spans="1:42" ht="16.5" x14ac:dyDescent="0.35">
      <c r="A383" s="53">
        <v>382</v>
      </c>
      <c r="B383" s="2" t="s">
        <v>575</v>
      </c>
      <c r="C383" s="48" t="s">
        <v>660</v>
      </c>
      <c r="D383" t="s">
        <v>604</v>
      </c>
      <c r="E383" s="41" t="s">
        <v>563</v>
      </c>
      <c r="H383" s="3"/>
      <c r="I383" s="18" t="s">
        <v>53</v>
      </c>
      <c r="L383" s="15" t="s">
        <v>2</v>
      </c>
      <c r="M383" s="5" t="s">
        <v>522</v>
      </c>
      <c r="O383" s="147">
        <v>3</v>
      </c>
      <c r="P383" s="15">
        <v>2</v>
      </c>
      <c r="Q383" s="148">
        <f t="shared" si="15"/>
        <v>5</v>
      </c>
      <c r="R3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YACOUBA ADIZA BUYO SABARIKAN  KOUAMEKRO    KOUADIO KOFFI TEYA                 F En couple </v>
      </c>
      <c r="Z383" s="53"/>
      <c r="AA383" s="2"/>
      <c r="AB383" s="48"/>
      <c r="AD383" s="41"/>
      <c r="AG383" s="3"/>
      <c r="AH383" s="18"/>
      <c r="AI383" s="17"/>
      <c r="AK383" s="15"/>
      <c r="AL383" s="5"/>
      <c r="AN383" s="147"/>
      <c r="AO383" s="15"/>
      <c r="AP383" s="148"/>
    </row>
    <row r="384" spans="1:42" ht="16.5" x14ac:dyDescent="0.35">
      <c r="A384" s="53">
        <v>383</v>
      </c>
      <c r="B384" s="2" t="s">
        <v>576</v>
      </c>
      <c r="C384" s="48" t="s">
        <v>660</v>
      </c>
      <c r="D384" t="s">
        <v>604</v>
      </c>
      <c r="E384" s="41" t="s">
        <v>563</v>
      </c>
      <c r="H384" s="3"/>
      <c r="I384" s="18" t="s">
        <v>53</v>
      </c>
      <c r="L384" s="15" t="s">
        <v>2</v>
      </c>
      <c r="M384" s="5" t="s">
        <v>522</v>
      </c>
      <c r="O384" s="147">
        <v>4</v>
      </c>
      <c r="P384" s="15">
        <v>5</v>
      </c>
      <c r="Q384" s="148">
        <f t="shared" si="15"/>
        <v>9</v>
      </c>
      <c r="R3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KANKO CATHERINE BUYO SABARIKAN  KOUAMEKRO    KOUADIO KOFFI TEYA                 F En couple </v>
      </c>
      <c r="Z384" s="53"/>
      <c r="AA384" s="2"/>
      <c r="AB384" s="48"/>
      <c r="AD384" s="41"/>
      <c r="AG384" s="3"/>
      <c r="AH384" s="18"/>
      <c r="AI384" s="17"/>
      <c r="AK384" s="15"/>
      <c r="AL384" s="5"/>
      <c r="AN384" s="147"/>
      <c r="AO384" s="15"/>
      <c r="AP384" s="148"/>
    </row>
    <row r="385" spans="1:42" ht="16.5" x14ac:dyDescent="0.35">
      <c r="A385" s="53">
        <v>384</v>
      </c>
      <c r="B385" s="2" t="s">
        <v>577</v>
      </c>
      <c r="C385" s="48" t="s">
        <v>660</v>
      </c>
      <c r="D385" t="s">
        <v>604</v>
      </c>
      <c r="E385" s="41" t="s">
        <v>563</v>
      </c>
      <c r="H385" s="3"/>
      <c r="I385" s="18" t="s">
        <v>53</v>
      </c>
      <c r="L385" s="15" t="s">
        <v>2</v>
      </c>
      <c r="M385" s="5" t="s">
        <v>522</v>
      </c>
      <c r="O385" s="147">
        <v>2</v>
      </c>
      <c r="P385" s="15">
        <v>2</v>
      </c>
      <c r="Q385" s="148">
        <f t="shared" si="15"/>
        <v>4</v>
      </c>
      <c r="R3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DJENIMBOU BUYO SABARIKAN  KOUAMEKRO    KOUADIO KOFFI TEYA                 F En couple </v>
      </c>
      <c r="Z385" s="53"/>
      <c r="AA385" s="2"/>
      <c r="AB385" s="48"/>
      <c r="AD385" s="41"/>
      <c r="AG385" s="3"/>
      <c r="AH385" s="18"/>
      <c r="AI385" s="17"/>
      <c r="AK385" s="15"/>
      <c r="AL385" s="5"/>
      <c r="AN385" s="147"/>
      <c r="AO385" s="15"/>
      <c r="AP385" s="148"/>
    </row>
    <row r="386" spans="1:42" ht="16.5" x14ac:dyDescent="0.35">
      <c r="A386" s="53">
        <v>385</v>
      </c>
      <c r="B386" s="2" t="s">
        <v>578</v>
      </c>
      <c r="C386" s="48" t="s">
        <v>660</v>
      </c>
      <c r="D386" t="s">
        <v>604</v>
      </c>
      <c r="E386" s="41" t="s">
        <v>563</v>
      </c>
      <c r="H386" s="3"/>
      <c r="I386" s="18" t="s">
        <v>53</v>
      </c>
      <c r="L386" s="15" t="s">
        <v>2</v>
      </c>
      <c r="M386" s="5" t="s">
        <v>522</v>
      </c>
      <c r="O386" s="147">
        <v>2</v>
      </c>
      <c r="P386" s="15">
        <v>2</v>
      </c>
      <c r="Q386" s="148">
        <f t="shared" si="15"/>
        <v>4</v>
      </c>
      <c r="R3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GANSAORE FADILATOU BUYO SABARIKAN  KOUAMEKRO    KOUADIO KOFFI TEYA                 F En couple </v>
      </c>
      <c r="Z386" s="53"/>
      <c r="AA386" s="2"/>
      <c r="AB386" s="48"/>
      <c r="AD386" s="41"/>
      <c r="AG386" s="3"/>
      <c r="AH386" s="18"/>
      <c r="AI386" s="17"/>
      <c r="AK386" s="15"/>
      <c r="AL386" s="5"/>
      <c r="AN386" s="147"/>
      <c r="AO386" s="15"/>
      <c r="AP386" s="148"/>
    </row>
    <row r="387" spans="1:42" ht="16.5" x14ac:dyDescent="0.35">
      <c r="A387" s="53">
        <v>386</v>
      </c>
      <c r="B387" s="2" t="s">
        <v>579</v>
      </c>
      <c r="C387" s="48" t="s">
        <v>660</v>
      </c>
      <c r="D387" t="s">
        <v>604</v>
      </c>
      <c r="E387" s="41" t="s">
        <v>563</v>
      </c>
      <c r="H387" s="3" t="s">
        <v>598</v>
      </c>
      <c r="I387" s="18" t="s">
        <v>53</v>
      </c>
      <c r="L387" s="15" t="s">
        <v>2</v>
      </c>
      <c r="M387" s="5" t="s">
        <v>522</v>
      </c>
      <c r="O387" s="147">
        <v>2</v>
      </c>
      <c r="P387" s="15">
        <v>1</v>
      </c>
      <c r="Q387" s="148">
        <f t="shared" si="15"/>
        <v>3</v>
      </c>
      <c r="R3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YAMEOGO ODETTE BUYO SABARIKAN  KOUAMEKRO   0768020249 KOUADIO KOFFI TEYA                 F En couple </v>
      </c>
      <c r="Z387" s="53"/>
      <c r="AA387" s="2"/>
      <c r="AB387" s="48"/>
      <c r="AD387" s="41"/>
      <c r="AG387" s="3"/>
      <c r="AH387" s="18"/>
      <c r="AI387" s="17"/>
      <c r="AK387" s="15"/>
      <c r="AL387" s="5"/>
      <c r="AN387" s="147"/>
      <c r="AO387" s="15"/>
      <c r="AP387" s="148"/>
    </row>
    <row r="388" spans="1:42" ht="16.5" x14ac:dyDescent="0.35">
      <c r="A388" s="53">
        <v>387</v>
      </c>
      <c r="B388" s="2" t="s">
        <v>580</v>
      </c>
      <c r="C388" s="48" t="s">
        <v>660</v>
      </c>
      <c r="D388" t="s">
        <v>604</v>
      </c>
      <c r="E388" s="41" t="s">
        <v>563</v>
      </c>
      <c r="H388" s="3"/>
      <c r="I388" s="18" t="s">
        <v>53</v>
      </c>
      <c r="L388" s="15" t="s">
        <v>2</v>
      </c>
      <c r="M388" s="5" t="s">
        <v>522</v>
      </c>
      <c r="O388" s="147">
        <v>6</v>
      </c>
      <c r="P388" s="15">
        <v>4</v>
      </c>
      <c r="Q388" s="148">
        <f t="shared" si="15"/>
        <v>10</v>
      </c>
      <c r="R3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AMANI CATHERINE BUYO SABARIKAN  KOUAMEKRO    KOUADIO KOFFI TEYA                 F En couple </v>
      </c>
      <c r="Z388" s="53"/>
      <c r="AA388" s="2"/>
      <c r="AB388" s="48"/>
      <c r="AD388" s="41"/>
      <c r="AG388" s="3"/>
      <c r="AH388" s="18"/>
      <c r="AI388" s="17"/>
      <c r="AK388" s="15"/>
      <c r="AL388" s="5"/>
      <c r="AN388" s="147"/>
      <c r="AO388" s="15"/>
      <c r="AP388" s="148"/>
    </row>
    <row r="389" spans="1:42" ht="16.5" x14ac:dyDescent="0.35">
      <c r="A389" s="53">
        <v>388</v>
      </c>
      <c r="B389" s="2" t="s">
        <v>581</v>
      </c>
      <c r="C389" s="48" t="s">
        <v>660</v>
      </c>
      <c r="D389" t="s">
        <v>604</v>
      </c>
      <c r="E389" s="41" t="s">
        <v>563</v>
      </c>
      <c r="H389" s="3" t="s">
        <v>599</v>
      </c>
      <c r="I389" s="18" t="s">
        <v>53</v>
      </c>
      <c r="L389" s="15" t="s">
        <v>2</v>
      </c>
      <c r="M389" s="5" t="s">
        <v>522</v>
      </c>
      <c r="O389" s="147">
        <v>4</v>
      </c>
      <c r="P389" s="15">
        <v>0</v>
      </c>
      <c r="Q389" s="148">
        <f t="shared" si="15"/>
        <v>4</v>
      </c>
      <c r="R3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COMPAORE AGNES BUYO SABARIKAN  KOUAMEKRO   0778403663 KOUADIO KOFFI TEYA                 F En couple </v>
      </c>
      <c r="Z389" s="53"/>
      <c r="AA389" s="2"/>
      <c r="AB389" s="48"/>
      <c r="AD389" s="41"/>
      <c r="AG389" s="3"/>
      <c r="AH389" s="18"/>
      <c r="AI389" s="17"/>
      <c r="AK389" s="15"/>
      <c r="AL389" s="5"/>
      <c r="AN389" s="147"/>
      <c r="AO389" s="15"/>
      <c r="AP389" s="148"/>
    </row>
    <row r="390" spans="1:42" ht="16.5" x14ac:dyDescent="0.35">
      <c r="A390" s="53">
        <v>389</v>
      </c>
      <c r="B390" s="2" t="s">
        <v>582</v>
      </c>
      <c r="C390" s="48" t="s">
        <v>660</v>
      </c>
      <c r="D390" t="s">
        <v>604</v>
      </c>
      <c r="E390" s="41" t="s">
        <v>563</v>
      </c>
      <c r="H390" s="3"/>
      <c r="I390" s="18" t="s">
        <v>53</v>
      </c>
      <c r="L390" s="15" t="s">
        <v>2</v>
      </c>
      <c r="M390" s="5" t="s">
        <v>522</v>
      </c>
      <c r="O390" s="147">
        <v>1</v>
      </c>
      <c r="P390" s="15">
        <v>1</v>
      </c>
      <c r="Q390" s="148">
        <f t="shared" si="15"/>
        <v>2</v>
      </c>
      <c r="R3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DIANDA BIBATOU BUYO SABARIKAN  KOUAMEKRO    KOUADIO KOFFI TEYA                 F En couple </v>
      </c>
      <c r="Z390" s="53"/>
      <c r="AA390" s="2"/>
      <c r="AB390" s="48"/>
      <c r="AD390" s="41"/>
      <c r="AG390" s="3"/>
      <c r="AH390" s="18"/>
      <c r="AI390" s="17"/>
      <c r="AK390" s="15"/>
      <c r="AL390" s="5"/>
      <c r="AN390" s="147"/>
      <c r="AO390" s="15"/>
      <c r="AP390" s="148"/>
    </row>
    <row r="391" spans="1:42" ht="16.5" x14ac:dyDescent="0.35">
      <c r="A391" s="53">
        <v>390</v>
      </c>
      <c r="B391" s="2" t="s">
        <v>583</v>
      </c>
      <c r="C391" s="48" t="s">
        <v>660</v>
      </c>
      <c r="D391" t="s">
        <v>604</v>
      </c>
      <c r="E391" s="41" t="s">
        <v>563</v>
      </c>
      <c r="H391" s="3"/>
      <c r="I391" s="18" t="s">
        <v>53</v>
      </c>
      <c r="L391" s="15" t="s">
        <v>2</v>
      </c>
      <c r="M391" s="5" t="s">
        <v>522</v>
      </c>
      <c r="O391" s="147">
        <v>0</v>
      </c>
      <c r="P391" s="15">
        <v>3</v>
      </c>
      <c r="Q391" s="148">
        <f t="shared" si="15"/>
        <v>3</v>
      </c>
      <c r="R3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EDOUA BUYO SABARIKAN  KOUAMEKRO    KOUADIO KOFFI TEYA                 F En couple </v>
      </c>
      <c r="Z391" s="53"/>
      <c r="AA391" s="2"/>
      <c r="AB391" s="48"/>
      <c r="AD391" s="41"/>
      <c r="AG391" s="3"/>
      <c r="AH391" s="18"/>
      <c r="AI391" s="17"/>
      <c r="AK391" s="15"/>
      <c r="AL391" s="5"/>
      <c r="AN391" s="147"/>
      <c r="AO391" s="15"/>
      <c r="AP391" s="148"/>
    </row>
    <row r="392" spans="1:42" ht="16.5" x14ac:dyDescent="0.35">
      <c r="A392" s="53">
        <v>391</v>
      </c>
      <c r="B392" s="2" t="s">
        <v>584</v>
      </c>
      <c r="C392" s="48" t="s">
        <v>660</v>
      </c>
      <c r="D392" t="s">
        <v>604</v>
      </c>
      <c r="E392" s="41" t="s">
        <v>563</v>
      </c>
      <c r="H392" s="3"/>
      <c r="I392" s="18" t="s">
        <v>53</v>
      </c>
      <c r="L392" s="15" t="s">
        <v>2</v>
      </c>
      <c r="M392" s="5" t="s">
        <v>522</v>
      </c>
      <c r="O392" s="147">
        <v>2</v>
      </c>
      <c r="P392" s="15">
        <v>5</v>
      </c>
      <c r="Q392" s="148">
        <f t="shared" si="15"/>
        <v>7</v>
      </c>
      <c r="R3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SON FATIMANTA BUYO SABARIKAN  KOUAMEKRO    KOUADIO KOFFI TEYA                 F En couple </v>
      </c>
      <c r="Z392" s="53"/>
      <c r="AA392" s="2"/>
      <c r="AB392" s="48"/>
      <c r="AD392" s="41"/>
      <c r="AG392" s="3"/>
      <c r="AH392" s="18"/>
      <c r="AI392" s="17"/>
      <c r="AK392" s="15"/>
      <c r="AL392" s="5"/>
      <c r="AN392" s="147"/>
      <c r="AO392" s="15"/>
      <c r="AP392" s="148"/>
    </row>
    <row r="393" spans="1:42" ht="16.5" x14ac:dyDescent="0.35">
      <c r="A393" s="53">
        <v>392</v>
      </c>
      <c r="B393" s="2" t="s">
        <v>585</v>
      </c>
      <c r="C393" s="48" t="s">
        <v>660</v>
      </c>
      <c r="D393" t="s">
        <v>604</v>
      </c>
      <c r="E393" s="41" t="s">
        <v>563</v>
      </c>
      <c r="H393" s="3"/>
      <c r="I393" s="18" t="s">
        <v>53</v>
      </c>
      <c r="L393" s="15" t="s">
        <v>2</v>
      </c>
      <c r="M393" s="5" t="s">
        <v>522</v>
      </c>
      <c r="O393" s="147">
        <v>3</v>
      </c>
      <c r="P393" s="15">
        <v>3</v>
      </c>
      <c r="Q393" s="148">
        <f t="shared" si="15"/>
        <v>6</v>
      </c>
      <c r="R3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KANKOUAN AWA BUYO SABARIKAN  KOUAMEKRO    KOUADIO KOFFI TEYA                 F En couple </v>
      </c>
      <c r="Z393" s="53"/>
      <c r="AA393" s="2"/>
      <c r="AB393" s="48"/>
      <c r="AD393" s="41"/>
      <c r="AG393" s="3"/>
      <c r="AH393" s="18"/>
      <c r="AI393" s="17"/>
      <c r="AK393" s="15"/>
      <c r="AL393" s="5"/>
      <c r="AN393" s="147"/>
      <c r="AO393" s="15"/>
      <c r="AP393" s="148"/>
    </row>
    <row r="394" spans="1:42" ht="16.5" x14ac:dyDescent="0.35">
      <c r="A394" s="53">
        <v>393</v>
      </c>
      <c r="B394" s="2" t="s">
        <v>586</v>
      </c>
      <c r="C394" s="48" t="s">
        <v>660</v>
      </c>
      <c r="D394" t="s">
        <v>604</v>
      </c>
      <c r="E394" s="41" t="s">
        <v>563</v>
      </c>
      <c r="H394" s="3"/>
      <c r="I394" s="18" t="s">
        <v>53</v>
      </c>
      <c r="L394" s="15" t="s">
        <v>2</v>
      </c>
      <c r="M394" s="5" t="s">
        <v>522</v>
      </c>
      <c r="O394" s="147">
        <v>2</v>
      </c>
      <c r="P394" s="15">
        <v>4</v>
      </c>
      <c r="Q394" s="148">
        <f t="shared" si="15"/>
        <v>6</v>
      </c>
      <c r="R3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 ADISSA BUYO SABARIKAN  KOUAMEKRO    KOUADIO KOFFI TEYA                 F En couple </v>
      </c>
      <c r="Z394" s="53"/>
      <c r="AA394" s="2"/>
      <c r="AB394" s="48"/>
      <c r="AD394" s="41"/>
      <c r="AG394" s="3"/>
      <c r="AH394" s="18"/>
      <c r="AI394" s="17"/>
      <c r="AK394" s="15"/>
      <c r="AL394" s="5"/>
      <c r="AN394" s="147"/>
      <c r="AO394" s="15"/>
      <c r="AP394" s="148"/>
    </row>
    <row r="395" spans="1:42" ht="16.5" x14ac:dyDescent="0.35">
      <c r="A395" s="53">
        <v>394</v>
      </c>
      <c r="B395" s="2" t="s">
        <v>587</v>
      </c>
      <c r="C395" s="48" t="s">
        <v>660</v>
      </c>
      <c r="D395" t="s">
        <v>604</v>
      </c>
      <c r="E395" s="41" t="s">
        <v>563</v>
      </c>
      <c r="H395" s="3" t="s">
        <v>600</v>
      </c>
      <c r="I395" s="18" t="s">
        <v>53</v>
      </c>
      <c r="L395" s="15" t="s">
        <v>2</v>
      </c>
      <c r="M395" s="5" t="s">
        <v>522</v>
      </c>
      <c r="O395" s="147">
        <v>1</v>
      </c>
      <c r="P395" s="15">
        <v>1</v>
      </c>
      <c r="Q395" s="148">
        <f t="shared" si="15"/>
        <v>2</v>
      </c>
      <c r="R3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KAKO CHANTAL BUYO SABARIKAN  KOUAMEKRO   0707535688 KOUADIO KOFFI TEYA                 F En couple </v>
      </c>
      <c r="Z395" s="53"/>
      <c r="AA395" s="2"/>
      <c r="AB395" s="48"/>
      <c r="AD395" s="41"/>
      <c r="AG395" s="3"/>
      <c r="AH395" s="18"/>
      <c r="AI395" s="17"/>
      <c r="AK395" s="15"/>
      <c r="AL395" s="5"/>
      <c r="AN395" s="147"/>
      <c r="AO395" s="15"/>
      <c r="AP395" s="148"/>
    </row>
    <row r="396" spans="1:42" ht="16.5" x14ac:dyDescent="0.35">
      <c r="A396" s="53">
        <v>395</v>
      </c>
      <c r="B396" s="2" t="s">
        <v>588</v>
      </c>
      <c r="C396" s="48" t="s">
        <v>660</v>
      </c>
      <c r="D396" t="s">
        <v>604</v>
      </c>
      <c r="E396" s="41" t="s">
        <v>563</v>
      </c>
      <c r="H396" s="3" t="s">
        <v>601</v>
      </c>
      <c r="I396" s="18" t="s">
        <v>53</v>
      </c>
      <c r="L396" s="15" t="s">
        <v>2</v>
      </c>
      <c r="M396" s="5" t="s">
        <v>522</v>
      </c>
      <c r="O396" s="147">
        <v>5</v>
      </c>
      <c r="P396" s="15">
        <v>2</v>
      </c>
      <c r="Q396" s="148">
        <f t="shared" si="15"/>
        <v>7</v>
      </c>
      <c r="R3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KANTIONO MARIAM BUYO SABARIKAN  KOUAMEKRO   0747051152 KOUADIO KOFFI TEYA                 F En couple </v>
      </c>
      <c r="Z396" s="53"/>
      <c r="AA396" s="2"/>
      <c r="AB396" s="48"/>
      <c r="AD396" s="41"/>
      <c r="AG396" s="3"/>
      <c r="AH396" s="18"/>
      <c r="AI396" s="17"/>
      <c r="AK396" s="15"/>
      <c r="AL396" s="5"/>
      <c r="AN396" s="147"/>
      <c r="AO396" s="15"/>
      <c r="AP396" s="148"/>
    </row>
    <row r="397" spans="1:42" ht="16.5" x14ac:dyDescent="0.35">
      <c r="A397" s="53">
        <v>396</v>
      </c>
      <c r="B397" s="2" t="s">
        <v>589</v>
      </c>
      <c r="C397" s="48" t="s">
        <v>660</v>
      </c>
      <c r="D397" t="s">
        <v>604</v>
      </c>
      <c r="E397" s="41" t="s">
        <v>563</v>
      </c>
      <c r="H397" s="3"/>
      <c r="I397" s="18" t="s">
        <v>53</v>
      </c>
      <c r="L397" s="15" t="s">
        <v>2</v>
      </c>
      <c r="M397" s="5" t="s">
        <v>522</v>
      </c>
      <c r="O397" s="147">
        <v>5</v>
      </c>
      <c r="P397" s="15">
        <v>1</v>
      </c>
      <c r="Q397" s="148">
        <f t="shared" si="15"/>
        <v>6</v>
      </c>
      <c r="R3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ZONGO ROSALIE BUYO SABARIKAN  KOUAMEKRO    KOUADIO KOFFI TEYA                 F En couple </v>
      </c>
      <c r="Z397" s="53"/>
      <c r="AA397" s="2"/>
      <c r="AB397" s="48"/>
      <c r="AD397" s="41"/>
      <c r="AG397" s="3"/>
      <c r="AH397" s="18"/>
      <c r="AI397" s="17"/>
      <c r="AK397" s="15"/>
      <c r="AL397" s="5"/>
      <c r="AN397" s="147"/>
      <c r="AO397" s="15"/>
      <c r="AP397" s="148"/>
    </row>
    <row r="398" spans="1:42" ht="16.5" x14ac:dyDescent="0.35">
      <c r="A398" s="53">
        <v>397</v>
      </c>
      <c r="B398" s="2" t="s">
        <v>590</v>
      </c>
      <c r="C398" s="48" t="s">
        <v>660</v>
      </c>
      <c r="D398" t="s">
        <v>604</v>
      </c>
      <c r="E398" s="41" t="s">
        <v>563</v>
      </c>
      <c r="H398" s="3"/>
      <c r="I398" s="18" t="s">
        <v>53</v>
      </c>
      <c r="L398" s="15" t="s">
        <v>2</v>
      </c>
      <c r="M398" s="5" t="s">
        <v>522</v>
      </c>
      <c r="O398" s="147">
        <v>1</v>
      </c>
      <c r="P398" s="15">
        <v>2</v>
      </c>
      <c r="Q398" s="148">
        <f t="shared" si="15"/>
        <v>3</v>
      </c>
      <c r="R3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BAZONGO NATALIE BUYO SABARIKAN  KOUAMEKRO    KOUADIO KOFFI TEYA                 F En couple </v>
      </c>
      <c r="Z398" s="53"/>
      <c r="AA398" s="2"/>
      <c r="AB398" s="48"/>
      <c r="AD398" s="41"/>
      <c r="AG398" s="3"/>
      <c r="AH398" s="18"/>
      <c r="AI398" s="17"/>
      <c r="AK398" s="15"/>
      <c r="AL398" s="5"/>
      <c r="AN398" s="147"/>
      <c r="AO398" s="15"/>
      <c r="AP398" s="148"/>
    </row>
    <row r="399" spans="1:42" ht="16.5" x14ac:dyDescent="0.35">
      <c r="A399" s="53">
        <v>398</v>
      </c>
      <c r="B399" s="2" t="s">
        <v>591</v>
      </c>
      <c r="C399" s="48" t="s">
        <v>660</v>
      </c>
      <c r="D399" t="s">
        <v>604</v>
      </c>
      <c r="E399" s="41" t="s">
        <v>563</v>
      </c>
      <c r="H399" s="3"/>
      <c r="I399" s="18" t="s">
        <v>53</v>
      </c>
      <c r="L399" s="15" t="s">
        <v>2</v>
      </c>
      <c r="M399" s="5" t="s">
        <v>522</v>
      </c>
      <c r="O399" s="147">
        <v>6</v>
      </c>
      <c r="P399" s="15">
        <v>4</v>
      </c>
      <c r="Q399" s="148">
        <f t="shared" si="15"/>
        <v>10</v>
      </c>
      <c r="R3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BADOLO MARIE LOUISE BUYO SABARIKAN  KOUAMEKRO    KOUADIO KOFFI TEYA                 F En couple </v>
      </c>
      <c r="Z399" s="53"/>
      <c r="AA399" s="2"/>
      <c r="AB399" s="48"/>
      <c r="AD399" s="41"/>
      <c r="AG399" s="3"/>
      <c r="AH399" s="18"/>
      <c r="AI399" s="17"/>
      <c r="AK399" s="15"/>
      <c r="AL399" s="5"/>
      <c r="AN399" s="147"/>
      <c r="AO399" s="15"/>
      <c r="AP399" s="148"/>
    </row>
    <row r="400" spans="1:42" ht="16.5" x14ac:dyDescent="0.5">
      <c r="A400" s="53">
        <v>399</v>
      </c>
      <c r="B400" s="2" t="s">
        <v>592</v>
      </c>
      <c r="C400" s="48" t="s">
        <v>660</v>
      </c>
      <c r="D400" t="s">
        <v>604</v>
      </c>
      <c r="E400" s="41" t="s">
        <v>563</v>
      </c>
      <c r="H400" s="3"/>
      <c r="I400" s="18" t="s">
        <v>53</v>
      </c>
      <c r="L400" s="15" t="s">
        <v>2</v>
      </c>
      <c r="M400" s="5" t="s">
        <v>522</v>
      </c>
      <c r="O400" s="149">
        <v>3</v>
      </c>
      <c r="P400" s="149">
        <v>3</v>
      </c>
      <c r="Q400" s="150">
        <f t="shared" si="15"/>
        <v>6</v>
      </c>
      <c r="R4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KANKOUAN DJENAB BUYO SABARIKAN  KOUAMEKRO    KOUADIO KOFFI TEYA                 F En couple </v>
      </c>
      <c r="Z400" s="53"/>
      <c r="AA400" s="2"/>
      <c r="AB400" s="48"/>
      <c r="AD400" s="41"/>
      <c r="AG400" s="3"/>
      <c r="AH400" s="18"/>
      <c r="AI400" s="17"/>
      <c r="AK400" s="15"/>
      <c r="AL400" s="5"/>
      <c r="AN400" s="149"/>
      <c r="AO400" s="149"/>
      <c r="AP400" s="150"/>
    </row>
    <row r="401" spans="1:42" ht="16.5" x14ac:dyDescent="0.35">
      <c r="A401" s="53">
        <v>400</v>
      </c>
      <c r="B401" s="2" t="s">
        <v>593</v>
      </c>
      <c r="C401" s="48" t="s">
        <v>660</v>
      </c>
      <c r="D401" t="s">
        <v>604</v>
      </c>
      <c r="E401" s="41" t="s">
        <v>563</v>
      </c>
      <c r="H401" s="7"/>
      <c r="I401" s="18" t="s">
        <v>53</v>
      </c>
      <c r="L401" s="15" t="s">
        <v>2</v>
      </c>
      <c r="M401" s="5" t="s">
        <v>522</v>
      </c>
      <c r="O401" s="151">
        <v>3</v>
      </c>
      <c r="P401" s="151">
        <v>7</v>
      </c>
      <c r="Q401" s="152">
        <f t="shared" si="15"/>
        <v>10</v>
      </c>
      <c r="R4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KANDOLO BEATRICE BUYO SABARIKAN  KOUAMEKRO    KOUADIO KOFFI TEYA                 F En couple </v>
      </c>
      <c r="Z401" s="53"/>
      <c r="AA401" s="2"/>
      <c r="AB401" s="48"/>
      <c r="AD401" s="41"/>
      <c r="AG401" s="7"/>
      <c r="AH401" s="18"/>
      <c r="AI401" s="17"/>
      <c r="AK401" s="15"/>
      <c r="AL401" s="5"/>
      <c r="AN401" s="151"/>
      <c r="AO401" s="151"/>
      <c r="AP401" s="152"/>
    </row>
    <row r="402" spans="1:42" ht="16.5" x14ac:dyDescent="0.35">
      <c r="A402" s="53">
        <v>401</v>
      </c>
      <c r="B402" s="9" t="s">
        <v>594</v>
      </c>
      <c r="C402" s="48" t="s">
        <v>660</v>
      </c>
      <c r="D402" t="s">
        <v>604</v>
      </c>
      <c r="E402" s="41" t="s">
        <v>563</v>
      </c>
      <c r="H402" s="10" t="s">
        <v>602</v>
      </c>
      <c r="I402" s="18" t="s">
        <v>53</v>
      </c>
      <c r="L402" s="16" t="s">
        <v>2</v>
      </c>
      <c r="M402" s="5" t="s">
        <v>522</v>
      </c>
      <c r="O402" s="143">
        <v>3</v>
      </c>
      <c r="P402" s="143">
        <v>3</v>
      </c>
      <c r="Q402" s="153">
        <f t="shared" si="15"/>
        <v>6</v>
      </c>
      <c r="R4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KANKOUE MARIE JEANNE BUYO SABARIKAN  KOUAMEKRO   0778508735 KOUADIO KOFFI TEYA                 F En couple </v>
      </c>
      <c r="Z402" s="53"/>
      <c r="AA402" s="9"/>
      <c r="AB402" s="48"/>
      <c r="AD402" s="41"/>
      <c r="AG402" s="10"/>
      <c r="AH402" s="18"/>
      <c r="AI402" s="17"/>
      <c r="AK402" s="16"/>
      <c r="AL402" s="5"/>
      <c r="AN402" s="143"/>
      <c r="AO402" s="143"/>
      <c r="AP402" s="153"/>
    </row>
    <row r="403" spans="1:42" ht="16.5" x14ac:dyDescent="0.35">
      <c r="A403" s="53">
        <v>402</v>
      </c>
      <c r="B403" s="9" t="s">
        <v>595</v>
      </c>
      <c r="C403" s="48" t="s">
        <v>660</v>
      </c>
      <c r="D403" t="s">
        <v>604</v>
      </c>
      <c r="E403" s="41" t="s">
        <v>563</v>
      </c>
      <c r="H403" s="10" t="s">
        <v>603</v>
      </c>
      <c r="I403" s="18" t="s">
        <v>53</v>
      </c>
      <c r="L403" s="143" t="s">
        <v>2</v>
      </c>
      <c r="M403" s="5" t="s">
        <v>522</v>
      </c>
      <c r="O403" s="143">
        <v>1</v>
      </c>
      <c r="P403" s="143">
        <v>1</v>
      </c>
      <c r="Q403" s="153">
        <f t="shared" si="15"/>
        <v>2</v>
      </c>
      <c r="R4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KANKOUAN ASSITA BUYO SABARIKAN  KOUAMEKRO   0769208347 KOUADIO KOFFI TEYA                 F En couple </v>
      </c>
      <c r="Z403" s="53"/>
      <c r="AA403" s="9"/>
      <c r="AB403" s="48"/>
      <c r="AD403" s="41"/>
      <c r="AG403" s="10"/>
      <c r="AH403" s="18"/>
      <c r="AI403" s="17"/>
      <c r="AK403" s="143"/>
      <c r="AL403" s="5"/>
      <c r="AN403" s="143"/>
      <c r="AO403" s="143"/>
      <c r="AP403" s="153"/>
    </row>
    <row r="404" spans="1:42" ht="16.5" x14ac:dyDescent="0.35">
      <c r="A404" s="53">
        <v>403</v>
      </c>
      <c r="B404" s="2" t="s">
        <v>605</v>
      </c>
      <c r="C404" s="48" t="s">
        <v>660</v>
      </c>
      <c r="D404" t="s">
        <v>222</v>
      </c>
      <c r="E404" s="41" t="s">
        <v>563</v>
      </c>
      <c r="H404" s="3" t="s">
        <v>633</v>
      </c>
      <c r="I404" s="18" t="s">
        <v>53</v>
      </c>
      <c r="J404" s="23" t="s">
        <v>633</v>
      </c>
      <c r="L404" s="15" t="s">
        <v>2</v>
      </c>
      <c r="M404" s="5" t="s">
        <v>522</v>
      </c>
      <c r="O404" s="147">
        <v>2</v>
      </c>
      <c r="P404" s="15">
        <v>3</v>
      </c>
      <c r="Q404" s="148">
        <f>SUM(M404:P404)</f>
        <v>5</v>
      </c>
      <c r="R4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DJATA BUYO BENKADI  KOUAMEKRO   0759059319 KOUADIO KOFFI TEYA               0759059319  F En couple </v>
      </c>
      <c r="Z404" s="53"/>
      <c r="AA404" s="2"/>
      <c r="AB404" s="48"/>
      <c r="AD404" s="41"/>
      <c r="AG404" s="3"/>
      <c r="AH404" s="18"/>
      <c r="AI404" s="23"/>
      <c r="AK404" s="15"/>
      <c r="AL404" s="5"/>
      <c r="AN404" s="147"/>
      <c r="AO404" s="15"/>
      <c r="AP404" s="148"/>
    </row>
    <row r="405" spans="1:42" ht="16.5" x14ac:dyDescent="0.35">
      <c r="A405" s="53">
        <v>404</v>
      </c>
      <c r="B405" s="2" t="s">
        <v>606</v>
      </c>
      <c r="C405" s="48" t="s">
        <v>660</v>
      </c>
      <c r="D405" t="s">
        <v>222</v>
      </c>
      <c r="E405" s="41" t="s">
        <v>563</v>
      </c>
      <c r="H405" s="3" t="s">
        <v>634</v>
      </c>
      <c r="I405" s="18" t="s">
        <v>53</v>
      </c>
      <c r="J405" s="23" t="s">
        <v>634</v>
      </c>
      <c r="L405" s="15" t="s">
        <v>2</v>
      </c>
      <c r="M405" s="5" t="s">
        <v>522</v>
      </c>
      <c r="O405" s="147">
        <v>3</v>
      </c>
      <c r="P405" s="15">
        <v>3</v>
      </c>
      <c r="Q405" s="148">
        <f t="shared" ref="Q405:Q432" si="16">SUM(M405:P405)</f>
        <v>6</v>
      </c>
      <c r="R4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AWA 1 BUYO BENKADI  KOUAMEKRO   0759059320 KOUADIO KOFFI TEYA               0759059320  F En couple </v>
      </c>
      <c r="Z405" s="53"/>
      <c r="AA405" s="2"/>
      <c r="AB405" s="48"/>
      <c r="AD405" s="41"/>
      <c r="AG405" s="3"/>
      <c r="AH405" s="18"/>
      <c r="AI405" s="23"/>
      <c r="AK405" s="15"/>
      <c r="AL405" s="5"/>
      <c r="AN405" s="147"/>
      <c r="AO405" s="15"/>
      <c r="AP405" s="148"/>
    </row>
    <row r="406" spans="1:42" ht="16.5" x14ac:dyDescent="0.35">
      <c r="A406" s="53">
        <v>405</v>
      </c>
      <c r="B406" s="2" t="s">
        <v>607</v>
      </c>
      <c r="C406" s="48" t="s">
        <v>660</v>
      </c>
      <c r="D406" t="s">
        <v>222</v>
      </c>
      <c r="E406" s="41" t="s">
        <v>563</v>
      </c>
      <c r="H406" s="5"/>
      <c r="I406" s="18" t="s">
        <v>53</v>
      </c>
      <c r="J406" s="147"/>
      <c r="L406" s="15" t="s">
        <v>2</v>
      </c>
      <c r="M406" s="5" t="s">
        <v>522</v>
      </c>
      <c r="O406" s="147">
        <v>5</v>
      </c>
      <c r="P406" s="15">
        <v>4</v>
      </c>
      <c r="Q406" s="148">
        <f t="shared" si="16"/>
        <v>9</v>
      </c>
      <c r="R4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AMOIN BEATRICE BUYO BENKADI  KOUAMEKRO    KOUADIO KOFFI TEYA                 F En couple </v>
      </c>
      <c r="Z406" s="53"/>
      <c r="AA406" s="2"/>
      <c r="AB406" s="48"/>
      <c r="AD406" s="41"/>
      <c r="AG406" s="5"/>
      <c r="AH406" s="18"/>
      <c r="AI406" s="147"/>
      <c r="AK406" s="15"/>
      <c r="AL406" s="5"/>
      <c r="AN406" s="147"/>
      <c r="AO406" s="15"/>
      <c r="AP406" s="148"/>
    </row>
    <row r="407" spans="1:42" ht="16.5" x14ac:dyDescent="0.35">
      <c r="A407" s="53">
        <v>406</v>
      </c>
      <c r="B407" s="2" t="s">
        <v>608</v>
      </c>
      <c r="C407" s="48" t="s">
        <v>660</v>
      </c>
      <c r="D407" t="s">
        <v>222</v>
      </c>
      <c r="E407" s="41" t="s">
        <v>563</v>
      </c>
      <c r="H407" s="3" t="s">
        <v>635</v>
      </c>
      <c r="I407" s="18" t="s">
        <v>53</v>
      </c>
      <c r="J407" s="23" t="s">
        <v>635</v>
      </c>
      <c r="L407" s="15" t="s">
        <v>2</v>
      </c>
      <c r="M407" s="5" t="s">
        <v>522</v>
      </c>
      <c r="O407" s="147">
        <v>5</v>
      </c>
      <c r="P407" s="15">
        <v>2</v>
      </c>
      <c r="Q407" s="148">
        <f t="shared" si="16"/>
        <v>7</v>
      </c>
      <c r="R4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MACROI BUYO BENKADI  KOUAMEKRO   0749230357 KOUADIO KOFFI TEYA               0749230357  F En couple </v>
      </c>
      <c r="Z407" s="53"/>
      <c r="AA407" s="2"/>
      <c r="AB407" s="48"/>
      <c r="AD407" s="41"/>
      <c r="AG407" s="3"/>
      <c r="AH407" s="18"/>
      <c r="AI407" s="23"/>
      <c r="AK407" s="15"/>
      <c r="AL407" s="5"/>
      <c r="AN407" s="147"/>
      <c r="AO407" s="15"/>
      <c r="AP407" s="148"/>
    </row>
    <row r="408" spans="1:42" ht="16.5" x14ac:dyDescent="0.35">
      <c r="A408" s="53">
        <v>407</v>
      </c>
      <c r="B408" s="2" t="s">
        <v>609</v>
      </c>
      <c r="C408" s="48" t="s">
        <v>660</v>
      </c>
      <c r="D408" t="s">
        <v>222</v>
      </c>
      <c r="E408" s="41" t="s">
        <v>563</v>
      </c>
      <c r="H408" s="3" t="s">
        <v>636</v>
      </c>
      <c r="I408" s="18" t="s">
        <v>53</v>
      </c>
      <c r="J408" s="23" t="s">
        <v>636</v>
      </c>
      <c r="L408" s="15" t="s">
        <v>2</v>
      </c>
      <c r="M408" s="5" t="s">
        <v>522</v>
      </c>
      <c r="O408" s="147">
        <v>4</v>
      </c>
      <c r="P408" s="15">
        <v>3</v>
      </c>
      <c r="Q408" s="148">
        <f t="shared" si="16"/>
        <v>7</v>
      </c>
      <c r="R4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GUE AMOIN SYNTHIA BUYO BENKADI  KOUAMEKRO   0768717037 KOUADIO KOFFI TEYA               0768717037  F En couple </v>
      </c>
      <c r="Z408" s="53"/>
      <c r="AA408" s="2"/>
      <c r="AB408" s="48"/>
      <c r="AD408" s="41"/>
      <c r="AG408" s="3"/>
      <c r="AH408" s="18"/>
      <c r="AI408" s="23"/>
      <c r="AK408" s="15"/>
      <c r="AL408" s="5"/>
      <c r="AN408" s="147"/>
      <c r="AO408" s="15"/>
      <c r="AP408" s="148"/>
    </row>
    <row r="409" spans="1:42" ht="16.5" x14ac:dyDescent="0.35">
      <c r="A409" s="53">
        <v>408</v>
      </c>
      <c r="B409" s="2" t="s">
        <v>610</v>
      </c>
      <c r="C409" s="48" t="s">
        <v>660</v>
      </c>
      <c r="D409" t="s">
        <v>222</v>
      </c>
      <c r="E409" s="41" t="s">
        <v>563</v>
      </c>
      <c r="H409" s="3" t="s">
        <v>637</v>
      </c>
      <c r="I409" s="18" t="s">
        <v>53</v>
      </c>
      <c r="J409" s="23" t="s">
        <v>637</v>
      </c>
      <c r="L409" s="15" t="s">
        <v>2</v>
      </c>
      <c r="M409" s="5" t="s">
        <v>522</v>
      </c>
      <c r="O409" s="147">
        <v>2</v>
      </c>
      <c r="P409" s="15">
        <v>3</v>
      </c>
      <c r="Q409" s="148">
        <f t="shared" si="16"/>
        <v>5</v>
      </c>
      <c r="R4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SALIMATA BUYO BENKADI  KOUAMEKRO   0748281767 KOUADIO KOFFI TEYA               0748281767  F En couple </v>
      </c>
      <c r="Z409" s="53"/>
      <c r="AA409" s="2"/>
      <c r="AB409" s="48"/>
      <c r="AD409" s="41"/>
      <c r="AG409" s="3"/>
      <c r="AH409" s="18"/>
      <c r="AI409" s="23"/>
      <c r="AK409" s="15"/>
      <c r="AL409" s="5"/>
      <c r="AN409" s="147"/>
      <c r="AO409" s="15"/>
      <c r="AP409" s="148"/>
    </row>
    <row r="410" spans="1:42" ht="16.5" x14ac:dyDescent="0.35">
      <c r="A410" s="53">
        <v>409</v>
      </c>
      <c r="B410" s="2" t="s">
        <v>75</v>
      </c>
      <c r="C410" s="48" t="s">
        <v>660</v>
      </c>
      <c r="D410" t="s">
        <v>222</v>
      </c>
      <c r="E410" s="41" t="s">
        <v>563</v>
      </c>
      <c r="H410" s="3" t="s">
        <v>638</v>
      </c>
      <c r="I410" s="18" t="s">
        <v>53</v>
      </c>
      <c r="J410" s="23" t="s">
        <v>638</v>
      </c>
      <c r="L410" s="15" t="s">
        <v>2</v>
      </c>
      <c r="M410" s="5" t="s">
        <v>522</v>
      </c>
      <c r="O410" s="147">
        <v>2</v>
      </c>
      <c r="P410" s="15">
        <v>2</v>
      </c>
      <c r="Q410" s="148">
        <f t="shared" si="16"/>
        <v>4</v>
      </c>
      <c r="R4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MARIAM BUYO BENKADI  KOUAMEKRO   0748861943 KOUADIO KOFFI TEYA               0748861943  F En couple </v>
      </c>
      <c r="Z410" s="53"/>
      <c r="AA410" s="2"/>
      <c r="AB410" s="48"/>
      <c r="AD410" s="41"/>
      <c r="AG410" s="3"/>
      <c r="AH410" s="18"/>
      <c r="AI410" s="23"/>
      <c r="AK410" s="15"/>
      <c r="AL410" s="5"/>
      <c r="AN410" s="147"/>
      <c r="AO410" s="15"/>
      <c r="AP410" s="148"/>
    </row>
    <row r="411" spans="1:42" ht="16.5" x14ac:dyDescent="0.35">
      <c r="A411" s="53">
        <v>410</v>
      </c>
      <c r="B411" s="2" t="s">
        <v>611</v>
      </c>
      <c r="C411" s="48" t="s">
        <v>660</v>
      </c>
      <c r="D411" t="s">
        <v>222</v>
      </c>
      <c r="E411" s="41" t="s">
        <v>563</v>
      </c>
      <c r="H411" s="3" t="s">
        <v>639</v>
      </c>
      <c r="I411" s="18" t="s">
        <v>53</v>
      </c>
      <c r="J411" s="23" t="s">
        <v>639</v>
      </c>
      <c r="L411" s="15" t="s">
        <v>2</v>
      </c>
      <c r="M411" s="5" t="s">
        <v>522</v>
      </c>
      <c r="O411" s="147">
        <v>2</v>
      </c>
      <c r="P411" s="15">
        <v>0</v>
      </c>
      <c r="Q411" s="148">
        <f t="shared" si="16"/>
        <v>2</v>
      </c>
      <c r="R4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AKISSI LEONTINE BUYO BENKADI  KOUAMEKRO   0748861944 KOUADIO KOFFI TEYA               0748861944  F En couple </v>
      </c>
      <c r="Z411" s="53"/>
      <c r="AA411" s="2"/>
      <c r="AB411" s="48"/>
      <c r="AD411" s="41"/>
      <c r="AG411" s="3"/>
      <c r="AH411" s="18"/>
      <c r="AI411" s="23"/>
      <c r="AK411" s="15"/>
      <c r="AL411" s="5"/>
      <c r="AN411" s="147"/>
      <c r="AO411" s="15"/>
      <c r="AP411" s="148"/>
    </row>
    <row r="412" spans="1:42" ht="16.5" x14ac:dyDescent="0.35">
      <c r="A412" s="53">
        <v>411</v>
      </c>
      <c r="B412" s="2" t="s">
        <v>612</v>
      </c>
      <c r="C412" s="48" t="s">
        <v>660</v>
      </c>
      <c r="D412" t="s">
        <v>222</v>
      </c>
      <c r="E412" s="41" t="s">
        <v>563</v>
      </c>
      <c r="H412" s="3" t="s">
        <v>640</v>
      </c>
      <c r="I412" s="18" t="s">
        <v>53</v>
      </c>
      <c r="J412" s="23" t="s">
        <v>640</v>
      </c>
      <c r="L412" s="15" t="s">
        <v>2</v>
      </c>
      <c r="M412" s="5" t="s">
        <v>522</v>
      </c>
      <c r="O412" s="147">
        <v>4</v>
      </c>
      <c r="P412" s="15">
        <v>0</v>
      </c>
      <c r="Q412" s="148">
        <f t="shared" si="16"/>
        <v>4</v>
      </c>
      <c r="R4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ABI 1 BUYO BENKADI  KOUAMEKRO   0759048626 KOUADIO KOFFI TEYA               0759048626  F En couple </v>
      </c>
      <c r="Z412" s="53"/>
      <c r="AA412" s="2"/>
      <c r="AB412" s="48"/>
      <c r="AD412" s="41"/>
      <c r="AG412" s="3"/>
      <c r="AH412" s="18"/>
      <c r="AI412" s="23"/>
      <c r="AK412" s="15"/>
      <c r="AL412" s="5"/>
      <c r="AN412" s="147"/>
      <c r="AO412" s="15"/>
      <c r="AP412" s="148"/>
    </row>
    <row r="413" spans="1:42" ht="16.5" x14ac:dyDescent="0.35">
      <c r="A413" s="53">
        <v>412</v>
      </c>
      <c r="B413" s="2" t="s">
        <v>613</v>
      </c>
      <c r="C413" s="48" t="s">
        <v>660</v>
      </c>
      <c r="D413" t="s">
        <v>222</v>
      </c>
      <c r="E413" s="41" t="s">
        <v>563</v>
      </c>
      <c r="H413" s="3"/>
      <c r="I413" s="18" t="s">
        <v>53</v>
      </c>
      <c r="J413" s="23"/>
      <c r="L413" s="15" t="s">
        <v>2</v>
      </c>
      <c r="M413" s="5" t="s">
        <v>522</v>
      </c>
      <c r="O413" s="147">
        <v>3</v>
      </c>
      <c r="P413" s="15">
        <v>0</v>
      </c>
      <c r="Q413" s="148">
        <f t="shared" si="16"/>
        <v>3</v>
      </c>
      <c r="R4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COULIBALY ALIMENTOU BUYO BENKADI  KOUAMEKRO    KOUADIO KOFFI TEYA                 F En couple </v>
      </c>
      <c r="Z413" s="53"/>
      <c r="AA413" s="2"/>
      <c r="AB413" s="48"/>
      <c r="AD413" s="41"/>
      <c r="AG413" s="3"/>
      <c r="AH413" s="18"/>
      <c r="AI413" s="23"/>
      <c r="AK413" s="15"/>
      <c r="AL413" s="5"/>
      <c r="AN413" s="147"/>
      <c r="AO413" s="15"/>
      <c r="AP413" s="148"/>
    </row>
    <row r="414" spans="1:42" ht="16.5" x14ac:dyDescent="0.35">
      <c r="A414" s="53">
        <v>413</v>
      </c>
      <c r="B414" s="2" t="s">
        <v>614</v>
      </c>
      <c r="C414" s="48" t="s">
        <v>660</v>
      </c>
      <c r="D414" t="s">
        <v>222</v>
      </c>
      <c r="E414" s="41" t="s">
        <v>563</v>
      </c>
      <c r="H414" s="3"/>
      <c r="I414" s="18" t="s">
        <v>53</v>
      </c>
      <c r="J414" s="23"/>
      <c r="L414" s="15" t="s">
        <v>2</v>
      </c>
      <c r="M414" s="5" t="s">
        <v>522</v>
      </c>
      <c r="O414" s="147">
        <v>1</v>
      </c>
      <c r="P414" s="15">
        <v>3</v>
      </c>
      <c r="Q414" s="148">
        <f t="shared" si="16"/>
        <v>4</v>
      </c>
      <c r="R4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ALIMATA BUYO BENKADI  KOUAMEKRO    KOUADIO KOFFI TEYA                 F En couple </v>
      </c>
      <c r="Z414" s="53"/>
      <c r="AA414" s="2"/>
      <c r="AB414" s="48"/>
      <c r="AD414" s="41"/>
      <c r="AG414" s="3"/>
      <c r="AH414" s="18"/>
      <c r="AI414" s="23"/>
      <c r="AK414" s="15"/>
      <c r="AL414" s="5"/>
      <c r="AN414" s="147"/>
      <c r="AO414" s="15"/>
      <c r="AP414" s="148"/>
    </row>
    <row r="415" spans="1:42" ht="16.5" x14ac:dyDescent="0.35">
      <c r="A415" s="53">
        <v>414</v>
      </c>
      <c r="B415" s="2" t="s">
        <v>615</v>
      </c>
      <c r="C415" s="48" t="s">
        <v>660</v>
      </c>
      <c r="D415" t="s">
        <v>222</v>
      </c>
      <c r="E415" s="41" t="s">
        <v>563</v>
      </c>
      <c r="H415" s="3" t="s">
        <v>641</v>
      </c>
      <c r="I415" s="18" t="s">
        <v>53</v>
      </c>
      <c r="J415" s="23" t="s">
        <v>641</v>
      </c>
      <c r="L415" s="15" t="s">
        <v>2</v>
      </c>
      <c r="M415" s="5" t="s">
        <v>522</v>
      </c>
      <c r="O415" s="147">
        <v>3</v>
      </c>
      <c r="P415" s="15">
        <v>0</v>
      </c>
      <c r="Q415" s="148">
        <f t="shared" si="16"/>
        <v>3</v>
      </c>
      <c r="R4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ADJARA 1 BUYO BENKADI  KOUAMEKRO   0758179438 KOUADIO KOFFI TEYA               0758179438  F En couple </v>
      </c>
      <c r="Z415" s="53"/>
      <c r="AA415" s="2"/>
      <c r="AB415" s="48"/>
      <c r="AD415" s="41"/>
      <c r="AG415" s="3"/>
      <c r="AH415" s="18"/>
      <c r="AI415" s="23"/>
      <c r="AK415" s="15"/>
      <c r="AL415" s="5"/>
      <c r="AN415" s="147"/>
      <c r="AO415" s="15"/>
      <c r="AP415" s="148"/>
    </row>
    <row r="416" spans="1:42" ht="16.5" x14ac:dyDescent="0.35">
      <c r="A416" s="53">
        <v>415</v>
      </c>
      <c r="B416" s="2" t="s">
        <v>616</v>
      </c>
      <c r="C416" s="48" t="s">
        <v>660</v>
      </c>
      <c r="D416" t="s">
        <v>222</v>
      </c>
      <c r="E416" s="41" t="s">
        <v>563</v>
      </c>
      <c r="H416" s="3" t="s">
        <v>642</v>
      </c>
      <c r="I416" s="18" t="s">
        <v>53</v>
      </c>
      <c r="J416" s="23" t="s">
        <v>642</v>
      </c>
      <c r="L416" s="15" t="s">
        <v>2</v>
      </c>
      <c r="M416" s="5" t="s">
        <v>522</v>
      </c>
      <c r="O416" s="147">
        <v>2</v>
      </c>
      <c r="P416" s="15">
        <v>2</v>
      </c>
      <c r="Q416" s="148">
        <f t="shared" si="16"/>
        <v>4</v>
      </c>
      <c r="R4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SETOU BUYO BENKADI  KOUAMEKRO   0747943419 KOUADIO KOFFI TEYA               0747943419  F En couple </v>
      </c>
      <c r="Z416" s="53"/>
      <c r="AA416" s="2"/>
      <c r="AB416" s="48"/>
      <c r="AD416" s="41"/>
      <c r="AG416" s="3"/>
      <c r="AH416" s="18"/>
      <c r="AI416" s="23"/>
      <c r="AK416" s="15"/>
      <c r="AL416" s="5"/>
      <c r="AN416" s="147"/>
      <c r="AO416" s="15"/>
      <c r="AP416" s="148"/>
    </row>
    <row r="417" spans="1:42" ht="16.5" x14ac:dyDescent="0.35">
      <c r="A417" s="53">
        <v>416</v>
      </c>
      <c r="B417" s="2" t="s">
        <v>617</v>
      </c>
      <c r="C417" s="48" t="s">
        <v>660</v>
      </c>
      <c r="D417" t="s">
        <v>222</v>
      </c>
      <c r="E417" s="41" t="s">
        <v>563</v>
      </c>
      <c r="H417" s="3" t="s">
        <v>643</v>
      </c>
      <c r="I417" s="18" t="s">
        <v>53</v>
      </c>
      <c r="J417" s="23" t="s">
        <v>643</v>
      </c>
      <c r="L417" s="15" t="s">
        <v>2</v>
      </c>
      <c r="M417" s="5" t="s">
        <v>522</v>
      </c>
      <c r="O417" s="147">
        <v>1</v>
      </c>
      <c r="P417" s="15">
        <v>1</v>
      </c>
      <c r="Q417" s="148">
        <f t="shared" si="16"/>
        <v>2</v>
      </c>
      <c r="R4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COULIBALY ADJARATOU BUYO BENKADI  KOUAMEKRO   0707532772 KOUADIO KOFFI TEYA               0707532772  F En couple </v>
      </c>
      <c r="Z417" s="53"/>
      <c r="AA417" s="2"/>
      <c r="AB417" s="48"/>
      <c r="AD417" s="41"/>
      <c r="AG417" s="3"/>
      <c r="AH417" s="18"/>
      <c r="AI417" s="23"/>
      <c r="AK417" s="15"/>
      <c r="AL417" s="5"/>
      <c r="AN417" s="147"/>
      <c r="AO417" s="15"/>
      <c r="AP417" s="148"/>
    </row>
    <row r="418" spans="1:42" ht="16.5" x14ac:dyDescent="0.35">
      <c r="A418" s="53">
        <v>417</v>
      </c>
      <c r="B418" s="2" t="s">
        <v>618</v>
      </c>
      <c r="C418" s="48" t="s">
        <v>660</v>
      </c>
      <c r="D418" t="s">
        <v>222</v>
      </c>
      <c r="E418" s="41" t="s">
        <v>563</v>
      </c>
      <c r="H418" s="3"/>
      <c r="I418" s="18" t="s">
        <v>53</v>
      </c>
      <c r="J418" s="23"/>
      <c r="L418" s="15" t="s">
        <v>9</v>
      </c>
      <c r="M418" s="5" t="s">
        <v>522</v>
      </c>
      <c r="O418" s="147">
        <v>5</v>
      </c>
      <c r="P418" s="15">
        <v>3</v>
      </c>
      <c r="Q418" s="148">
        <f t="shared" si="16"/>
        <v>8</v>
      </c>
      <c r="R4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KONAN ERNEST BUYO BENKADI  KOUAMEKRO    KOUADIO KOFFI TEYA                 M En couple </v>
      </c>
      <c r="Z418" s="53"/>
      <c r="AA418" s="2"/>
      <c r="AB418" s="48"/>
      <c r="AD418" s="41"/>
      <c r="AG418" s="3"/>
      <c r="AH418" s="18"/>
      <c r="AI418" s="23"/>
      <c r="AK418" s="15"/>
      <c r="AL418" s="5"/>
      <c r="AN418" s="147"/>
      <c r="AO418" s="15"/>
      <c r="AP418" s="148"/>
    </row>
    <row r="419" spans="1:42" ht="16.5" x14ac:dyDescent="0.35">
      <c r="A419" s="53">
        <v>418</v>
      </c>
      <c r="B419" s="2" t="s">
        <v>619</v>
      </c>
      <c r="C419" s="48" t="s">
        <v>660</v>
      </c>
      <c r="D419" t="s">
        <v>222</v>
      </c>
      <c r="E419" s="41" t="s">
        <v>563</v>
      </c>
      <c r="H419" s="3" t="s">
        <v>644</v>
      </c>
      <c r="I419" s="18" t="s">
        <v>53</v>
      </c>
      <c r="J419" s="23" t="s">
        <v>644</v>
      </c>
      <c r="L419" s="15" t="s">
        <v>2</v>
      </c>
      <c r="M419" s="5" t="s">
        <v>522</v>
      </c>
      <c r="O419" s="147">
        <v>2</v>
      </c>
      <c r="P419" s="15">
        <v>2</v>
      </c>
      <c r="Q419" s="148">
        <f t="shared" si="16"/>
        <v>4</v>
      </c>
      <c r="R4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AWA 2 BUYO BENKADI  KOUAMEKRO   0787335336 KOUADIO KOFFI TEYA               0787335336  F En couple </v>
      </c>
      <c r="Z419" s="53"/>
      <c r="AA419" s="2"/>
      <c r="AB419" s="48"/>
      <c r="AD419" s="41"/>
      <c r="AG419" s="3"/>
      <c r="AH419" s="18"/>
      <c r="AI419" s="23"/>
      <c r="AK419" s="15"/>
      <c r="AL419" s="5"/>
      <c r="AN419" s="147"/>
      <c r="AO419" s="15"/>
      <c r="AP419" s="148"/>
    </row>
    <row r="420" spans="1:42" ht="16.5" x14ac:dyDescent="0.35">
      <c r="A420" s="53">
        <v>419</v>
      </c>
      <c r="B420" s="2" t="s">
        <v>620</v>
      </c>
      <c r="C420" s="48" t="s">
        <v>660</v>
      </c>
      <c r="D420" t="s">
        <v>222</v>
      </c>
      <c r="E420" s="41" t="s">
        <v>563</v>
      </c>
      <c r="H420" s="3"/>
      <c r="I420" s="18" t="s">
        <v>53</v>
      </c>
      <c r="J420" s="23"/>
      <c r="L420" s="15" t="s">
        <v>2</v>
      </c>
      <c r="M420" s="5" t="s">
        <v>522</v>
      </c>
      <c r="O420" s="147">
        <v>4</v>
      </c>
      <c r="P420" s="15">
        <v>2</v>
      </c>
      <c r="Q420" s="148">
        <f t="shared" si="16"/>
        <v>6</v>
      </c>
      <c r="R4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MAN BUYO BENKADI  KOUAMEKRO    KOUADIO KOFFI TEYA                 F En couple </v>
      </c>
      <c r="Z420" s="53"/>
      <c r="AA420" s="2"/>
      <c r="AB420" s="48"/>
      <c r="AD420" s="41"/>
      <c r="AG420" s="3"/>
      <c r="AH420" s="18"/>
      <c r="AI420" s="23"/>
      <c r="AK420" s="15"/>
      <c r="AL420" s="5"/>
      <c r="AN420" s="147"/>
      <c r="AO420" s="15"/>
      <c r="AP420" s="148"/>
    </row>
    <row r="421" spans="1:42" ht="16.5" x14ac:dyDescent="0.35">
      <c r="A421" s="53">
        <v>420</v>
      </c>
      <c r="B421" s="2" t="s">
        <v>621</v>
      </c>
      <c r="C421" s="48" t="s">
        <v>660</v>
      </c>
      <c r="D421" t="s">
        <v>222</v>
      </c>
      <c r="E421" s="41" t="s">
        <v>563</v>
      </c>
      <c r="H421" s="3" t="s">
        <v>645</v>
      </c>
      <c r="I421" s="18" t="s">
        <v>53</v>
      </c>
      <c r="J421" s="23" t="s">
        <v>645</v>
      </c>
      <c r="L421" s="15" t="s">
        <v>2</v>
      </c>
      <c r="M421" s="5" t="s">
        <v>522</v>
      </c>
      <c r="O421" s="147">
        <v>1</v>
      </c>
      <c r="P421" s="15">
        <v>1</v>
      </c>
      <c r="Q421" s="148">
        <f t="shared" si="16"/>
        <v>2</v>
      </c>
      <c r="R4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MADINA BUYO BENKADI  KOUAMEKRO   0759061291 KOUADIO KOFFI TEYA               0759061291  F En couple </v>
      </c>
      <c r="Z421" s="53"/>
      <c r="AA421" s="2"/>
      <c r="AB421" s="48"/>
      <c r="AD421" s="41"/>
      <c r="AG421" s="3"/>
      <c r="AH421" s="18"/>
      <c r="AI421" s="23"/>
      <c r="AK421" s="15"/>
      <c r="AL421" s="5"/>
      <c r="AN421" s="147"/>
      <c r="AO421" s="15"/>
      <c r="AP421" s="148"/>
    </row>
    <row r="422" spans="1:42" ht="16.5" x14ac:dyDescent="0.35">
      <c r="A422" s="53">
        <v>421</v>
      </c>
      <c r="B422" s="2" t="s">
        <v>622</v>
      </c>
      <c r="C422" s="48" t="s">
        <v>660</v>
      </c>
      <c r="D422" t="s">
        <v>222</v>
      </c>
      <c r="E422" s="41" t="s">
        <v>563</v>
      </c>
      <c r="H422" s="3" t="s">
        <v>646</v>
      </c>
      <c r="I422" s="18" t="s">
        <v>53</v>
      </c>
      <c r="J422" s="23" t="s">
        <v>646</v>
      </c>
      <c r="L422" s="15" t="s">
        <v>2</v>
      </c>
      <c r="M422" s="5" t="s">
        <v>522</v>
      </c>
      <c r="O422" s="147">
        <v>1</v>
      </c>
      <c r="P422" s="15">
        <v>0</v>
      </c>
      <c r="Q422" s="148">
        <f t="shared" si="16"/>
        <v>1</v>
      </c>
      <c r="R4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BARAKISSA BUYO BENKADI  KOUAMEKRO   0709117707 KOUADIO KOFFI TEYA               0709117707  F En couple </v>
      </c>
      <c r="Z422" s="53"/>
      <c r="AA422" s="2"/>
      <c r="AB422" s="48"/>
      <c r="AD422" s="41"/>
      <c r="AG422" s="3"/>
      <c r="AH422" s="18"/>
      <c r="AI422" s="23"/>
      <c r="AK422" s="15"/>
      <c r="AL422" s="5"/>
      <c r="AN422" s="147"/>
      <c r="AO422" s="15"/>
      <c r="AP422" s="148"/>
    </row>
    <row r="423" spans="1:42" ht="16.5" x14ac:dyDescent="0.35">
      <c r="A423" s="53">
        <v>422</v>
      </c>
      <c r="B423" s="2" t="s">
        <v>623</v>
      </c>
      <c r="C423" s="48" t="s">
        <v>660</v>
      </c>
      <c r="D423" t="s">
        <v>222</v>
      </c>
      <c r="E423" s="41" t="s">
        <v>563</v>
      </c>
      <c r="H423" s="3"/>
      <c r="I423" s="18" t="s">
        <v>53</v>
      </c>
      <c r="J423" s="23"/>
      <c r="L423" s="15" t="s">
        <v>2</v>
      </c>
      <c r="M423" s="5" t="s">
        <v>522</v>
      </c>
      <c r="O423" s="147">
        <v>1</v>
      </c>
      <c r="P423" s="15">
        <v>0</v>
      </c>
      <c r="Q423" s="148">
        <f t="shared" si="16"/>
        <v>1</v>
      </c>
      <c r="R4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FARMA AWA BUYO BENKADI  KOUAMEKRO    KOUADIO KOFFI TEYA                 F En couple </v>
      </c>
      <c r="Z423" s="53"/>
      <c r="AA423" s="2"/>
      <c r="AB423" s="48"/>
      <c r="AD423" s="41"/>
      <c r="AG423" s="3"/>
      <c r="AH423" s="18"/>
      <c r="AI423" s="23"/>
      <c r="AK423" s="15"/>
      <c r="AL423" s="5"/>
      <c r="AN423" s="147"/>
      <c r="AO423" s="15"/>
      <c r="AP423" s="148"/>
    </row>
    <row r="424" spans="1:42" ht="16.5" x14ac:dyDescent="0.35">
      <c r="A424" s="53">
        <v>423</v>
      </c>
      <c r="B424" s="2" t="s">
        <v>624</v>
      </c>
      <c r="C424" s="48" t="s">
        <v>660</v>
      </c>
      <c r="D424" t="s">
        <v>222</v>
      </c>
      <c r="E424" s="41" t="s">
        <v>563</v>
      </c>
      <c r="H424" s="3" t="s">
        <v>647</v>
      </c>
      <c r="I424" s="18" t="s">
        <v>53</v>
      </c>
      <c r="J424" s="23" t="s">
        <v>647</v>
      </c>
      <c r="L424" s="15" t="s">
        <v>2</v>
      </c>
      <c r="M424" s="5" t="s">
        <v>522</v>
      </c>
      <c r="O424" s="147">
        <v>1</v>
      </c>
      <c r="P424" s="15">
        <v>0</v>
      </c>
      <c r="Q424" s="148">
        <f t="shared" si="16"/>
        <v>1</v>
      </c>
      <c r="R4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ADJARA 2 BUYO BENKADI  KOUAMEKRO   0787556172 KOUADIO KOFFI TEYA               0787556172  F En couple </v>
      </c>
      <c r="Z424" s="53"/>
      <c r="AA424" s="2"/>
      <c r="AB424" s="48"/>
      <c r="AD424" s="41"/>
      <c r="AG424" s="3"/>
      <c r="AH424" s="18"/>
      <c r="AI424" s="23"/>
      <c r="AK424" s="15"/>
      <c r="AL424" s="5"/>
      <c r="AN424" s="147"/>
      <c r="AO424" s="15"/>
      <c r="AP424" s="148"/>
    </row>
    <row r="425" spans="1:42" ht="16.5" x14ac:dyDescent="0.35">
      <c r="A425" s="53">
        <v>424</v>
      </c>
      <c r="B425" s="2" t="s">
        <v>625</v>
      </c>
      <c r="C425" s="48" t="s">
        <v>660</v>
      </c>
      <c r="D425" t="s">
        <v>222</v>
      </c>
      <c r="E425" s="41" t="s">
        <v>563</v>
      </c>
      <c r="H425" s="3" t="s">
        <v>648</v>
      </c>
      <c r="I425" s="18" t="s">
        <v>53</v>
      </c>
      <c r="J425" s="23" t="s">
        <v>648</v>
      </c>
      <c r="L425" s="15" t="s">
        <v>2</v>
      </c>
      <c r="M425" s="5" t="s">
        <v>522</v>
      </c>
      <c r="O425" s="147">
        <v>4</v>
      </c>
      <c r="P425" s="15">
        <v>1</v>
      </c>
      <c r="Q425" s="148">
        <f t="shared" si="16"/>
        <v>5</v>
      </c>
      <c r="R4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ALIMANTOU BUYO BENKADI  KOUAMEKRO   0757720313 KOUADIO KOFFI TEYA               0757720313  F En couple </v>
      </c>
      <c r="Z425" s="53"/>
      <c r="AA425" s="2"/>
      <c r="AB425" s="48"/>
      <c r="AD425" s="41"/>
      <c r="AG425" s="3"/>
      <c r="AH425" s="18"/>
      <c r="AI425" s="23"/>
      <c r="AK425" s="15"/>
      <c r="AL425" s="5"/>
      <c r="AN425" s="147"/>
      <c r="AO425" s="15"/>
      <c r="AP425" s="148"/>
    </row>
    <row r="426" spans="1:42" ht="16.5" x14ac:dyDescent="0.35">
      <c r="A426" s="53">
        <v>425</v>
      </c>
      <c r="B426" s="2" t="s">
        <v>626</v>
      </c>
      <c r="C426" s="48" t="s">
        <v>660</v>
      </c>
      <c r="D426" t="s">
        <v>222</v>
      </c>
      <c r="E426" s="41" t="s">
        <v>563</v>
      </c>
      <c r="H426" s="3" t="s">
        <v>649</v>
      </c>
      <c r="I426" s="18" t="s">
        <v>53</v>
      </c>
      <c r="J426" s="23" t="s">
        <v>649</v>
      </c>
      <c r="L426" s="15" t="s">
        <v>2</v>
      </c>
      <c r="M426" s="5" t="s">
        <v>522</v>
      </c>
      <c r="O426" s="147">
        <v>2</v>
      </c>
      <c r="P426" s="15">
        <v>6</v>
      </c>
      <c r="Q426" s="148">
        <f t="shared" si="16"/>
        <v>8</v>
      </c>
      <c r="R4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AWA 4 BUYO BENKADI  KOUAMEKRO   0788032500 KOUADIO KOFFI TEYA               0788032500  F En couple </v>
      </c>
      <c r="Z426" s="53"/>
      <c r="AA426" s="2"/>
      <c r="AB426" s="48"/>
      <c r="AD426" s="41"/>
      <c r="AG426" s="3"/>
      <c r="AH426" s="18"/>
      <c r="AI426" s="23"/>
      <c r="AK426" s="15"/>
      <c r="AL426" s="5"/>
      <c r="AN426" s="147"/>
      <c r="AO426" s="15"/>
      <c r="AP426" s="148"/>
    </row>
    <row r="427" spans="1:42" ht="16.5" x14ac:dyDescent="0.35">
      <c r="A427" s="53">
        <v>426</v>
      </c>
      <c r="B427" s="2" t="s">
        <v>627</v>
      </c>
      <c r="C427" s="48" t="s">
        <v>660</v>
      </c>
      <c r="D427" t="s">
        <v>222</v>
      </c>
      <c r="E427" s="41" t="s">
        <v>563</v>
      </c>
      <c r="H427" s="3" t="s">
        <v>650</v>
      </c>
      <c r="I427" s="18" t="s">
        <v>53</v>
      </c>
      <c r="J427" s="23" t="s">
        <v>650</v>
      </c>
      <c r="L427" s="15" t="s">
        <v>2</v>
      </c>
      <c r="M427" s="5" t="s">
        <v>522</v>
      </c>
      <c r="O427" s="147">
        <v>1</v>
      </c>
      <c r="P427" s="15">
        <v>5</v>
      </c>
      <c r="Q427" s="148">
        <f t="shared" si="16"/>
        <v>6</v>
      </c>
      <c r="R4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 ABI 3 BUYO BENKADI  KOUAMEKRO   0747728741 KOUADIO KOFFI TEYA               0747728741  F En couple </v>
      </c>
      <c r="Z427" s="53"/>
      <c r="AA427" s="2"/>
      <c r="AB427" s="48"/>
      <c r="AD427" s="41"/>
      <c r="AG427" s="3"/>
      <c r="AH427" s="18"/>
      <c r="AI427" s="23"/>
      <c r="AK427" s="15"/>
      <c r="AL427" s="5"/>
      <c r="AN427" s="147"/>
      <c r="AO427" s="15"/>
      <c r="AP427" s="148"/>
    </row>
    <row r="428" spans="1:42" ht="16.5" x14ac:dyDescent="0.35">
      <c r="A428" s="53">
        <v>427</v>
      </c>
      <c r="B428" s="2" t="s">
        <v>628</v>
      </c>
      <c r="C428" s="48" t="s">
        <v>660</v>
      </c>
      <c r="D428" t="s">
        <v>222</v>
      </c>
      <c r="E428" s="41" t="s">
        <v>563</v>
      </c>
      <c r="H428" s="3"/>
      <c r="I428" s="18" t="s">
        <v>53</v>
      </c>
      <c r="J428" s="23"/>
      <c r="L428" s="15" t="s">
        <v>2</v>
      </c>
      <c r="M428" s="5" t="s">
        <v>522</v>
      </c>
      <c r="O428" s="147">
        <v>1</v>
      </c>
      <c r="P428" s="15">
        <v>0</v>
      </c>
      <c r="Q428" s="148">
        <f t="shared" si="16"/>
        <v>1</v>
      </c>
      <c r="R4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FATOUMAN BUYO BENKADI  KOUAMEKRO    KOUADIO KOFFI TEYA                 F En couple </v>
      </c>
      <c r="Z428" s="53"/>
      <c r="AA428" s="2"/>
      <c r="AB428" s="48"/>
      <c r="AD428" s="41"/>
      <c r="AG428" s="3"/>
      <c r="AH428" s="18"/>
      <c r="AI428" s="23"/>
      <c r="AK428" s="15"/>
      <c r="AL428" s="5"/>
      <c r="AN428" s="147"/>
      <c r="AO428" s="15"/>
      <c r="AP428" s="148"/>
    </row>
    <row r="429" spans="1:42" ht="16.5" x14ac:dyDescent="0.35">
      <c r="A429" s="53">
        <v>428</v>
      </c>
      <c r="B429" s="2" t="s">
        <v>629</v>
      </c>
      <c r="C429" s="48" t="s">
        <v>660</v>
      </c>
      <c r="D429" t="s">
        <v>222</v>
      </c>
      <c r="E429" s="41" t="s">
        <v>563</v>
      </c>
      <c r="H429" s="3" t="s">
        <v>651</v>
      </c>
      <c r="I429" s="18" t="s">
        <v>53</v>
      </c>
      <c r="J429" s="23" t="s">
        <v>651</v>
      </c>
      <c r="L429" s="15" t="s">
        <v>2</v>
      </c>
      <c r="M429" s="5" t="s">
        <v>522</v>
      </c>
      <c r="O429" s="147">
        <v>5</v>
      </c>
      <c r="P429" s="15">
        <v>3</v>
      </c>
      <c r="Q429" s="148">
        <f t="shared" si="16"/>
        <v>8</v>
      </c>
      <c r="R4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SALI BUYO BENKADI  KOUAMEKRO   0759049527 KOUADIO KOFFI TEYA               0759049527  F En couple </v>
      </c>
      <c r="Z429" s="53"/>
      <c r="AA429" s="2"/>
      <c r="AB429" s="48"/>
      <c r="AD429" s="41"/>
      <c r="AG429" s="3"/>
      <c r="AH429" s="18"/>
      <c r="AI429" s="23"/>
      <c r="AK429" s="15"/>
      <c r="AL429" s="5"/>
      <c r="AN429" s="147"/>
      <c r="AO429" s="15"/>
      <c r="AP429" s="148"/>
    </row>
    <row r="430" spans="1:42" ht="16.5" x14ac:dyDescent="0.5">
      <c r="A430" s="53">
        <v>429</v>
      </c>
      <c r="B430" s="2" t="s">
        <v>630</v>
      </c>
      <c r="C430" s="48" t="s">
        <v>660</v>
      </c>
      <c r="D430" t="s">
        <v>222</v>
      </c>
      <c r="E430" s="41" t="s">
        <v>563</v>
      </c>
      <c r="H430" s="3" t="s">
        <v>652</v>
      </c>
      <c r="I430" s="18" t="s">
        <v>53</v>
      </c>
      <c r="J430" s="23" t="s">
        <v>652</v>
      </c>
      <c r="L430" s="15" t="s">
        <v>2</v>
      </c>
      <c r="M430" s="5" t="s">
        <v>522</v>
      </c>
      <c r="O430" s="149">
        <v>0</v>
      </c>
      <c r="P430" s="149">
        <v>3</v>
      </c>
      <c r="Q430" s="150">
        <f t="shared" si="16"/>
        <v>3</v>
      </c>
      <c r="R4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SINATA BUYO BENKADI  KOUAMEKRO   0758947159 KOUADIO KOFFI TEYA               0758947159  F En couple </v>
      </c>
      <c r="Z430" s="53"/>
      <c r="AA430" s="2"/>
      <c r="AB430" s="48"/>
      <c r="AD430" s="41"/>
      <c r="AG430" s="3"/>
      <c r="AH430" s="18"/>
      <c r="AI430" s="23"/>
      <c r="AK430" s="15"/>
      <c r="AL430" s="5"/>
      <c r="AN430" s="149"/>
      <c r="AO430" s="149"/>
      <c r="AP430" s="150"/>
    </row>
    <row r="431" spans="1:42" ht="16" customHeight="1" x14ac:dyDescent="0.35">
      <c r="A431" s="53">
        <v>430</v>
      </c>
      <c r="B431" s="2" t="s">
        <v>631</v>
      </c>
      <c r="C431" s="48" t="s">
        <v>660</v>
      </c>
      <c r="D431" t="s">
        <v>222</v>
      </c>
      <c r="E431" s="41" t="s">
        <v>563</v>
      </c>
      <c r="H431" s="7" t="s">
        <v>653</v>
      </c>
      <c r="I431" s="18" t="s">
        <v>53</v>
      </c>
      <c r="J431" s="24" t="s">
        <v>653</v>
      </c>
      <c r="L431" s="15" t="s">
        <v>2</v>
      </c>
      <c r="M431" s="5" t="s">
        <v>522</v>
      </c>
      <c r="O431" s="151">
        <v>0</v>
      </c>
      <c r="P431" s="151">
        <v>2</v>
      </c>
      <c r="Q431" s="152">
        <f t="shared" si="16"/>
        <v>2</v>
      </c>
      <c r="R4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COULIBALY SITA BUYO BENKADI  KOUAMEKRO   0759068549 KOUADIO KOFFI TEYA               0759068549  F En couple </v>
      </c>
      <c r="Z431" s="53"/>
      <c r="AA431" s="2"/>
      <c r="AB431" s="48"/>
      <c r="AD431" s="41"/>
      <c r="AG431" s="7"/>
      <c r="AH431" s="18"/>
      <c r="AI431" s="24"/>
      <c r="AK431" s="15"/>
      <c r="AL431" s="5"/>
      <c r="AN431" s="151"/>
      <c r="AO431" s="151"/>
      <c r="AP431" s="152"/>
    </row>
    <row r="432" spans="1:42" ht="17" customHeight="1" x14ac:dyDescent="0.35">
      <c r="A432" s="53">
        <v>431</v>
      </c>
      <c r="B432" s="9" t="s">
        <v>631</v>
      </c>
      <c r="C432" s="48" t="s">
        <v>660</v>
      </c>
      <c r="D432" t="s">
        <v>222</v>
      </c>
      <c r="E432" s="41" t="s">
        <v>563</v>
      </c>
      <c r="H432" s="10" t="s">
        <v>654</v>
      </c>
      <c r="I432" s="18" t="s">
        <v>53</v>
      </c>
      <c r="J432" s="25" t="s">
        <v>654</v>
      </c>
      <c r="L432" s="16" t="s">
        <v>2</v>
      </c>
      <c r="M432" s="5" t="s">
        <v>522</v>
      </c>
      <c r="O432" s="143">
        <v>4</v>
      </c>
      <c r="P432" s="143">
        <v>2</v>
      </c>
      <c r="Q432" s="153">
        <f t="shared" si="16"/>
        <v>6</v>
      </c>
      <c r="R4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COULIBALY SITA BUYO BENKADI  KOUAMEKRO   0747786331 KOUADIO KOFFI TEYA               0747786331  F En couple </v>
      </c>
      <c r="Z432" s="53"/>
      <c r="AA432" s="9"/>
      <c r="AB432" s="48"/>
      <c r="AD432" s="41"/>
      <c r="AG432" s="10"/>
      <c r="AH432" s="18"/>
      <c r="AI432" s="25"/>
      <c r="AK432" s="16"/>
      <c r="AL432" s="5"/>
      <c r="AN432" s="143"/>
      <c r="AO432" s="143"/>
      <c r="AP432" s="153"/>
    </row>
    <row r="433" spans="1:42" ht="17" customHeight="1" x14ac:dyDescent="0.35">
      <c r="A433" s="53">
        <v>432</v>
      </c>
      <c r="B433" s="9" t="s">
        <v>632</v>
      </c>
      <c r="C433" s="48" t="s">
        <v>660</v>
      </c>
      <c r="D433" t="s">
        <v>222</v>
      </c>
      <c r="E433" s="41" t="s">
        <v>563</v>
      </c>
      <c r="H433" s="155"/>
      <c r="I433" s="18" t="s">
        <v>53</v>
      </c>
      <c r="J433" s="23" t="s">
        <v>898</v>
      </c>
      <c r="L433" s="143" t="s">
        <v>2</v>
      </c>
      <c r="M433" s="5" t="s">
        <v>522</v>
      </c>
      <c r="O433" s="143">
        <v>4</v>
      </c>
      <c r="P433" s="143">
        <v>5</v>
      </c>
      <c r="Q433" s="153">
        <f>SUM(M433:P433)</f>
        <v>9</v>
      </c>
      <c r="R4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OUATTARA MANA BUYO BENKADI  KOUAMEKRO    KOUADIO KOFFI TEYA               0747541533  F En couple </v>
      </c>
      <c r="Z433" s="53"/>
      <c r="AA433" s="9"/>
      <c r="AB433" s="48"/>
      <c r="AD433" s="41"/>
      <c r="AG433" s="155"/>
      <c r="AH433" s="18"/>
      <c r="AI433" s="23"/>
      <c r="AK433" s="143"/>
      <c r="AL433" s="5"/>
      <c r="AN433" s="143"/>
      <c r="AO433" s="143"/>
      <c r="AP433" s="153"/>
    </row>
    <row r="434" spans="1:42" ht="16.5" x14ac:dyDescent="0.35">
      <c r="A434" s="53">
        <v>433</v>
      </c>
      <c r="B434" s="2" t="s">
        <v>877</v>
      </c>
      <c r="C434" s="48" t="s">
        <v>660</v>
      </c>
      <c r="D434" t="s">
        <v>897</v>
      </c>
      <c r="E434" s="41" t="s">
        <v>896</v>
      </c>
      <c r="H434" s="155"/>
      <c r="I434" s="18" t="s">
        <v>53</v>
      </c>
      <c r="J434" s="23" t="s">
        <v>899</v>
      </c>
      <c r="L434" s="15" t="s">
        <v>2</v>
      </c>
      <c r="M434" s="156" t="s">
        <v>917</v>
      </c>
      <c r="N434" s="147" t="s">
        <v>919</v>
      </c>
      <c r="O434" s="147">
        <v>2</v>
      </c>
      <c r="P434" s="15">
        <v>4</v>
      </c>
      <c r="Q434" s="148">
        <v>6</v>
      </c>
      <c r="R4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 ASSA AKISSI SIMONNE BUYO AWLIN TRALE BELLEVILLE    KOUADIO KOFFI TEYA               0768393330  F en couple RESTAURATRICE</v>
      </c>
      <c r="Z434" s="53"/>
      <c r="AA434" s="2"/>
      <c r="AB434" s="48"/>
      <c r="AD434" s="41"/>
      <c r="AG434" s="155"/>
      <c r="AH434" s="18"/>
      <c r="AI434" s="23"/>
      <c r="AK434" s="15"/>
      <c r="AL434" s="156"/>
      <c r="AM434" s="147"/>
      <c r="AN434" s="147"/>
      <c r="AO434" s="15"/>
      <c r="AP434" s="148"/>
    </row>
    <row r="435" spans="1:42" ht="16.5" x14ac:dyDescent="0.35">
      <c r="A435" s="53">
        <v>434</v>
      </c>
      <c r="B435" s="2" t="s">
        <v>878</v>
      </c>
      <c r="C435" s="48" t="s">
        <v>660</v>
      </c>
      <c r="D435" t="s">
        <v>897</v>
      </c>
      <c r="E435" s="41" t="s">
        <v>896</v>
      </c>
      <c r="H435" s="155"/>
      <c r="I435" s="18" t="s">
        <v>53</v>
      </c>
      <c r="J435" s="23" t="s">
        <v>900</v>
      </c>
      <c r="L435" s="15" t="s">
        <v>2</v>
      </c>
      <c r="M435" s="156" t="s">
        <v>917</v>
      </c>
      <c r="N435" s="147" t="s">
        <v>920</v>
      </c>
      <c r="O435" s="147">
        <v>2</v>
      </c>
      <c r="P435" s="15"/>
      <c r="Q435" s="148">
        <f t="shared" ref="Q435:Q452" si="17">SUM(M435:P435)</f>
        <v>2</v>
      </c>
      <c r="R4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AMOIN EMMA BUYO AWLIN TRALE BELLEVILLE    KOUADIO KOFFI TEYA               0748768861  F en couple COMMERCENTE</v>
      </c>
      <c r="Z435" s="53"/>
      <c r="AA435" s="2"/>
      <c r="AB435" s="48"/>
      <c r="AD435" s="41"/>
      <c r="AG435" s="155"/>
      <c r="AH435" s="18"/>
      <c r="AI435" s="23"/>
      <c r="AK435" s="15"/>
      <c r="AL435" s="156"/>
      <c r="AM435" s="147"/>
      <c r="AN435" s="147"/>
      <c r="AO435" s="15"/>
      <c r="AP435" s="148"/>
    </row>
    <row r="436" spans="1:42" ht="16.5" x14ac:dyDescent="0.35">
      <c r="A436" s="53">
        <v>435</v>
      </c>
      <c r="B436" s="2" t="s">
        <v>879</v>
      </c>
      <c r="C436" s="48" t="s">
        <v>660</v>
      </c>
      <c r="D436" t="s">
        <v>897</v>
      </c>
      <c r="E436" s="41" t="s">
        <v>896</v>
      </c>
      <c r="H436" s="155"/>
      <c r="I436" s="18" t="s">
        <v>53</v>
      </c>
      <c r="J436" s="23" t="s">
        <v>901</v>
      </c>
      <c r="L436" s="15" t="s">
        <v>2</v>
      </c>
      <c r="M436" s="156" t="s">
        <v>917</v>
      </c>
      <c r="N436" s="147" t="s">
        <v>920</v>
      </c>
      <c r="O436" s="147">
        <v>4</v>
      </c>
      <c r="P436" s="15">
        <v>5</v>
      </c>
      <c r="Q436" s="148">
        <f t="shared" si="17"/>
        <v>9</v>
      </c>
      <c r="R4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N'GUESSAN IVONNE BUYO AWLIN TRALE BELLEVILLE    KOUADIO KOFFI TEYA               0759061349  F en couple COMMERCENTE</v>
      </c>
      <c r="Z436" s="53"/>
      <c r="AA436" s="2"/>
      <c r="AB436" s="48"/>
      <c r="AD436" s="41"/>
      <c r="AG436" s="155"/>
      <c r="AH436" s="18"/>
      <c r="AI436" s="23"/>
      <c r="AK436" s="15"/>
      <c r="AL436" s="156"/>
      <c r="AM436" s="147"/>
      <c r="AN436" s="147"/>
      <c r="AO436" s="15"/>
      <c r="AP436" s="148"/>
    </row>
    <row r="437" spans="1:42" ht="16.5" x14ac:dyDescent="0.35">
      <c r="A437" s="53">
        <v>436</v>
      </c>
      <c r="B437" s="2" t="s">
        <v>880</v>
      </c>
      <c r="C437" s="48" t="s">
        <v>660</v>
      </c>
      <c r="D437" t="s">
        <v>897</v>
      </c>
      <c r="E437" s="41" t="s">
        <v>896</v>
      </c>
      <c r="H437" s="155"/>
      <c r="I437" s="18" t="s">
        <v>53</v>
      </c>
      <c r="J437" s="23" t="s">
        <v>902</v>
      </c>
      <c r="L437" s="15" t="s">
        <v>2</v>
      </c>
      <c r="M437" s="156" t="s">
        <v>917</v>
      </c>
      <c r="N437" s="147" t="s">
        <v>920</v>
      </c>
      <c r="O437" s="147">
        <v>5</v>
      </c>
      <c r="P437" s="15">
        <v>5</v>
      </c>
      <c r="Q437" s="148">
        <f t="shared" si="17"/>
        <v>10</v>
      </c>
      <c r="R4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AYA BLANDINE BUYO AWLIN TRALE BELLEVILLE    KOUADIO KOFFI TEYA               0747012014  F en couple COMMERCENTE</v>
      </c>
      <c r="Z437" s="53"/>
      <c r="AA437" s="2"/>
      <c r="AB437" s="48"/>
      <c r="AD437" s="41"/>
      <c r="AG437" s="155"/>
      <c r="AH437" s="18"/>
      <c r="AI437" s="23"/>
      <c r="AK437" s="15"/>
      <c r="AL437" s="156"/>
      <c r="AM437" s="147"/>
      <c r="AN437" s="147"/>
      <c r="AO437" s="15"/>
      <c r="AP437" s="148"/>
    </row>
    <row r="438" spans="1:42" ht="16.5" x14ac:dyDescent="0.35">
      <c r="A438" s="53">
        <v>437</v>
      </c>
      <c r="B438" s="2" t="s">
        <v>881</v>
      </c>
      <c r="C438" s="48" t="s">
        <v>660</v>
      </c>
      <c r="D438" t="s">
        <v>897</v>
      </c>
      <c r="E438" s="41" t="s">
        <v>896</v>
      </c>
      <c r="H438" s="155"/>
      <c r="I438" s="18" t="s">
        <v>53</v>
      </c>
      <c r="J438" s="23" t="s">
        <v>903</v>
      </c>
      <c r="L438" s="15" t="s">
        <v>2</v>
      </c>
      <c r="M438" s="155" t="s">
        <v>917</v>
      </c>
      <c r="N438" s="147" t="s">
        <v>920</v>
      </c>
      <c r="O438" s="147"/>
      <c r="P438" s="15">
        <v>6</v>
      </c>
      <c r="Q438" s="148">
        <f t="shared" si="17"/>
        <v>6</v>
      </c>
      <c r="R4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ZIAO MONIQUE  BUYO AWLIN TRALE BELLEVILLE    KOUADIO KOFFI TEYA               0769096196  F en couple COMMERCENTE</v>
      </c>
      <c r="Z438" s="53"/>
      <c r="AA438" s="2"/>
      <c r="AB438" s="48"/>
      <c r="AD438" s="41"/>
      <c r="AG438" s="155"/>
      <c r="AH438" s="18"/>
      <c r="AI438" s="23"/>
      <c r="AK438" s="15"/>
      <c r="AL438" s="155"/>
      <c r="AM438" s="147"/>
      <c r="AN438" s="147"/>
      <c r="AO438" s="15"/>
      <c r="AP438" s="148"/>
    </row>
    <row r="439" spans="1:42" ht="16.5" x14ac:dyDescent="0.35">
      <c r="A439" s="53">
        <v>438</v>
      </c>
      <c r="B439" s="2" t="s">
        <v>882</v>
      </c>
      <c r="C439" s="48" t="s">
        <v>660</v>
      </c>
      <c r="D439" t="s">
        <v>897</v>
      </c>
      <c r="E439" s="41" t="s">
        <v>896</v>
      </c>
      <c r="H439" s="155"/>
      <c r="I439" s="18" t="s">
        <v>53</v>
      </c>
      <c r="J439" s="23" t="s">
        <v>904</v>
      </c>
      <c r="L439" s="15" t="s">
        <v>2</v>
      </c>
      <c r="M439" s="156" t="s">
        <v>917</v>
      </c>
      <c r="N439" s="147" t="s">
        <v>921</v>
      </c>
      <c r="O439" s="147">
        <v>3</v>
      </c>
      <c r="P439" s="15">
        <v>3</v>
      </c>
      <c r="Q439" s="148">
        <f t="shared" si="17"/>
        <v>6</v>
      </c>
      <c r="R4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AHOU CLARISSE BUYO AWLIN TRALE BELLEVILLE    KOUADIO KOFFI TEYA               0769859184  F en couple VENDEUSE D'HABIT</v>
      </c>
      <c r="Z439" s="53"/>
      <c r="AA439" s="2"/>
      <c r="AB439" s="48"/>
      <c r="AD439" s="41"/>
      <c r="AG439" s="155"/>
      <c r="AH439" s="18"/>
      <c r="AI439" s="23"/>
      <c r="AK439" s="15"/>
      <c r="AL439" s="156"/>
      <c r="AM439" s="147"/>
      <c r="AN439" s="147"/>
      <c r="AO439" s="15"/>
      <c r="AP439" s="148"/>
    </row>
    <row r="440" spans="1:42" ht="16.5" x14ac:dyDescent="0.35">
      <c r="A440" s="53">
        <v>439</v>
      </c>
      <c r="B440" s="2" t="s">
        <v>883</v>
      </c>
      <c r="C440" s="48" t="s">
        <v>660</v>
      </c>
      <c r="D440" t="s">
        <v>897</v>
      </c>
      <c r="E440" s="41" t="s">
        <v>896</v>
      </c>
      <c r="H440" s="155"/>
      <c r="I440" s="18" t="s">
        <v>53</v>
      </c>
      <c r="J440" s="23" t="s">
        <v>905</v>
      </c>
      <c r="L440" s="15" t="s">
        <v>2</v>
      </c>
      <c r="M440" s="156" t="s">
        <v>918</v>
      </c>
      <c r="N440" s="147" t="s">
        <v>920</v>
      </c>
      <c r="O440" s="147">
        <v>1</v>
      </c>
      <c r="P440" s="15">
        <v>3</v>
      </c>
      <c r="Q440" s="148">
        <f t="shared" si="17"/>
        <v>4</v>
      </c>
      <c r="R4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AKISSI MARIE CLAIRE BUYO AWLIN TRALE BELLEVILLE    KOUADIO KOFFI TEYA               0546818908  F celibataire COMMERCENTE</v>
      </c>
      <c r="Z440" s="53"/>
      <c r="AA440" s="2"/>
      <c r="AB440" s="48"/>
      <c r="AD440" s="41"/>
      <c r="AG440" s="155"/>
      <c r="AH440" s="18"/>
      <c r="AI440" s="23"/>
      <c r="AK440" s="15"/>
      <c r="AL440" s="156"/>
      <c r="AM440" s="147"/>
      <c r="AN440" s="147"/>
      <c r="AO440" s="15"/>
      <c r="AP440" s="148"/>
    </row>
    <row r="441" spans="1:42" ht="16.5" x14ac:dyDescent="0.35">
      <c r="A441" s="53">
        <v>440</v>
      </c>
      <c r="B441" s="2" t="s">
        <v>884</v>
      </c>
      <c r="C441" s="48" t="s">
        <v>660</v>
      </c>
      <c r="D441" t="s">
        <v>897</v>
      </c>
      <c r="E441" s="41" t="s">
        <v>896</v>
      </c>
      <c r="H441" s="155"/>
      <c r="I441" s="18" t="s">
        <v>53</v>
      </c>
      <c r="J441" s="23" t="s">
        <v>906</v>
      </c>
      <c r="L441" s="15" t="s">
        <v>2</v>
      </c>
      <c r="M441" s="156" t="s">
        <v>917</v>
      </c>
      <c r="N441" s="147" t="s">
        <v>920</v>
      </c>
      <c r="O441" s="147">
        <v>1</v>
      </c>
      <c r="P441" s="15">
        <v>1</v>
      </c>
      <c r="Q441" s="148">
        <f t="shared" si="17"/>
        <v>2</v>
      </c>
      <c r="R4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N'DA AFFOUE HELENE BUYO AWLIN TRALE BELLEVILLE    KOUADIO KOFFI TEYA               0758178839  F en couple COMMERCENTE</v>
      </c>
      <c r="Z441" s="53"/>
      <c r="AA441" s="2"/>
      <c r="AB441" s="48"/>
      <c r="AD441" s="41"/>
      <c r="AG441" s="155"/>
      <c r="AH441" s="18"/>
      <c r="AI441" s="23"/>
      <c r="AK441" s="15"/>
      <c r="AL441" s="156"/>
      <c r="AM441" s="147"/>
      <c r="AN441" s="147"/>
      <c r="AO441" s="15"/>
      <c r="AP441" s="148"/>
    </row>
    <row r="442" spans="1:42" ht="16.5" x14ac:dyDescent="0.35">
      <c r="A442" s="53">
        <v>441</v>
      </c>
      <c r="B442" s="2" t="s">
        <v>885</v>
      </c>
      <c r="C442" s="48" t="s">
        <v>660</v>
      </c>
      <c r="D442" t="s">
        <v>897</v>
      </c>
      <c r="E442" s="41" t="s">
        <v>896</v>
      </c>
      <c r="H442" s="155"/>
      <c r="I442" s="18" t="s">
        <v>53</v>
      </c>
      <c r="J442" s="23" t="s">
        <v>907</v>
      </c>
      <c r="L442" s="15" t="s">
        <v>2</v>
      </c>
      <c r="M442" s="156" t="s">
        <v>917</v>
      </c>
      <c r="N442" s="147" t="s">
        <v>920</v>
      </c>
      <c r="O442" s="147">
        <v>4</v>
      </c>
      <c r="P442" s="15">
        <v>4</v>
      </c>
      <c r="Q442" s="148">
        <f t="shared" si="17"/>
        <v>8</v>
      </c>
      <c r="R4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BROU AYA THERESSE BUYO AWLIN TRALE BELLEVILLE    KOUADIO KOFFI TEYA               0749679733  F en couple COMMERCENTE</v>
      </c>
      <c r="Z442" s="53"/>
      <c r="AA442" s="2"/>
      <c r="AB442" s="48"/>
      <c r="AD442" s="41"/>
      <c r="AG442" s="155"/>
      <c r="AH442" s="18"/>
      <c r="AI442" s="23"/>
      <c r="AK442" s="15"/>
      <c r="AL442" s="156"/>
      <c r="AM442" s="147"/>
      <c r="AN442" s="147"/>
      <c r="AO442" s="15"/>
      <c r="AP442" s="148"/>
    </row>
    <row r="443" spans="1:42" ht="16.5" x14ac:dyDescent="0.35">
      <c r="A443" s="53">
        <v>442</v>
      </c>
      <c r="B443" s="2" t="s">
        <v>886</v>
      </c>
      <c r="C443" s="48" t="s">
        <v>660</v>
      </c>
      <c r="D443" t="s">
        <v>897</v>
      </c>
      <c r="E443" s="41" t="s">
        <v>896</v>
      </c>
      <c r="H443" s="155"/>
      <c r="I443" s="18" t="s">
        <v>53</v>
      </c>
      <c r="J443" s="23" t="s">
        <v>908</v>
      </c>
      <c r="L443" s="15" t="s">
        <v>2</v>
      </c>
      <c r="M443" s="156" t="s">
        <v>917</v>
      </c>
      <c r="N443" s="147" t="s">
        <v>920</v>
      </c>
      <c r="O443" s="147">
        <v>3</v>
      </c>
      <c r="P443" s="15">
        <v>6</v>
      </c>
      <c r="Q443" s="148">
        <f t="shared" si="17"/>
        <v>9</v>
      </c>
      <c r="R4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ADJOUA JACQUELINE BUYO AWLIN TRALE BELLEVILLE    KOUADIO KOFFI TEYA               O779181316  F en couple COMMERCENTE</v>
      </c>
      <c r="Z443" s="53"/>
      <c r="AA443" s="2"/>
      <c r="AB443" s="48"/>
      <c r="AD443" s="41"/>
      <c r="AG443" s="155"/>
      <c r="AH443" s="18"/>
      <c r="AI443" s="23"/>
      <c r="AK443" s="15"/>
      <c r="AL443" s="156"/>
      <c r="AM443" s="147"/>
      <c r="AN443" s="147"/>
      <c r="AO443" s="15"/>
      <c r="AP443" s="148"/>
    </row>
    <row r="444" spans="1:42" ht="16.5" x14ac:dyDescent="0.35">
      <c r="A444" s="53">
        <v>443</v>
      </c>
      <c r="B444" s="2" t="s">
        <v>887</v>
      </c>
      <c r="C444" s="48" t="s">
        <v>660</v>
      </c>
      <c r="D444" t="s">
        <v>897</v>
      </c>
      <c r="E444" s="41" t="s">
        <v>896</v>
      </c>
      <c r="H444" s="155"/>
      <c r="I444" s="18" t="s">
        <v>53</v>
      </c>
      <c r="J444" s="23" t="s">
        <v>909</v>
      </c>
      <c r="L444" s="15" t="s">
        <v>2</v>
      </c>
      <c r="M444" s="156" t="s">
        <v>917</v>
      </c>
      <c r="N444" s="147" t="s">
        <v>920</v>
      </c>
      <c r="O444" s="147">
        <v>2</v>
      </c>
      <c r="P444" s="15">
        <v>3</v>
      </c>
      <c r="Q444" s="148">
        <f t="shared" si="17"/>
        <v>5</v>
      </c>
      <c r="R4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AFFOUE VIVIANE  BUYO AWLIN TRALE BELLEVILLE    KOUADIO KOFFI TEYA               0748063998  F en couple COMMERCENTE</v>
      </c>
      <c r="Z444" s="53"/>
      <c r="AA444" s="2"/>
      <c r="AB444" s="48"/>
      <c r="AD444" s="41"/>
      <c r="AG444" s="155"/>
      <c r="AH444" s="18"/>
      <c r="AI444" s="23"/>
      <c r="AK444" s="15"/>
      <c r="AL444" s="156"/>
      <c r="AM444" s="147"/>
      <c r="AN444" s="147"/>
      <c r="AO444" s="15"/>
      <c r="AP444" s="148"/>
    </row>
    <row r="445" spans="1:42" ht="16.5" x14ac:dyDescent="0.35">
      <c r="A445" s="53">
        <v>444</v>
      </c>
      <c r="B445" s="2" t="s">
        <v>888</v>
      </c>
      <c r="C445" s="48" t="s">
        <v>660</v>
      </c>
      <c r="D445" t="s">
        <v>897</v>
      </c>
      <c r="E445" s="41" t="s">
        <v>896</v>
      </c>
      <c r="H445" s="155"/>
      <c r="I445" s="18" t="s">
        <v>53</v>
      </c>
      <c r="J445" s="23" t="s">
        <v>910</v>
      </c>
      <c r="L445" s="15" t="s">
        <v>2</v>
      </c>
      <c r="M445" s="156" t="s">
        <v>917</v>
      </c>
      <c r="N445" s="147" t="s">
        <v>920</v>
      </c>
      <c r="O445" s="147">
        <v>4</v>
      </c>
      <c r="P445" s="15">
        <v>4</v>
      </c>
      <c r="Q445" s="148">
        <f t="shared" si="17"/>
        <v>8</v>
      </c>
      <c r="R4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AKISSI MONIQUE BUYO AWLIN TRALE BELLEVILLE    KOUADIO KOFFI TEYA               07488O4658  F en couple COMMERCENTE</v>
      </c>
      <c r="Z445" s="53"/>
      <c r="AA445" s="2"/>
      <c r="AB445" s="48"/>
      <c r="AD445" s="41"/>
      <c r="AG445" s="155"/>
      <c r="AH445" s="18"/>
      <c r="AI445" s="23"/>
      <c r="AK445" s="15"/>
      <c r="AL445" s="156"/>
      <c r="AM445" s="147"/>
      <c r="AN445" s="147"/>
      <c r="AO445" s="15"/>
      <c r="AP445" s="148"/>
    </row>
    <row r="446" spans="1:42" ht="16.5" x14ac:dyDescent="0.35">
      <c r="A446" s="53">
        <v>445</v>
      </c>
      <c r="B446" s="2" t="s">
        <v>889</v>
      </c>
      <c r="C446" s="48" t="s">
        <v>660</v>
      </c>
      <c r="D446" t="s">
        <v>897</v>
      </c>
      <c r="E446" s="41" t="s">
        <v>896</v>
      </c>
      <c r="H446" s="155"/>
      <c r="I446" s="18" t="s">
        <v>53</v>
      </c>
      <c r="J446" s="23" t="s">
        <v>911</v>
      </c>
      <c r="L446" s="15" t="s">
        <v>2</v>
      </c>
      <c r="M446" s="156" t="s">
        <v>917</v>
      </c>
      <c r="N446" s="147" t="s">
        <v>920</v>
      </c>
      <c r="O446" s="147">
        <v>4</v>
      </c>
      <c r="P446" s="15">
        <v>4</v>
      </c>
      <c r="Q446" s="148">
        <f t="shared" si="17"/>
        <v>8</v>
      </c>
      <c r="R4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AMOIN MONIQUE BUYO AWLIN TRALE BELLEVILLE    KOUADIO KOFFI TEYA               O767519823  F en couple COMMERCENTE</v>
      </c>
      <c r="Z446" s="53"/>
      <c r="AA446" s="2"/>
      <c r="AB446" s="48"/>
      <c r="AD446" s="41"/>
      <c r="AG446" s="155"/>
      <c r="AH446" s="18"/>
      <c r="AI446" s="23"/>
      <c r="AK446" s="15"/>
      <c r="AL446" s="156"/>
      <c r="AM446" s="147"/>
      <c r="AN446" s="147"/>
      <c r="AO446" s="15"/>
      <c r="AP446" s="148"/>
    </row>
    <row r="447" spans="1:42" ht="16.5" x14ac:dyDescent="0.35">
      <c r="A447" s="53">
        <v>446</v>
      </c>
      <c r="B447" s="2" t="s">
        <v>890</v>
      </c>
      <c r="C447" s="48" t="s">
        <v>660</v>
      </c>
      <c r="D447" t="s">
        <v>897</v>
      </c>
      <c r="E447" s="41" t="s">
        <v>896</v>
      </c>
      <c r="H447" s="155"/>
      <c r="I447" s="18" t="s">
        <v>53</v>
      </c>
      <c r="J447" s="23" t="s">
        <v>912</v>
      </c>
      <c r="L447" s="15" t="s">
        <v>2</v>
      </c>
      <c r="M447" s="156" t="s">
        <v>917</v>
      </c>
      <c r="N447" s="147" t="s">
        <v>920</v>
      </c>
      <c r="O447" s="147">
        <v>2</v>
      </c>
      <c r="P447" s="15">
        <v>2</v>
      </c>
      <c r="Q447" s="148">
        <f t="shared" si="17"/>
        <v>4</v>
      </c>
      <c r="R4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WAOGO MALAO LUCIE BUYO AWLIN TRALE BELLEVILLE    KOUADIO KOFFI TEYA               0708197932  F en couple COMMERCENTE</v>
      </c>
      <c r="Z447" s="53"/>
      <c r="AA447" s="2"/>
      <c r="AB447" s="48"/>
      <c r="AD447" s="41"/>
      <c r="AG447" s="155"/>
      <c r="AH447" s="18"/>
      <c r="AI447" s="23"/>
      <c r="AK447" s="15"/>
      <c r="AL447" s="156"/>
      <c r="AM447" s="147"/>
      <c r="AN447" s="147"/>
      <c r="AO447" s="15"/>
      <c r="AP447" s="148"/>
    </row>
    <row r="448" spans="1:42" ht="16.5" x14ac:dyDescent="0.35">
      <c r="A448" s="53">
        <v>447</v>
      </c>
      <c r="B448" s="2" t="s">
        <v>891</v>
      </c>
      <c r="C448" s="48" t="s">
        <v>660</v>
      </c>
      <c r="D448" t="s">
        <v>897</v>
      </c>
      <c r="E448" s="41" t="s">
        <v>896</v>
      </c>
      <c r="H448" s="155"/>
      <c r="I448" s="18" t="s">
        <v>53</v>
      </c>
      <c r="J448" s="23" t="s">
        <v>913</v>
      </c>
      <c r="L448" s="15" t="s">
        <v>9</v>
      </c>
      <c r="M448" s="156" t="s">
        <v>917</v>
      </c>
      <c r="N448" s="147" t="s">
        <v>922</v>
      </c>
      <c r="O448" s="147">
        <v>1</v>
      </c>
      <c r="P448" s="15">
        <v>2</v>
      </c>
      <c r="Q448" s="148">
        <f t="shared" si="17"/>
        <v>3</v>
      </c>
      <c r="R4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KOUAKOU MATURIN BUYO AWLIN TRALE BELLEVILLE    KOUADIO KOFFI TEYA               0787999343  M en couple COMMERCENT</v>
      </c>
      <c r="Z448" s="53"/>
      <c r="AA448" s="2"/>
      <c r="AB448" s="48"/>
      <c r="AD448" s="41"/>
      <c r="AG448" s="155"/>
      <c r="AH448" s="18"/>
      <c r="AI448" s="23"/>
      <c r="AK448" s="15"/>
      <c r="AL448" s="156"/>
      <c r="AM448" s="147"/>
      <c r="AN448" s="147"/>
      <c r="AO448" s="15"/>
      <c r="AP448" s="148"/>
    </row>
    <row r="449" spans="1:42" ht="16.5" x14ac:dyDescent="0.35">
      <c r="A449" s="53">
        <v>448</v>
      </c>
      <c r="B449" s="2" t="s">
        <v>892</v>
      </c>
      <c r="C449" s="48" t="s">
        <v>660</v>
      </c>
      <c r="D449" t="s">
        <v>897</v>
      </c>
      <c r="E449" s="41" t="s">
        <v>896</v>
      </c>
      <c r="H449" s="155"/>
      <c r="I449" s="18" t="s">
        <v>53</v>
      </c>
      <c r="J449" s="23" t="s">
        <v>914</v>
      </c>
      <c r="L449" s="15" t="s">
        <v>2</v>
      </c>
      <c r="M449" s="156" t="s">
        <v>917</v>
      </c>
      <c r="N449" s="147" t="s">
        <v>923</v>
      </c>
      <c r="O449" s="147">
        <v>2</v>
      </c>
      <c r="P449" s="15">
        <v>2</v>
      </c>
      <c r="Q449" s="148">
        <f t="shared" si="17"/>
        <v>4</v>
      </c>
      <c r="R4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ESSE ADJOUA JUDITH BUYO AWLIN TRALE BELLEVILLE    KOUADIO KOFFI TEYA               0708143190  F en couple COMMERCANTE</v>
      </c>
      <c r="Z449" s="53"/>
      <c r="AA449" s="2"/>
      <c r="AB449" s="48"/>
      <c r="AD449" s="41"/>
      <c r="AG449" s="155"/>
      <c r="AH449" s="18"/>
      <c r="AI449" s="23"/>
      <c r="AK449" s="15"/>
      <c r="AL449" s="156"/>
      <c r="AM449" s="147"/>
      <c r="AN449" s="147"/>
      <c r="AO449" s="15"/>
      <c r="AP449" s="148"/>
    </row>
    <row r="450" spans="1:42" ht="16.5" x14ac:dyDescent="0.35">
      <c r="A450" s="53">
        <v>449</v>
      </c>
      <c r="B450" s="2" t="s">
        <v>893</v>
      </c>
      <c r="C450" s="48" t="s">
        <v>660</v>
      </c>
      <c r="D450" t="s">
        <v>897</v>
      </c>
      <c r="E450" s="41" t="s">
        <v>896</v>
      </c>
      <c r="H450" s="155"/>
      <c r="I450" s="18" t="s">
        <v>53</v>
      </c>
      <c r="J450" s="23" t="s">
        <v>915</v>
      </c>
      <c r="L450" s="15" t="s">
        <v>2</v>
      </c>
      <c r="M450" s="156" t="s">
        <v>917</v>
      </c>
      <c r="N450" s="147" t="s">
        <v>923</v>
      </c>
      <c r="O450" s="147">
        <v>1</v>
      </c>
      <c r="P450" s="15">
        <v>1</v>
      </c>
      <c r="Q450" s="148">
        <f t="shared" si="17"/>
        <v>2</v>
      </c>
      <c r="R4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KIEMOU IRRITE CELESTINE BUYO AWLIN TRALE BELLEVILLE    KOUADIO KOFFI TEYA               0788168862  F en couple COMMERCANTE</v>
      </c>
      <c r="Z450" s="53"/>
      <c r="AA450" s="2"/>
      <c r="AB450" s="48"/>
      <c r="AD450" s="41"/>
      <c r="AG450" s="155"/>
      <c r="AH450" s="18"/>
      <c r="AI450" s="23"/>
      <c r="AK450" s="15"/>
      <c r="AL450" s="156"/>
      <c r="AM450" s="147"/>
      <c r="AN450" s="147"/>
      <c r="AO450" s="15"/>
      <c r="AP450" s="148"/>
    </row>
    <row r="451" spans="1:42" ht="16.5" x14ac:dyDescent="0.35">
      <c r="A451" s="53">
        <v>450</v>
      </c>
      <c r="B451" s="2" t="s">
        <v>894</v>
      </c>
      <c r="C451" s="48" t="s">
        <v>660</v>
      </c>
      <c r="D451" t="s">
        <v>897</v>
      </c>
      <c r="E451" s="41" t="s">
        <v>896</v>
      </c>
      <c r="H451" s="155"/>
      <c r="I451" s="18" t="s">
        <v>53</v>
      </c>
      <c r="J451" s="23" t="s">
        <v>916</v>
      </c>
      <c r="L451" s="15" t="s">
        <v>2</v>
      </c>
      <c r="M451" s="156" t="s">
        <v>917</v>
      </c>
      <c r="N451" s="147" t="s">
        <v>923</v>
      </c>
      <c r="O451" s="147">
        <v>2</v>
      </c>
      <c r="P451" s="15">
        <v>3</v>
      </c>
      <c r="Q451" s="148">
        <f t="shared" si="17"/>
        <v>5</v>
      </c>
      <c r="R4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N'GORAN AMENAN RODA BUYO AWLIN TRALE BELLEVILLE    KOUADIO KOFFI TEYA               0759059450  F en couple COMMERCANTE</v>
      </c>
      <c r="Z451" s="53"/>
      <c r="AA451" s="2"/>
      <c r="AB451" s="48"/>
      <c r="AD451" s="41"/>
      <c r="AG451" s="155"/>
      <c r="AH451" s="18"/>
      <c r="AI451" s="23"/>
      <c r="AK451" s="15"/>
      <c r="AL451" s="156"/>
      <c r="AM451" s="147"/>
      <c r="AN451" s="147"/>
      <c r="AO451" s="15"/>
      <c r="AP451" s="148"/>
    </row>
    <row r="452" spans="1:42" ht="16.5" x14ac:dyDescent="0.35">
      <c r="A452" s="53">
        <v>451</v>
      </c>
      <c r="B452" s="9" t="s">
        <v>895</v>
      </c>
      <c r="C452" s="48" t="s">
        <v>660</v>
      </c>
      <c r="D452" t="s">
        <v>897</v>
      </c>
      <c r="E452" s="41" t="s">
        <v>896</v>
      </c>
      <c r="H452" s="154"/>
      <c r="I452" s="18" t="s">
        <v>53</v>
      </c>
      <c r="J452" s="23" t="s">
        <v>947</v>
      </c>
      <c r="L452" s="15" t="s">
        <v>9</v>
      </c>
      <c r="M452" s="156" t="s">
        <v>918</v>
      </c>
      <c r="N452" s="147" t="s">
        <v>924</v>
      </c>
      <c r="O452" s="147">
        <v>1</v>
      </c>
      <c r="P452" s="15"/>
      <c r="Q452" s="148">
        <f t="shared" si="17"/>
        <v>1</v>
      </c>
      <c r="R4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KOUADIO GERAD BUYO AWLIN TRALE BELLEVILLE    KOUADIO KOFFI TEYA               0759050212  M celibataire COMMERCANT</v>
      </c>
      <c r="Z452" s="53"/>
      <c r="AA452" s="9"/>
      <c r="AB452" s="48"/>
      <c r="AD452" s="41"/>
      <c r="AG452" s="154"/>
      <c r="AH452" s="18"/>
      <c r="AI452" s="23"/>
      <c r="AK452" s="15"/>
      <c r="AL452" s="156"/>
      <c r="AM452" s="147"/>
      <c r="AN452" s="147"/>
      <c r="AO452" s="15"/>
      <c r="AP452" s="148"/>
    </row>
    <row r="453" spans="1:42" ht="16.5" x14ac:dyDescent="0.35">
      <c r="A453" s="53">
        <v>452</v>
      </c>
      <c r="B453" s="2" t="s">
        <v>926</v>
      </c>
      <c r="C453" s="48" t="s">
        <v>660</v>
      </c>
      <c r="D453" t="s">
        <v>925</v>
      </c>
      <c r="E453" s="41" t="s">
        <v>896</v>
      </c>
      <c r="H453" s="10"/>
      <c r="I453" s="18" t="s">
        <v>53</v>
      </c>
      <c r="J453" s="23" t="s">
        <v>948</v>
      </c>
      <c r="L453" s="15" t="s">
        <v>2</v>
      </c>
      <c r="M453" s="147" t="s">
        <v>968</v>
      </c>
      <c r="N453" s="147" t="s">
        <v>923</v>
      </c>
      <c r="O453" s="147">
        <v>1</v>
      </c>
      <c r="P453" s="15">
        <v>3</v>
      </c>
      <c r="Q453" s="148">
        <v>4</v>
      </c>
      <c r="R4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AYA PELAGIE BUYO ESSOUYAKIEYOLAI BELLEVILLE    KOUADIO KOFFI TEYA               O787341875  F EN COUPLE COMMERCANTE</v>
      </c>
      <c r="Z453" s="53"/>
      <c r="AA453" s="2"/>
      <c r="AB453" s="48"/>
      <c r="AD453" s="41"/>
      <c r="AG453" s="10"/>
      <c r="AH453" s="18"/>
      <c r="AI453" s="23"/>
      <c r="AK453" s="15"/>
      <c r="AL453" s="147"/>
      <c r="AM453" s="147"/>
      <c r="AN453" s="147"/>
      <c r="AO453" s="15"/>
      <c r="AP453" s="148"/>
    </row>
    <row r="454" spans="1:42" ht="16.5" x14ac:dyDescent="0.35">
      <c r="A454" s="53">
        <v>453</v>
      </c>
      <c r="B454" s="2" t="s">
        <v>927</v>
      </c>
      <c r="C454" s="48" t="s">
        <v>660</v>
      </c>
      <c r="D454" t="s">
        <v>925</v>
      </c>
      <c r="E454" s="41" t="s">
        <v>896</v>
      </c>
      <c r="H454" s="10"/>
      <c r="I454" s="18" t="s">
        <v>53</v>
      </c>
      <c r="J454" s="23" t="s">
        <v>949</v>
      </c>
      <c r="L454" s="15" t="s">
        <v>9</v>
      </c>
      <c r="M454" s="147" t="s">
        <v>968</v>
      </c>
      <c r="N454" s="147" t="s">
        <v>970</v>
      </c>
      <c r="O454" s="147">
        <v>1</v>
      </c>
      <c r="P454" s="15">
        <v>3</v>
      </c>
      <c r="Q454" s="148">
        <f t="shared" ref="Q454:Q502" si="18">SUM(M454:P454)</f>
        <v>4</v>
      </c>
      <c r="R4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DJAHA JEAN JACQUE BUYO ESSOUYAKIEYOLAI BELLEVILLE    KOUADIO KOFFI TEYA               0758643130  M EN COUPLE COMMERCANT </v>
      </c>
      <c r="Z454" s="53"/>
      <c r="AA454" s="2"/>
      <c r="AB454" s="48"/>
      <c r="AD454" s="41"/>
      <c r="AG454" s="10"/>
      <c r="AH454" s="18"/>
      <c r="AI454" s="23"/>
      <c r="AK454" s="15"/>
      <c r="AL454" s="147"/>
      <c r="AM454" s="147"/>
      <c r="AN454" s="147"/>
      <c r="AO454" s="15"/>
      <c r="AP454" s="148"/>
    </row>
    <row r="455" spans="1:42" ht="16.5" x14ac:dyDescent="0.35">
      <c r="A455" s="53">
        <v>454</v>
      </c>
      <c r="B455" s="2" t="s">
        <v>928</v>
      </c>
      <c r="C455" s="48" t="s">
        <v>660</v>
      </c>
      <c r="D455" t="s">
        <v>925</v>
      </c>
      <c r="E455" s="41" t="s">
        <v>896</v>
      </c>
      <c r="H455" s="154"/>
      <c r="I455" s="18" t="s">
        <v>53</v>
      </c>
      <c r="J455" s="23" t="s">
        <v>950</v>
      </c>
      <c r="L455" s="15" t="s">
        <v>2</v>
      </c>
      <c r="M455" s="147" t="s">
        <v>968</v>
      </c>
      <c r="N455" s="147" t="s">
        <v>923</v>
      </c>
      <c r="O455" s="147">
        <v>4</v>
      </c>
      <c r="P455" s="15">
        <v>2</v>
      </c>
      <c r="Q455" s="148">
        <f t="shared" si="18"/>
        <v>6</v>
      </c>
      <c r="R4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AYA LUISE BUYO ESSOUYAKIEYOLAI BELLEVILLE    KOUADIO KOFFI TEYA               0787339390  F EN COUPLE COMMERCANTE</v>
      </c>
      <c r="Z455" s="53"/>
      <c r="AA455" s="2"/>
      <c r="AB455" s="48"/>
      <c r="AD455" s="41"/>
      <c r="AG455" s="154"/>
      <c r="AH455" s="18"/>
      <c r="AI455" s="23"/>
      <c r="AK455" s="15"/>
      <c r="AL455" s="147"/>
      <c r="AM455" s="147"/>
      <c r="AN455" s="147"/>
      <c r="AO455" s="15"/>
      <c r="AP455" s="148"/>
    </row>
    <row r="456" spans="1:42" ht="16.5" x14ac:dyDescent="0.35">
      <c r="A456" s="53">
        <v>455</v>
      </c>
      <c r="B456" s="2" t="s">
        <v>929</v>
      </c>
      <c r="C456" s="48" t="s">
        <v>660</v>
      </c>
      <c r="D456" t="s">
        <v>925</v>
      </c>
      <c r="E456" s="41" t="s">
        <v>896</v>
      </c>
      <c r="H456" s="154"/>
      <c r="I456" s="18" t="s">
        <v>53</v>
      </c>
      <c r="J456" s="23" t="s">
        <v>951</v>
      </c>
      <c r="L456" s="15" t="s">
        <v>2</v>
      </c>
      <c r="M456" s="147" t="s">
        <v>968</v>
      </c>
      <c r="N456" s="147" t="s">
        <v>923</v>
      </c>
      <c r="O456" s="147">
        <v>4</v>
      </c>
      <c r="P456" s="15"/>
      <c r="Q456" s="148">
        <f t="shared" si="18"/>
        <v>4</v>
      </c>
      <c r="R4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AFFOUE RACHELLE BUYO ESSOUYAKIEYOLAI BELLEVILLE    KOUADIO KOFFI TEYA               0708962921  F EN COUPLE COMMERCANTE</v>
      </c>
      <c r="Z456" s="53"/>
      <c r="AA456" s="2"/>
      <c r="AB456" s="48"/>
      <c r="AD456" s="41"/>
      <c r="AG456" s="154"/>
      <c r="AH456" s="18"/>
      <c r="AI456" s="23"/>
      <c r="AK456" s="15"/>
      <c r="AL456" s="147"/>
      <c r="AM456" s="147"/>
      <c r="AN456" s="147"/>
      <c r="AO456" s="15"/>
      <c r="AP456" s="148"/>
    </row>
    <row r="457" spans="1:42" ht="16.5" x14ac:dyDescent="0.35">
      <c r="A457" s="53">
        <v>456</v>
      </c>
      <c r="B457" s="2" t="s">
        <v>930</v>
      </c>
      <c r="C457" s="48" t="s">
        <v>660</v>
      </c>
      <c r="D457" t="s">
        <v>925</v>
      </c>
      <c r="E457" s="41" t="s">
        <v>896</v>
      </c>
      <c r="H457" s="154"/>
      <c r="I457" s="18" t="s">
        <v>53</v>
      </c>
      <c r="J457" s="23" t="s">
        <v>952</v>
      </c>
      <c r="L457" s="15" t="s">
        <v>2</v>
      </c>
      <c r="M457" s="23" t="s">
        <v>968</v>
      </c>
      <c r="N457" s="147" t="s">
        <v>923</v>
      </c>
      <c r="O457" s="147"/>
      <c r="P457" s="15">
        <v>2</v>
      </c>
      <c r="Q457" s="148">
        <f t="shared" si="18"/>
        <v>2</v>
      </c>
      <c r="R4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AMOIN MARINA BUYO ESSOUYAKIEYOLAI BELLEVILLE    KOUADIO KOFFI TEYA               0759852526  F EN COUPLE COMMERCANTE</v>
      </c>
      <c r="Z457" s="53"/>
      <c r="AA457" s="2"/>
      <c r="AB457" s="48"/>
      <c r="AD457" s="41"/>
      <c r="AG457" s="154"/>
      <c r="AH457" s="18"/>
      <c r="AI457" s="23"/>
      <c r="AK457" s="15"/>
      <c r="AL457" s="23"/>
      <c r="AM457" s="147"/>
      <c r="AN457" s="147"/>
      <c r="AO457" s="15"/>
      <c r="AP457" s="148"/>
    </row>
    <row r="458" spans="1:42" ht="16.5" x14ac:dyDescent="0.35">
      <c r="A458" s="53">
        <v>457</v>
      </c>
      <c r="B458" s="2" t="s">
        <v>931</v>
      </c>
      <c r="C458" s="48" t="s">
        <v>660</v>
      </c>
      <c r="D458" t="s">
        <v>925</v>
      </c>
      <c r="E458" s="41" t="s">
        <v>896</v>
      </c>
      <c r="H458" s="154"/>
      <c r="I458" s="18" t="s">
        <v>53</v>
      </c>
      <c r="J458" s="23" t="s">
        <v>953</v>
      </c>
      <c r="L458" s="15" t="s">
        <v>2</v>
      </c>
      <c r="M458" s="147" t="s">
        <v>968</v>
      </c>
      <c r="N458" s="147" t="s">
        <v>923</v>
      </c>
      <c r="O458" s="147">
        <v>2</v>
      </c>
      <c r="P458" s="15">
        <v>2</v>
      </c>
      <c r="Q458" s="148">
        <f t="shared" si="18"/>
        <v>4</v>
      </c>
      <c r="R4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ADJOUA CHRISTINE BUYO ESSOUYAKIEYOLAI BELLEVILLE    KOUADIO KOFFI TEYA               0703243184  F EN COUPLE COMMERCANTE</v>
      </c>
      <c r="Z458" s="53"/>
      <c r="AA458" s="2"/>
      <c r="AB458" s="48"/>
      <c r="AD458" s="41"/>
      <c r="AG458" s="154"/>
      <c r="AH458" s="18"/>
      <c r="AI458" s="23"/>
      <c r="AK458" s="15"/>
      <c r="AL458" s="147"/>
      <c r="AM458" s="147"/>
      <c r="AN458" s="147"/>
      <c r="AO458" s="15"/>
      <c r="AP458" s="148"/>
    </row>
    <row r="459" spans="1:42" ht="16.5" x14ac:dyDescent="0.35">
      <c r="A459" s="53">
        <v>458</v>
      </c>
      <c r="B459" s="2" t="s">
        <v>932</v>
      </c>
      <c r="C459" s="48" t="s">
        <v>660</v>
      </c>
      <c r="D459" t="s">
        <v>925</v>
      </c>
      <c r="E459" s="41" t="s">
        <v>896</v>
      </c>
      <c r="H459" s="154"/>
      <c r="I459" s="18" t="s">
        <v>53</v>
      </c>
      <c r="J459" s="23" t="s">
        <v>954</v>
      </c>
      <c r="L459" s="15" t="s">
        <v>2</v>
      </c>
      <c r="M459" s="147" t="s">
        <v>968</v>
      </c>
      <c r="N459" s="147" t="s">
        <v>923</v>
      </c>
      <c r="O459" s="147">
        <v>2</v>
      </c>
      <c r="P459" s="15">
        <v>4</v>
      </c>
      <c r="Q459" s="148">
        <f t="shared" si="18"/>
        <v>6</v>
      </c>
      <c r="R4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AMENAN LYDIE BUYO ESSOUYAKIEYOLAI BELLEVILLE    KOUADIO KOFFI TEYA               0759101560  F EN COUPLE COMMERCANTE</v>
      </c>
      <c r="Z459" s="53"/>
      <c r="AA459" s="2"/>
      <c r="AB459" s="48"/>
      <c r="AD459" s="41"/>
      <c r="AG459" s="154"/>
      <c r="AH459" s="18"/>
      <c r="AI459" s="23"/>
      <c r="AK459" s="15"/>
      <c r="AL459" s="147"/>
      <c r="AM459" s="147"/>
      <c r="AN459" s="147"/>
      <c r="AO459" s="15"/>
      <c r="AP459" s="148"/>
    </row>
    <row r="460" spans="1:42" ht="16.5" x14ac:dyDescent="0.35">
      <c r="A460" s="53">
        <v>459</v>
      </c>
      <c r="B460" s="2" t="s">
        <v>933</v>
      </c>
      <c r="C460" s="48" t="s">
        <v>660</v>
      </c>
      <c r="D460" t="s">
        <v>925</v>
      </c>
      <c r="E460" s="41" t="s">
        <v>896</v>
      </c>
      <c r="H460" s="154"/>
      <c r="I460" s="18" t="s">
        <v>53</v>
      </c>
      <c r="J460" s="23" t="s">
        <v>955</v>
      </c>
      <c r="L460" s="15" t="s">
        <v>2</v>
      </c>
      <c r="M460" s="147" t="s">
        <v>968</v>
      </c>
      <c r="N460" s="147" t="s">
        <v>971</v>
      </c>
      <c r="O460" s="147">
        <v>1</v>
      </c>
      <c r="P460" s="15">
        <v>1</v>
      </c>
      <c r="Q460" s="148">
        <f t="shared" si="18"/>
        <v>2</v>
      </c>
      <c r="R4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AYA AIMEE BUYO ESSOUYAKIEYOLAI BELLEVILLE    KOUADIO KOFFI TEYA               0787860856  F EN COUPLE COUTURIERE</v>
      </c>
      <c r="Z460" s="53"/>
      <c r="AA460" s="2"/>
      <c r="AB460" s="48"/>
      <c r="AD460" s="41"/>
      <c r="AG460" s="154"/>
      <c r="AH460" s="18"/>
      <c r="AI460" s="23"/>
      <c r="AK460" s="15"/>
      <c r="AL460" s="147"/>
      <c r="AM460" s="147"/>
      <c r="AN460" s="147"/>
      <c r="AO460" s="15"/>
      <c r="AP460" s="148"/>
    </row>
    <row r="461" spans="1:42" ht="16.5" x14ac:dyDescent="0.35">
      <c r="A461" s="53">
        <v>460</v>
      </c>
      <c r="B461" s="2" t="s">
        <v>934</v>
      </c>
      <c r="C461" s="48" t="s">
        <v>660</v>
      </c>
      <c r="D461" t="s">
        <v>925</v>
      </c>
      <c r="E461" s="41" t="s">
        <v>896</v>
      </c>
      <c r="H461" s="154"/>
      <c r="I461" s="18" t="s">
        <v>53</v>
      </c>
      <c r="J461" s="23" t="s">
        <v>956</v>
      </c>
      <c r="L461" s="15" t="s">
        <v>2</v>
      </c>
      <c r="M461" s="147" t="s">
        <v>968</v>
      </c>
      <c r="N461" s="147" t="s">
        <v>923</v>
      </c>
      <c r="O461" s="147">
        <v>1</v>
      </c>
      <c r="P461" s="15">
        <v>5</v>
      </c>
      <c r="Q461" s="148">
        <f t="shared" si="18"/>
        <v>6</v>
      </c>
      <c r="R4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AMOIN NINA BUYO ESSOUYAKIEYOLAI BELLEVILLE    KOUADIO KOFFI TEYA               0759949388  F EN COUPLE COMMERCANTE</v>
      </c>
      <c r="Z461" s="53"/>
      <c r="AA461" s="2"/>
      <c r="AB461" s="48"/>
      <c r="AD461" s="41"/>
      <c r="AG461" s="154"/>
      <c r="AH461" s="18"/>
      <c r="AI461" s="23"/>
      <c r="AK461" s="15"/>
      <c r="AL461" s="147"/>
      <c r="AM461" s="147"/>
      <c r="AN461" s="147"/>
      <c r="AO461" s="15"/>
      <c r="AP461" s="148"/>
    </row>
    <row r="462" spans="1:42" ht="16.5" x14ac:dyDescent="0.35">
      <c r="A462" s="53">
        <v>461</v>
      </c>
      <c r="B462" s="2" t="s">
        <v>935</v>
      </c>
      <c r="C462" s="48" t="s">
        <v>660</v>
      </c>
      <c r="D462" t="s">
        <v>925</v>
      </c>
      <c r="E462" s="41" t="s">
        <v>896</v>
      </c>
      <c r="H462" s="154"/>
      <c r="I462" s="18" t="s">
        <v>53</v>
      </c>
      <c r="J462" s="23" t="s">
        <v>957</v>
      </c>
      <c r="L462" s="15" t="s">
        <v>2</v>
      </c>
      <c r="M462" s="147" t="s">
        <v>968</v>
      </c>
      <c r="N462" s="147" t="s">
        <v>923</v>
      </c>
      <c r="O462" s="147">
        <v>2</v>
      </c>
      <c r="P462" s="15">
        <v>3</v>
      </c>
      <c r="Q462" s="148">
        <f t="shared" si="18"/>
        <v>5</v>
      </c>
      <c r="R4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AFFOUE IVONNE BUYO ESSOUYAKIEYOLAI BELLEVILLE    KOUADIO KOFFI TEYA               0758948388  F EN COUPLE COMMERCANTE</v>
      </c>
      <c r="Z462" s="53"/>
      <c r="AA462" s="2"/>
      <c r="AB462" s="48"/>
      <c r="AD462" s="41"/>
      <c r="AG462" s="154"/>
      <c r="AH462" s="18"/>
      <c r="AI462" s="23"/>
      <c r="AK462" s="15"/>
      <c r="AL462" s="147"/>
      <c r="AM462" s="147"/>
      <c r="AN462" s="147"/>
      <c r="AO462" s="15"/>
      <c r="AP462" s="148"/>
    </row>
    <row r="463" spans="1:42" ht="16.5" x14ac:dyDescent="0.35">
      <c r="A463" s="53">
        <v>462</v>
      </c>
      <c r="B463" s="2" t="s">
        <v>936</v>
      </c>
      <c r="C463" s="48" t="s">
        <v>660</v>
      </c>
      <c r="D463" t="s">
        <v>925</v>
      </c>
      <c r="E463" s="41" t="s">
        <v>896</v>
      </c>
      <c r="H463" s="154"/>
      <c r="I463" s="18" t="s">
        <v>53</v>
      </c>
      <c r="J463" s="23" t="s">
        <v>958</v>
      </c>
      <c r="L463" s="15" t="s">
        <v>2</v>
      </c>
      <c r="M463" s="147" t="s">
        <v>968</v>
      </c>
      <c r="N463" s="147" t="s">
        <v>923</v>
      </c>
      <c r="O463" s="147">
        <v>2</v>
      </c>
      <c r="P463" s="15">
        <v>2</v>
      </c>
      <c r="Q463" s="148">
        <f t="shared" si="18"/>
        <v>4</v>
      </c>
      <c r="R4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ASSIE N'DRI ODILE BUYO ESSOUYAKIEYOLAI BELLEVILLE    KOUADIO KOFFI TEYA               0758705034  F EN COUPLE COMMERCANTE</v>
      </c>
      <c r="Z463" s="53"/>
      <c r="AA463" s="2"/>
      <c r="AB463" s="48"/>
      <c r="AD463" s="41"/>
      <c r="AG463" s="154"/>
      <c r="AH463" s="18"/>
      <c r="AI463" s="23"/>
      <c r="AK463" s="15"/>
      <c r="AL463" s="147"/>
      <c r="AM463" s="147"/>
      <c r="AN463" s="147"/>
      <c r="AO463" s="15"/>
      <c r="AP463" s="148"/>
    </row>
    <row r="464" spans="1:42" ht="16.5" x14ac:dyDescent="0.35">
      <c r="A464" s="53">
        <v>463</v>
      </c>
      <c r="B464" s="2" t="s">
        <v>937</v>
      </c>
      <c r="C464" s="48" t="s">
        <v>660</v>
      </c>
      <c r="D464" t="s">
        <v>925</v>
      </c>
      <c r="E464" s="41" t="s">
        <v>896</v>
      </c>
      <c r="H464" s="154"/>
      <c r="I464" s="18" t="s">
        <v>53</v>
      </c>
      <c r="J464" s="23" t="s">
        <v>959</v>
      </c>
      <c r="L464" s="15" t="s">
        <v>9</v>
      </c>
      <c r="M464" s="147" t="s">
        <v>969</v>
      </c>
      <c r="N464" s="147" t="s">
        <v>972</v>
      </c>
      <c r="O464" s="147"/>
      <c r="P464" s="15">
        <v>1</v>
      </c>
      <c r="Q464" s="148">
        <f t="shared" si="18"/>
        <v>1</v>
      </c>
      <c r="R4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KOUAME CONSTANT BUYO ESSOUYAKIEYOLAI BELLEVILLE    KOUADIO KOFFI TEYA               0709261042  M CELIBATAIRE PLANTEUR</v>
      </c>
      <c r="Z464" s="53"/>
      <c r="AA464" s="2"/>
      <c r="AB464" s="48"/>
      <c r="AD464" s="41"/>
      <c r="AG464" s="154"/>
      <c r="AH464" s="18"/>
      <c r="AI464" s="23"/>
      <c r="AK464" s="15"/>
      <c r="AL464" s="147"/>
      <c r="AM464" s="147"/>
      <c r="AN464" s="147"/>
      <c r="AO464" s="15"/>
      <c r="AP464" s="148"/>
    </row>
    <row r="465" spans="1:42" ht="16.5" x14ac:dyDescent="0.35">
      <c r="A465" s="53">
        <v>464</v>
      </c>
      <c r="B465" s="2" t="s">
        <v>938</v>
      </c>
      <c r="C465" s="48" t="s">
        <v>660</v>
      </c>
      <c r="D465" t="s">
        <v>925</v>
      </c>
      <c r="E465" s="41" t="s">
        <v>896</v>
      </c>
      <c r="H465" s="154"/>
      <c r="I465" s="18" t="s">
        <v>53</v>
      </c>
      <c r="J465" s="23" t="s">
        <v>960</v>
      </c>
      <c r="L465" s="15" t="s">
        <v>9</v>
      </c>
      <c r="M465" s="147" t="s">
        <v>969</v>
      </c>
      <c r="N465" s="147" t="s">
        <v>923</v>
      </c>
      <c r="O465" s="147">
        <v>1</v>
      </c>
      <c r="P465" s="15">
        <v>0</v>
      </c>
      <c r="Q465" s="148">
        <f t="shared" si="18"/>
        <v>1</v>
      </c>
      <c r="R4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KONAN RICHARD BUYO ESSOUYAKIEYOLAI BELLEVILLE    KOUADIO KOFFI TEYA               0769077487  M CELIBATAIRE COMMERCANTE</v>
      </c>
      <c r="Z465" s="53"/>
      <c r="AA465" s="2"/>
      <c r="AB465" s="48"/>
      <c r="AD465" s="41"/>
      <c r="AG465" s="154"/>
      <c r="AH465" s="18"/>
      <c r="AI465" s="23"/>
      <c r="AK465" s="15"/>
      <c r="AL465" s="147"/>
      <c r="AM465" s="147"/>
      <c r="AN465" s="147"/>
      <c r="AO465" s="15"/>
      <c r="AP465" s="148"/>
    </row>
    <row r="466" spans="1:42" ht="16.5" x14ac:dyDescent="0.35">
      <c r="A466" s="53">
        <v>465</v>
      </c>
      <c r="B466" s="2" t="s">
        <v>939</v>
      </c>
      <c r="C466" s="48" t="s">
        <v>660</v>
      </c>
      <c r="D466" t="s">
        <v>925</v>
      </c>
      <c r="E466" s="41" t="s">
        <v>896</v>
      </c>
      <c r="H466" s="154"/>
      <c r="I466" s="18" t="s">
        <v>53</v>
      </c>
      <c r="J466" s="23" t="s">
        <v>961</v>
      </c>
      <c r="L466" s="15" t="s">
        <v>2</v>
      </c>
      <c r="M466" s="147" t="s">
        <v>968</v>
      </c>
      <c r="N466" s="147" t="s">
        <v>923</v>
      </c>
      <c r="O466" s="147">
        <v>5</v>
      </c>
      <c r="P466" s="15">
        <v>2</v>
      </c>
      <c r="Q466" s="148">
        <f t="shared" si="18"/>
        <v>7</v>
      </c>
      <c r="R4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AKANZA AMENAN PHILOMENE BUYO ESSOUYAKIEYOLAI BELLEVILLE    KOUADIO KOFFI TEYA               0757281391  F EN COUPLE COMMERCANTE</v>
      </c>
      <c r="Z466" s="53"/>
      <c r="AA466" s="2"/>
      <c r="AB466" s="48"/>
      <c r="AD466" s="41"/>
      <c r="AG466" s="154"/>
      <c r="AH466" s="18"/>
      <c r="AI466" s="23"/>
      <c r="AK466" s="15"/>
      <c r="AL466" s="147"/>
      <c r="AM466" s="147"/>
      <c r="AN466" s="147"/>
      <c r="AO466" s="15"/>
      <c r="AP466" s="148"/>
    </row>
    <row r="467" spans="1:42" ht="16.5" x14ac:dyDescent="0.35">
      <c r="A467" s="53">
        <v>466</v>
      </c>
      <c r="B467" s="2" t="s">
        <v>940</v>
      </c>
      <c r="C467" s="48" t="s">
        <v>660</v>
      </c>
      <c r="D467" t="s">
        <v>925</v>
      </c>
      <c r="E467" s="41" t="s">
        <v>896</v>
      </c>
      <c r="H467" s="154"/>
      <c r="I467" s="18" t="s">
        <v>53</v>
      </c>
      <c r="J467" s="23" t="s">
        <v>962</v>
      </c>
      <c r="L467" s="15" t="s">
        <v>2</v>
      </c>
      <c r="M467" s="147" t="s">
        <v>968</v>
      </c>
      <c r="N467" s="147" t="s">
        <v>923</v>
      </c>
      <c r="O467" s="147">
        <v>2</v>
      </c>
      <c r="P467" s="15">
        <v>2</v>
      </c>
      <c r="Q467" s="148">
        <f t="shared" si="18"/>
        <v>4</v>
      </c>
      <c r="R4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AHOU BRGITTE  BUYO ESSOUYAKIEYOLAI BELLEVILLE    KOUADIO KOFFI TEYA               0758197890  F EN COUPLE COMMERCANTE</v>
      </c>
      <c r="Z467" s="53"/>
      <c r="AA467" s="2"/>
      <c r="AB467" s="48"/>
      <c r="AD467" s="41"/>
      <c r="AG467" s="154"/>
      <c r="AH467" s="18"/>
      <c r="AI467" s="23"/>
      <c r="AK467" s="15"/>
      <c r="AL467" s="147"/>
      <c r="AM467" s="147"/>
      <c r="AN467" s="147"/>
      <c r="AO467" s="15"/>
      <c r="AP467" s="148"/>
    </row>
    <row r="468" spans="1:42" ht="16.5" x14ac:dyDescent="0.35">
      <c r="A468" s="53">
        <v>467</v>
      </c>
      <c r="B468" s="2" t="s">
        <v>941</v>
      </c>
      <c r="C468" s="48" t="s">
        <v>660</v>
      </c>
      <c r="D468" t="s">
        <v>925</v>
      </c>
      <c r="E468" s="41" t="s">
        <v>896</v>
      </c>
      <c r="H468" s="154"/>
      <c r="I468" s="18" t="s">
        <v>53</v>
      </c>
      <c r="J468" s="23" t="s">
        <v>963</v>
      </c>
      <c r="L468" s="15" t="s">
        <v>2</v>
      </c>
      <c r="M468" s="147" t="s">
        <v>968</v>
      </c>
      <c r="N468" s="147" t="s">
        <v>923</v>
      </c>
      <c r="O468" s="147">
        <v>1</v>
      </c>
      <c r="P468" s="15">
        <v>1</v>
      </c>
      <c r="Q468" s="148">
        <f t="shared" si="18"/>
        <v>2</v>
      </c>
      <c r="R4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AONDJO ALIKA ANTOINETTE BUYO ESSOUYAKIEYOLAI BELLEVILLE    KOUADIO KOFFI TEYA               0749291300  F EN COUPLE COMMERCANTE</v>
      </c>
      <c r="Z468" s="53"/>
      <c r="AA468" s="2"/>
      <c r="AB468" s="48"/>
      <c r="AD468" s="41"/>
      <c r="AG468" s="154"/>
      <c r="AH468" s="18"/>
      <c r="AI468" s="23"/>
      <c r="AK468" s="15"/>
      <c r="AL468" s="147"/>
      <c r="AM468" s="147"/>
      <c r="AN468" s="147"/>
      <c r="AO468" s="15"/>
      <c r="AP468" s="148"/>
    </row>
    <row r="469" spans="1:42" ht="16.5" x14ac:dyDescent="0.35">
      <c r="A469" s="53">
        <v>468</v>
      </c>
      <c r="B469" s="2" t="s">
        <v>942</v>
      </c>
      <c r="C469" s="48" t="s">
        <v>660</v>
      </c>
      <c r="D469" t="s">
        <v>925</v>
      </c>
      <c r="E469" s="41" t="s">
        <v>896</v>
      </c>
      <c r="H469" s="154"/>
      <c r="I469" s="18" t="s">
        <v>53</v>
      </c>
      <c r="J469" s="23" t="s">
        <v>964</v>
      </c>
      <c r="L469" s="15" t="s">
        <v>2</v>
      </c>
      <c r="M469" s="147" t="s">
        <v>968</v>
      </c>
      <c r="N469" s="147" t="s">
        <v>923</v>
      </c>
      <c r="O469" s="147">
        <v>1</v>
      </c>
      <c r="P469" s="15">
        <v>1</v>
      </c>
      <c r="Q469" s="148">
        <f t="shared" si="18"/>
        <v>2</v>
      </c>
      <c r="R4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BROU AFFOUE VANESSA BUYO ESSOUYAKIEYOLAI BELLEVILLE    KOUADIO KOFFI TEYA               0747971493  F EN COUPLE COMMERCANTE</v>
      </c>
      <c r="Z469" s="53"/>
      <c r="AA469" s="2"/>
      <c r="AB469" s="48"/>
      <c r="AD469" s="41"/>
      <c r="AG469" s="154"/>
      <c r="AH469" s="18"/>
      <c r="AI469" s="23"/>
      <c r="AK469" s="15"/>
      <c r="AL469" s="147"/>
      <c r="AM469" s="147"/>
      <c r="AN469" s="147"/>
      <c r="AO469" s="15"/>
      <c r="AP469" s="148"/>
    </row>
    <row r="470" spans="1:42" ht="16.5" x14ac:dyDescent="0.35">
      <c r="A470" s="53">
        <v>469</v>
      </c>
      <c r="B470" s="2" t="s">
        <v>943</v>
      </c>
      <c r="C470" s="48" t="s">
        <v>660</v>
      </c>
      <c r="D470" t="s">
        <v>925</v>
      </c>
      <c r="E470" s="41" t="s">
        <v>896</v>
      </c>
      <c r="H470" s="154"/>
      <c r="I470" s="18" t="s">
        <v>53</v>
      </c>
      <c r="J470" s="23" t="s">
        <v>965</v>
      </c>
      <c r="L470" s="15" t="s">
        <v>2</v>
      </c>
      <c r="M470" s="147" t="s">
        <v>968</v>
      </c>
      <c r="N470" s="147" t="s">
        <v>973</v>
      </c>
      <c r="O470" s="147"/>
      <c r="P470" s="15">
        <v>1</v>
      </c>
      <c r="Q470" s="148">
        <v>1</v>
      </c>
      <c r="R4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AKISSI BUYO ESSOUYAKIEYOLAI BELLEVILLE    KOUADIO KOFFI TEYA               0767774477  F EN COUPLE COMMRECANTE</v>
      </c>
      <c r="Z470" s="53"/>
      <c r="AA470" s="2"/>
      <c r="AB470" s="48"/>
      <c r="AD470" s="41"/>
      <c r="AG470" s="154"/>
      <c r="AH470" s="18"/>
      <c r="AI470" s="23"/>
      <c r="AK470" s="15"/>
      <c r="AL470" s="147"/>
      <c r="AM470" s="147"/>
      <c r="AN470" s="147"/>
      <c r="AO470" s="15"/>
      <c r="AP470" s="148"/>
    </row>
    <row r="471" spans="1:42" ht="16.5" x14ac:dyDescent="0.35">
      <c r="A471" s="53">
        <v>470</v>
      </c>
      <c r="B471" s="2" t="s">
        <v>944</v>
      </c>
      <c r="C471" s="48" t="s">
        <v>660</v>
      </c>
      <c r="D471" t="s">
        <v>925</v>
      </c>
      <c r="E471" s="41" t="s">
        <v>896</v>
      </c>
      <c r="H471" s="154"/>
      <c r="I471" s="18" t="s">
        <v>53</v>
      </c>
      <c r="J471" s="23" t="s">
        <v>966</v>
      </c>
      <c r="L471" s="15" t="s">
        <v>2</v>
      </c>
      <c r="M471" s="147" t="s">
        <v>968</v>
      </c>
      <c r="N471" s="147" t="s">
        <v>923</v>
      </c>
      <c r="O471" s="147"/>
      <c r="P471" s="15">
        <v>1</v>
      </c>
      <c r="Q471" s="148">
        <f t="shared" si="18"/>
        <v>1</v>
      </c>
      <c r="R4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NAOMI BUYO ESSOUYAKIEYOLAI BELLEVILLE    KOUADIO KOFFI TEYA               0757547430  F EN COUPLE COMMERCANTE</v>
      </c>
      <c r="Z471" s="53"/>
      <c r="AA471" s="2"/>
      <c r="AB471" s="48"/>
      <c r="AD471" s="41"/>
      <c r="AG471" s="154"/>
      <c r="AH471" s="18"/>
      <c r="AI471" s="23"/>
      <c r="AK471" s="15"/>
      <c r="AL471" s="147"/>
      <c r="AM471" s="147"/>
      <c r="AN471" s="147"/>
      <c r="AO471" s="15"/>
      <c r="AP471" s="148"/>
    </row>
    <row r="472" spans="1:42" ht="16.5" x14ac:dyDescent="0.35">
      <c r="A472" s="53">
        <v>471</v>
      </c>
      <c r="B472" s="2" t="s">
        <v>945</v>
      </c>
      <c r="C472" s="48" t="s">
        <v>660</v>
      </c>
      <c r="D472" t="s">
        <v>925</v>
      </c>
      <c r="E472" s="41" t="s">
        <v>896</v>
      </c>
      <c r="H472" s="154"/>
      <c r="I472" s="18" t="s">
        <v>53</v>
      </c>
      <c r="J472" s="23" t="s">
        <v>967</v>
      </c>
      <c r="L472" s="15" t="s">
        <v>9</v>
      </c>
      <c r="M472" s="147" t="s">
        <v>969</v>
      </c>
      <c r="N472" s="147" t="s">
        <v>972</v>
      </c>
      <c r="O472" s="147">
        <v>1</v>
      </c>
      <c r="P472" s="15"/>
      <c r="Q472" s="148">
        <f t="shared" si="18"/>
        <v>1</v>
      </c>
      <c r="R4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KOUASSI BUYO ESSOUYAKIEYOLAI BELLEVILLE    KOUADIO KOFFI TEYA               0758602595  M CELIBATAIRE PLANTEUR</v>
      </c>
      <c r="Z472" s="53"/>
      <c r="AA472" s="2"/>
      <c r="AB472" s="48"/>
      <c r="AD472" s="41"/>
      <c r="AG472" s="154"/>
      <c r="AH472" s="18"/>
      <c r="AI472" s="23"/>
      <c r="AK472" s="15"/>
      <c r="AL472" s="147"/>
      <c r="AM472" s="147"/>
      <c r="AN472" s="147"/>
      <c r="AO472" s="15"/>
      <c r="AP472" s="148"/>
    </row>
    <row r="473" spans="1:42" ht="16.5" x14ac:dyDescent="0.35">
      <c r="A473" s="53">
        <v>472</v>
      </c>
      <c r="B473" s="2" t="s">
        <v>946</v>
      </c>
      <c r="C473" s="48" t="s">
        <v>660</v>
      </c>
      <c r="D473" t="s">
        <v>925</v>
      </c>
      <c r="E473" s="41" t="s">
        <v>896</v>
      </c>
      <c r="H473" s="154"/>
      <c r="I473" s="18" t="s">
        <v>53</v>
      </c>
      <c r="J473" s="194"/>
      <c r="L473" s="15" t="s">
        <v>2</v>
      </c>
      <c r="M473" s="147" t="s">
        <v>968</v>
      </c>
      <c r="N473" s="147" t="s">
        <v>923</v>
      </c>
      <c r="O473" s="147">
        <v>2</v>
      </c>
      <c r="P473" s="15">
        <v>2</v>
      </c>
      <c r="Q473" s="148">
        <f t="shared" si="18"/>
        <v>4</v>
      </c>
      <c r="R4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Mme DJATI BUYO ESSOUYAKIEYOLAI BELLEVILLE    KOUADIO KOFFI TEYA                 F EN COUPLE COMMERCANTE</v>
      </c>
      <c r="Z473" s="53"/>
      <c r="AA473" s="2"/>
      <c r="AB473" s="48"/>
      <c r="AD473" s="41"/>
      <c r="AG473" s="154"/>
      <c r="AH473" s="18"/>
      <c r="AI473" s="194"/>
      <c r="AK473" s="15"/>
      <c r="AL473" s="147"/>
      <c r="AM473" s="147"/>
      <c r="AN473" s="147"/>
      <c r="AO473" s="15"/>
      <c r="AP473" s="148"/>
    </row>
    <row r="474" spans="1:42" ht="16.5" x14ac:dyDescent="0.35">
      <c r="A474" s="53">
        <v>473</v>
      </c>
      <c r="B474" s="2" t="s">
        <v>976</v>
      </c>
      <c r="C474" s="48" t="s">
        <v>660</v>
      </c>
      <c r="D474" t="s">
        <v>975</v>
      </c>
      <c r="E474" s="41" t="s">
        <v>974</v>
      </c>
      <c r="H474" s="10"/>
      <c r="I474" s="18" t="s">
        <v>53</v>
      </c>
      <c r="J474" s="23" t="s">
        <v>1005</v>
      </c>
      <c r="L474" s="15" t="s">
        <v>2</v>
      </c>
      <c r="M474" s="18" t="s">
        <v>969</v>
      </c>
      <c r="N474" s="147" t="s">
        <v>920</v>
      </c>
      <c r="O474" s="147">
        <v>2</v>
      </c>
      <c r="P474" s="15">
        <v>2</v>
      </c>
      <c r="Q474" s="148">
        <f t="shared" si="18"/>
        <v>4</v>
      </c>
      <c r="R4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AUGUSTINE SEREBO BUYO UNION_BUYO CITE    KOUADIO KOFFI TEYA               0748156946  F CELIBATAIRE COMMERCENTE</v>
      </c>
      <c r="Z474" s="53"/>
      <c r="AA474" s="2"/>
      <c r="AB474" s="48"/>
      <c r="AD474" s="41"/>
      <c r="AG474" s="10"/>
      <c r="AH474" s="18"/>
      <c r="AI474" s="23"/>
      <c r="AK474" s="15"/>
      <c r="AL474" s="18"/>
      <c r="AM474" s="147"/>
      <c r="AN474" s="147"/>
      <c r="AO474" s="15"/>
      <c r="AP474" s="148"/>
    </row>
    <row r="475" spans="1:42" ht="16.5" x14ac:dyDescent="0.35">
      <c r="A475" s="53">
        <v>474</v>
      </c>
      <c r="B475" s="2" t="s">
        <v>977</v>
      </c>
      <c r="C475" s="48" t="s">
        <v>660</v>
      </c>
      <c r="D475" t="s">
        <v>975</v>
      </c>
      <c r="E475" s="41" t="s">
        <v>974</v>
      </c>
      <c r="H475" s="10"/>
      <c r="I475" s="18" t="s">
        <v>53</v>
      </c>
      <c r="J475" s="23" t="s">
        <v>1006</v>
      </c>
      <c r="L475" s="15" t="s">
        <v>2</v>
      </c>
      <c r="M475" s="18" t="s">
        <v>969</v>
      </c>
      <c r="N475" s="147" t="s">
        <v>920</v>
      </c>
      <c r="O475" s="147">
        <v>1</v>
      </c>
      <c r="P475" s="15"/>
      <c r="Q475" s="148">
        <f t="shared" si="18"/>
        <v>1</v>
      </c>
      <c r="R4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LOGBO JOSEPHINE BUYO UNION_BUYO CITE    KOUADIO KOFFI TEYA               0788933583  F CELIBATAIRE COMMERCENTE</v>
      </c>
      <c r="Z475" s="53"/>
      <c r="AA475" s="2"/>
      <c r="AB475" s="48"/>
      <c r="AD475" s="41"/>
      <c r="AG475" s="10"/>
      <c r="AH475" s="18"/>
      <c r="AI475" s="23"/>
      <c r="AK475" s="15"/>
      <c r="AL475" s="18"/>
      <c r="AM475" s="147"/>
      <c r="AN475" s="147"/>
      <c r="AO475" s="15"/>
      <c r="AP475" s="148"/>
    </row>
    <row r="476" spans="1:42" ht="16.5" x14ac:dyDescent="0.35">
      <c r="A476" s="53">
        <v>475</v>
      </c>
      <c r="B476" s="2" t="s">
        <v>978</v>
      </c>
      <c r="C476" s="48" t="s">
        <v>660</v>
      </c>
      <c r="D476" t="s">
        <v>975</v>
      </c>
      <c r="E476" s="41" t="s">
        <v>974</v>
      </c>
      <c r="H476" s="154"/>
      <c r="I476" s="18" t="s">
        <v>53</v>
      </c>
      <c r="J476" s="23" t="s">
        <v>1007</v>
      </c>
      <c r="L476" s="15" t="s">
        <v>2</v>
      </c>
      <c r="M476" s="18" t="s">
        <v>1035</v>
      </c>
      <c r="N476" s="147" t="s">
        <v>920</v>
      </c>
      <c r="O476" s="147">
        <v>2</v>
      </c>
      <c r="P476" s="15">
        <v>3</v>
      </c>
      <c r="Q476" s="148">
        <f t="shared" si="18"/>
        <v>5</v>
      </c>
      <c r="R4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ADJOUA GEOGETTE BUYO UNION_BUYO CITE    KOUADIO KOFFI TEYA               0788831523  F VEUVRE COMMERCENTE</v>
      </c>
      <c r="Z476" s="53"/>
      <c r="AA476" s="2"/>
      <c r="AB476" s="48"/>
      <c r="AD476" s="41"/>
      <c r="AG476" s="154"/>
      <c r="AH476" s="18"/>
      <c r="AI476" s="23"/>
      <c r="AK476" s="15"/>
      <c r="AL476" s="18"/>
      <c r="AM476" s="147"/>
      <c r="AN476" s="147"/>
      <c r="AO476" s="15"/>
      <c r="AP476" s="148"/>
    </row>
    <row r="477" spans="1:42" ht="16.5" x14ac:dyDescent="0.35">
      <c r="A477" s="53">
        <v>476</v>
      </c>
      <c r="B477" s="2" t="s">
        <v>979</v>
      </c>
      <c r="C477" s="48" t="s">
        <v>660</v>
      </c>
      <c r="D477" t="s">
        <v>975</v>
      </c>
      <c r="E477" s="41" t="s">
        <v>974</v>
      </c>
      <c r="H477" s="154"/>
      <c r="I477" s="18" t="s">
        <v>53</v>
      </c>
      <c r="J477" s="23" t="s">
        <v>1008</v>
      </c>
      <c r="L477" s="15" t="s">
        <v>2</v>
      </c>
      <c r="M477" s="18" t="s">
        <v>968</v>
      </c>
      <c r="N477" s="147" t="s">
        <v>920</v>
      </c>
      <c r="O477" s="147">
        <v>3</v>
      </c>
      <c r="P477" s="15">
        <v>2</v>
      </c>
      <c r="Q477" s="148">
        <f t="shared" si="18"/>
        <v>5</v>
      </c>
      <c r="R4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PASSA IRENE  BUYO UNION_BUYO CITE    KOUADIO KOFFI TEYA               0709238803  F EN COUPLE COMMERCENTE</v>
      </c>
      <c r="Z477" s="53"/>
      <c r="AA477" s="2"/>
      <c r="AB477" s="48"/>
      <c r="AD477" s="41"/>
      <c r="AG477" s="154"/>
      <c r="AH477" s="18"/>
      <c r="AI477" s="23"/>
      <c r="AK477" s="15"/>
      <c r="AL477" s="18"/>
      <c r="AM477" s="147"/>
      <c r="AN477" s="147"/>
      <c r="AO477" s="15"/>
      <c r="AP477" s="148"/>
    </row>
    <row r="478" spans="1:42" ht="16.5" x14ac:dyDescent="0.35">
      <c r="A478" s="53">
        <v>477</v>
      </c>
      <c r="B478" s="2" t="s">
        <v>980</v>
      </c>
      <c r="C478" s="48" t="s">
        <v>660</v>
      </c>
      <c r="D478" t="s">
        <v>975</v>
      </c>
      <c r="E478" s="41" t="s">
        <v>974</v>
      </c>
      <c r="H478" s="154"/>
      <c r="I478" s="18" t="s">
        <v>53</v>
      </c>
      <c r="J478" s="23" t="s">
        <v>1009</v>
      </c>
      <c r="L478" s="15" t="s">
        <v>2</v>
      </c>
      <c r="M478" s="164" t="s">
        <v>968</v>
      </c>
      <c r="N478" s="147" t="s">
        <v>920</v>
      </c>
      <c r="O478" s="147">
        <v>3</v>
      </c>
      <c r="P478" s="15">
        <v>1</v>
      </c>
      <c r="Q478" s="148">
        <f t="shared" si="18"/>
        <v>4</v>
      </c>
      <c r="R4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ISABELLE BUYO UNION_BUYO CITE    KOUADIO KOFFI TEYA               0777707686  F EN COUPLE COMMERCENTE</v>
      </c>
      <c r="Z478" s="53"/>
      <c r="AA478" s="2"/>
      <c r="AB478" s="48"/>
      <c r="AD478" s="41"/>
      <c r="AG478" s="154"/>
      <c r="AH478" s="18"/>
      <c r="AI478" s="23"/>
      <c r="AK478" s="15"/>
      <c r="AL478" s="164"/>
      <c r="AM478" s="147"/>
      <c r="AN478" s="147"/>
      <c r="AO478" s="15"/>
      <c r="AP478" s="148"/>
    </row>
    <row r="479" spans="1:42" ht="16.5" x14ac:dyDescent="0.35">
      <c r="A479" s="53">
        <v>478</v>
      </c>
      <c r="B479" s="2" t="s">
        <v>981</v>
      </c>
      <c r="C479" s="48" t="s">
        <v>660</v>
      </c>
      <c r="D479" t="s">
        <v>975</v>
      </c>
      <c r="E479" s="41" t="s">
        <v>974</v>
      </c>
      <c r="H479" s="154"/>
      <c r="I479" s="18" t="s">
        <v>53</v>
      </c>
      <c r="J479" s="23" t="s">
        <v>1010</v>
      </c>
      <c r="L479" s="15" t="s">
        <v>2</v>
      </c>
      <c r="M479" s="18" t="s">
        <v>1035</v>
      </c>
      <c r="N479" s="147" t="s">
        <v>920</v>
      </c>
      <c r="O479" s="147">
        <v>1</v>
      </c>
      <c r="P479" s="15"/>
      <c r="Q479" s="148">
        <f t="shared" si="18"/>
        <v>1</v>
      </c>
      <c r="R4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ADOU BOUSSOU ODETTE  BUYO UNION_BUYO CITE    KOUADIO KOFFI TEYA               0758108060  F VEUVRE COMMERCENTE</v>
      </c>
      <c r="Z479" s="53"/>
      <c r="AA479" s="2"/>
      <c r="AB479" s="48"/>
      <c r="AD479" s="41"/>
      <c r="AG479" s="154"/>
      <c r="AH479" s="18"/>
      <c r="AI479" s="23"/>
      <c r="AK479" s="15"/>
      <c r="AL479" s="18"/>
      <c r="AM479" s="147"/>
      <c r="AN479" s="147"/>
      <c r="AO479" s="15"/>
      <c r="AP479" s="148"/>
    </row>
    <row r="480" spans="1:42" ht="16.5" x14ac:dyDescent="0.35">
      <c r="A480" s="53">
        <v>479</v>
      </c>
      <c r="B480" s="2" t="s">
        <v>982</v>
      </c>
      <c r="C480" s="48" t="s">
        <v>660</v>
      </c>
      <c r="D480" t="s">
        <v>975</v>
      </c>
      <c r="E480" s="41" t="s">
        <v>974</v>
      </c>
      <c r="H480" s="154"/>
      <c r="I480" s="18" t="s">
        <v>53</v>
      </c>
      <c r="J480" s="23" t="s">
        <v>1011</v>
      </c>
      <c r="L480" s="15" t="s">
        <v>9</v>
      </c>
      <c r="M480" s="18" t="s">
        <v>969</v>
      </c>
      <c r="N480" s="147" t="s">
        <v>920</v>
      </c>
      <c r="O480" s="147">
        <v>3</v>
      </c>
      <c r="P480" s="15">
        <v>2</v>
      </c>
      <c r="Q480" s="148">
        <f t="shared" si="18"/>
        <v>5</v>
      </c>
      <c r="R4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SIE LAURENT  BUYO UNION_BUYO CITE    KOUADIO KOFFI TEYA               0747098045  M CELIBATAIRE COMMERCENTE</v>
      </c>
      <c r="Z480" s="53"/>
      <c r="AA480" s="2"/>
      <c r="AB480" s="48"/>
      <c r="AD480" s="41"/>
      <c r="AG480" s="154"/>
      <c r="AH480" s="18"/>
      <c r="AI480" s="23"/>
      <c r="AK480" s="15"/>
      <c r="AL480" s="18"/>
      <c r="AM480" s="147"/>
      <c r="AN480" s="147"/>
      <c r="AO480" s="15"/>
      <c r="AP480" s="148"/>
    </row>
    <row r="481" spans="1:42" ht="16.5" x14ac:dyDescent="0.35">
      <c r="A481" s="53">
        <v>480</v>
      </c>
      <c r="B481" s="2" t="s">
        <v>629</v>
      </c>
      <c r="C481" s="48" t="s">
        <v>660</v>
      </c>
      <c r="D481" t="s">
        <v>975</v>
      </c>
      <c r="E481" s="41" t="s">
        <v>974</v>
      </c>
      <c r="H481" s="154"/>
      <c r="I481" s="18" t="s">
        <v>53</v>
      </c>
      <c r="J481" s="23" t="s">
        <v>1012</v>
      </c>
      <c r="L481" s="15" t="s">
        <v>2</v>
      </c>
      <c r="M481" s="18" t="s">
        <v>968</v>
      </c>
      <c r="N481" s="147" t="s">
        <v>922</v>
      </c>
      <c r="O481" s="147">
        <v>1</v>
      </c>
      <c r="P481" s="15"/>
      <c r="Q481" s="148">
        <f t="shared" si="18"/>
        <v>1</v>
      </c>
      <c r="R4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OUATTARA SALI BUYO UNION_BUYO CITE    KOUADIO KOFFI TEYA               0787018472  F EN COUPLE COMMERCENT</v>
      </c>
      <c r="Z481" s="53"/>
      <c r="AA481" s="2"/>
      <c r="AB481" s="48"/>
      <c r="AD481" s="41"/>
      <c r="AG481" s="154"/>
      <c r="AH481" s="18"/>
      <c r="AI481" s="23"/>
      <c r="AK481" s="15"/>
      <c r="AL481" s="18"/>
      <c r="AM481" s="147"/>
      <c r="AN481" s="147"/>
      <c r="AO481" s="15"/>
      <c r="AP481" s="148"/>
    </row>
    <row r="482" spans="1:42" ht="16.5" x14ac:dyDescent="0.35">
      <c r="A482" s="53">
        <v>481</v>
      </c>
      <c r="B482" s="2" t="s">
        <v>983</v>
      </c>
      <c r="C482" s="48" t="s">
        <v>660</v>
      </c>
      <c r="D482" t="s">
        <v>975</v>
      </c>
      <c r="E482" s="41" t="s">
        <v>974</v>
      </c>
      <c r="H482" s="154"/>
      <c r="I482" s="18" t="s">
        <v>53</v>
      </c>
      <c r="J482" s="23" t="s">
        <v>1013</v>
      </c>
      <c r="L482" s="15" t="s">
        <v>2</v>
      </c>
      <c r="M482" s="18" t="s">
        <v>968</v>
      </c>
      <c r="N482" s="147" t="s">
        <v>923</v>
      </c>
      <c r="O482" s="147">
        <v>1</v>
      </c>
      <c r="P482" s="15"/>
      <c r="Q482" s="148">
        <f t="shared" si="18"/>
        <v>1</v>
      </c>
      <c r="R4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ASSAOULE GEORGETTE BUYO UNION_BUYO CITE    KOUADIO KOFFI TEYA               0778439727  F EN COUPLE COMMERCANTE</v>
      </c>
      <c r="Z482" s="53"/>
      <c r="AA482" s="2"/>
      <c r="AB482" s="48"/>
      <c r="AD482" s="41"/>
      <c r="AG482" s="154"/>
      <c r="AH482" s="18"/>
      <c r="AI482" s="23"/>
      <c r="AK482" s="15"/>
      <c r="AL482" s="18"/>
      <c r="AM482" s="147"/>
      <c r="AN482" s="147"/>
      <c r="AO482" s="15"/>
      <c r="AP482" s="148"/>
    </row>
    <row r="483" spans="1:42" ht="16.5" x14ac:dyDescent="0.35">
      <c r="A483" s="53">
        <v>482</v>
      </c>
      <c r="B483" s="2" t="s">
        <v>984</v>
      </c>
      <c r="C483" s="48" t="s">
        <v>660</v>
      </c>
      <c r="D483" t="s">
        <v>975</v>
      </c>
      <c r="E483" s="41" t="s">
        <v>974</v>
      </c>
      <c r="H483" s="154"/>
      <c r="I483" s="18" t="s">
        <v>53</v>
      </c>
      <c r="J483" s="23" t="s">
        <v>1014</v>
      </c>
      <c r="L483" s="15" t="s">
        <v>2</v>
      </c>
      <c r="M483" s="18" t="s">
        <v>968</v>
      </c>
      <c r="N483" s="147" t="s">
        <v>923</v>
      </c>
      <c r="O483" s="147">
        <v>1</v>
      </c>
      <c r="P483" s="15">
        <v>3</v>
      </c>
      <c r="Q483" s="148">
        <f t="shared" si="18"/>
        <v>4</v>
      </c>
      <c r="R4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ADELAIDE BUYO UNION_BUYO CITE    KOUADIO KOFFI TEYA               O707189430  F EN COUPLE COMMERCANTE</v>
      </c>
      <c r="Z483" s="53"/>
      <c r="AA483" s="2"/>
      <c r="AB483" s="48"/>
      <c r="AD483" s="41"/>
      <c r="AG483" s="154"/>
      <c r="AH483" s="18"/>
      <c r="AI483" s="23"/>
      <c r="AK483" s="15"/>
      <c r="AL483" s="18"/>
      <c r="AM483" s="147"/>
      <c r="AN483" s="147"/>
      <c r="AO483" s="15"/>
      <c r="AP483" s="148"/>
    </row>
    <row r="484" spans="1:42" ht="16.5" x14ac:dyDescent="0.35">
      <c r="A484" s="53">
        <v>483</v>
      </c>
      <c r="B484" s="2" t="s">
        <v>985</v>
      </c>
      <c r="C484" s="48" t="s">
        <v>660</v>
      </c>
      <c r="D484" t="s">
        <v>975</v>
      </c>
      <c r="E484" s="41" t="s">
        <v>974</v>
      </c>
      <c r="H484" s="154"/>
      <c r="I484" s="18" t="s">
        <v>53</v>
      </c>
      <c r="J484" s="23" t="s">
        <v>1015</v>
      </c>
      <c r="L484" s="15" t="s">
        <v>2</v>
      </c>
      <c r="M484" s="18" t="s">
        <v>969</v>
      </c>
      <c r="N484" s="147" t="s">
        <v>923</v>
      </c>
      <c r="O484" s="147">
        <v>1</v>
      </c>
      <c r="P484" s="15">
        <v>3</v>
      </c>
      <c r="Q484" s="148">
        <f t="shared" si="18"/>
        <v>4</v>
      </c>
      <c r="R4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AFFOUE PHILOMENE BUYO UNION_BUYO CITE    KOUADIO KOFFI TEYA               0709552399  F CELIBATAIRE COMMERCANTE</v>
      </c>
      <c r="Z484" s="53"/>
      <c r="AA484" s="2"/>
      <c r="AB484" s="48"/>
      <c r="AD484" s="41"/>
      <c r="AG484" s="154"/>
      <c r="AH484" s="18"/>
      <c r="AI484" s="23"/>
      <c r="AK484" s="15"/>
      <c r="AL484" s="18"/>
      <c r="AM484" s="147"/>
      <c r="AN484" s="147"/>
      <c r="AO484" s="15"/>
      <c r="AP484" s="148"/>
    </row>
    <row r="485" spans="1:42" ht="16.5" x14ac:dyDescent="0.35">
      <c r="A485" s="53">
        <v>484</v>
      </c>
      <c r="B485" s="2" t="s">
        <v>986</v>
      </c>
      <c r="C485" s="48" t="s">
        <v>660</v>
      </c>
      <c r="D485" t="s">
        <v>975</v>
      </c>
      <c r="E485" s="41" t="s">
        <v>974</v>
      </c>
      <c r="H485" s="154"/>
      <c r="I485" s="18" t="s">
        <v>53</v>
      </c>
      <c r="J485" s="23" t="s">
        <v>1016</v>
      </c>
      <c r="L485" s="15" t="s">
        <v>2</v>
      </c>
      <c r="M485" s="18" t="s">
        <v>968</v>
      </c>
      <c r="N485" s="147" t="s">
        <v>923</v>
      </c>
      <c r="O485" s="147">
        <v>1</v>
      </c>
      <c r="P485" s="15">
        <v>1</v>
      </c>
      <c r="Q485" s="148">
        <f t="shared" si="18"/>
        <v>2</v>
      </c>
      <c r="R4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AFFOU BUYO UNION_BUYO CITE    KOUADIO KOFFI TEYA               0708034803  F EN COUPLE COMMERCANTE</v>
      </c>
      <c r="Z485" s="53"/>
      <c r="AA485" s="2"/>
      <c r="AB485" s="48"/>
      <c r="AD485" s="41"/>
      <c r="AG485" s="154"/>
      <c r="AH485" s="18"/>
      <c r="AI485" s="23"/>
      <c r="AK485" s="15"/>
      <c r="AL485" s="18"/>
      <c r="AM485" s="147"/>
      <c r="AN485" s="147"/>
      <c r="AO485" s="15"/>
      <c r="AP485" s="148"/>
    </row>
    <row r="486" spans="1:42" ht="16.5" x14ac:dyDescent="0.35">
      <c r="A486" s="53">
        <v>485</v>
      </c>
      <c r="B486" s="2" t="s">
        <v>987</v>
      </c>
      <c r="C486" s="48" t="s">
        <v>660</v>
      </c>
      <c r="D486" t="s">
        <v>975</v>
      </c>
      <c r="E486" s="41" t="s">
        <v>974</v>
      </c>
      <c r="H486" s="154"/>
      <c r="I486" s="18" t="s">
        <v>53</v>
      </c>
      <c r="J486" s="23" t="s">
        <v>1017</v>
      </c>
      <c r="L486" s="15" t="s">
        <v>2</v>
      </c>
      <c r="M486" s="18" t="s">
        <v>969</v>
      </c>
      <c r="N486" s="147" t="s">
        <v>923</v>
      </c>
      <c r="O486" s="147">
        <v>2</v>
      </c>
      <c r="P486" s="15">
        <v>3</v>
      </c>
      <c r="Q486" s="148">
        <f t="shared" si="18"/>
        <v>5</v>
      </c>
      <c r="R4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ADJOUA BUYO UNION_BUYO CITE    KOUADIO KOFFI TEYA               0748861996  F CELIBATAIRE COMMERCANTE</v>
      </c>
      <c r="Z486" s="53"/>
      <c r="AA486" s="2"/>
      <c r="AB486" s="48"/>
      <c r="AD486" s="41"/>
      <c r="AG486" s="154"/>
      <c r="AH486" s="18"/>
      <c r="AI486" s="23"/>
      <c r="AK486" s="15"/>
      <c r="AL486" s="18"/>
      <c r="AM486" s="147"/>
      <c r="AN486" s="147"/>
      <c r="AO486" s="15"/>
      <c r="AP486" s="148"/>
    </row>
    <row r="487" spans="1:42" ht="16.5" x14ac:dyDescent="0.35">
      <c r="A487" s="53">
        <v>486</v>
      </c>
      <c r="B487" s="2" t="s">
        <v>988</v>
      </c>
      <c r="C487" s="48" t="s">
        <v>660</v>
      </c>
      <c r="D487" t="s">
        <v>975</v>
      </c>
      <c r="E487" s="41" t="s">
        <v>974</v>
      </c>
      <c r="H487" s="154"/>
      <c r="I487" s="18" t="s">
        <v>53</v>
      </c>
      <c r="J487" s="23" t="s">
        <v>1018</v>
      </c>
      <c r="L487" s="15" t="s">
        <v>2</v>
      </c>
      <c r="M487" s="18" t="s">
        <v>969</v>
      </c>
      <c r="N487" s="147" t="s">
        <v>923</v>
      </c>
      <c r="O487" s="147">
        <v>1</v>
      </c>
      <c r="P487" s="15"/>
      <c r="Q487" s="148">
        <f t="shared" si="18"/>
        <v>1</v>
      </c>
      <c r="R4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AMOIN GISSELLE BUYO UNION_BUYO CITE    KOUADIO KOFFI TEYA               0707502349  F CELIBATAIRE COMMERCANTE</v>
      </c>
      <c r="Z487" s="53"/>
      <c r="AA487" s="2"/>
      <c r="AB487" s="48"/>
      <c r="AD487" s="41"/>
      <c r="AG487" s="154"/>
      <c r="AH487" s="18"/>
      <c r="AI487" s="23"/>
      <c r="AK487" s="15"/>
      <c r="AL487" s="18"/>
      <c r="AM487" s="147"/>
      <c r="AN487" s="147"/>
      <c r="AO487" s="15"/>
      <c r="AP487" s="148"/>
    </row>
    <row r="488" spans="1:42" ht="16.5" x14ac:dyDescent="0.35">
      <c r="A488" s="53">
        <v>487</v>
      </c>
      <c r="B488" s="2" t="s">
        <v>989</v>
      </c>
      <c r="C488" s="48" t="s">
        <v>660</v>
      </c>
      <c r="D488" t="s">
        <v>975</v>
      </c>
      <c r="E488" s="41" t="s">
        <v>974</v>
      </c>
      <c r="H488" s="154"/>
      <c r="I488" s="18" t="s">
        <v>53</v>
      </c>
      <c r="J488" s="23" t="s">
        <v>1019</v>
      </c>
      <c r="L488" s="15" t="s">
        <v>2</v>
      </c>
      <c r="M488" s="18" t="s">
        <v>969</v>
      </c>
      <c r="N488" s="147" t="s">
        <v>923</v>
      </c>
      <c r="O488" s="147"/>
      <c r="P488" s="15">
        <v>1</v>
      </c>
      <c r="Q488" s="148">
        <f t="shared" si="18"/>
        <v>1</v>
      </c>
      <c r="R4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ABY SUZANNE BUYO UNION_BUYO CITE    KOUADIO KOFFI TEYA               0759055844  F CELIBATAIRE COMMERCANTE</v>
      </c>
      <c r="Z488" s="53"/>
      <c r="AA488" s="2"/>
      <c r="AB488" s="48"/>
      <c r="AD488" s="41"/>
      <c r="AG488" s="154"/>
      <c r="AH488" s="18"/>
      <c r="AI488" s="23"/>
      <c r="AK488" s="15"/>
      <c r="AL488" s="18"/>
      <c r="AM488" s="147"/>
      <c r="AN488" s="147"/>
      <c r="AO488" s="15"/>
      <c r="AP488" s="148"/>
    </row>
    <row r="489" spans="1:42" ht="16.5" x14ac:dyDescent="0.35">
      <c r="A489" s="53">
        <v>488</v>
      </c>
      <c r="B489" s="2" t="s">
        <v>990</v>
      </c>
      <c r="C489" s="48" t="s">
        <v>660</v>
      </c>
      <c r="D489" t="s">
        <v>975</v>
      </c>
      <c r="E489" s="41" t="s">
        <v>974</v>
      </c>
      <c r="H489" s="154"/>
      <c r="I489" s="18" t="s">
        <v>53</v>
      </c>
      <c r="J489" s="23" t="s">
        <v>1020</v>
      </c>
      <c r="L489" s="15" t="s">
        <v>2</v>
      </c>
      <c r="M489" s="18" t="s">
        <v>968</v>
      </c>
      <c r="N489" s="147" t="s">
        <v>923</v>
      </c>
      <c r="O489" s="147">
        <v>1</v>
      </c>
      <c r="P489" s="15">
        <v>5</v>
      </c>
      <c r="Q489" s="148">
        <f t="shared" si="18"/>
        <v>6</v>
      </c>
      <c r="R4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BIAOU PELAGIE  BUYO UNION_BUYO CITE    KOUADIO KOFFI TEYA               0758508184  F EN COUPLE COMMERCANTE</v>
      </c>
      <c r="Z489" s="53"/>
      <c r="AA489" s="2"/>
      <c r="AB489" s="48"/>
      <c r="AD489" s="41"/>
      <c r="AG489" s="154"/>
      <c r="AH489" s="18"/>
      <c r="AI489" s="23"/>
      <c r="AK489" s="15"/>
      <c r="AL489" s="18"/>
      <c r="AM489" s="147"/>
      <c r="AN489" s="147"/>
      <c r="AO489" s="15"/>
      <c r="AP489" s="148"/>
    </row>
    <row r="490" spans="1:42" ht="16.5" x14ac:dyDescent="0.35">
      <c r="A490" s="53">
        <v>489</v>
      </c>
      <c r="B490" s="2" t="s">
        <v>991</v>
      </c>
      <c r="C490" s="48" t="s">
        <v>660</v>
      </c>
      <c r="D490" t="s">
        <v>975</v>
      </c>
      <c r="E490" s="41" t="s">
        <v>974</v>
      </c>
      <c r="H490" s="154"/>
      <c r="I490" s="18" t="s">
        <v>53</v>
      </c>
      <c r="J490" s="23" t="s">
        <v>1021</v>
      </c>
      <c r="L490" s="15" t="s">
        <v>2</v>
      </c>
      <c r="M490" s="18" t="s">
        <v>969</v>
      </c>
      <c r="N490" s="147" t="s">
        <v>923</v>
      </c>
      <c r="O490" s="147"/>
      <c r="P490" s="15">
        <v>1</v>
      </c>
      <c r="Q490" s="148">
        <f t="shared" si="18"/>
        <v>1</v>
      </c>
      <c r="R4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LYDIA BUYO UNION_BUYO CITE    KOUADIO KOFFI TEYA               0709101926  F CELIBATAIRE COMMERCANTE</v>
      </c>
      <c r="Z490" s="53"/>
      <c r="AA490" s="2"/>
      <c r="AB490" s="48"/>
      <c r="AD490" s="41"/>
      <c r="AG490" s="154"/>
      <c r="AH490" s="18"/>
      <c r="AI490" s="23"/>
      <c r="AK490" s="15"/>
      <c r="AL490" s="18"/>
      <c r="AM490" s="147"/>
      <c r="AN490" s="147"/>
      <c r="AO490" s="15"/>
      <c r="AP490" s="148"/>
    </row>
    <row r="491" spans="1:42" ht="16.5" x14ac:dyDescent="0.35">
      <c r="A491" s="53">
        <v>490</v>
      </c>
      <c r="B491" s="2" t="s">
        <v>992</v>
      </c>
      <c r="C491" s="48" t="s">
        <v>660</v>
      </c>
      <c r="D491" t="s">
        <v>975</v>
      </c>
      <c r="E491" s="41" t="s">
        <v>974</v>
      </c>
      <c r="H491" s="154"/>
      <c r="I491" s="18" t="s">
        <v>53</v>
      </c>
      <c r="J491" s="23" t="s">
        <v>1022</v>
      </c>
      <c r="L491" s="15" t="s">
        <v>2</v>
      </c>
      <c r="M491" s="18" t="s">
        <v>968</v>
      </c>
      <c r="N491" s="147" t="s">
        <v>923</v>
      </c>
      <c r="O491" s="147">
        <v>1</v>
      </c>
      <c r="P491" s="15">
        <v>2</v>
      </c>
      <c r="Q491" s="148">
        <f t="shared" si="18"/>
        <v>3</v>
      </c>
      <c r="R4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NANE AMA  BUYO UNION_BUYO CITE    KOUADIO KOFFI TEYA               0777707466  F EN COUPLE COMMERCANTE</v>
      </c>
      <c r="Z491" s="53"/>
      <c r="AA491" s="2"/>
      <c r="AB491" s="48"/>
      <c r="AD491" s="41"/>
      <c r="AG491" s="154"/>
      <c r="AH491" s="18"/>
      <c r="AI491" s="23"/>
      <c r="AK491" s="15"/>
      <c r="AL491" s="18"/>
      <c r="AM491" s="147"/>
      <c r="AN491" s="147"/>
      <c r="AO491" s="15"/>
      <c r="AP491" s="148"/>
    </row>
    <row r="492" spans="1:42" ht="16.5" x14ac:dyDescent="0.35">
      <c r="A492" s="53">
        <v>491</v>
      </c>
      <c r="B492" s="2" t="s">
        <v>993</v>
      </c>
      <c r="C492" s="48" t="s">
        <v>660</v>
      </c>
      <c r="D492" t="s">
        <v>975</v>
      </c>
      <c r="E492" s="41" t="s">
        <v>974</v>
      </c>
      <c r="H492" s="154"/>
      <c r="I492" s="18" t="s">
        <v>53</v>
      </c>
      <c r="J492" s="23" t="s">
        <v>1023</v>
      </c>
      <c r="L492" s="15" t="s">
        <v>2</v>
      </c>
      <c r="M492" s="18" t="s">
        <v>968</v>
      </c>
      <c r="N492" s="147" t="s">
        <v>923</v>
      </c>
      <c r="O492" s="147">
        <v>1</v>
      </c>
      <c r="P492" s="15">
        <v>1</v>
      </c>
      <c r="Q492" s="148">
        <f t="shared" si="18"/>
        <v>2</v>
      </c>
      <c r="R4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LAIGA JOCELYNE BUYO UNION_BUYO CITE    KOUADIO KOFFI TEYA               0747105251  F EN COUPLE COMMERCANTE</v>
      </c>
      <c r="Z492" s="53"/>
      <c r="AA492" s="2"/>
      <c r="AB492" s="48"/>
      <c r="AD492" s="41"/>
      <c r="AG492" s="154"/>
      <c r="AH492" s="18"/>
      <c r="AI492" s="23"/>
      <c r="AK492" s="15"/>
      <c r="AL492" s="18"/>
      <c r="AM492" s="147"/>
      <c r="AN492" s="147"/>
      <c r="AO492" s="15"/>
      <c r="AP492" s="148"/>
    </row>
    <row r="493" spans="1:42" ht="16.5" x14ac:dyDescent="0.35">
      <c r="A493" s="53">
        <v>492</v>
      </c>
      <c r="B493" s="2" t="s">
        <v>994</v>
      </c>
      <c r="C493" s="48" t="s">
        <v>660</v>
      </c>
      <c r="D493" t="s">
        <v>975</v>
      </c>
      <c r="E493" s="41" t="s">
        <v>974</v>
      </c>
      <c r="H493" s="154"/>
      <c r="I493" s="18" t="s">
        <v>53</v>
      </c>
      <c r="J493" s="23" t="s">
        <v>1024</v>
      </c>
      <c r="L493" s="15" t="s">
        <v>2</v>
      </c>
      <c r="M493" s="18" t="s">
        <v>969</v>
      </c>
      <c r="N493" s="147" t="s">
        <v>923</v>
      </c>
      <c r="O493" s="147"/>
      <c r="P493" s="15">
        <v>1</v>
      </c>
      <c r="Q493" s="148">
        <f t="shared" si="18"/>
        <v>1</v>
      </c>
      <c r="R4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DJENZOU AMOIN ALPHONSINE BUYO UNION_BUYO CITE    KOUADIO KOFFI TEYA               0757048084  F CELIBATAIRE COMMERCANTE</v>
      </c>
      <c r="Z493" s="53"/>
      <c r="AA493" s="2"/>
      <c r="AB493" s="48"/>
      <c r="AD493" s="41"/>
      <c r="AG493" s="154"/>
      <c r="AH493" s="18"/>
      <c r="AI493" s="23"/>
      <c r="AK493" s="15"/>
      <c r="AL493" s="18"/>
      <c r="AM493" s="147"/>
      <c r="AN493" s="147"/>
      <c r="AO493" s="15"/>
      <c r="AP493" s="148"/>
    </row>
    <row r="494" spans="1:42" ht="16.5" x14ac:dyDescent="0.35">
      <c r="A494" s="53">
        <v>493</v>
      </c>
      <c r="B494" s="2" t="s">
        <v>995</v>
      </c>
      <c r="C494" s="48" t="s">
        <v>660</v>
      </c>
      <c r="D494" t="s">
        <v>975</v>
      </c>
      <c r="E494" s="41" t="s">
        <v>974</v>
      </c>
      <c r="H494" s="154"/>
      <c r="I494" s="18" t="s">
        <v>53</v>
      </c>
      <c r="J494" s="23" t="s">
        <v>1025</v>
      </c>
      <c r="L494" s="15" t="s">
        <v>9</v>
      </c>
      <c r="M494" s="18" t="s">
        <v>968</v>
      </c>
      <c r="N494" s="147" t="s">
        <v>924</v>
      </c>
      <c r="O494" s="147">
        <v>3</v>
      </c>
      <c r="P494" s="15"/>
      <c r="Q494" s="148">
        <f t="shared" si="18"/>
        <v>3</v>
      </c>
      <c r="R4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N'GOMISA ABISSA ARNAUD BUYO UNION_BUYO CITE    KOUADIO KOFFI TEYA               0707070536  M EN COUPLE COMMERCANT</v>
      </c>
      <c r="Z494" s="53"/>
      <c r="AA494" s="2"/>
      <c r="AB494" s="48"/>
      <c r="AD494" s="41"/>
      <c r="AG494" s="154"/>
      <c r="AH494" s="18"/>
      <c r="AI494" s="23"/>
      <c r="AK494" s="15"/>
      <c r="AL494" s="18"/>
      <c r="AM494" s="147"/>
      <c r="AN494" s="147"/>
      <c r="AO494" s="15"/>
      <c r="AP494" s="148"/>
    </row>
    <row r="495" spans="1:42" ht="16.5" x14ac:dyDescent="0.35">
      <c r="A495" s="53">
        <v>494</v>
      </c>
      <c r="B495" s="2" t="s">
        <v>996</v>
      </c>
      <c r="C495" s="48" t="s">
        <v>660</v>
      </c>
      <c r="D495" t="s">
        <v>975</v>
      </c>
      <c r="E495" s="41" t="s">
        <v>974</v>
      </c>
      <c r="H495" s="154"/>
      <c r="I495" s="18" t="s">
        <v>53</v>
      </c>
      <c r="J495" s="23" t="s">
        <v>1026</v>
      </c>
      <c r="L495" s="15" t="s">
        <v>2</v>
      </c>
      <c r="M495" s="18" t="s">
        <v>968</v>
      </c>
      <c r="N495" s="147" t="s">
        <v>923</v>
      </c>
      <c r="O495" s="147"/>
      <c r="P495" s="15">
        <v>2</v>
      </c>
      <c r="Q495" s="148">
        <f t="shared" si="18"/>
        <v>2</v>
      </c>
      <c r="R4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AYA FIDELE BUYO UNION_BUYO CITE    KOUADIO KOFFI TEYA               0707305073  F EN COUPLE COMMERCANTE</v>
      </c>
      <c r="Z495" s="53"/>
      <c r="AA495" s="2"/>
      <c r="AB495" s="48"/>
      <c r="AD495" s="41"/>
      <c r="AG495" s="154"/>
      <c r="AH495" s="18"/>
      <c r="AI495" s="23"/>
      <c r="AK495" s="15"/>
      <c r="AL495" s="18"/>
      <c r="AM495" s="147"/>
      <c r="AN495" s="147"/>
      <c r="AO495" s="15"/>
      <c r="AP495" s="148"/>
    </row>
    <row r="496" spans="1:42" ht="16.5" x14ac:dyDescent="0.35">
      <c r="A496" s="53">
        <v>495</v>
      </c>
      <c r="B496" s="2" t="s">
        <v>997</v>
      </c>
      <c r="C496" s="48" t="s">
        <v>660</v>
      </c>
      <c r="D496" t="s">
        <v>975</v>
      </c>
      <c r="E496" s="41" t="s">
        <v>974</v>
      </c>
      <c r="H496" s="154"/>
      <c r="I496" s="18" t="s">
        <v>53</v>
      </c>
      <c r="J496" s="23" t="s">
        <v>1027</v>
      </c>
      <c r="L496" s="15" t="s">
        <v>2</v>
      </c>
      <c r="M496" s="18" t="s">
        <v>968</v>
      </c>
      <c r="N496" s="147" t="s">
        <v>923</v>
      </c>
      <c r="O496" s="147">
        <v>1</v>
      </c>
      <c r="P496" s="15"/>
      <c r="Q496" s="148">
        <f t="shared" si="18"/>
        <v>1</v>
      </c>
      <c r="R4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AKISSI FRANCELINE BUYO UNION_BUYO CITE    KOUADIO KOFFI TEYA               0777743565  F EN COUPLE COMMERCANTE</v>
      </c>
      <c r="Z496" s="53"/>
      <c r="AA496" s="2"/>
      <c r="AB496" s="48"/>
      <c r="AD496" s="41"/>
      <c r="AG496" s="154"/>
      <c r="AH496" s="18"/>
      <c r="AI496" s="23"/>
      <c r="AK496" s="15"/>
      <c r="AL496" s="18"/>
      <c r="AM496" s="147"/>
      <c r="AN496" s="147"/>
      <c r="AO496" s="15"/>
      <c r="AP496" s="148"/>
    </row>
    <row r="497" spans="1:42" ht="18.5" x14ac:dyDescent="0.55000000000000004">
      <c r="A497" s="53">
        <v>496</v>
      </c>
      <c r="B497" s="2" t="s">
        <v>998</v>
      </c>
      <c r="C497" s="48" t="s">
        <v>660</v>
      </c>
      <c r="D497" t="s">
        <v>975</v>
      </c>
      <c r="E497" s="41" t="s">
        <v>974</v>
      </c>
      <c r="H497" s="154"/>
      <c r="I497" s="18" t="s">
        <v>53</v>
      </c>
      <c r="J497" s="23" t="s">
        <v>1028</v>
      </c>
      <c r="L497" s="15" t="s">
        <v>2</v>
      </c>
      <c r="M497" s="165" t="s">
        <v>968</v>
      </c>
      <c r="N497" s="149" t="s">
        <v>923</v>
      </c>
      <c r="O497" s="149">
        <v>1</v>
      </c>
      <c r="P497" s="149">
        <v>5</v>
      </c>
      <c r="Q497" s="150">
        <f t="shared" si="18"/>
        <v>6</v>
      </c>
      <c r="R4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OUATTARA KADY BUYO UNION_BUYO CITE    KOUADIO KOFFI TEYA               0777477682  F EN COUPLE COMMERCANTE</v>
      </c>
      <c r="Z497" s="53"/>
      <c r="AA497" s="2"/>
      <c r="AB497" s="48"/>
      <c r="AD497" s="41"/>
      <c r="AG497" s="154"/>
      <c r="AH497" s="18"/>
      <c r="AI497" s="23"/>
      <c r="AK497" s="15"/>
      <c r="AL497" s="165"/>
      <c r="AM497" s="149"/>
      <c r="AN497" s="149"/>
      <c r="AO497" s="149"/>
      <c r="AP497" s="150"/>
    </row>
    <row r="498" spans="1:42" ht="16.5" x14ac:dyDescent="0.35">
      <c r="A498" s="53">
        <v>497</v>
      </c>
      <c r="B498" s="2" t="s">
        <v>999</v>
      </c>
      <c r="C498" s="48" t="s">
        <v>660</v>
      </c>
      <c r="D498" t="s">
        <v>975</v>
      </c>
      <c r="E498" s="41" t="s">
        <v>974</v>
      </c>
      <c r="H498" s="154"/>
      <c r="I498" s="18" t="s">
        <v>53</v>
      </c>
      <c r="J498" s="160" t="s">
        <v>1029</v>
      </c>
      <c r="L498" s="15" t="s">
        <v>2</v>
      </c>
      <c r="M498" s="166" t="s">
        <v>968</v>
      </c>
      <c r="N498" s="170" t="s">
        <v>924</v>
      </c>
      <c r="O498" s="151">
        <v>1</v>
      </c>
      <c r="P498" s="151">
        <v>1</v>
      </c>
      <c r="Q498" s="152">
        <f t="shared" si="18"/>
        <v>2</v>
      </c>
      <c r="R4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BIAKPA AYADJE BUYO UNION_BUYO CITE    KOUADIO KOFFI TEYA               0748632842  F EN COUPLE COMMERCANT</v>
      </c>
      <c r="Z498" s="53"/>
      <c r="AA498" s="2"/>
      <c r="AB498" s="48"/>
      <c r="AD498" s="41"/>
      <c r="AG498" s="154"/>
      <c r="AH498" s="18"/>
      <c r="AI498" s="160"/>
      <c r="AK498" s="15"/>
      <c r="AL498" s="166"/>
      <c r="AM498" s="170"/>
      <c r="AN498" s="151"/>
      <c r="AO498" s="151"/>
      <c r="AP498" s="152"/>
    </row>
    <row r="499" spans="1:42" ht="16.5" x14ac:dyDescent="0.35">
      <c r="A499" s="53">
        <v>498</v>
      </c>
      <c r="B499" s="9" t="s">
        <v>1000</v>
      </c>
      <c r="C499" s="48" t="s">
        <v>660</v>
      </c>
      <c r="D499" t="s">
        <v>975</v>
      </c>
      <c r="E499" s="41" t="s">
        <v>974</v>
      </c>
      <c r="H499" s="154"/>
      <c r="I499" s="18" t="s">
        <v>53</v>
      </c>
      <c r="J499" s="161" t="s">
        <v>1030</v>
      </c>
      <c r="L499" s="16" t="s">
        <v>2</v>
      </c>
      <c r="M499" s="167" t="s">
        <v>969</v>
      </c>
      <c r="N499" s="171" t="s">
        <v>923</v>
      </c>
      <c r="O499" s="143">
        <v>1</v>
      </c>
      <c r="P499" s="143">
        <v>1</v>
      </c>
      <c r="Q499" s="153">
        <f t="shared" si="18"/>
        <v>2</v>
      </c>
      <c r="R4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DIGBEU NADEGE BUYO UNION_BUYO CITE    KOUADIO KOFFI TEYA               0747275850  F CELIBATAIRE COMMERCANTE</v>
      </c>
      <c r="Z499" s="53"/>
      <c r="AA499" s="9"/>
      <c r="AB499" s="48"/>
      <c r="AD499" s="41"/>
      <c r="AG499" s="154"/>
      <c r="AH499" s="18"/>
      <c r="AI499" s="161"/>
      <c r="AK499" s="16"/>
      <c r="AL499" s="167"/>
      <c r="AM499" s="171"/>
      <c r="AN499" s="143"/>
      <c r="AO499" s="143"/>
      <c r="AP499" s="153"/>
    </row>
    <row r="500" spans="1:42" ht="16.5" x14ac:dyDescent="0.35">
      <c r="A500" s="53">
        <v>499</v>
      </c>
      <c r="B500" s="5" t="s">
        <v>1001</v>
      </c>
      <c r="C500" s="48" t="s">
        <v>660</v>
      </c>
      <c r="D500" t="s">
        <v>975</v>
      </c>
      <c r="E500" s="41" t="s">
        <v>974</v>
      </c>
      <c r="H500" s="154"/>
      <c r="I500" s="18" t="s">
        <v>53</v>
      </c>
      <c r="J500" s="161" t="s">
        <v>1031</v>
      </c>
      <c r="L500" s="151" t="s">
        <v>2</v>
      </c>
      <c r="M500" s="166" t="s">
        <v>968</v>
      </c>
      <c r="N500" s="170" t="s">
        <v>924</v>
      </c>
      <c r="O500" s="151">
        <v>2</v>
      </c>
      <c r="P500" s="151">
        <v>2</v>
      </c>
      <c r="Q500" s="151">
        <f t="shared" si="18"/>
        <v>4</v>
      </c>
      <c r="R5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PHILOMENE  BUYO UNION_BUYO CITE    KOUADIO KOFFI TEYA               0758660966  F EN COUPLE COMMERCANT</v>
      </c>
      <c r="Z500" s="53"/>
      <c r="AA500" s="5"/>
      <c r="AB500" s="48"/>
      <c r="AD500" s="41"/>
      <c r="AG500" s="154"/>
      <c r="AH500" s="18"/>
      <c r="AI500" s="161"/>
      <c r="AK500" s="151"/>
      <c r="AL500" s="166"/>
      <c r="AM500" s="170"/>
      <c r="AN500" s="151"/>
      <c r="AO500" s="151"/>
      <c r="AP500" s="151"/>
    </row>
    <row r="501" spans="1:42" ht="16.5" x14ac:dyDescent="0.35">
      <c r="A501" s="53">
        <v>500</v>
      </c>
      <c r="B501" s="157" t="s">
        <v>1002</v>
      </c>
      <c r="C501" s="48" t="s">
        <v>660</v>
      </c>
      <c r="D501" t="s">
        <v>975</v>
      </c>
      <c r="E501" s="41" t="s">
        <v>974</v>
      </c>
      <c r="H501" s="154"/>
      <c r="I501" s="18" t="s">
        <v>53</v>
      </c>
      <c r="J501" s="161" t="s">
        <v>1032</v>
      </c>
      <c r="L501" s="162" t="s">
        <v>2</v>
      </c>
      <c r="M501" s="168" t="s">
        <v>969</v>
      </c>
      <c r="N501" s="168" t="s">
        <v>923</v>
      </c>
      <c r="O501" s="162">
        <v>1</v>
      </c>
      <c r="P501" s="162">
        <v>1</v>
      </c>
      <c r="Q501" s="162">
        <f t="shared" si="18"/>
        <v>2</v>
      </c>
      <c r="R5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BAKAYOKO FATOU BUYO UNION_BUYO CITE    KOUADIO KOFFI TEYA               0749209308  F CELIBATAIRE COMMERCANTE</v>
      </c>
      <c r="Z501" s="53"/>
      <c r="AA501" s="157"/>
      <c r="AB501" s="48"/>
      <c r="AD501" s="41"/>
      <c r="AG501" s="154"/>
      <c r="AH501" s="18"/>
      <c r="AI501" s="161"/>
      <c r="AK501" s="162"/>
      <c r="AL501" s="168"/>
      <c r="AM501" s="168"/>
      <c r="AN501" s="162"/>
      <c r="AO501" s="162"/>
      <c r="AP501" s="162"/>
    </row>
    <row r="502" spans="1:42" ht="16.5" x14ac:dyDescent="0.35">
      <c r="A502" s="53">
        <v>501</v>
      </c>
      <c r="B502" s="158" t="s">
        <v>1003</v>
      </c>
      <c r="C502" s="48" t="s">
        <v>660</v>
      </c>
      <c r="D502" t="s">
        <v>975</v>
      </c>
      <c r="E502" s="41" t="s">
        <v>974</v>
      </c>
      <c r="H502" s="154"/>
      <c r="I502" s="18" t="s">
        <v>53</v>
      </c>
      <c r="J502" s="161" t="s">
        <v>1033</v>
      </c>
      <c r="L502" s="163" t="s">
        <v>9</v>
      </c>
      <c r="M502" s="169" t="s">
        <v>968</v>
      </c>
      <c r="N502" s="169" t="s">
        <v>924</v>
      </c>
      <c r="O502" s="163">
        <v>2</v>
      </c>
      <c r="P502" s="163">
        <v>2</v>
      </c>
      <c r="Q502" s="163">
        <f t="shared" si="18"/>
        <v>4</v>
      </c>
      <c r="R5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DJAHA APPOLINAIRE BUYO UNION_BUYO CITE    KOUADIO KOFFI TEYA               0747057471  M EN COUPLE COMMERCANT</v>
      </c>
      <c r="Z502" s="53"/>
      <c r="AA502" s="158"/>
      <c r="AB502" s="48"/>
      <c r="AD502" s="41"/>
      <c r="AG502" s="154"/>
      <c r="AH502" s="18"/>
      <c r="AI502" s="161"/>
      <c r="AK502" s="163"/>
      <c r="AL502" s="169"/>
      <c r="AM502" s="169"/>
      <c r="AN502" s="163"/>
      <c r="AO502" s="163"/>
      <c r="AP502" s="163"/>
    </row>
    <row r="503" spans="1:42" ht="16.5" x14ac:dyDescent="0.35">
      <c r="A503" s="53">
        <v>502</v>
      </c>
      <c r="B503" s="159" t="s">
        <v>1004</v>
      </c>
      <c r="C503" s="48" t="s">
        <v>660</v>
      </c>
      <c r="D503" t="s">
        <v>975</v>
      </c>
      <c r="E503" s="41" t="s">
        <v>974</v>
      </c>
      <c r="H503" s="154"/>
      <c r="I503" s="18" t="s">
        <v>53</v>
      </c>
      <c r="J503" s="161" t="s">
        <v>1034</v>
      </c>
      <c r="L503" s="163" t="s">
        <v>9</v>
      </c>
      <c r="M503" s="163" t="s">
        <v>969</v>
      </c>
      <c r="N503" s="163" t="s">
        <v>924</v>
      </c>
      <c r="O503" s="163"/>
      <c r="P503" s="163">
        <v>1</v>
      </c>
      <c r="Q503" s="163"/>
      <c r="R5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GBELI ORLI SOSTHENE BUYO UNION_BUYO CITE    KOUADIO KOFFI TEYA               0748143536  M CELIBATAIRE COMMERCANT</v>
      </c>
      <c r="Z503" s="53"/>
      <c r="AA503" s="159"/>
      <c r="AB503" s="48"/>
      <c r="AD503" s="41"/>
      <c r="AG503" s="154"/>
      <c r="AH503" s="18"/>
      <c r="AI503" s="161"/>
      <c r="AK503" s="163"/>
      <c r="AL503" s="163"/>
      <c r="AM503" s="163"/>
      <c r="AN503" s="163"/>
      <c r="AO503" s="163"/>
      <c r="AP503" s="163"/>
    </row>
    <row r="504" spans="1:42" ht="16.5" x14ac:dyDescent="0.35">
      <c r="A504" s="53">
        <v>503</v>
      </c>
      <c r="B504" s="2" t="s">
        <v>1036</v>
      </c>
      <c r="C504" s="48" t="s">
        <v>663</v>
      </c>
      <c r="D504" t="s">
        <v>1065</v>
      </c>
      <c r="E504" t="s">
        <v>1064</v>
      </c>
      <c r="H504" s="10"/>
      <c r="I504" s="18" t="s">
        <v>1066</v>
      </c>
      <c r="J504" s="25"/>
      <c r="L504" s="15" t="s">
        <v>9</v>
      </c>
      <c r="M504" s="147" t="s">
        <v>1063</v>
      </c>
      <c r="O504" s="147">
        <v>4</v>
      </c>
      <c r="P504" s="15">
        <v>5</v>
      </c>
      <c r="Q504" s="148">
        <v>9</v>
      </c>
      <c r="R5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DJOBO NENE DOUGLAS GRAND-ZATTRY OUYINE LAZOA    YAO VINCENT    M CONCUBINAGE </v>
      </c>
      <c r="Z504" s="53"/>
      <c r="AA504" s="2"/>
      <c r="AB504" s="48"/>
      <c r="AG504" s="10"/>
      <c r="AH504" s="18"/>
      <c r="AI504" s="25"/>
      <c r="AK504" s="15"/>
      <c r="AL504" s="147"/>
      <c r="AN504" s="147"/>
      <c r="AO504" s="15"/>
      <c r="AP504" s="148"/>
    </row>
    <row r="505" spans="1:42" ht="16.5" x14ac:dyDescent="0.35">
      <c r="A505" s="53">
        <v>504</v>
      </c>
      <c r="B505" s="2" t="s">
        <v>1037</v>
      </c>
      <c r="C505" s="48" t="s">
        <v>663</v>
      </c>
      <c r="D505" t="s">
        <v>1065</v>
      </c>
      <c r="E505" t="s">
        <v>1064</v>
      </c>
      <c r="H505" s="154"/>
      <c r="I505" s="18" t="s">
        <v>1066</v>
      </c>
      <c r="J505" s="194"/>
      <c r="L505" s="15" t="s">
        <v>9</v>
      </c>
      <c r="M505" s="147" t="s">
        <v>1063</v>
      </c>
      <c r="O505" s="147">
        <v>1</v>
      </c>
      <c r="P505" s="15">
        <v>2</v>
      </c>
      <c r="Q505" s="148">
        <v>3</v>
      </c>
      <c r="R5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OTTE JOSEPH GRAND-ZATTRY OUYINE LAZOA    YAO VINCENT    M CONCUBINAGE </v>
      </c>
      <c r="Z505" s="53"/>
      <c r="AA505" s="2"/>
      <c r="AB505" s="48"/>
      <c r="AG505" s="154"/>
      <c r="AH505" s="18"/>
      <c r="AI505" s="194"/>
      <c r="AK505" s="15"/>
      <c r="AL505" s="147"/>
      <c r="AN505" s="147"/>
      <c r="AO505" s="15"/>
      <c r="AP505" s="148"/>
    </row>
    <row r="506" spans="1:42" ht="16.5" x14ac:dyDescent="0.35">
      <c r="A506" s="53">
        <v>505</v>
      </c>
      <c r="B506" s="2" t="s">
        <v>1038</v>
      </c>
      <c r="C506" s="48" t="s">
        <v>663</v>
      </c>
      <c r="D506" t="s">
        <v>1065</v>
      </c>
      <c r="E506" t="s">
        <v>1064</v>
      </c>
      <c r="H506" s="154"/>
      <c r="I506" s="18" t="s">
        <v>1066</v>
      </c>
      <c r="J506" s="194"/>
      <c r="L506" s="15" t="s">
        <v>2</v>
      </c>
      <c r="M506" s="147" t="s">
        <v>969</v>
      </c>
      <c r="O506" s="147">
        <v>0</v>
      </c>
      <c r="P506" s="15">
        <v>0</v>
      </c>
      <c r="Q506" s="148">
        <v>0</v>
      </c>
      <c r="R5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IDRE ANITA GRAND-ZATTRY OUYINE LAZOA    YAO VINCENT    F CELIBATAIRE </v>
      </c>
      <c r="Z506" s="53"/>
      <c r="AA506" s="2"/>
      <c r="AB506" s="48"/>
      <c r="AG506" s="154"/>
      <c r="AH506" s="18"/>
      <c r="AI506" s="194"/>
      <c r="AK506" s="15"/>
      <c r="AL506" s="147"/>
      <c r="AN506" s="147"/>
      <c r="AO506" s="15"/>
      <c r="AP506" s="148"/>
    </row>
    <row r="507" spans="1:42" ht="16.5" x14ac:dyDescent="0.35">
      <c r="A507" s="53">
        <v>506</v>
      </c>
      <c r="B507" s="2" t="s">
        <v>1039</v>
      </c>
      <c r="C507" s="48" t="s">
        <v>663</v>
      </c>
      <c r="D507" t="s">
        <v>1065</v>
      </c>
      <c r="E507" t="s">
        <v>1064</v>
      </c>
      <c r="H507" s="154"/>
      <c r="I507" s="18" t="s">
        <v>1066</v>
      </c>
      <c r="J507" s="194"/>
      <c r="L507" s="15" t="s">
        <v>2</v>
      </c>
      <c r="M507" s="147" t="s">
        <v>1063</v>
      </c>
      <c r="O507" s="147">
        <v>2</v>
      </c>
      <c r="P507" s="15">
        <v>2</v>
      </c>
      <c r="Q507" s="148">
        <v>4</v>
      </c>
      <c r="R5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BOLOU NADEGE GRAND-ZATTRY OUYINE LAZOA    YAO VINCENT    F CONCUBINAGE </v>
      </c>
      <c r="Z507" s="53"/>
      <c r="AA507" s="2"/>
      <c r="AB507" s="48"/>
      <c r="AG507" s="154"/>
      <c r="AH507" s="18"/>
      <c r="AI507" s="194"/>
      <c r="AK507" s="15"/>
      <c r="AL507" s="147"/>
      <c r="AN507" s="147"/>
      <c r="AO507" s="15"/>
      <c r="AP507" s="148"/>
    </row>
    <row r="508" spans="1:42" ht="16.5" x14ac:dyDescent="0.35">
      <c r="A508" s="53">
        <v>507</v>
      </c>
      <c r="B508" s="2" t="s">
        <v>1040</v>
      </c>
      <c r="C508" s="48" t="s">
        <v>663</v>
      </c>
      <c r="D508" t="s">
        <v>1065</v>
      </c>
      <c r="E508" t="s">
        <v>1064</v>
      </c>
      <c r="H508" s="154"/>
      <c r="I508" s="18" t="s">
        <v>1066</v>
      </c>
      <c r="J508" s="194"/>
      <c r="L508" s="15" t="s">
        <v>2</v>
      </c>
      <c r="M508" s="23" t="s">
        <v>1063</v>
      </c>
      <c r="O508" s="147">
        <v>3</v>
      </c>
      <c r="P508" s="15">
        <v>3</v>
      </c>
      <c r="Q508" s="148">
        <v>6</v>
      </c>
      <c r="R5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KABRE ZENAB GRAND-ZATTRY OUYINE LAZOA    YAO VINCENT    F CONCUBINAGE </v>
      </c>
      <c r="Z508" s="53"/>
      <c r="AA508" s="2"/>
      <c r="AB508" s="48"/>
      <c r="AG508" s="154"/>
      <c r="AH508" s="18"/>
      <c r="AI508" s="194"/>
      <c r="AK508" s="15"/>
      <c r="AL508" s="23"/>
      <c r="AN508" s="147"/>
      <c r="AO508" s="15"/>
      <c r="AP508" s="148"/>
    </row>
    <row r="509" spans="1:42" ht="16.5" x14ac:dyDescent="0.35">
      <c r="A509" s="53">
        <v>508</v>
      </c>
      <c r="B509" s="2" t="s">
        <v>1041</v>
      </c>
      <c r="C509" s="48" t="s">
        <v>663</v>
      </c>
      <c r="D509" t="s">
        <v>1065</v>
      </c>
      <c r="E509" t="s">
        <v>1064</v>
      </c>
      <c r="H509" s="154"/>
      <c r="I509" s="18" t="s">
        <v>1066</v>
      </c>
      <c r="J509" s="194"/>
      <c r="L509" s="15" t="s">
        <v>2</v>
      </c>
      <c r="M509" s="147" t="s">
        <v>1063</v>
      </c>
      <c r="O509" s="147">
        <v>1</v>
      </c>
      <c r="P509" s="15">
        <v>5</v>
      </c>
      <c r="Q509" s="148">
        <v>6</v>
      </c>
      <c r="R5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ZOUZOUAJUSTINE GRAND-ZATTRY OUYINE LAZOA    YAO VINCENT    F CONCUBINAGE </v>
      </c>
      <c r="Z509" s="53"/>
      <c r="AA509" s="2"/>
      <c r="AB509" s="48"/>
      <c r="AG509" s="154"/>
      <c r="AH509" s="18"/>
      <c r="AI509" s="194"/>
      <c r="AK509" s="15"/>
      <c r="AL509" s="147"/>
      <c r="AN509" s="147"/>
      <c r="AO509" s="15"/>
      <c r="AP509" s="148"/>
    </row>
    <row r="510" spans="1:42" ht="16.5" x14ac:dyDescent="0.35">
      <c r="A510" s="53">
        <v>509</v>
      </c>
      <c r="B510" s="2" t="s">
        <v>1042</v>
      </c>
      <c r="C510" s="48" t="s">
        <v>663</v>
      </c>
      <c r="D510" t="s">
        <v>1065</v>
      </c>
      <c r="E510" t="s">
        <v>1064</v>
      </c>
      <c r="H510" s="154"/>
      <c r="I510" s="18" t="s">
        <v>1066</v>
      </c>
      <c r="J510" s="194"/>
      <c r="L510" s="15" t="s">
        <v>9</v>
      </c>
      <c r="M510" s="147" t="s">
        <v>1063</v>
      </c>
      <c r="O510" s="147">
        <v>3</v>
      </c>
      <c r="P510" s="15">
        <v>1</v>
      </c>
      <c r="Q510" s="148">
        <v>4</v>
      </c>
      <c r="R5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OTTE MAXIME GRAND-ZATTRY OUYINE LAZOA    YAO VINCENT    M CONCUBINAGE </v>
      </c>
      <c r="Z510" s="53"/>
      <c r="AA510" s="2"/>
      <c r="AB510" s="48"/>
      <c r="AG510" s="154"/>
      <c r="AH510" s="18"/>
      <c r="AI510" s="194"/>
      <c r="AK510" s="15"/>
      <c r="AL510" s="147"/>
      <c r="AN510" s="147"/>
      <c r="AO510" s="15"/>
      <c r="AP510" s="148"/>
    </row>
    <row r="511" spans="1:42" ht="16.5" x14ac:dyDescent="0.35">
      <c r="A511" s="53">
        <v>510</v>
      </c>
      <c r="B511" s="2" t="s">
        <v>1043</v>
      </c>
      <c r="C511" s="48" t="s">
        <v>663</v>
      </c>
      <c r="D511" t="s">
        <v>1065</v>
      </c>
      <c r="E511" t="s">
        <v>1064</v>
      </c>
      <c r="H511" s="154"/>
      <c r="I511" s="18" t="s">
        <v>1066</v>
      </c>
      <c r="J511" s="194"/>
      <c r="L511" s="15" t="s">
        <v>2</v>
      </c>
      <c r="M511" s="147" t="s">
        <v>1063</v>
      </c>
      <c r="O511" s="147">
        <v>4</v>
      </c>
      <c r="P511" s="15">
        <v>2</v>
      </c>
      <c r="Q511" s="148">
        <v>6</v>
      </c>
      <c r="R5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WEZE ANNE MARIE GRAND-ZATTRY OUYINE LAZOA    YAO VINCENT    F CONCUBINAGE </v>
      </c>
      <c r="Z511" s="53"/>
      <c r="AA511" s="2"/>
      <c r="AB511" s="48"/>
      <c r="AG511" s="154"/>
      <c r="AH511" s="18"/>
      <c r="AI511" s="194"/>
      <c r="AK511" s="15"/>
      <c r="AL511" s="147"/>
      <c r="AN511" s="147"/>
      <c r="AO511" s="15"/>
      <c r="AP511" s="148"/>
    </row>
    <row r="512" spans="1:42" ht="16.5" x14ac:dyDescent="0.35">
      <c r="A512" s="53">
        <v>511</v>
      </c>
      <c r="B512" s="2" t="s">
        <v>1044</v>
      </c>
      <c r="C512" s="48" t="s">
        <v>663</v>
      </c>
      <c r="D512" t="s">
        <v>1065</v>
      </c>
      <c r="E512" t="s">
        <v>1064</v>
      </c>
      <c r="H512" s="154"/>
      <c r="I512" s="18" t="s">
        <v>1066</v>
      </c>
      <c r="J512" s="194"/>
      <c r="L512" s="15" t="s">
        <v>2</v>
      </c>
      <c r="M512" s="147" t="s">
        <v>1063</v>
      </c>
      <c r="O512" s="147">
        <v>4</v>
      </c>
      <c r="P512" s="15">
        <v>0</v>
      </c>
      <c r="Q512" s="148">
        <v>4</v>
      </c>
      <c r="R5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KINDO GEORGETTE GRAND-ZATTRY OUYINE LAZOA    YAO VINCENT    F CONCUBINAGE </v>
      </c>
      <c r="Z512" s="53"/>
      <c r="AA512" s="2"/>
      <c r="AB512" s="48"/>
      <c r="AG512" s="154"/>
      <c r="AH512" s="18"/>
      <c r="AI512" s="194"/>
      <c r="AK512" s="15"/>
      <c r="AL512" s="147"/>
      <c r="AN512" s="147"/>
      <c r="AO512" s="15"/>
      <c r="AP512" s="148"/>
    </row>
    <row r="513" spans="1:42" ht="16.5" x14ac:dyDescent="0.35">
      <c r="A513" s="53">
        <v>512</v>
      </c>
      <c r="B513" s="2" t="s">
        <v>1045</v>
      </c>
      <c r="C513" s="48" t="s">
        <v>663</v>
      </c>
      <c r="D513" t="s">
        <v>1065</v>
      </c>
      <c r="E513" t="s">
        <v>1064</v>
      </c>
      <c r="H513" s="154"/>
      <c r="I513" s="18" t="s">
        <v>1066</v>
      </c>
      <c r="J513" s="194"/>
      <c r="L513" s="15" t="s">
        <v>9</v>
      </c>
      <c r="M513" s="147" t="s">
        <v>1063</v>
      </c>
      <c r="O513" s="147">
        <v>2</v>
      </c>
      <c r="P513" s="15">
        <v>5</v>
      </c>
      <c r="Q513" s="148">
        <v>7</v>
      </c>
      <c r="R5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PEHI LOGBO EMANUEL GRAND-ZATTRY OUYINE LAZOA    YAO VINCENT    M CONCUBINAGE </v>
      </c>
      <c r="Z513" s="53"/>
      <c r="AA513" s="2"/>
      <c r="AB513" s="48"/>
      <c r="AG513" s="154"/>
      <c r="AH513" s="18"/>
      <c r="AI513" s="194"/>
      <c r="AK513" s="15"/>
      <c r="AL513" s="147"/>
      <c r="AN513" s="147"/>
      <c r="AO513" s="15"/>
      <c r="AP513" s="148"/>
    </row>
    <row r="514" spans="1:42" ht="16.5" x14ac:dyDescent="0.35">
      <c r="A514" s="53">
        <v>513</v>
      </c>
      <c r="B514" s="2" t="s">
        <v>1046</v>
      </c>
      <c r="C514" s="48" t="s">
        <v>663</v>
      </c>
      <c r="D514" t="s">
        <v>1065</v>
      </c>
      <c r="E514" t="s">
        <v>1064</v>
      </c>
      <c r="H514" s="154"/>
      <c r="I514" s="18" t="s">
        <v>1066</v>
      </c>
      <c r="J514" s="194"/>
      <c r="L514" s="15" t="s">
        <v>2</v>
      </c>
      <c r="M514" s="147" t="s">
        <v>1063</v>
      </c>
      <c r="O514" s="147">
        <v>0</v>
      </c>
      <c r="P514" s="15">
        <v>0</v>
      </c>
      <c r="Q514" s="148">
        <v>0</v>
      </c>
      <c r="R5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KAZA CHRISTINE GRAND-ZATTRY OUYINE LAZOA    YAO VINCENT    F CONCUBINAGE </v>
      </c>
      <c r="Z514" s="53"/>
      <c r="AA514" s="2"/>
      <c r="AB514" s="48"/>
      <c r="AG514" s="154"/>
      <c r="AH514" s="18"/>
      <c r="AI514" s="194"/>
      <c r="AK514" s="15"/>
      <c r="AL514" s="147"/>
      <c r="AN514" s="147"/>
      <c r="AO514" s="15"/>
      <c r="AP514" s="148"/>
    </row>
    <row r="515" spans="1:42" ht="16.5" x14ac:dyDescent="0.35">
      <c r="A515" s="53">
        <v>514</v>
      </c>
      <c r="B515" s="2" t="s">
        <v>1047</v>
      </c>
      <c r="C515" s="48" t="s">
        <v>663</v>
      </c>
      <c r="D515" t="s">
        <v>1065</v>
      </c>
      <c r="E515" t="s">
        <v>1064</v>
      </c>
      <c r="H515" s="154"/>
      <c r="I515" s="18" t="s">
        <v>1066</v>
      </c>
      <c r="J515" s="194"/>
      <c r="L515" s="15" t="s">
        <v>2</v>
      </c>
      <c r="M515" s="147" t="s">
        <v>1063</v>
      </c>
      <c r="O515" s="147">
        <v>4</v>
      </c>
      <c r="P515" s="15">
        <v>2</v>
      </c>
      <c r="Q515" s="148">
        <v>6</v>
      </c>
      <c r="R5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KABI CELINE GRAND-ZATTRY OUYINE LAZOA    YAO VINCENT    F CONCUBINAGE </v>
      </c>
      <c r="Z515" s="53"/>
      <c r="AA515" s="2"/>
      <c r="AB515" s="48"/>
      <c r="AG515" s="154"/>
      <c r="AH515" s="18"/>
      <c r="AI515" s="194"/>
      <c r="AK515" s="15"/>
      <c r="AL515" s="147"/>
      <c r="AN515" s="147"/>
      <c r="AO515" s="15"/>
      <c r="AP515" s="148"/>
    </row>
    <row r="516" spans="1:42" ht="16.5" x14ac:dyDescent="0.35">
      <c r="A516" s="53">
        <v>515</v>
      </c>
      <c r="B516" s="2" t="s">
        <v>1048</v>
      </c>
      <c r="C516" s="48" t="s">
        <v>663</v>
      </c>
      <c r="D516" t="s">
        <v>1065</v>
      </c>
      <c r="E516" t="s">
        <v>1064</v>
      </c>
      <c r="H516" s="154"/>
      <c r="I516" s="18" t="s">
        <v>1066</v>
      </c>
      <c r="J516" s="194"/>
      <c r="L516" s="15" t="s">
        <v>2</v>
      </c>
      <c r="M516" s="147" t="s">
        <v>1063</v>
      </c>
      <c r="O516" s="147">
        <v>1</v>
      </c>
      <c r="P516" s="15">
        <v>2</v>
      </c>
      <c r="Q516" s="148">
        <v>3</v>
      </c>
      <c r="R5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LAKPA CHANTAL GRAND-ZATTRY OUYINE LAZOA    YAO VINCENT    F CONCUBINAGE </v>
      </c>
      <c r="Z516" s="53"/>
      <c r="AA516" s="2"/>
      <c r="AB516" s="48"/>
      <c r="AG516" s="154"/>
      <c r="AH516" s="18"/>
      <c r="AI516" s="194"/>
      <c r="AK516" s="15"/>
      <c r="AL516" s="147"/>
      <c r="AN516" s="147"/>
      <c r="AO516" s="15"/>
      <c r="AP516" s="148"/>
    </row>
    <row r="517" spans="1:42" ht="16.5" x14ac:dyDescent="0.35">
      <c r="A517" s="53">
        <v>516</v>
      </c>
      <c r="B517" s="2" t="s">
        <v>1049</v>
      </c>
      <c r="C517" s="48" t="s">
        <v>663</v>
      </c>
      <c r="D517" t="s">
        <v>1065</v>
      </c>
      <c r="E517" t="s">
        <v>1064</v>
      </c>
      <c r="H517" s="154"/>
      <c r="I517" s="18" t="s">
        <v>1066</v>
      </c>
      <c r="J517" s="194"/>
      <c r="L517" s="15" t="s">
        <v>2</v>
      </c>
      <c r="M517" s="147" t="s">
        <v>1063</v>
      </c>
      <c r="O517" s="147">
        <v>3</v>
      </c>
      <c r="P517" s="15">
        <v>2</v>
      </c>
      <c r="Q517" s="148">
        <v>5</v>
      </c>
      <c r="R5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ORI GBAHIKE MARTINE GRAND-ZATTRY OUYINE LAZOA    YAO VINCENT    F CONCUBINAGE </v>
      </c>
      <c r="Z517" s="53"/>
      <c r="AA517" s="2"/>
      <c r="AB517" s="48"/>
      <c r="AG517" s="154"/>
      <c r="AH517" s="18"/>
      <c r="AI517" s="194"/>
      <c r="AK517" s="15"/>
      <c r="AL517" s="147"/>
      <c r="AN517" s="147"/>
      <c r="AO517" s="15"/>
      <c r="AP517" s="148"/>
    </row>
    <row r="518" spans="1:42" ht="16.5" x14ac:dyDescent="0.35">
      <c r="A518" s="53">
        <v>517</v>
      </c>
      <c r="B518" s="2" t="s">
        <v>1050</v>
      </c>
      <c r="C518" s="48" t="s">
        <v>663</v>
      </c>
      <c r="D518" t="s">
        <v>1065</v>
      </c>
      <c r="E518" t="s">
        <v>1064</v>
      </c>
      <c r="H518" s="154"/>
      <c r="I518" s="18" t="s">
        <v>1066</v>
      </c>
      <c r="J518" s="194"/>
      <c r="L518" s="15" t="s">
        <v>2</v>
      </c>
      <c r="M518" s="147" t="s">
        <v>1063</v>
      </c>
      <c r="O518" s="147">
        <v>1</v>
      </c>
      <c r="P518" s="15">
        <v>1</v>
      </c>
      <c r="Q518" s="148">
        <v>2</v>
      </c>
      <c r="R5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GBONENE LEOCADIE GRAND-ZATTRY OUYINE LAZOA    YAO VINCENT    F CONCUBINAGE </v>
      </c>
      <c r="Z518" s="53"/>
      <c r="AA518" s="2"/>
      <c r="AB518" s="48"/>
      <c r="AG518" s="154"/>
      <c r="AH518" s="18"/>
      <c r="AI518" s="194"/>
      <c r="AK518" s="15"/>
      <c r="AL518" s="147"/>
      <c r="AN518" s="147"/>
      <c r="AO518" s="15"/>
      <c r="AP518" s="148"/>
    </row>
    <row r="519" spans="1:42" ht="16.5" x14ac:dyDescent="0.35">
      <c r="A519" s="53">
        <v>518</v>
      </c>
      <c r="B519" s="2" t="s">
        <v>1051</v>
      </c>
      <c r="C519" s="48" t="s">
        <v>663</v>
      </c>
      <c r="D519" t="s">
        <v>1065</v>
      </c>
      <c r="E519" t="s">
        <v>1064</v>
      </c>
      <c r="H519" s="154"/>
      <c r="I519" s="18" t="s">
        <v>1066</v>
      </c>
      <c r="J519" s="194"/>
      <c r="L519" s="15" t="s">
        <v>2</v>
      </c>
      <c r="M519" s="147" t="s">
        <v>1063</v>
      </c>
      <c r="O519" s="147">
        <v>3</v>
      </c>
      <c r="P519" s="15">
        <v>4</v>
      </c>
      <c r="Q519" s="148">
        <v>7</v>
      </c>
      <c r="R5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BADA GERMAINE GRAND-ZATTRY OUYINE LAZOA    YAO VINCENT    F CONCUBINAGE </v>
      </c>
      <c r="Z519" s="53"/>
      <c r="AA519" s="2"/>
      <c r="AB519" s="48"/>
      <c r="AG519" s="154"/>
      <c r="AH519" s="18"/>
      <c r="AI519" s="194"/>
      <c r="AK519" s="15"/>
      <c r="AL519" s="147"/>
      <c r="AN519" s="147"/>
      <c r="AO519" s="15"/>
      <c r="AP519" s="148"/>
    </row>
    <row r="520" spans="1:42" ht="16.5" x14ac:dyDescent="0.35">
      <c r="A520" s="53">
        <v>519</v>
      </c>
      <c r="B520" s="2" t="s">
        <v>1052</v>
      </c>
      <c r="C520" s="48" t="s">
        <v>663</v>
      </c>
      <c r="D520" t="s">
        <v>1065</v>
      </c>
      <c r="E520" t="s">
        <v>1064</v>
      </c>
      <c r="H520" s="154"/>
      <c r="I520" s="18" t="s">
        <v>1066</v>
      </c>
      <c r="J520" s="194"/>
      <c r="L520" s="15" t="s">
        <v>2</v>
      </c>
      <c r="M520" s="147" t="s">
        <v>1063</v>
      </c>
      <c r="O520" s="147">
        <v>4</v>
      </c>
      <c r="P520" s="15">
        <v>4</v>
      </c>
      <c r="Q520" s="148">
        <v>8</v>
      </c>
      <c r="R5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AMENAN VALERIE GRAND-ZATTRY OUYINE LAZOA    YAO VINCENT    F CONCUBINAGE </v>
      </c>
      <c r="Z520" s="53"/>
      <c r="AA520" s="2"/>
      <c r="AB520" s="48"/>
      <c r="AG520" s="154"/>
      <c r="AH520" s="18"/>
      <c r="AI520" s="194"/>
      <c r="AK520" s="15"/>
      <c r="AL520" s="147"/>
      <c r="AN520" s="147"/>
      <c r="AO520" s="15"/>
      <c r="AP520" s="148"/>
    </row>
    <row r="521" spans="1:42" ht="16.5" x14ac:dyDescent="0.35">
      <c r="A521" s="53">
        <v>520</v>
      </c>
      <c r="B521" s="2" t="s">
        <v>1053</v>
      </c>
      <c r="C521" s="48" t="s">
        <v>663</v>
      </c>
      <c r="D521" t="s">
        <v>1065</v>
      </c>
      <c r="E521" t="s">
        <v>1064</v>
      </c>
      <c r="H521" s="154"/>
      <c r="I521" s="18" t="s">
        <v>1066</v>
      </c>
      <c r="J521" s="194"/>
      <c r="L521" s="15" t="s">
        <v>2</v>
      </c>
      <c r="M521" s="147" t="s">
        <v>1063</v>
      </c>
      <c r="O521" s="147">
        <v>0</v>
      </c>
      <c r="P521" s="15">
        <v>4</v>
      </c>
      <c r="Q521" s="148">
        <v>4</v>
      </c>
      <c r="R5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IDRE MADELEINE GRAND-ZATTRY OUYINE LAZOA    YAO VINCENT    F CONCUBINAGE </v>
      </c>
      <c r="Z521" s="53"/>
      <c r="AA521" s="2"/>
      <c r="AB521" s="48"/>
      <c r="AG521" s="154"/>
      <c r="AH521" s="18"/>
      <c r="AI521" s="194"/>
      <c r="AK521" s="15"/>
      <c r="AL521" s="147"/>
      <c r="AN521" s="147"/>
      <c r="AO521" s="15"/>
      <c r="AP521" s="148"/>
    </row>
    <row r="522" spans="1:42" ht="16.5" x14ac:dyDescent="0.35">
      <c r="A522" s="53">
        <v>521</v>
      </c>
      <c r="B522" s="2" t="s">
        <v>1054</v>
      </c>
      <c r="C522" s="48" t="s">
        <v>663</v>
      </c>
      <c r="D522" t="s">
        <v>1065</v>
      </c>
      <c r="E522" t="s">
        <v>1064</v>
      </c>
      <c r="H522" s="154"/>
      <c r="I522" s="18" t="s">
        <v>1066</v>
      </c>
      <c r="J522" s="194"/>
      <c r="L522" s="15" t="s">
        <v>2</v>
      </c>
      <c r="M522" s="147" t="s">
        <v>1063</v>
      </c>
      <c r="O522" s="147">
        <v>3</v>
      </c>
      <c r="P522" s="15">
        <v>2</v>
      </c>
      <c r="Q522" s="148">
        <v>5</v>
      </c>
      <c r="R5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KOUKO VICTORINE GRAND-ZATTRY OUYINE LAZOA    YAO VINCENT    F CONCUBINAGE </v>
      </c>
      <c r="Z522" s="53"/>
      <c r="AA522" s="2"/>
      <c r="AB522" s="48"/>
      <c r="AG522" s="154"/>
      <c r="AH522" s="18"/>
      <c r="AI522" s="194"/>
      <c r="AK522" s="15"/>
      <c r="AL522" s="147"/>
      <c r="AN522" s="147"/>
      <c r="AO522" s="15"/>
      <c r="AP522" s="148"/>
    </row>
    <row r="523" spans="1:42" ht="16.5" x14ac:dyDescent="0.35">
      <c r="A523" s="53">
        <v>522</v>
      </c>
      <c r="B523" s="2" t="s">
        <v>1055</v>
      </c>
      <c r="C523" s="48" t="s">
        <v>663</v>
      </c>
      <c r="D523" t="s">
        <v>1065</v>
      </c>
      <c r="E523" t="s">
        <v>1064</v>
      </c>
      <c r="H523" s="154"/>
      <c r="I523" s="18" t="s">
        <v>1066</v>
      </c>
      <c r="J523" s="194"/>
      <c r="L523" s="15" t="s">
        <v>9</v>
      </c>
      <c r="M523" s="147" t="s">
        <v>1063</v>
      </c>
      <c r="O523" s="147">
        <v>1</v>
      </c>
      <c r="P523" s="15">
        <v>2</v>
      </c>
      <c r="Q523" s="148">
        <v>3</v>
      </c>
      <c r="R5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TAKORE ADOUA FERDINAND GRAND-ZATTRY OUYINE LAZOA    YAO VINCENT    M CONCUBINAGE </v>
      </c>
      <c r="Z523" s="53"/>
      <c r="AA523" s="2"/>
      <c r="AB523" s="48"/>
      <c r="AG523" s="154"/>
      <c r="AH523" s="18"/>
      <c r="AI523" s="194"/>
      <c r="AK523" s="15"/>
      <c r="AL523" s="147"/>
      <c r="AN523" s="147"/>
      <c r="AO523" s="15"/>
      <c r="AP523" s="148"/>
    </row>
    <row r="524" spans="1:42" ht="16.5" x14ac:dyDescent="0.35">
      <c r="A524" s="53">
        <v>523</v>
      </c>
      <c r="B524" s="2" t="s">
        <v>1056</v>
      </c>
      <c r="C524" s="48" t="s">
        <v>663</v>
      </c>
      <c r="D524" t="s">
        <v>1065</v>
      </c>
      <c r="E524" t="s">
        <v>1064</v>
      </c>
      <c r="H524" s="154"/>
      <c r="I524" s="18" t="s">
        <v>1066</v>
      </c>
      <c r="J524" s="194"/>
      <c r="L524" s="15" t="s">
        <v>2</v>
      </c>
      <c r="M524" s="147" t="s">
        <v>1063</v>
      </c>
      <c r="O524" s="147">
        <v>4</v>
      </c>
      <c r="P524" s="15">
        <v>2</v>
      </c>
      <c r="Q524" s="148">
        <v>6</v>
      </c>
      <c r="R5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DIGBEU SAGOUHI AUGUSTINE GRAND-ZATTRY OUYINE LAZOA    YAO VINCENT    F CONCUBINAGE </v>
      </c>
      <c r="Z524" s="53"/>
      <c r="AA524" s="2"/>
      <c r="AB524" s="48"/>
      <c r="AG524" s="154"/>
      <c r="AH524" s="18"/>
      <c r="AI524" s="194"/>
      <c r="AK524" s="15"/>
      <c r="AL524" s="147"/>
      <c r="AN524" s="147"/>
      <c r="AO524" s="15"/>
      <c r="AP524" s="148"/>
    </row>
    <row r="525" spans="1:42" ht="16.5" x14ac:dyDescent="0.35">
      <c r="A525" s="53">
        <v>524</v>
      </c>
      <c r="B525" s="2" t="s">
        <v>1057</v>
      </c>
      <c r="C525" s="48" t="s">
        <v>663</v>
      </c>
      <c r="D525" t="s">
        <v>1065</v>
      </c>
      <c r="E525" t="s">
        <v>1064</v>
      </c>
      <c r="H525" s="154"/>
      <c r="I525" s="18" t="s">
        <v>1066</v>
      </c>
      <c r="J525" s="194"/>
      <c r="L525" s="15" t="s">
        <v>2</v>
      </c>
      <c r="M525" s="147" t="s">
        <v>1063</v>
      </c>
      <c r="O525" s="147">
        <v>2</v>
      </c>
      <c r="P525" s="15">
        <v>2</v>
      </c>
      <c r="Q525" s="148">
        <v>4</v>
      </c>
      <c r="R5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GOGOUA CATHERINE GRAND-ZATTRY OUYINE LAZOA    YAO VINCENT    F CONCUBINAGE </v>
      </c>
      <c r="Z525" s="53"/>
      <c r="AA525" s="2"/>
      <c r="AB525" s="48"/>
      <c r="AG525" s="154"/>
      <c r="AH525" s="18"/>
      <c r="AI525" s="194"/>
      <c r="AK525" s="15"/>
      <c r="AL525" s="147"/>
      <c r="AN525" s="147"/>
      <c r="AO525" s="15"/>
      <c r="AP525" s="148"/>
    </row>
    <row r="526" spans="1:42" ht="16.5" x14ac:dyDescent="0.35">
      <c r="A526" s="53">
        <v>525</v>
      </c>
      <c r="B526" s="2" t="s">
        <v>1058</v>
      </c>
      <c r="C526" s="48" t="s">
        <v>663</v>
      </c>
      <c r="D526" t="s">
        <v>1065</v>
      </c>
      <c r="E526" t="s">
        <v>1064</v>
      </c>
      <c r="H526" s="154"/>
      <c r="I526" s="18" t="s">
        <v>1066</v>
      </c>
      <c r="J526" s="194"/>
      <c r="L526" s="15" t="s">
        <v>2</v>
      </c>
      <c r="M526" s="147" t="s">
        <v>1063</v>
      </c>
      <c r="O526" s="147">
        <v>1</v>
      </c>
      <c r="P526" s="15">
        <v>0</v>
      </c>
      <c r="Q526" s="148">
        <v>1</v>
      </c>
      <c r="R5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GNOKA ELOIDE GRAND-ZATTRY OUYINE LAZOA    YAO VINCENT    F CONCUBINAGE </v>
      </c>
      <c r="Z526" s="53"/>
      <c r="AA526" s="2"/>
      <c r="AB526" s="48"/>
      <c r="AG526" s="154"/>
      <c r="AH526" s="18"/>
      <c r="AI526" s="194"/>
      <c r="AK526" s="15"/>
      <c r="AL526" s="147"/>
      <c r="AN526" s="147"/>
      <c r="AO526" s="15"/>
      <c r="AP526" s="148"/>
    </row>
    <row r="527" spans="1:42" ht="16.5" x14ac:dyDescent="0.35">
      <c r="A527" s="53">
        <v>526</v>
      </c>
      <c r="B527" s="2" t="s">
        <v>1059</v>
      </c>
      <c r="C527" s="48" t="s">
        <v>663</v>
      </c>
      <c r="D527" t="s">
        <v>1065</v>
      </c>
      <c r="E527" t="s">
        <v>1064</v>
      </c>
      <c r="H527" s="154"/>
      <c r="I527" s="18" t="s">
        <v>1066</v>
      </c>
      <c r="J527" s="194"/>
      <c r="L527" s="15" t="s">
        <v>9</v>
      </c>
      <c r="M527" s="147" t="s">
        <v>1063</v>
      </c>
      <c r="O527" s="147">
        <v>1</v>
      </c>
      <c r="P527" s="15">
        <v>0</v>
      </c>
      <c r="Q527" s="148">
        <v>1</v>
      </c>
      <c r="R5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GAOTE SAMSUNG GRAND-ZATTRY OUYINE LAZOA    YAO VINCENT    M CONCUBINAGE </v>
      </c>
      <c r="Z527" s="53"/>
      <c r="AA527" s="2"/>
      <c r="AB527" s="48"/>
      <c r="AG527" s="154"/>
      <c r="AH527" s="18"/>
      <c r="AI527" s="194"/>
      <c r="AK527" s="15"/>
      <c r="AL527" s="147"/>
      <c r="AN527" s="147"/>
      <c r="AO527" s="15"/>
      <c r="AP527" s="148"/>
    </row>
    <row r="528" spans="1:42" ht="16.5" x14ac:dyDescent="0.35">
      <c r="A528" s="53">
        <v>527</v>
      </c>
      <c r="B528" s="2" t="s">
        <v>1060</v>
      </c>
      <c r="C528" s="48" t="s">
        <v>663</v>
      </c>
      <c r="D528" t="s">
        <v>1065</v>
      </c>
      <c r="E528" t="s">
        <v>1064</v>
      </c>
      <c r="H528" s="154"/>
      <c r="I528" s="18" t="s">
        <v>1066</v>
      </c>
      <c r="J528" s="194"/>
      <c r="L528" s="15" t="s">
        <v>2</v>
      </c>
      <c r="M528" s="147" t="s">
        <v>1063</v>
      </c>
      <c r="O528" s="147">
        <v>2</v>
      </c>
      <c r="P528" s="15">
        <v>2</v>
      </c>
      <c r="Q528" s="148">
        <v>4</v>
      </c>
      <c r="R5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TIEROU ESTELLE GRAND-ZATTRY OUYINE LAZOA    YAO VINCENT    F CONCUBINAGE </v>
      </c>
      <c r="Z528" s="53"/>
      <c r="AA528" s="2"/>
      <c r="AB528" s="48"/>
      <c r="AG528" s="154"/>
      <c r="AH528" s="18"/>
      <c r="AI528" s="194"/>
      <c r="AK528" s="15"/>
      <c r="AL528" s="147"/>
      <c r="AN528" s="147"/>
      <c r="AO528" s="15"/>
      <c r="AP528" s="148"/>
    </row>
    <row r="529" spans="1:42" ht="16.5" x14ac:dyDescent="0.35">
      <c r="A529" s="53">
        <v>528</v>
      </c>
      <c r="B529" s="2" t="s">
        <v>1061</v>
      </c>
      <c r="C529" s="48" t="s">
        <v>663</v>
      </c>
      <c r="D529" t="s">
        <v>1065</v>
      </c>
      <c r="E529" t="s">
        <v>1064</v>
      </c>
      <c r="H529" s="154"/>
      <c r="I529" s="18" t="s">
        <v>1066</v>
      </c>
      <c r="J529" s="194"/>
      <c r="L529" s="15" t="s">
        <v>2</v>
      </c>
      <c r="M529" s="147" t="s">
        <v>1063</v>
      </c>
      <c r="O529" s="147">
        <v>1</v>
      </c>
      <c r="P529" s="15">
        <v>1</v>
      </c>
      <c r="Q529" s="148">
        <v>2</v>
      </c>
      <c r="R5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GNALY MEZO JOCELYNE GRAND-ZATTRY OUYINE LAZOA    YAO VINCENT    F CONCUBINAGE </v>
      </c>
      <c r="Z529" s="53"/>
      <c r="AA529" s="2"/>
      <c r="AB529" s="48"/>
      <c r="AG529" s="154"/>
      <c r="AH529" s="18"/>
      <c r="AI529" s="194"/>
      <c r="AK529" s="15"/>
      <c r="AL529" s="147"/>
      <c r="AN529" s="147"/>
      <c r="AO529" s="15"/>
      <c r="AP529" s="148"/>
    </row>
    <row r="530" spans="1:42" ht="16.5" x14ac:dyDescent="0.5">
      <c r="A530" s="53">
        <v>529</v>
      </c>
      <c r="B530" s="9" t="s">
        <v>1062</v>
      </c>
      <c r="C530" s="48" t="s">
        <v>663</v>
      </c>
      <c r="D530" t="s">
        <v>1065</v>
      </c>
      <c r="E530" t="s">
        <v>1064</v>
      </c>
      <c r="H530" s="154"/>
      <c r="I530" s="18" t="s">
        <v>1066</v>
      </c>
      <c r="J530" s="194"/>
      <c r="L530" s="15" t="s">
        <v>2</v>
      </c>
      <c r="M530" s="149" t="s">
        <v>1063</v>
      </c>
      <c r="O530" s="149">
        <v>1</v>
      </c>
      <c r="P530" s="149">
        <v>4</v>
      </c>
      <c r="Q530" s="150">
        <v>5</v>
      </c>
      <c r="R5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WLE CLARISSE GRAND-ZATTRY OUYINE LAZOA    YAO VINCENT    F CONCUBINAGE </v>
      </c>
      <c r="Z530" s="53"/>
      <c r="AA530" s="9"/>
      <c r="AB530" s="48"/>
      <c r="AG530" s="154"/>
      <c r="AH530" s="18"/>
      <c r="AI530" s="194"/>
      <c r="AK530" s="15"/>
      <c r="AL530" s="149"/>
      <c r="AN530" s="149"/>
      <c r="AO530" s="149"/>
      <c r="AP530" s="150"/>
    </row>
    <row r="531" spans="1:42" ht="16.5" x14ac:dyDescent="0.35">
      <c r="A531" s="53">
        <v>530</v>
      </c>
      <c r="B531" s="2" t="s">
        <v>1067</v>
      </c>
      <c r="C531" s="48" t="s">
        <v>663</v>
      </c>
      <c r="D531" t="s">
        <v>1094</v>
      </c>
      <c r="E531" t="s">
        <v>1064</v>
      </c>
      <c r="H531" s="10"/>
      <c r="I531" s="18" t="s">
        <v>1066</v>
      </c>
      <c r="J531" s="25"/>
      <c r="L531" s="15" t="s">
        <v>9</v>
      </c>
      <c r="M531" s="147" t="s">
        <v>1063</v>
      </c>
      <c r="O531" s="147">
        <v>3</v>
      </c>
      <c r="P531" s="15">
        <v>1</v>
      </c>
      <c r="Q531" s="148">
        <v>4</v>
      </c>
      <c r="R5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JEAN DE DIEU GRAND-ZATTRY SOLIDARITE LAZOA    YAO VINCENT    M CONCUBINAGE </v>
      </c>
      <c r="Z531" s="53"/>
      <c r="AA531" s="2"/>
      <c r="AB531" s="48"/>
      <c r="AG531" s="10"/>
      <c r="AH531" s="18"/>
      <c r="AI531" s="25"/>
      <c r="AK531" s="15"/>
      <c r="AL531" s="147"/>
      <c r="AN531" s="147"/>
      <c r="AO531" s="15"/>
      <c r="AP531" s="148"/>
    </row>
    <row r="532" spans="1:42" ht="16.5" x14ac:dyDescent="0.35">
      <c r="A532" s="53">
        <v>531</v>
      </c>
      <c r="B532" s="2" t="s">
        <v>1068</v>
      </c>
      <c r="C532" s="48" t="s">
        <v>663</v>
      </c>
      <c r="D532" t="s">
        <v>1094</v>
      </c>
      <c r="E532" t="s">
        <v>1064</v>
      </c>
      <c r="H532" s="154"/>
      <c r="I532" s="18" t="s">
        <v>1066</v>
      </c>
      <c r="J532" s="194"/>
      <c r="L532" s="15" t="s">
        <v>2</v>
      </c>
      <c r="M532" s="147" t="s">
        <v>1063</v>
      </c>
      <c r="O532" s="147">
        <v>6</v>
      </c>
      <c r="P532" s="15">
        <v>4</v>
      </c>
      <c r="Q532" s="148">
        <v>10</v>
      </c>
      <c r="R5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AFFOUE PAULINE GRAND-ZATTRY SOLIDARITE LAZOA    YAO VINCENT    F CONCUBINAGE </v>
      </c>
      <c r="Z532" s="53"/>
      <c r="AA532" s="2"/>
      <c r="AB532" s="48"/>
      <c r="AG532" s="154"/>
      <c r="AH532" s="18"/>
      <c r="AI532" s="194"/>
      <c r="AK532" s="15"/>
      <c r="AL532" s="147"/>
      <c r="AN532" s="147"/>
      <c r="AO532" s="15"/>
      <c r="AP532" s="148"/>
    </row>
    <row r="533" spans="1:42" ht="16.5" x14ac:dyDescent="0.35">
      <c r="A533" s="53">
        <v>532</v>
      </c>
      <c r="B533" s="2" t="s">
        <v>1069</v>
      </c>
      <c r="C533" s="48" t="s">
        <v>663</v>
      </c>
      <c r="D533" t="s">
        <v>1094</v>
      </c>
      <c r="E533" t="s">
        <v>1064</v>
      </c>
      <c r="H533" s="154"/>
      <c r="I533" s="18" t="s">
        <v>1066</v>
      </c>
      <c r="J533" s="194"/>
      <c r="L533" s="15" t="s">
        <v>2</v>
      </c>
      <c r="M533" s="147" t="s">
        <v>1063</v>
      </c>
      <c r="O533" s="147">
        <v>1</v>
      </c>
      <c r="P533" s="15">
        <v>1</v>
      </c>
      <c r="Q533" s="148">
        <v>1</v>
      </c>
      <c r="R5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AYA ADELINE GRAND-ZATTRY SOLIDARITE LAZOA    YAO VINCENT    F CONCUBINAGE </v>
      </c>
      <c r="Z533" s="53"/>
      <c r="AA533" s="2"/>
      <c r="AB533" s="48"/>
      <c r="AG533" s="154"/>
      <c r="AH533" s="18"/>
      <c r="AI533" s="194"/>
      <c r="AK533" s="15"/>
      <c r="AL533" s="147"/>
      <c r="AN533" s="147"/>
      <c r="AO533" s="15"/>
      <c r="AP533" s="148"/>
    </row>
    <row r="534" spans="1:42" ht="16.5" x14ac:dyDescent="0.35">
      <c r="A534" s="53">
        <v>533</v>
      </c>
      <c r="B534" s="2" t="s">
        <v>1070</v>
      </c>
      <c r="C534" s="48" t="s">
        <v>663</v>
      </c>
      <c r="D534" t="s">
        <v>1094</v>
      </c>
      <c r="E534" t="s">
        <v>1064</v>
      </c>
      <c r="H534" s="154"/>
      <c r="I534" s="18" t="s">
        <v>1066</v>
      </c>
      <c r="J534" s="194"/>
      <c r="L534" s="15" t="s">
        <v>2</v>
      </c>
      <c r="M534" s="147" t="s">
        <v>1063</v>
      </c>
      <c r="O534" s="147">
        <v>2</v>
      </c>
      <c r="P534" s="15">
        <v>2</v>
      </c>
      <c r="Q534" s="148">
        <v>4</v>
      </c>
      <c r="R5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AMENAN LARISSA GRAND-ZATTRY SOLIDARITE LAZOA    YAO VINCENT    F CONCUBINAGE </v>
      </c>
      <c r="Z534" s="53"/>
      <c r="AA534" s="2"/>
      <c r="AB534" s="48"/>
      <c r="AG534" s="154"/>
      <c r="AH534" s="18"/>
      <c r="AI534" s="194"/>
      <c r="AK534" s="15"/>
      <c r="AL534" s="147"/>
      <c r="AN534" s="147"/>
      <c r="AO534" s="15"/>
      <c r="AP534" s="148"/>
    </row>
    <row r="535" spans="1:42" ht="16.5" x14ac:dyDescent="0.35">
      <c r="A535" s="53">
        <v>534</v>
      </c>
      <c r="B535" s="2" t="s">
        <v>1071</v>
      </c>
      <c r="C535" s="48" t="s">
        <v>663</v>
      </c>
      <c r="D535" t="s">
        <v>1094</v>
      </c>
      <c r="E535" t="s">
        <v>1064</v>
      </c>
      <c r="H535" s="154"/>
      <c r="I535" s="18" t="s">
        <v>1066</v>
      </c>
      <c r="J535" s="194"/>
      <c r="L535" s="15" t="s">
        <v>9</v>
      </c>
      <c r="M535" s="23" t="s">
        <v>969</v>
      </c>
      <c r="O535" s="147">
        <v>1</v>
      </c>
      <c r="P535" s="15">
        <v>1</v>
      </c>
      <c r="Q535" s="148">
        <v>2</v>
      </c>
      <c r="R5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BRICE ANNICET GRAND-ZATTRY SOLIDARITE LAZOA    YAO VINCENT    M CELIBATAIRE </v>
      </c>
      <c r="Z535" s="53"/>
      <c r="AA535" s="2"/>
      <c r="AB535" s="48"/>
      <c r="AG535" s="154"/>
      <c r="AH535" s="18"/>
      <c r="AI535" s="194"/>
      <c r="AK535" s="15"/>
      <c r="AL535" s="23"/>
      <c r="AN535" s="147"/>
      <c r="AO535" s="15"/>
      <c r="AP535" s="148"/>
    </row>
    <row r="536" spans="1:42" ht="16.5" x14ac:dyDescent="0.35">
      <c r="A536" s="53">
        <v>535</v>
      </c>
      <c r="B536" s="2" t="s">
        <v>1072</v>
      </c>
      <c r="C536" s="48" t="s">
        <v>663</v>
      </c>
      <c r="D536" t="s">
        <v>1094</v>
      </c>
      <c r="E536" t="s">
        <v>1064</v>
      </c>
      <c r="H536" s="154"/>
      <c r="I536" s="18" t="s">
        <v>1066</v>
      </c>
      <c r="J536" s="194"/>
      <c r="L536" s="15" t="s">
        <v>2</v>
      </c>
      <c r="M536" s="147" t="s">
        <v>969</v>
      </c>
      <c r="O536" s="147">
        <v>3</v>
      </c>
      <c r="P536" s="15">
        <v>3</v>
      </c>
      <c r="Q536" s="148">
        <v>6</v>
      </c>
      <c r="R5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N'GUESSAN HENRIETTE GRAND-ZATTRY SOLIDARITE LAZOA    YAO VINCENT    F CELIBATAIRE </v>
      </c>
      <c r="Z536" s="53"/>
      <c r="AA536" s="2"/>
      <c r="AB536" s="48"/>
      <c r="AG536" s="154"/>
      <c r="AH536" s="18"/>
      <c r="AI536" s="194"/>
      <c r="AK536" s="15"/>
      <c r="AL536" s="147"/>
      <c r="AN536" s="147"/>
      <c r="AO536" s="15"/>
      <c r="AP536" s="148"/>
    </row>
    <row r="537" spans="1:42" ht="16.5" x14ac:dyDescent="0.35">
      <c r="A537" s="53">
        <v>536</v>
      </c>
      <c r="B537" s="2" t="s">
        <v>1073</v>
      </c>
      <c r="C537" s="48" t="s">
        <v>663</v>
      </c>
      <c r="D537" t="s">
        <v>1094</v>
      </c>
      <c r="E537" t="s">
        <v>1064</v>
      </c>
      <c r="H537" s="154"/>
      <c r="I537" s="18" t="s">
        <v>1066</v>
      </c>
      <c r="J537" s="194"/>
      <c r="L537" s="15" t="s">
        <v>9</v>
      </c>
      <c r="M537" s="147" t="s">
        <v>1095</v>
      </c>
      <c r="O537" s="147">
        <v>2</v>
      </c>
      <c r="P537" s="15">
        <v>2</v>
      </c>
      <c r="Q537" s="148">
        <v>4</v>
      </c>
      <c r="R5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KOUAKOU EDMOND GRAND-ZATTRY SOLIDARITE LAZOA    YAO VINCENT    M MARIE </v>
      </c>
      <c r="Z537" s="53"/>
      <c r="AA537" s="2"/>
      <c r="AB537" s="48"/>
      <c r="AG537" s="154"/>
      <c r="AH537" s="18"/>
      <c r="AI537" s="194"/>
      <c r="AK537" s="15"/>
      <c r="AL537" s="147"/>
      <c r="AN537" s="147"/>
      <c r="AO537" s="15"/>
      <c r="AP537" s="148"/>
    </row>
    <row r="538" spans="1:42" ht="16.5" x14ac:dyDescent="0.35">
      <c r="A538" s="53">
        <v>537</v>
      </c>
      <c r="B538" s="2" t="s">
        <v>1074</v>
      </c>
      <c r="C538" s="48" t="s">
        <v>663</v>
      </c>
      <c r="D538" t="s">
        <v>1094</v>
      </c>
      <c r="E538" t="s">
        <v>1064</v>
      </c>
      <c r="H538" s="154"/>
      <c r="I538" s="18" t="s">
        <v>1066</v>
      </c>
      <c r="J538" s="194"/>
      <c r="L538" s="15" t="s">
        <v>9</v>
      </c>
      <c r="M538" s="147" t="s">
        <v>969</v>
      </c>
      <c r="O538" s="147">
        <v>1</v>
      </c>
      <c r="P538" s="15">
        <v>3</v>
      </c>
      <c r="Q538" s="148">
        <v>4</v>
      </c>
      <c r="R5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N'GUESSAN JEAN GRAND-ZATTRY SOLIDARITE LAZOA    YAO VINCENT    M CELIBATAIRE </v>
      </c>
      <c r="Z538" s="53"/>
      <c r="AA538" s="2"/>
      <c r="AB538" s="48"/>
      <c r="AG538" s="154"/>
      <c r="AH538" s="18"/>
      <c r="AI538" s="194"/>
      <c r="AK538" s="15"/>
      <c r="AL538" s="147"/>
      <c r="AN538" s="147"/>
      <c r="AO538" s="15"/>
      <c r="AP538" s="148"/>
    </row>
    <row r="539" spans="1:42" ht="16.5" x14ac:dyDescent="0.35">
      <c r="A539" s="53">
        <v>538</v>
      </c>
      <c r="B539" s="2" t="s">
        <v>1075</v>
      </c>
      <c r="C539" s="48" t="s">
        <v>663</v>
      </c>
      <c r="D539" t="s">
        <v>1094</v>
      </c>
      <c r="E539" t="s">
        <v>1064</v>
      </c>
      <c r="H539" s="154"/>
      <c r="I539" s="18" t="s">
        <v>1066</v>
      </c>
      <c r="J539" s="194"/>
      <c r="L539" s="15" t="s">
        <v>2</v>
      </c>
      <c r="M539" s="147" t="s">
        <v>969</v>
      </c>
      <c r="O539" s="147">
        <v>2</v>
      </c>
      <c r="P539" s="15">
        <v>3</v>
      </c>
      <c r="Q539" s="148">
        <v>5</v>
      </c>
      <c r="R5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ADJOUA NAOMIE GRAND-ZATTRY SOLIDARITE LAZOA    YAO VINCENT    F CELIBATAIRE </v>
      </c>
      <c r="Z539" s="53"/>
      <c r="AA539" s="2"/>
      <c r="AB539" s="48"/>
      <c r="AG539" s="154"/>
      <c r="AH539" s="18"/>
      <c r="AI539" s="194"/>
      <c r="AK539" s="15"/>
      <c r="AL539" s="147"/>
      <c r="AN539" s="147"/>
      <c r="AO539" s="15"/>
      <c r="AP539" s="148"/>
    </row>
    <row r="540" spans="1:42" ht="16.5" x14ac:dyDescent="0.35">
      <c r="A540" s="53">
        <v>539</v>
      </c>
      <c r="B540" s="2" t="s">
        <v>1076</v>
      </c>
      <c r="C540" s="48" t="s">
        <v>663</v>
      </c>
      <c r="D540" t="s">
        <v>1094</v>
      </c>
      <c r="E540" t="s">
        <v>1064</v>
      </c>
      <c r="H540" s="154"/>
      <c r="I540" s="18" t="s">
        <v>1066</v>
      </c>
      <c r="J540" s="194"/>
      <c r="L540" s="15" t="s">
        <v>2</v>
      </c>
      <c r="M540" s="147" t="s">
        <v>969</v>
      </c>
      <c r="O540" s="147">
        <v>4</v>
      </c>
      <c r="P540" s="15">
        <v>0</v>
      </c>
      <c r="Q540" s="148">
        <v>4</v>
      </c>
      <c r="R5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ADJOUA VIRGINIE GRAND-ZATTRY SOLIDARITE LAZOA    YAO VINCENT    F CELIBATAIRE </v>
      </c>
      <c r="Z540" s="53"/>
      <c r="AA540" s="2"/>
      <c r="AB540" s="48"/>
      <c r="AG540" s="154"/>
      <c r="AH540" s="18"/>
      <c r="AI540" s="194"/>
      <c r="AK540" s="15"/>
      <c r="AL540" s="147"/>
      <c r="AN540" s="147"/>
      <c r="AO540" s="15"/>
      <c r="AP540" s="148"/>
    </row>
    <row r="541" spans="1:42" ht="16.5" x14ac:dyDescent="0.35">
      <c r="A541" s="53">
        <v>540</v>
      </c>
      <c r="B541" s="2" t="s">
        <v>1077</v>
      </c>
      <c r="C541" s="48" t="s">
        <v>663</v>
      </c>
      <c r="D541" t="s">
        <v>1094</v>
      </c>
      <c r="E541" t="s">
        <v>1064</v>
      </c>
      <c r="H541" s="154"/>
      <c r="I541" s="18" t="s">
        <v>1066</v>
      </c>
      <c r="J541" s="194"/>
      <c r="L541" s="15" t="s">
        <v>2</v>
      </c>
      <c r="M541" s="147" t="s">
        <v>969</v>
      </c>
      <c r="O541" s="147">
        <v>3</v>
      </c>
      <c r="P541" s="15">
        <v>2</v>
      </c>
      <c r="Q541" s="148">
        <v>5</v>
      </c>
      <c r="R5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AYA GENEVIEVE GRAND-ZATTRY SOLIDARITE LAZOA    YAO VINCENT    F CELIBATAIRE </v>
      </c>
      <c r="Z541" s="53"/>
      <c r="AA541" s="2"/>
      <c r="AB541" s="48"/>
      <c r="AG541" s="154"/>
      <c r="AH541" s="18"/>
      <c r="AI541" s="194"/>
      <c r="AK541" s="15"/>
      <c r="AL541" s="147"/>
      <c r="AN541" s="147"/>
      <c r="AO541" s="15"/>
      <c r="AP541" s="148"/>
    </row>
    <row r="542" spans="1:42" ht="16.5" x14ac:dyDescent="0.35">
      <c r="A542" s="53">
        <v>541</v>
      </c>
      <c r="B542" s="2" t="s">
        <v>1078</v>
      </c>
      <c r="C542" s="48" t="s">
        <v>663</v>
      </c>
      <c r="D542" t="s">
        <v>1094</v>
      </c>
      <c r="E542" t="s">
        <v>1064</v>
      </c>
      <c r="H542" s="154"/>
      <c r="I542" s="18" t="s">
        <v>1066</v>
      </c>
      <c r="J542" s="194"/>
      <c r="L542" s="15" t="s">
        <v>2</v>
      </c>
      <c r="M542" s="147" t="s">
        <v>969</v>
      </c>
      <c r="O542" s="147">
        <v>0</v>
      </c>
      <c r="P542" s="15">
        <v>1</v>
      </c>
      <c r="Q542" s="148">
        <v>1</v>
      </c>
      <c r="R5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ADJOUA JULIE GRAND-ZATTRY SOLIDARITE LAZOA    YAO VINCENT    F CELIBATAIRE </v>
      </c>
      <c r="Z542" s="53"/>
      <c r="AA542" s="2"/>
      <c r="AB542" s="48"/>
      <c r="AG542" s="154"/>
      <c r="AH542" s="18"/>
      <c r="AI542" s="194"/>
      <c r="AK542" s="15"/>
      <c r="AL542" s="147"/>
      <c r="AN542" s="147"/>
      <c r="AO542" s="15"/>
      <c r="AP542" s="148"/>
    </row>
    <row r="543" spans="1:42" ht="16.5" x14ac:dyDescent="0.35">
      <c r="A543" s="53">
        <v>542</v>
      </c>
      <c r="B543" s="2" t="s">
        <v>1079</v>
      </c>
      <c r="C543" s="48" t="s">
        <v>663</v>
      </c>
      <c r="D543" t="s">
        <v>1094</v>
      </c>
      <c r="E543" t="s">
        <v>1064</v>
      </c>
      <c r="H543" s="154"/>
      <c r="I543" s="18" t="s">
        <v>1066</v>
      </c>
      <c r="J543" s="194"/>
      <c r="L543" s="15" t="s">
        <v>2</v>
      </c>
      <c r="M543" s="147" t="s">
        <v>969</v>
      </c>
      <c r="O543" s="147">
        <v>2</v>
      </c>
      <c r="P543" s="15">
        <v>3</v>
      </c>
      <c r="Q543" s="148">
        <v>5</v>
      </c>
      <c r="R5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AYA VICTORINE GRAND-ZATTRY SOLIDARITE LAZOA    YAO VINCENT    F CELIBATAIRE </v>
      </c>
      <c r="Z543" s="53"/>
      <c r="AA543" s="2"/>
      <c r="AB543" s="48"/>
      <c r="AG543" s="154"/>
      <c r="AH543" s="18"/>
      <c r="AI543" s="194"/>
      <c r="AK543" s="15"/>
      <c r="AL543" s="147"/>
      <c r="AN543" s="147"/>
      <c r="AO543" s="15"/>
      <c r="AP543" s="148"/>
    </row>
    <row r="544" spans="1:42" ht="16.5" x14ac:dyDescent="0.35">
      <c r="A544" s="53">
        <v>543</v>
      </c>
      <c r="B544" s="2" t="s">
        <v>1080</v>
      </c>
      <c r="C544" s="48" t="s">
        <v>663</v>
      </c>
      <c r="D544" t="s">
        <v>1094</v>
      </c>
      <c r="E544" t="s">
        <v>1064</v>
      </c>
      <c r="H544" s="154"/>
      <c r="I544" s="18" t="s">
        <v>1066</v>
      </c>
      <c r="J544" s="194"/>
      <c r="L544" s="15" t="s">
        <v>2</v>
      </c>
      <c r="M544" s="147" t="s">
        <v>969</v>
      </c>
      <c r="O544" s="147">
        <v>0</v>
      </c>
      <c r="P544" s="15">
        <v>0</v>
      </c>
      <c r="Q544" s="148">
        <v>0</v>
      </c>
      <c r="R5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CYRILLE GRAND-ZATTRY SOLIDARITE LAZOA    YAO VINCENT    F CELIBATAIRE </v>
      </c>
      <c r="Z544" s="53"/>
      <c r="AA544" s="2"/>
      <c r="AB544" s="48"/>
      <c r="AG544" s="154"/>
      <c r="AH544" s="18"/>
      <c r="AI544" s="194"/>
      <c r="AK544" s="15"/>
      <c r="AL544" s="147"/>
      <c r="AN544" s="147"/>
      <c r="AO544" s="15"/>
      <c r="AP544" s="148"/>
    </row>
    <row r="545" spans="1:42" ht="16.5" x14ac:dyDescent="0.35">
      <c r="A545" s="53">
        <v>544</v>
      </c>
      <c r="B545" s="2" t="s">
        <v>1081</v>
      </c>
      <c r="C545" s="48" t="s">
        <v>663</v>
      </c>
      <c r="D545" t="s">
        <v>1094</v>
      </c>
      <c r="E545" t="s">
        <v>1064</v>
      </c>
      <c r="H545" s="154"/>
      <c r="I545" s="18" t="s">
        <v>1066</v>
      </c>
      <c r="J545" s="194"/>
      <c r="L545" s="15" t="s">
        <v>9</v>
      </c>
      <c r="M545" s="147" t="s">
        <v>969</v>
      </c>
      <c r="O545" s="147">
        <v>3</v>
      </c>
      <c r="P545" s="15">
        <v>6</v>
      </c>
      <c r="Q545" s="148">
        <v>9</v>
      </c>
      <c r="R5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YAO GERMAIN GRAND-ZATTRY SOLIDARITE LAZOA    YAO VINCENT    M CELIBATAIRE </v>
      </c>
      <c r="Z545" s="53"/>
      <c r="AA545" s="2"/>
      <c r="AB545" s="48"/>
      <c r="AG545" s="154"/>
      <c r="AH545" s="18"/>
      <c r="AI545" s="194"/>
      <c r="AK545" s="15"/>
      <c r="AL545" s="147"/>
      <c r="AN545" s="147"/>
      <c r="AO545" s="15"/>
      <c r="AP545" s="148"/>
    </row>
    <row r="546" spans="1:42" ht="16.5" x14ac:dyDescent="0.35">
      <c r="A546" s="53">
        <v>545</v>
      </c>
      <c r="B546" s="2" t="s">
        <v>1082</v>
      </c>
      <c r="C546" s="48" t="s">
        <v>663</v>
      </c>
      <c r="D546" t="s">
        <v>1094</v>
      </c>
      <c r="E546" t="s">
        <v>1064</v>
      </c>
      <c r="H546" s="154"/>
      <c r="I546" s="18" t="s">
        <v>1066</v>
      </c>
      <c r="J546" s="194"/>
      <c r="L546" s="15" t="s">
        <v>9</v>
      </c>
      <c r="M546" s="147" t="s">
        <v>969</v>
      </c>
      <c r="O546" s="147">
        <v>3</v>
      </c>
      <c r="P546" s="15">
        <v>3</v>
      </c>
      <c r="Q546" s="148">
        <v>6</v>
      </c>
      <c r="R5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KONAN NOEL GRAND-ZATTRY SOLIDARITE LAZOA    YAO VINCENT    M CELIBATAIRE </v>
      </c>
      <c r="Z546" s="53"/>
      <c r="AA546" s="2"/>
      <c r="AB546" s="48"/>
      <c r="AG546" s="154"/>
      <c r="AH546" s="18"/>
      <c r="AI546" s="194"/>
      <c r="AK546" s="15"/>
      <c r="AL546" s="147"/>
      <c r="AN546" s="147"/>
      <c r="AO546" s="15"/>
      <c r="AP546" s="148"/>
    </row>
    <row r="547" spans="1:42" ht="16.5" x14ac:dyDescent="0.35">
      <c r="A547" s="53">
        <v>546</v>
      </c>
      <c r="B547" s="2" t="s">
        <v>1083</v>
      </c>
      <c r="C547" s="48" t="s">
        <v>663</v>
      </c>
      <c r="D547" t="s">
        <v>1094</v>
      </c>
      <c r="E547" t="s">
        <v>1064</v>
      </c>
      <c r="H547" s="154"/>
      <c r="I547" s="18" t="s">
        <v>1066</v>
      </c>
      <c r="J547" s="194"/>
      <c r="L547" s="15" t="s">
        <v>2</v>
      </c>
      <c r="M547" s="147" t="s">
        <v>969</v>
      </c>
      <c r="O547" s="147">
        <v>1</v>
      </c>
      <c r="P547" s="15">
        <v>3</v>
      </c>
      <c r="Q547" s="148">
        <v>4</v>
      </c>
      <c r="R5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N'GORAN AHOU  GRAND-ZATTRY SOLIDARITE LAZOA    YAO VINCENT    F CELIBATAIRE </v>
      </c>
      <c r="Z547" s="53"/>
      <c r="AA547" s="2"/>
      <c r="AB547" s="48"/>
      <c r="AG547" s="154"/>
      <c r="AH547" s="18"/>
      <c r="AI547" s="194"/>
      <c r="AK547" s="15"/>
      <c r="AL547" s="147"/>
      <c r="AN547" s="147"/>
      <c r="AO547" s="15"/>
      <c r="AP547" s="148"/>
    </row>
    <row r="548" spans="1:42" ht="16.5" x14ac:dyDescent="0.35">
      <c r="A548" s="53">
        <v>547</v>
      </c>
      <c r="B548" s="2" t="s">
        <v>1084</v>
      </c>
      <c r="C548" s="48" t="s">
        <v>663</v>
      </c>
      <c r="D548" t="s">
        <v>1094</v>
      </c>
      <c r="E548" t="s">
        <v>1064</v>
      </c>
      <c r="H548" s="154"/>
      <c r="I548" s="18" t="s">
        <v>1066</v>
      </c>
      <c r="J548" s="194"/>
      <c r="L548" s="15" t="s">
        <v>9</v>
      </c>
      <c r="M548" s="147" t="s">
        <v>1063</v>
      </c>
      <c r="O548" s="147">
        <v>1</v>
      </c>
      <c r="P548" s="15">
        <v>3</v>
      </c>
      <c r="Q548" s="148">
        <v>4</v>
      </c>
      <c r="R5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KOUASSI ERIC GRAND-ZATTRY SOLIDARITE LAZOA    YAO VINCENT    M CONCUBINAGE </v>
      </c>
      <c r="Z548" s="53"/>
      <c r="AA548" s="2"/>
      <c r="AB548" s="48"/>
      <c r="AG548" s="154"/>
      <c r="AH548" s="18"/>
      <c r="AI548" s="194"/>
      <c r="AK548" s="15"/>
      <c r="AL548" s="147"/>
      <c r="AN548" s="147"/>
      <c r="AO548" s="15"/>
      <c r="AP548" s="148"/>
    </row>
    <row r="549" spans="1:42" ht="16.5" x14ac:dyDescent="0.35">
      <c r="A549" s="53">
        <v>548</v>
      </c>
      <c r="B549" s="2" t="s">
        <v>1085</v>
      </c>
      <c r="C549" s="48" t="s">
        <v>663</v>
      </c>
      <c r="D549" t="s">
        <v>1094</v>
      </c>
      <c r="E549" t="s">
        <v>1064</v>
      </c>
      <c r="H549" s="154"/>
      <c r="I549" s="18" t="s">
        <v>1066</v>
      </c>
      <c r="J549" s="194"/>
      <c r="L549" s="15" t="s">
        <v>9</v>
      </c>
      <c r="M549" s="147" t="s">
        <v>1063</v>
      </c>
      <c r="O549" s="147">
        <v>2</v>
      </c>
      <c r="P549" s="15">
        <v>3</v>
      </c>
      <c r="Q549" s="148">
        <v>5</v>
      </c>
      <c r="R5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KONAN MARUIS GRAND-ZATTRY SOLIDARITE LAZOA    YAO VINCENT    M CONCUBINAGE </v>
      </c>
      <c r="Z549" s="53"/>
      <c r="AA549" s="2"/>
      <c r="AB549" s="48"/>
      <c r="AG549" s="154"/>
      <c r="AH549" s="18"/>
      <c r="AI549" s="194"/>
      <c r="AK549" s="15"/>
      <c r="AL549" s="147"/>
      <c r="AN549" s="147"/>
      <c r="AO549" s="15"/>
      <c r="AP549" s="148"/>
    </row>
    <row r="550" spans="1:42" ht="16.5" x14ac:dyDescent="0.35">
      <c r="A550" s="53">
        <v>549</v>
      </c>
      <c r="B550" s="2" t="s">
        <v>502</v>
      </c>
      <c r="C550" s="48" t="s">
        <v>663</v>
      </c>
      <c r="D550" t="s">
        <v>1094</v>
      </c>
      <c r="E550" t="s">
        <v>1064</v>
      </c>
      <c r="H550" s="154"/>
      <c r="I550" s="18" t="s">
        <v>1066</v>
      </c>
      <c r="J550" s="194"/>
      <c r="L550" s="15" t="s">
        <v>2</v>
      </c>
      <c r="M550" s="147" t="s">
        <v>1063</v>
      </c>
      <c r="O550" s="147">
        <v>2</v>
      </c>
      <c r="P550" s="15">
        <v>6</v>
      </c>
      <c r="Q550" s="148">
        <v>8</v>
      </c>
      <c r="R5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AYA GRAND-ZATTRY SOLIDARITE LAZOA    YAO VINCENT    F CONCUBINAGE </v>
      </c>
      <c r="Z550" s="53"/>
      <c r="AA550" s="2"/>
      <c r="AB550" s="48"/>
      <c r="AG550" s="154"/>
      <c r="AH550" s="18"/>
      <c r="AI550" s="194"/>
      <c r="AK550" s="15"/>
      <c r="AL550" s="147"/>
      <c r="AN550" s="147"/>
      <c r="AO550" s="15"/>
      <c r="AP550" s="148"/>
    </row>
    <row r="551" spans="1:42" ht="16.5" x14ac:dyDescent="0.35">
      <c r="A551" s="53">
        <v>550</v>
      </c>
      <c r="B551" s="2" t="s">
        <v>1086</v>
      </c>
      <c r="C551" s="48" t="s">
        <v>663</v>
      </c>
      <c r="D551" t="s">
        <v>1094</v>
      </c>
      <c r="E551" t="s">
        <v>1064</v>
      </c>
      <c r="H551" s="154"/>
      <c r="I551" s="18" t="s">
        <v>1066</v>
      </c>
      <c r="J551" s="194"/>
      <c r="L551" s="15" t="s">
        <v>9</v>
      </c>
      <c r="M551" s="147" t="s">
        <v>1063</v>
      </c>
      <c r="O551" s="147">
        <v>2</v>
      </c>
      <c r="P551" s="15">
        <v>0</v>
      </c>
      <c r="Q551" s="148">
        <v>2</v>
      </c>
      <c r="R5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KOUADIO EMANUEL GRAND-ZATTRY SOLIDARITE LAZOA    YAO VINCENT    M CONCUBINAGE </v>
      </c>
      <c r="Z551" s="53"/>
      <c r="AA551" s="2"/>
      <c r="AB551" s="48"/>
      <c r="AG551" s="154"/>
      <c r="AH551" s="18"/>
      <c r="AI551" s="194"/>
      <c r="AK551" s="15"/>
      <c r="AL551" s="147"/>
      <c r="AN551" s="147"/>
      <c r="AO551" s="15"/>
      <c r="AP551" s="148"/>
    </row>
    <row r="552" spans="1:42" ht="16.5" x14ac:dyDescent="0.35">
      <c r="A552" s="53">
        <v>551</v>
      </c>
      <c r="B552" s="2" t="s">
        <v>1087</v>
      </c>
      <c r="C552" s="48" t="s">
        <v>663</v>
      </c>
      <c r="D552" t="s">
        <v>1094</v>
      </c>
      <c r="E552" t="s">
        <v>1064</v>
      </c>
      <c r="H552" s="154"/>
      <c r="I552" s="18" t="s">
        <v>1066</v>
      </c>
      <c r="J552" s="194"/>
      <c r="L552" s="15" t="s">
        <v>9</v>
      </c>
      <c r="M552" s="147" t="s">
        <v>1063</v>
      </c>
      <c r="O552" s="147">
        <v>2</v>
      </c>
      <c r="P552" s="15">
        <v>1</v>
      </c>
      <c r="Q552" s="148">
        <v>3</v>
      </c>
      <c r="R5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AHOUTOU VINCENT GRAND-ZATTRY SOLIDARITE LAZOA    YAO VINCENT    M CONCUBINAGE </v>
      </c>
      <c r="Z552" s="53"/>
      <c r="AA552" s="2"/>
      <c r="AB552" s="48"/>
      <c r="AG552" s="154"/>
      <c r="AH552" s="18"/>
      <c r="AI552" s="194"/>
      <c r="AK552" s="15"/>
      <c r="AL552" s="147"/>
      <c r="AN552" s="147"/>
      <c r="AO552" s="15"/>
      <c r="AP552" s="148"/>
    </row>
    <row r="553" spans="1:42" ht="16.5" x14ac:dyDescent="0.35">
      <c r="A553" s="53">
        <v>552</v>
      </c>
      <c r="B553" s="2" t="s">
        <v>1088</v>
      </c>
      <c r="C553" s="48" t="s">
        <v>663</v>
      </c>
      <c r="D553" t="s">
        <v>1094</v>
      </c>
      <c r="E553" t="s">
        <v>1064</v>
      </c>
      <c r="H553" s="154"/>
      <c r="I553" s="18" t="s">
        <v>1066</v>
      </c>
      <c r="J553" s="194"/>
      <c r="L553" s="15" t="s">
        <v>2</v>
      </c>
      <c r="M553" s="147" t="s">
        <v>1063</v>
      </c>
      <c r="O553" s="147">
        <v>1</v>
      </c>
      <c r="P553" s="15">
        <v>3</v>
      </c>
      <c r="Q553" s="148">
        <v>4</v>
      </c>
      <c r="R5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AKISSI YVONNE GRAND-ZATTRY SOLIDARITE LAZOA    YAO VINCENT    F CONCUBINAGE </v>
      </c>
      <c r="Z553" s="53"/>
      <c r="AA553" s="2"/>
      <c r="AB553" s="48"/>
      <c r="AG553" s="154"/>
      <c r="AH553" s="18"/>
      <c r="AI553" s="194"/>
      <c r="AK553" s="15"/>
      <c r="AL553" s="147"/>
      <c r="AN553" s="147"/>
      <c r="AO553" s="15"/>
      <c r="AP553" s="148"/>
    </row>
    <row r="554" spans="1:42" ht="16.5" x14ac:dyDescent="0.35">
      <c r="A554" s="53">
        <v>553</v>
      </c>
      <c r="B554" s="2" t="s">
        <v>1089</v>
      </c>
      <c r="C554" s="48" t="s">
        <v>663</v>
      </c>
      <c r="D554" t="s">
        <v>1094</v>
      </c>
      <c r="E554" t="s">
        <v>1064</v>
      </c>
      <c r="H554" s="154"/>
      <c r="I554" s="18" t="s">
        <v>1066</v>
      </c>
      <c r="J554" s="194"/>
      <c r="L554" s="15" t="s">
        <v>2</v>
      </c>
      <c r="M554" s="147" t="s">
        <v>1063</v>
      </c>
      <c r="O554" s="147">
        <v>1</v>
      </c>
      <c r="P554" s="15">
        <v>2</v>
      </c>
      <c r="Q554" s="148">
        <v>3</v>
      </c>
      <c r="R5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N'GORAN MARTHE GRAND-ZATTRY SOLIDARITE LAZOA    YAO VINCENT    F CONCUBINAGE </v>
      </c>
      <c r="Z554" s="53"/>
      <c r="AA554" s="2"/>
      <c r="AB554" s="48"/>
      <c r="AG554" s="154"/>
      <c r="AH554" s="18"/>
      <c r="AI554" s="194"/>
      <c r="AK554" s="15"/>
      <c r="AL554" s="147"/>
      <c r="AN554" s="147"/>
      <c r="AO554" s="15"/>
      <c r="AP554" s="148"/>
    </row>
    <row r="555" spans="1:42" ht="16.5" x14ac:dyDescent="0.35">
      <c r="A555" s="53">
        <v>554</v>
      </c>
      <c r="B555" s="2" t="s">
        <v>1090</v>
      </c>
      <c r="C555" s="48" t="s">
        <v>663</v>
      </c>
      <c r="D555" t="s">
        <v>1094</v>
      </c>
      <c r="E555" t="s">
        <v>1064</v>
      </c>
      <c r="H555" s="154"/>
      <c r="I555" s="18" t="s">
        <v>1066</v>
      </c>
      <c r="J555" s="194"/>
      <c r="L555" s="15" t="s">
        <v>2</v>
      </c>
      <c r="M555" s="147" t="s">
        <v>1063</v>
      </c>
      <c r="O555" s="147">
        <v>6</v>
      </c>
      <c r="P555" s="15">
        <v>1</v>
      </c>
      <c r="Q555" s="148">
        <v>7</v>
      </c>
      <c r="R5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ADJOUA AMELIE GRAND-ZATTRY SOLIDARITE LAZOA    YAO VINCENT    F CONCUBINAGE </v>
      </c>
      <c r="Z555" s="53"/>
      <c r="AA555" s="2"/>
      <c r="AB555" s="48"/>
      <c r="AG555" s="154"/>
      <c r="AH555" s="18"/>
      <c r="AI555" s="194"/>
      <c r="AK555" s="15"/>
      <c r="AL555" s="147"/>
      <c r="AN555" s="147"/>
      <c r="AO555" s="15"/>
      <c r="AP555" s="148"/>
    </row>
    <row r="556" spans="1:42" ht="16.5" x14ac:dyDescent="0.35">
      <c r="A556" s="53">
        <v>555</v>
      </c>
      <c r="B556" s="2" t="s">
        <v>1091</v>
      </c>
      <c r="C556" s="48" t="s">
        <v>663</v>
      </c>
      <c r="D556" t="s">
        <v>1094</v>
      </c>
      <c r="E556" t="s">
        <v>1064</v>
      </c>
      <c r="H556" s="154"/>
      <c r="I556" s="18" t="s">
        <v>1066</v>
      </c>
      <c r="J556" s="194"/>
      <c r="L556" s="15" t="s">
        <v>2</v>
      </c>
      <c r="M556" s="147" t="s">
        <v>1063</v>
      </c>
      <c r="O556" s="147">
        <v>5</v>
      </c>
      <c r="P556" s="15">
        <v>2</v>
      </c>
      <c r="Q556" s="148">
        <v>7</v>
      </c>
      <c r="R5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AMOIN ADELINE GRAND-ZATTRY SOLIDARITE LAZOA    YAO VINCENT    F CONCUBINAGE </v>
      </c>
      <c r="Z556" s="53"/>
      <c r="AA556" s="2"/>
      <c r="AB556" s="48"/>
      <c r="AG556" s="154"/>
      <c r="AH556" s="18"/>
      <c r="AI556" s="194"/>
      <c r="AK556" s="15"/>
      <c r="AL556" s="147"/>
      <c r="AN556" s="147"/>
      <c r="AO556" s="15"/>
      <c r="AP556" s="148"/>
    </row>
    <row r="557" spans="1:42" ht="16.5" x14ac:dyDescent="0.5">
      <c r="A557" s="53">
        <v>556</v>
      </c>
      <c r="B557" s="2" t="s">
        <v>1092</v>
      </c>
      <c r="C557" s="48" t="s">
        <v>663</v>
      </c>
      <c r="D557" t="s">
        <v>1094</v>
      </c>
      <c r="E557" t="s">
        <v>1064</v>
      </c>
      <c r="H557" s="154"/>
      <c r="I557" s="18" t="s">
        <v>1066</v>
      </c>
      <c r="J557" s="194"/>
      <c r="L557" s="15" t="s">
        <v>2</v>
      </c>
      <c r="M557" s="149" t="s">
        <v>1063</v>
      </c>
      <c r="O557" s="149">
        <v>3</v>
      </c>
      <c r="P557" s="149">
        <v>4</v>
      </c>
      <c r="Q557" s="150">
        <v>7</v>
      </c>
      <c r="R5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AFFOUE MARIE CHANTAL GRAND-ZATTRY SOLIDARITE LAZOA    YAO VINCENT    F CONCUBINAGE </v>
      </c>
      <c r="Z557" s="53"/>
      <c r="AA557" s="2"/>
      <c r="AB557" s="48"/>
      <c r="AG557" s="154"/>
      <c r="AH557" s="18"/>
      <c r="AI557" s="194"/>
      <c r="AK557" s="15"/>
      <c r="AL557" s="149"/>
      <c r="AN557" s="149"/>
      <c r="AO557" s="149"/>
      <c r="AP557" s="150"/>
    </row>
    <row r="558" spans="1:42" ht="16.5" x14ac:dyDescent="0.35">
      <c r="A558" s="53">
        <v>557</v>
      </c>
      <c r="B558" s="9" t="s">
        <v>1093</v>
      </c>
      <c r="C558" s="48" t="s">
        <v>663</v>
      </c>
      <c r="D558" t="s">
        <v>1094</v>
      </c>
      <c r="E558" t="s">
        <v>1064</v>
      </c>
      <c r="H558" s="154"/>
      <c r="I558" s="18" t="s">
        <v>1066</v>
      </c>
      <c r="J558" s="194"/>
      <c r="L558" s="15" t="s">
        <v>2</v>
      </c>
      <c r="M558" s="151" t="s">
        <v>1063</v>
      </c>
      <c r="O558" s="151">
        <v>1</v>
      </c>
      <c r="P558" s="151">
        <v>3</v>
      </c>
      <c r="Q558" s="152">
        <v>4</v>
      </c>
      <c r="R5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AFFOUE ANGELE GRAND-ZATTRY SOLIDARITE LAZOA    YAO VINCENT    F CONCUBINAGE </v>
      </c>
      <c r="Z558" s="53"/>
      <c r="AA558" s="9"/>
      <c r="AB558" s="48"/>
      <c r="AG558" s="154"/>
      <c r="AH558" s="18"/>
      <c r="AI558" s="194"/>
      <c r="AK558" s="15"/>
      <c r="AL558" s="151"/>
      <c r="AN558" s="151"/>
      <c r="AO558" s="151"/>
      <c r="AP558" s="152"/>
    </row>
    <row r="559" spans="1:42" ht="16.5" x14ac:dyDescent="0.35">
      <c r="A559" s="53">
        <v>558</v>
      </c>
      <c r="B559" s="2" t="s">
        <v>1096</v>
      </c>
      <c r="C559" s="48" t="s">
        <v>663</v>
      </c>
      <c r="D559" t="s">
        <v>1120</v>
      </c>
      <c r="E559" t="s">
        <v>1064</v>
      </c>
      <c r="H559" s="10"/>
      <c r="I559" s="18" t="s">
        <v>1066</v>
      </c>
      <c r="J559" s="25"/>
      <c r="L559" s="15" t="s">
        <v>9</v>
      </c>
      <c r="M559" s="147"/>
      <c r="O559" s="147">
        <v>1</v>
      </c>
      <c r="P559" s="15">
        <v>3</v>
      </c>
      <c r="Q559" s="148">
        <v>4</v>
      </c>
      <c r="R5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FABRICE GRAND-ZATTRY SUCCES LAZOA    YAO VINCENT    M  </v>
      </c>
      <c r="Z559" s="53"/>
      <c r="AA559" s="2"/>
      <c r="AB559" s="48"/>
      <c r="AG559" s="10"/>
      <c r="AH559" s="18"/>
      <c r="AI559" s="25"/>
      <c r="AK559" s="15"/>
      <c r="AL559" s="147"/>
      <c r="AN559" s="147"/>
      <c r="AO559" s="15"/>
      <c r="AP559" s="148"/>
    </row>
    <row r="560" spans="1:42" ht="16.5" x14ac:dyDescent="0.35">
      <c r="A560" s="53">
        <v>559</v>
      </c>
      <c r="B560" s="2" t="s">
        <v>1097</v>
      </c>
      <c r="C560" s="48" t="s">
        <v>663</v>
      </c>
      <c r="D560" t="s">
        <v>1120</v>
      </c>
      <c r="E560" t="s">
        <v>1064</v>
      </c>
      <c r="H560" s="154"/>
      <c r="I560" s="18" t="s">
        <v>1066</v>
      </c>
      <c r="J560" s="194"/>
      <c r="L560" s="15" t="s">
        <v>2</v>
      </c>
      <c r="M560" s="147"/>
      <c r="O560" s="147">
        <v>0</v>
      </c>
      <c r="P560" s="15">
        <v>1</v>
      </c>
      <c r="Q560" s="148">
        <v>1</v>
      </c>
      <c r="R5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MARIE PAULE GRAND-ZATTRY SUCCES LAZOA    YAO VINCENT    F  </v>
      </c>
      <c r="Z560" s="53"/>
      <c r="AA560" s="2"/>
      <c r="AB560" s="48"/>
      <c r="AG560" s="154"/>
      <c r="AH560" s="18"/>
      <c r="AI560" s="194"/>
      <c r="AK560" s="15"/>
      <c r="AL560" s="147"/>
      <c r="AN560" s="147"/>
      <c r="AO560" s="15"/>
      <c r="AP560" s="148"/>
    </row>
    <row r="561" spans="1:42" ht="16.5" x14ac:dyDescent="0.35">
      <c r="A561" s="53">
        <v>560</v>
      </c>
      <c r="B561" s="2" t="s">
        <v>1098</v>
      </c>
      <c r="C561" s="48" t="s">
        <v>663</v>
      </c>
      <c r="D561" t="s">
        <v>1120</v>
      </c>
      <c r="E561" t="s">
        <v>1064</v>
      </c>
      <c r="H561" s="154"/>
      <c r="I561" s="18" t="s">
        <v>1066</v>
      </c>
      <c r="J561" s="194"/>
      <c r="L561" s="15" t="s">
        <v>2</v>
      </c>
      <c r="M561" s="147"/>
      <c r="O561" s="147">
        <v>6</v>
      </c>
      <c r="P561" s="15">
        <v>3</v>
      </c>
      <c r="Q561" s="148">
        <v>9</v>
      </c>
      <c r="R5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N'GUESSAN PAULINE GRAND-ZATTRY SUCCES LAZOA    YAO VINCENT    F  </v>
      </c>
      <c r="Z561" s="53"/>
      <c r="AA561" s="2"/>
      <c r="AB561" s="48"/>
      <c r="AG561" s="154"/>
      <c r="AH561" s="18"/>
      <c r="AI561" s="194"/>
      <c r="AK561" s="15"/>
      <c r="AL561" s="147"/>
      <c r="AN561" s="147"/>
      <c r="AO561" s="15"/>
      <c r="AP561" s="148"/>
    </row>
    <row r="562" spans="1:42" ht="16.5" x14ac:dyDescent="0.35">
      <c r="A562" s="53">
        <v>561</v>
      </c>
      <c r="B562" s="2" t="s">
        <v>1099</v>
      </c>
      <c r="C562" s="48" t="s">
        <v>663</v>
      </c>
      <c r="D562" t="s">
        <v>1120</v>
      </c>
      <c r="E562" t="s">
        <v>1064</v>
      </c>
      <c r="H562" s="154"/>
      <c r="I562" s="18" t="s">
        <v>1066</v>
      </c>
      <c r="J562" s="194"/>
      <c r="L562" s="15" t="s">
        <v>9</v>
      </c>
      <c r="M562" s="147"/>
      <c r="O562" s="147">
        <v>5</v>
      </c>
      <c r="P562" s="15">
        <v>3</v>
      </c>
      <c r="Q562" s="148">
        <v>8</v>
      </c>
      <c r="R5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YAO JEAN  GRAND-ZATTRY SUCCES LAZOA    YAO VINCENT    M  </v>
      </c>
      <c r="Z562" s="53"/>
      <c r="AA562" s="2"/>
      <c r="AB562" s="48"/>
      <c r="AG562" s="154"/>
      <c r="AH562" s="18"/>
      <c r="AI562" s="194"/>
      <c r="AK562" s="15"/>
      <c r="AL562" s="147"/>
      <c r="AN562" s="147"/>
      <c r="AO562" s="15"/>
      <c r="AP562" s="148"/>
    </row>
    <row r="563" spans="1:42" ht="16.5" x14ac:dyDescent="0.35">
      <c r="A563" s="53">
        <v>562</v>
      </c>
      <c r="B563" s="2" t="s">
        <v>1100</v>
      </c>
      <c r="C563" s="48" t="s">
        <v>663</v>
      </c>
      <c r="D563" t="s">
        <v>1120</v>
      </c>
      <c r="E563" t="s">
        <v>1064</v>
      </c>
      <c r="H563" s="154"/>
      <c r="I563" s="18" t="s">
        <v>1066</v>
      </c>
      <c r="J563" s="194"/>
      <c r="L563" s="15" t="s">
        <v>2</v>
      </c>
      <c r="M563" s="147"/>
      <c r="O563" s="147">
        <v>0</v>
      </c>
      <c r="P563" s="15">
        <v>1</v>
      </c>
      <c r="Q563" s="148">
        <v>1</v>
      </c>
      <c r="R5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ADJO PRESCALINE GRAND-ZATTRY SUCCES LAZOA    YAO VINCENT    F  </v>
      </c>
      <c r="Z563" s="53"/>
      <c r="AA563" s="2"/>
      <c r="AB563" s="48"/>
      <c r="AG563" s="154"/>
      <c r="AH563" s="18"/>
      <c r="AI563" s="194"/>
      <c r="AK563" s="15"/>
      <c r="AL563" s="147"/>
      <c r="AN563" s="147"/>
      <c r="AO563" s="15"/>
      <c r="AP563" s="148"/>
    </row>
    <row r="564" spans="1:42" ht="16.5" x14ac:dyDescent="0.35">
      <c r="A564" s="53">
        <v>563</v>
      </c>
      <c r="B564" s="2" t="s">
        <v>1101</v>
      </c>
      <c r="C564" s="48" t="s">
        <v>663</v>
      </c>
      <c r="D564" t="s">
        <v>1120</v>
      </c>
      <c r="E564" t="s">
        <v>1064</v>
      </c>
      <c r="H564" s="154"/>
      <c r="I564" s="18" t="s">
        <v>1066</v>
      </c>
      <c r="J564" s="194"/>
      <c r="L564" s="15" t="s">
        <v>2</v>
      </c>
      <c r="M564" s="147"/>
      <c r="O564" s="147">
        <v>1</v>
      </c>
      <c r="P564" s="15">
        <v>3</v>
      </c>
      <c r="Q564" s="148">
        <v>4</v>
      </c>
      <c r="R5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LOUKOU MARIE-LAURE GRAND-ZATTRY SUCCES LAZOA    YAO VINCENT    F  </v>
      </c>
      <c r="Z564" s="53"/>
      <c r="AA564" s="2"/>
      <c r="AB564" s="48"/>
      <c r="AG564" s="154"/>
      <c r="AH564" s="18"/>
      <c r="AI564" s="194"/>
      <c r="AK564" s="15"/>
      <c r="AL564" s="147"/>
      <c r="AN564" s="147"/>
      <c r="AO564" s="15"/>
      <c r="AP564" s="148"/>
    </row>
    <row r="565" spans="1:42" ht="16.5" x14ac:dyDescent="0.35">
      <c r="A565" s="53">
        <v>564</v>
      </c>
      <c r="B565" s="2" t="s">
        <v>1102</v>
      </c>
      <c r="C565" s="48" t="s">
        <v>663</v>
      </c>
      <c r="D565" t="s">
        <v>1120</v>
      </c>
      <c r="E565" t="s">
        <v>1064</v>
      </c>
      <c r="H565" s="154"/>
      <c r="I565" s="18" t="s">
        <v>1066</v>
      </c>
      <c r="J565" s="194"/>
      <c r="L565" s="15" t="s">
        <v>9</v>
      </c>
      <c r="M565" s="147"/>
      <c r="O565" s="147">
        <v>2</v>
      </c>
      <c r="P565" s="15">
        <v>3</v>
      </c>
      <c r="Q565" s="148">
        <v>5</v>
      </c>
      <c r="R5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STEPHANE GRAND-ZATTRY SUCCES LAZOA    YAO VINCENT    M  </v>
      </c>
      <c r="Z565" s="53"/>
      <c r="AA565" s="2"/>
      <c r="AB565" s="48"/>
      <c r="AG565" s="154"/>
      <c r="AH565" s="18"/>
      <c r="AI565" s="194"/>
      <c r="AK565" s="15"/>
      <c r="AL565" s="147"/>
      <c r="AN565" s="147"/>
      <c r="AO565" s="15"/>
      <c r="AP565" s="148"/>
    </row>
    <row r="566" spans="1:42" ht="16.5" x14ac:dyDescent="0.35">
      <c r="A566" s="53">
        <v>565</v>
      </c>
      <c r="B566" s="2" t="s">
        <v>1103</v>
      </c>
      <c r="C566" s="48" t="s">
        <v>663</v>
      </c>
      <c r="D566" t="s">
        <v>1120</v>
      </c>
      <c r="E566" t="s">
        <v>1064</v>
      </c>
      <c r="H566" s="154"/>
      <c r="I566" s="18" t="s">
        <v>1066</v>
      </c>
      <c r="J566" s="194"/>
      <c r="L566" s="15" t="s">
        <v>9</v>
      </c>
      <c r="M566" s="147"/>
      <c r="O566" s="147">
        <v>0</v>
      </c>
      <c r="P566" s="15">
        <v>0</v>
      </c>
      <c r="Q566" s="148">
        <v>0</v>
      </c>
      <c r="R5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YAO JOSUE GRAND-ZATTRY SUCCES LAZOA    YAO VINCENT    M  </v>
      </c>
      <c r="Z566" s="53"/>
      <c r="AA566" s="2"/>
      <c r="AB566" s="48"/>
      <c r="AG566" s="154"/>
      <c r="AH566" s="18"/>
      <c r="AI566" s="194"/>
      <c r="AK566" s="15"/>
      <c r="AL566" s="147"/>
      <c r="AN566" s="147"/>
      <c r="AO566" s="15"/>
      <c r="AP566" s="148"/>
    </row>
    <row r="567" spans="1:42" ht="16.5" x14ac:dyDescent="0.35">
      <c r="A567" s="53">
        <v>566</v>
      </c>
      <c r="B567" s="2" t="s">
        <v>1104</v>
      </c>
      <c r="C567" s="48" t="s">
        <v>663</v>
      </c>
      <c r="D567" t="s">
        <v>1120</v>
      </c>
      <c r="E567" t="s">
        <v>1064</v>
      </c>
      <c r="H567" s="154"/>
      <c r="I567" s="18" t="s">
        <v>1066</v>
      </c>
      <c r="J567" s="194"/>
      <c r="L567" s="15" t="s">
        <v>2</v>
      </c>
      <c r="M567" s="147"/>
      <c r="O567" s="147">
        <v>3</v>
      </c>
      <c r="P567" s="15">
        <v>1</v>
      </c>
      <c r="Q567" s="148">
        <v>4</v>
      </c>
      <c r="R5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AKISSI NAOMIE GRAND-ZATTRY SUCCES LAZOA    YAO VINCENT    F  </v>
      </c>
      <c r="Z567" s="53"/>
      <c r="AA567" s="2"/>
      <c r="AB567" s="48"/>
      <c r="AG567" s="154"/>
      <c r="AH567" s="18"/>
      <c r="AI567" s="194"/>
      <c r="AK567" s="15"/>
      <c r="AL567" s="147"/>
      <c r="AN567" s="147"/>
      <c r="AO567" s="15"/>
      <c r="AP567" s="148"/>
    </row>
    <row r="568" spans="1:42" ht="16.5" x14ac:dyDescent="0.35">
      <c r="A568" s="53">
        <v>567</v>
      </c>
      <c r="B568" s="2" t="s">
        <v>1105</v>
      </c>
      <c r="C568" s="48" t="s">
        <v>663</v>
      </c>
      <c r="D568" t="s">
        <v>1120</v>
      </c>
      <c r="E568" t="s">
        <v>1064</v>
      </c>
      <c r="H568" s="154"/>
      <c r="I568" s="18" t="s">
        <v>1066</v>
      </c>
      <c r="J568" s="194"/>
      <c r="L568" s="15" t="s">
        <v>2</v>
      </c>
      <c r="M568" s="147"/>
      <c r="O568" s="147">
        <v>2</v>
      </c>
      <c r="P568" s="15">
        <v>1</v>
      </c>
      <c r="Q568" s="148">
        <v>3</v>
      </c>
      <c r="R5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BROU AKISSI THERESE GRAND-ZATTRY SUCCES LAZOA    YAO VINCENT    F  </v>
      </c>
      <c r="Z568" s="53"/>
      <c r="AA568" s="2"/>
      <c r="AB568" s="48"/>
      <c r="AG568" s="154"/>
      <c r="AH568" s="18"/>
      <c r="AI568" s="194"/>
      <c r="AK568" s="15"/>
      <c r="AL568" s="147"/>
      <c r="AN568" s="147"/>
      <c r="AO568" s="15"/>
      <c r="AP568" s="148"/>
    </row>
    <row r="569" spans="1:42" ht="16.5" x14ac:dyDescent="0.35">
      <c r="A569" s="53">
        <v>568</v>
      </c>
      <c r="B569" s="2" t="s">
        <v>1106</v>
      </c>
      <c r="C569" s="48" t="s">
        <v>663</v>
      </c>
      <c r="D569" t="s">
        <v>1120</v>
      </c>
      <c r="E569" t="s">
        <v>1064</v>
      </c>
      <c r="H569" s="154"/>
      <c r="I569" s="18" t="s">
        <v>1066</v>
      </c>
      <c r="J569" s="194"/>
      <c r="L569" s="15" t="s">
        <v>2</v>
      </c>
      <c r="M569" s="147"/>
      <c r="O569" s="147">
        <v>1</v>
      </c>
      <c r="P569" s="15">
        <v>4</v>
      </c>
      <c r="Q569" s="148">
        <v>5</v>
      </c>
      <c r="R5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LANGAH THERESE GRAND-ZATTRY SUCCES LAZOA    YAO VINCENT    F  </v>
      </c>
      <c r="Z569" s="53"/>
      <c r="AA569" s="2"/>
      <c r="AB569" s="48"/>
      <c r="AG569" s="154"/>
      <c r="AH569" s="18"/>
      <c r="AI569" s="194"/>
      <c r="AK569" s="15"/>
      <c r="AL569" s="147"/>
      <c r="AN569" s="147"/>
      <c r="AO569" s="15"/>
      <c r="AP569" s="148"/>
    </row>
    <row r="570" spans="1:42" ht="16.5" x14ac:dyDescent="0.35">
      <c r="A570" s="53">
        <v>569</v>
      </c>
      <c r="B570" s="2" t="s">
        <v>1107</v>
      </c>
      <c r="C570" s="48" t="s">
        <v>663</v>
      </c>
      <c r="D570" t="s">
        <v>1120</v>
      </c>
      <c r="E570" t="s">
        <v>1064</v>
      </c>
      <c r="H570" s="154"/>
      <c r="I570" s="18" t="s">
        <v>1066</v>
      </c>
      <c r="J570" s="194"/>
      <c r="L570" s="15" t="s">
        <v>2</v>
      </c>
      <c r="M570" s="147"/>
      <c r="O570" s="147">
        <v>1</v>
      </c>
      <c r="P570" s="15">
        <v>1</v>
      </c>
      <c r="Q570" s="148">
        <v>2</v>
      </c>
      <c r="R5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AKISSI AMANDINE GRAND-ZATTRY SUCCES LAZOA    YAO VINCENT    F  </v>
      </c>
      <c r="Z570" s="53"/>
      <c r="AA570" s="2"/>
      <c r="AB570" s="48"/>
      <c r="AG570" s="154"/>
      <c r="AH570" s="18"/>
      <c r="AI570" s="194"/>
      <c r="AK570" s="15"/>
      <c r="AL570" s="147"/>
      <c r="AN570" s="147"/>
      <c r="AO570" s="15"/>
      <c r="AP570" s="148"/>
    </row>
    <row r="571" spans="1:42" ht="16.5" x14ac:dyDescent="0.35">
      <c r="A571" s="53">
        <v>570</v>
      </c>
      <c r="B571" s="2" t="s">
        <v>1108</v>
      </c>
      <c r="C571" s="48" t="s">
        <v>663</v>
      </c>
      <c r="D571" t="s">
        <v>1120</v>
      </c>
      <c r="E571" t="s">
        <v>1064</v>
      </c>
      <c r="H571" s="154"/>
      <c r="I571" s="18" t="s">
        <v>1066</v>
      </c>
      <c r="J571" s="194"/>
      <c r="L571" s="15" t="s">
        <v>2</v>
      </c>
      <c r="M571" s="147"/>
      <c r="O571" s="147">
        <v>1</v>
      </c>
      <c r="P571" s="15">
        <v>2</v>
      </c>
      <c r="Q571" s="148">
        <v>3</v>
      </c>
      <c r="R5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AMOIN TINA GRAND-ZATTRY SUCCES LAZOA    YAO VINCENT    F  </v>
      </c>
      <c r="Z571" s="53"/>
      <c r="AA571" s="2"/>
      <c r="AB571" s="48"/>
      <c r="AG571" s="154"/>
      <c r="AH571" s="18"/>
      <c r="AI571" s="194"/>
      <c r="AK571" s="15"/>
      <c r="AL571" s="147"/>
      <c r="AN571" s="147"/>
      <c r="AO571" s="15"/>
      <c r="AP571" s="148"/>
    </row>
    <row r="572" spans="1:42" ht="16.5" x14ac:dyDescent="0.35">
      <c r="A572" s="53">
        <v>571</v>
      </c>
      <c r="B572" s="2" t="s">
        <v>1109</v>
      </c>
      <c r="C572" s="48" t="s">
        <v>663</v>
      </c>
      <c r="D572" t="s">
        <v>1120</v>
      </c>
      <c r="E572" t="s">
        <v>1064</v>
      </c>
      <c r="H572" s="154"/>
      <c r="I572" s="18" t="s">
        <v>1066</v>
      </c>
      <c r="J572" s="194"/>
      <c r="L572" s="15" t="s">
        <v>9</v>
      </c>
      <c r="M572" s="147"/>
      <c r="O572" s="147">
        <v>4</v>
      </c>
      <c r="P572" s="15">
        <v>0</v>
      </c>
      <c r="Q572" s="148">
        <v>4</v>
      </c>
      <c r="R5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KONAN ALFRED GRAND-ZATTRY SUCCES LAZOA    YAO VINCENT    M  </v>
      </c>
      <c r="Z572" s="53"/>
      <c r="AA572" s="2"/>
      <c r="AB572" s="48"/>
      <c r="AG572" s="154"/>
      <c r="AH572" s="18"/>
      <c r="AI572" s="194"/>
      <c r="AK572" s="15"/>
      <c r="AL572" s="147"/>
      <c r="AN572" s="147"/>
      <c r="AO572" s="15"/>
      <c r="AP572" s="148"/>
    </row>
    <row r="573" spans="1:42" ht="16.5" x14ac:dyDescent="0.35">
      <c r="A573" s="53">
        <v>572</v>
      </c>
      <c r="B573" s="2" t="s">
        <v>1110</v>
      </c>
      <c r="C573" s="48" t="s">
        <v>663</v>
      </c>
      <c r="D573" t="s">
        <v>1120</v>
      </c>
      <c r="E573" t="s">
        <v>1064</v>
      </c>
      <c r="H573" s="154"/>
      <c r="I573" s="18" t="s">
        <v>1066</v>
      </c>
      <c r="J573" s="194"/>
      <c r="L573" s="15" t="s">
        <v>9</v>
      </c>
      <c r="M573" s="147"/>
      <c r="O573" s="147">
        <v>3</v>
      </c>
      <c r="P573" s="15">
        <v>2</v>
      </c>
      <c r="Q573" s="148">
        <v>5</v>
      </c>
      <c r="R5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EDMOND GRAND-ZATTRY SUCCES LAZOA    YAO VINCENT    M  </v>
      </c>
      <c r="Z573" s="53"/>
      <c r="AA573" s="2"/>
      <c r="AB573" s="48"/>
      <c r="AG573" s="154"/>
      <c r="AH573" s="18"/>
      <c r="AI573" s="194"/>
      <c r="AK573" s="15"/>
      <c r="AL573" s="147"/>
      <c r="AN573" s="147"/>
      <c r="AO573" s="15"/>
      <c r="AP573" s="148"/>
    </row>
    <row r="574" spans="1:42" ht="16.5" x14ac:dyDescent="0.35">
      <c r="A574" s="53">
        <v>573</v>
      </c>
      <c r="B574" s="2" t="s">
        <v>1111</v>
      </c>
      <c r="C574" s="48" t="s">
        <v>663</v>
      </c>
      <c r="D574" t="s">
        <v>1120</v>
      </c>
      <c r="E574" t="s">
        <v>1064</v>
      </c>
      <c r="H574" s="154"/>
      <c r="I574" s="18" t="s">
        <v>1066</v>
      </c>
      <c r="J574" s="194"/>
      <c r="L574" s="15" t="s">
        <v>9</v>
      </c>
      <c r="M574" s="147"/>
      <c r="O574" s="147">
        <v>0</v>
      </c>
      <c r="P574" s="15">
        <v>4</v>
      </c>
      <c r="Q574" s="148">
        <v>4</v>
      </c>
      <c r="R5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KOFFI RICHARD GRAND-ZATTRY SUCCES LAZOA    YAO VINCENT    M  </v>
      </c>
      <c r="Z574" s="53"/>
      <c r="AA574" s="2"/>
      <c r="AB574" s="48"/>
      <c r="AG574" s="154"/>
      <c r="AH574" s="18"/>
      <c r="AI574" s="194"/>
      <c r="AK574" s="15"/>
      <c r="AL574" s="147"/>
      <c r="AN574" s="147"/>
      <c r="AO574" s="15"/>
      <c r="AP574" s="148"/>
    </row>
    <row r="575" spans="1:42" ht="16.5" x14ac:dyDescent="0.35">
      <c r="A575" s="53">
        <v>574</v>
      </c>
      <c r="B575" s="2" t="s">
        <v>1112</v>
      </c>
      <c r="C575" s="48" t="s">
        <v>663</v>
      </c>
      <c r="D575" t="s">
        <v>1120</v>
      </c>
      <c r="E575" t="s">
        <v>1064</v>
      </c>
      <c r="H575" s="154"/>
      <c r="I575" s="18" t="s">
        <v>1066</v>
      </c>
      <c r="J575" s="194"/>
      <c r="L575" s="15" t="s">
        <v>2</v>
      </c>
      <c r="M575" s="147"/>
      <c r="O575" s="147">
        <v>0</v>
      </c>
      <c r="P575" s="15">
        <v>1</v>
      </c>
      <c r="Q575" s="148">
        <v>1</v>
      </c>
      <c r="R5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AHOU JOCELYNE GRAND-ZATTRY SUCCES LAZOA    YAO VINCENT    F  </v>
      </c>
      <c r="Z575" s="53"/>
      <c r="AA575" s="2"/>
      <c r="AB575" s="48"/>
      <c r="AG575" s="154"/>
      <c r="AH575" s="18"/>
      <c r="AI575" s="194"/>
      <c r="AK575" s="15"/>
      <c r="AL575" s="147"/>
      <c r="AN575" s="147"/>
      <c r="AO575" s="15"/>
      <c r="AP575" s="148"/>
    </row>
    <row r="576" spans="1:42" ht="16.5" x14ac:dyDescent="0.35">
      <c r="A576" s="53">
        <v>575</v>
      </c>
      <c r="B576" s="2" t="s">
        <v>1113</v>
      </c>
      <c r="C576" s="48" t="s">
        <v>663</v>
      </c>
      <c r="D576" t="s">
        <v>1120</v>
      </c>
      <c r="E576" t="s">
        <v>1064</v>
      </c>
      <c r="H576" s="154"/>
      <c r="I576" s="18" t="s">
        <v>1066</v>
      </c>
      <c r="J576" s="194"/>
      <c r="L576" s="15" t="s">
        <v>2</v>
      </c>
      <c r="M576" s="147"/>
      <c r="O576" s="147">
        <v>2</v>
      </c>
      <c r="P576" s="15">
        <v>3</v>
      </c>
      <c r="Q576" s="148">
        <v>5</v>
      </c>
      <c r="R5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AMENAN JACQUELINE GRAND-ZATTRY SUCCES LAZOA    YAO VINCENT    F  </v>
      </c>
      <c r="Z576" s="53"/>
      <c r="AA576" s="2"/>
      <c r="AB576" s="48"/>
      <c r="AG576" s="154"/>
      <c r="AH576" s="18"/>
      <c r="AI576" s="194"/>
      <c r="AK576" s="15"/>
      <c r="AL576" s="147"/>
      <c r="AN576" s="147"/>
      <c r="AO576" s="15"/>
      <c r="AP576" s="148"/>
    </row>
    <row r="577" spans="1:42" ht="16.5" x14ac:dyDescent="0.35">
      <c r="A577" s="53">
        <v>576</v>
      </c>
      <c r="B577" s="2" t="s">
        <v>1114</v>
      </c>
      <c r="C577" s="48" t="s">
        <v>663</v>
      </c>
      <c r="D577" t="s">
        <v>1120</v>
      </c>
      <c r="E577" t="s">
        <v>1064</v>
      </c>
      <c r="H577" s="154"/>
      <c r="I577" s="18" t="s">
        <v>1066</v>
      </c>
      <c r="J577" s="194"/>
      <c r="L577" s="15" t="s">
        <v>9</v>
      </c>
      <c r="M577" s="147"/>
      <c r="O577" s="147">
        <v>0</v>
      </c>
      <c r="P577" s="15">
        <v>1</v>
      </c>
      <c r="Q577" s="148">
        <v>1</v>
      </c>
      <c r="R5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KONAN FREJUS GRAND-ZATTRY SUCCES LAZOA    YAO VINCENT    M  </v>
      </c>
      <c r="Z577" s="53"/>
      <c r="AA577" s="2"/>
      <c r="AB577" s="48"/>
      <c r="AG577" s="154"/>
      <c r="AH577" s="18"/>
      <c r="AI577" s="194"/>
      <c r="AK577" s="15"/>
      <c r="AL577" s="147"/>
      <c r="AN577" s="147"/>
      <c r="AO577" s="15"/>
      <c r="AP577" s="148"/>
    </row>
    <row r="578" spans="1:42" ht="16.5" x14ac:dyDescent="0.35">
      <c r="A578" s="53">
        <v>577</v>
      </c>
      <c r="B578" s="2" t="s">
        <v>1115</v>
      </c>
      <c r="C578" s="48" t="s">
        <v>663</v>
      </c>
      <c r="D578" t="s">
        <v>1120</v>
      </c>
      <c r="E578" t="s">
        <v>1064</v>
      </c>
      <c r="H578" s="154"/>
      <c r="I578" s="18" t="s">
        <v>1066</v>
      </c>
      <c r="J578" s="194"/>
      <c r="L578" s="15" t="s">
        <v>9</v>
      </c>
      <c r="M578" s="147"/>
      <c r="O578" s="147">
        <v>0</v>
      </c>
      <c r="P578" s="15">
        <v>0</v>
      </c>
      <c r="Q578" s="148">
        <v>0</v>
      </c>
      <c r="R5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KANGA KOUADIO LAURENT GRAND-ZATTRY SUCCES LAZOA    YAO VINCENT    M  </v>
      </c>
      <c r="Z578" s="53"/>
      <c r="AA578" s="2"/>
      <c r="AB578" s="48"/>
      <c r="AG578" s="154"/>
      <c r="AH578" s="18"/>
      <c r="AI578" s="194"/>
      <c r="AK578" s="15"/>
      <c r="AL578" s="147"/>
      <c r="AN578" s="147"/>
      <c r="AO578" s="15"/>
      <c r="AP578" s="148"/>
    </row>
    <row r="579" spans="1:42" ht="16.5" x14ac:dyDescent="0.35">
      <c r="A579" s="53">
        <v>578</v>
      </c>
      <c r="B579" s="2" t="s">
        <v>1069</v>
      </c>
      <c r="C579" s="48" t="s">
        <v>663</v>
      </c>
      <c r="D579" t="s">
        <v>1120</v>
      </c>
      <c r="E579" t="s">
        <v>1064</v>
      </c>
      <c r="H579" s="154"/>
      <c r="I579" s="18" t="s">
        <v>1066</v>
      </c>
      <c r="J579" s="194"/>
      <c r="L579" s="15" t="s">
        <v>2</v>
      </c>
      <c r="M579" s="147"/>
      <c r="O579" s="147">
        <v>0</v>
      </c>
      <c r="P579" s="15">
        <v>1</v>
      </c>
      <c r="Q579" s="148">
        <v>1</v>
      </c>
      <c r="R5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AYA ADELINE GRAND-ZATTRY SUCCES LAZOA    YAO VINCENT    F  </v>
      </c>
      <c r="Z579" s="53"/>
      <c r="AA579" s="2"/>
      <c r="AB579" s="48"/>
      <c r="AG579" s="154"/>
      <c r="AH579" s="18"/>
      <c r="AI579" s="194"/>
      <c r="AK579" s="15"/>
      <c r="AL579" s="147"/>
      <c r="AN579" s="147"/>
      <c r="AO579" s="15"/>
      <c r="AP579" s="148"/>
    </row>
    <row r="580" spans="1:42" ht="16.5" x14ac:dyDescent="0.35">
      <c r="A580" s="53">
        <v>579</v>
      </c>
      <c r="B580" s="2" t="s">
        <v>1116</v>
      </c>
      <c r="C580" s="48" t="s">
        <v>663</v>
      </c>
      <c r="D580" t="s">
        <v>1120</v>
      </c>
      <c r="E580" t="s">
        <v>1064</v>
      </c>
      <c r="H580" s="154"/>
      <c r="I580" s="18" t="s">
        <v>1066</v>
      </c>
      <c r="J580" s="194"/>
      <c r="L580" s="15" t="s">
        <v>9</v>
      </c>
      <c r="M580" s="147"/>
      <c r="O580" s="147">
        <v>0</v>
      </c>
      <c r="P580" s="15">
        <v>0</v>
      </c>
      <c r="Q580" s="148">
        <v>0</v>
      </c>
      <c r="R5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KOUASSI ST CLAIRE GRAND-ZATTRY SUCCES LAZOA    YAO VINCENT    M  </v>
      </c>
      <c r="Z580" s="53"/>
      <c r="AA580" s="2"/>
      <c r="AB580" s="48"/>
      <c r="AG580" s="154"/>
      <c r="AH580" s="18"/>
      <c r="AI580" s="194"/>
      <c r="AK580" s="15"/>
      <c r="AL580" s="147"/>
      <c r="AN580" s="147"/>
      <c r="AO580" s="15"/>
      <c r="AP580" s="148"/>
    </row>
    <row r="581" spans="1:42" ht="16.5" x14ac:dyDescent="0.35">
      <c r="A581" s="53">
        <v>580</v>
      </c>
      <c r="B581" s="2" t="s">
        <v>1117</v>
      </c>
      <c r="C581" s="48" t="s">
        <v>663</v>
      </c>
      <c r="D581" t="s">
        <v>1120</v>
      </c>
      <c r="E581" t="s">
        <v>1064</v>
      </c>
      <c r="H581" s="154"/>
      <c r="I581" s="18" t="s">
        <v>1066</v>
      </c>
      <c r="J581" s="194"/>
      <c r="L581" s="15" t="s">
        <v>9</v>
      </c>
      <c r="M581" s="147"/>
      <c r="O581" s="147">
        <v>2</v>
      </c>
      <c r="P581" s="15">
        <v>3</v>
      </c>
      <c r="Q581" s="148">
        <v>5</v>
      </c>
      <c r="R5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KONAN ALBERT GRAND-ZATTRY SUCCES LAZOA    YAO VINCENT    M  </v>
      </c>
      <c r="Z581" s="53"/>
      <c r="AA581" s="2"/>
      <c r="AB581" s="48"/>
      <c r="AG581" s="154"/>
      <c r="AH581" s="18"/>
      <c r="AI581" s="194"/>
      <c r="AK581" s="15"/>
      <c r="AL581" s="147"/>
      <c r="AN581" s="147"/>
      <c r="AO581" s="15"/>
      <c r="AP581" s="148"/>
    </row>
    <row r="582" spans="1:42" ht="16.5" x14ac:dyDescent="0.35">
      <c r="A582" s="53">
        <v>581</v>
      </c>
      <c r="B582" s="2" t="s">
        <v>1118</v>
      </c>
      <c r="C582" s="48" t="s">
        <v>663</v>
      </c>
      <c r="D582" t="s">
        <v>1120</v>
      </c>
      <c r="E582" t="s">
        <v>1064</v>
      </c>
      <c r="H582" s="154"/>
      <c r="I582" s="18" t="s">
        <v>1066</v>
      </c>
      <c r="J582" s="194"/>
      <c r="L582" s="15" t="s">
        <v>9</v>
      </c>
      <c r="M582" s="147"/>
      <c r="O582" s="147">
        <v>4</v>
      </c>
      <c r="P582" s="15">
        <v>3</v>
      </c>
      <c r="Q582" s="148">
        <v>7</v>
      </c>
      <c r="R5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KOUASSI GERALD GRAND-ZATTRY SUCCES LAZOA    YAO VINCENT    M  </v>
      </c>
      <c r="Z582" s="53"/>
      <c r="AA582" s="2"/>
      <c r="AB582" s="48"/>
      <c r="AG582" s="154"/>
      <c r="AH582" s="18"/>
      <c r="AI582" s="194"/>
      <c r="AK582" s="15"/>
      <c r="AL582" s="147"/>
      <c r="AN582" s="147"/>
      <c r="AO582" s="15"/>
      <c r="AP582" s="148"/>
    </row>
    <row r="583" spans="1:42" ht="16.5" x14ac:dyDescent="0.35">
      <c r="A583" s="53">
        <v>582</v>
      </c>
      <c r="B583" s="2" t="s">
        <v>1109</v>
      </c>
      <c r="C583" s="48" t="s">
        <v>663</v>
      </c>
      <c r="D583" t="s">
        <v>1120</v>
      </c>
      <c r="E583" t="s">
        <v>1064</v>
      </c>
      <c r="H583" s="154"/>
      <c r="I583" s="18" t="s">
        <v>1066</v>
      </c>
      <c r="J583" s="194"/>
      <c r="L583" s="15" t="s">
        <v>9</v>
      </c>
      <c r="M583" s="147"/>
      <c r="O583" s="147">
        <v>4</v>
      </c>
      <c r="P583" s="15">
        <v>1</v>
      </c>
      <c r="Q583" s="148">
        <v>5</v>
      </c>
      <c r="R5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KONAN ALFRED GRAND-ZATTRY SUCCES LAZOA    YAO VINCENT    M  </v>
      </c>
      <c r="Z583" s="53"/>
      <c r="AA583" s="2"/>
      <c r="AB583" s="48"/>
      <c r="AG583" s="154"/>
      <c r="AH583" s="18"/>
      <c r="AI583" s="194"/>
      <c r="AK583" s="15"/>
      <c r="AL583" s="147"/>
      <c r="AN583" s="147"/>
      <c r="AO583" s="15"/>
      <c r="AP583" s="148"/>
    </row>
    <row r="584" spans="1:42" ht="16.5" x14ac:dyDescent="0.35">
      <c r="A584" s="53">
        <v>583</v>
      </c>
      <c r="B584" s="9" t="s">
        <v>1119</v>
      </c>
      <c r="C584" s="48" t="s">
        <v>663</v>
      </c>
      <c r="D584" t="s">
        <v>1120</v>
      </c>
      <c r="E584" t="s">
        <v>1064</v>
      </c>
      <c r="H584" s="154"/>
      <c r="I584" s="18" t="s">
        <v>1066</v>
      </c>
      <c r="J584" s="194"/>
      <c r="L584" s="15" t="s">
        <v>9</v>
      </c>
      <c r="M584" s="177"/>
      <c r="O584" s="147">
        <v>1</v>
      </c>
      <c r="P584" s="15">
        <v>4</v>
      </c>
      <c r="Q584" s="148">
        <v>5</v>
      </c>
      <c r="R5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ERIC GRAND-ZATTRY SUCCES LAZOA    YAO VINCENT    M  </v>
      </c>
      <c r="Z584" s="53"/>
      <c r="AA584" s="9"/>
      <c r="AB584" s="48"/>
      <c r="AG584" s="154"/>
      <c r="AH584" s="18"/>
      <c r="AI584" s="194"/>
      <c r="AK584" s="15"/>
      <c r="AL584" s="177"/>
      <c r="AN584" s="147"/>
      <c r="AO584" s="15"/>
      <c r="AP584" s="148"/>
    </row>
    <row r="585" spans="1:42" ht="16.5" x14ac:dyDescent="0.35">
      <c r="A585" s="53">
        <v>584</v>
      </c>
      <c r="B585" s="2" t="s">
        <v>1121</v>
      </c>
      <c r="C585" s="48" t="s">
        <v>663</v>
      </c>
      <c r="D585" t="s">
        <v>1183</v>
      </c>
      <c r="E585" t="s">
        <v>1184</v>
      </c>
      <c r="H585" s="10"/>
      <c r="I585" s="18" t="s">
        <v>1066</v>
      </c>
      <c r="J585" s="23" t="s">
        <v>1151</v>
      </c>
      <c r="K585" s="4">
        <v>40</v>
      </c>
      <c r="L585" s="4" t="s">
        <v>2</v>
      </c>
      <c r="M585" s="5" t="s">
        <v>1179</v>
      </c>
      <c r="N585" s="5" t="s">
        <v>1182</v>
      </c>
      <c r="O585" s="147">
        <v>2</v>
      </c>
      <c r="P585" s="15">
        <v>0</v>
      </c>
      <c r="Q585" s="148">
        <f>(O585+P585)</f>
        <v>2</v>
      </c>
      <c r="R5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OBROU CHRISTINE GRAND-ZATTRY UNION BLESSEOUA    YAO VINCENT  0575999055 40 F UNION LIBRE MENAGERE</v>
      </c>
      <c r="Z585" s="53"/>
      <c r="AA585" s="2"/>
      <c r="AB585" s="48"/>
      <c r="AG585" s="10"/>
      <c r="AH585" s="18"/>
      <c r="AI585" s="23"/>
      <c r="AJ585" s="4"/>
      <c r="AK585" s="4"/>
      <c r="AL585" s="5"/>
      <c r="AM585" s="5"/>
      <c r="AN585" s="147"/>
      <c r="AO585" s="15"/>
      <c r="AP585" s="148"/>
    </row>
    <row r="586" spans="1:42" ht="16.5" x14ac:dyDescent="0.35">
      <c r="A586" s="53">
        <v>585</v>
      </c>
      <c r="B586" s="2" t="s">
        <v>1122</v>
      </c>
      <c r="C586" s="48" t="s">
        <v>663</v>
      </c>
      <c r="D586" t="s">
        <v>1183</v>
      </c>
      <c r="E586" t="s">
        <v>1184</v>
      </c>
      <c r="H586" s="154"/>
      <c r="I586" s="18" t="s">
        <v>1066</v>
      </c>
      <c r="J586" s="23" t="s">
        <v>1152</v>
      </c>
      <c r="K586" s="4">
        <v>50</v>
      </c>
      <c r="L586" s="4" t="s">
        <v>9</v>
      </c>
      <c r="M586" s="5" t="s">
        <v>1179</v>
      </c>
      <c r="N586" s="5" t="s">
        <v>972</v>
      </c>
      <c r="O586" s="147">
        <v>2</v>
      </c>
      <c r="P586" s="15">
        <v>1</v>
      </c>
      <c r="Q586" s="148">
        <f t="shared" ref="Q586:Q614" si="19">(O586+P586)</f>
        <v>3</v>
      </c>
      <c r="R5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GAPOH GOZE MAXIME GRAND-ZATTRY UNION BLESSEOUA    YAO VINCENT  0747521553 50 M UNION LIBRE PLANTEUR</v>
      </c>
      <c r="Z586" s="53"/>
      <c r="AA586" s="2"/>
      <c r="AB586" s="48"/>
      <c r="AG586" s="154"/>
      <c r="AH586" s="18"/>
      <c r="AI586" s="23"/>
      <c r="AJ586" s="4"/>
      <c r="AK586" s="4"/>
      <c r="AL586" s="5"/>
      <c r="AM586" s="5"/>
      <c r="AN586" s="147"/>
      <c r="AO586" s="15"/>
      <c r="AP586" s="148"/>
    </row>
    <row r="587" spans="1:42" ht="16.5" x14ac:dyDescent="0.35">
      <c r="A587" s="53">
        <v>586</v>
      </c>
      <c r="B587" s="2" t="s">
        <v>1123</v>
      </c>
      <c r="C587" s="48" t="s">
        <v>663</v>
      </c>
      <c r="D587" t="s">
        <v>1183</v>
      </c>
      <c r="E587" t="s">
        <v>1184</v>
      </c>
      <c r="H587" s="154"/>
      <c r="I587" s="18" t="s">
        <v>1066</v>
      </c>
      <c r="J587" s="23" t="s">
        <v>1153</v>
      </c>
      <c r="K587" s="4"/>
      <c r="L587" s="4" t="s">
        <v>2</v>
      </c>
      <c r="M587" s="5" t="s">
        <v>1180</v>
      </c>
      <c r="N587" s="5" t="s">
        <v>1182</v>
      </c>
      <c r="O587" s="147">
        <v>3</v>
      </c>
      <c r="P587" s="15">
        <v>1</v>
      </c>
      <c r="Q587" s="148">
        <f t="shared" si="19"/>
        <v>4</v>
      </c>
      <c r="R5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LIGNON ZOUA GRAND-ZATTRY UNION BLESSEOUA    YAO VINCENT  0778716308  F MARIEE MENAGERE</v>
      </c>
      <c r="Z587" s="53"/>
      <c r="AA587" s="2"/>
      <c r="AB587" s="48"/>
      <c r="AG587" s="154"/>
      <c r="AH587" s="18"/>
      <c r="AI587" s="23"/>
      <c r="AJ587" s="4"/>
      <c r="AK587" s="4"/>
      <c r="AL587" s="5"/>
      <c r="AM587" s="5"/>
      <c r="AN587" s="147"/>
      <c r="AO587" s="15"/>
      <c r="AP587" s="148"/>
    </row>
    <row r="588" spans="1:42" ht="16.5" x14ac:dyDescent="0.35">
      <c r="A588" s="53">
        <v>587</v>
      </c>
      <c r="B588" s="2" t="s">
        <v>1124</v>
      </c>
      <c r="C588" s="48" t="s">
        <v>663</v>
      </c>
      <c r="D588" t="s">
        <v>1183</v>
      </c>
      <c r="E588" t="s">
        <v>1184</v>
      </c>
      <c r="H588" s="154"/>
      <c r="I588" s="18" t="s">
        <v>1066</v>
      </c>
      <c r="J588" s="23" t="s">
        <v>1154</v>
      </c>
      <c r="K588" s="4">
        <v>53</v>
      </c>
      <c r="L588" s="4" t="s">
        <v>2</v>
      </c>
      <c r="M588" s="5" t="s">
        <v>1181</v>
      </c>
      <c r="N588" s="5" t="s">
        <v>1182</v>
      </c>
      <c r="O588" s="147">
        <v>5</v>
      </c>
      <c r="P588" s="15">
        <v>4</v>
      </c>
      <c r="Q588" s="148">
        <f t="shared" si="19"/>
        <v>9</v>
      </c>
      <c r="R5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YOHONA CHANTALE GRAND-ZATTRY UNION BLESSEOUA    YAO VINCENT  0767746018 53 F DOTE MENAGERE</v>
      </c>
      <c r="Z588" s="53"/>
      <c r="AA588" s="2"/>
      <c r="AB588" s="48"/>
      <c r="AG588" s="154"/>
      <c r="AH588" s="18"/>
      <c r="AI588" s="23"/>
      <c r="AJ588" s="4"/>
      <c r="AK588" s="4"/>
      <c r="AL588" s="5"/>
      <c r="AM588" s="5"/>
      <c r="AN588" s="147"/>
      <c r="AO588" s="15"/>
      <c r="AP588" s="148"/>
    </row>
    <row r="589" spans="1:42" ht="16.5" x14ac:dyDescent="0.35">
      <c r="A589" s="53">
        <v>588</v>
      </c>
      <c r="B589" s="2" t="s">
        <v>1125</v>
      </c>
      <c r="C589" s="48" t="s">
        <v>663</v>
      </c>
      <c r="D589" t="s">
        <v>1183</v>
      </c>
      <c r="E589" t="s">
        <v>1184</v>
      </c>
      <c r="H589" s="154"/>
      <c r="I589" s="18" t="s">
        <v>1066</v>
      </c>
      <c r="J589" s="23" t="s">
        <v>1155</v>
      </c>
      <c r="K589" s="4">
        <v>35</v>
      </c>
      <c r="L589" s="4" t="s">
        <v>2</v>
      </c>
      <c r="M589" s="3" t="s">
        <v>1181</v>
      </c>
      <c r="N589" s="5" t="s">
        <v>1182</v>
      </c>
      <c r="O589" s="147">
        <v>6</v>
      </c>
      <c r="P589" s="15">
        <v>2</v>
      </c>
      <c r="Q589" s="148">
        <f t="shared" si="19"/>
        <v>8</v>
      </c>
      <c r="R5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BOZOA MARTHE GRAND-ZATTRY UNION BLESSEOUA    YAO VINCENT  0576787919 35 F DOTE MENAGERE</v>
      </c>
      <c r="Z589" s="53"/>
      <c r="AA589" s="2"/>
      <c r="AB589" s="48"/>
      <c r="AG589" s="154"/>
      <c r="AH589" s="18"/>
      <c r="AI589" s="23"/>
      <c r="AJ589" s="4"/>
      <c r="AK589" s="4"/>
      <c r="AL589" s="3"/>
      <c r="AM589" s="5"/>
      <c r="AN589" s="147"/>
      <c r="AO589" s="15"/>
      <c r="AP589" s="148"/>
    </row>
    <row r="590" spans="1:42" ht="16.5" x14ac:dyDescent="0.35">
      <c r="A590" s="53">
        <v>589</v>
      </c>
      <c r="B590" s="2" t="s">
        <v>1126</v>
      </c>
      <c r="C590" s="48" t="s">
        <v>663</v>
      </c>
      <c r="D590" t="s">
        <v>1183</v>
      </c>
      <c r="E590" t="s">
        <v>1184</v>
      </c>
      <c r="H590" s="154"/>
      <c r="I590" s="18" t="s">
        <v>1066</v>
      </c>
      <c r="J590" s="23" t="s">
        <v>1156</v>
      </c>
      <c r="K590" s="4">
        <v>45</v>
      </c>
      <c r="L590" s="4" t="s">
        <v>2</v>
      </c>
      <c r="M590" s="5" t="s">
        <v>1181</v>
      </c>
      <c r="N590" s="5" t="s">
        <v>1182</v>
      </c>
      <c r="O590" s="147">
        <v>3</v>
      </c>
      <c r="P590" s="15">
        <v>2</v>
      </c>
      <c r="Q590" s="148">
        <f t="shared" si="19"/>
        <v>5</v>
      </c>
      <c r="R5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KABORE CECILE GRAND-ZATTRY UNION BLESSEOUA    YAO VINCENT  0758488754 45 F DOTE MENAGERE</v>
      </c>
      <c r="Z590" s="53"/>
      <c r="AA590" s="2"/>
      <c r="AB590" s="48"/>
      <c r="AG590" s="154"/>
      <c r="AH590" s="18"/>
      <c r="AI590" s="23"/>
      <c r="AJ590" s="4"/>
      <c r="AK590" s="4"/>
      <c r="AL590" s="5"/>
      <c r="AM590" s="5"/>
      <c r="AN590" s="147"/>
      <c r="AO590" s="15"/>
      <c r="AP590" s="148"/>
    </row>
    <row r="591" spans="1:42" ht="16.5" x14ac:dyDescent="0.35">
      <c r="A591" s="53">
        <v>590</v>
      </c>
      <c r="B591" s="2" t="s">
        <v>1127</v>
      </c>
      <c r="C591" s="48" t="s">
        <v>663</v>
      </c>
      <c r="D591" t="s">
        <v>1183</v>
      </c>
      <c r="E591" t="s">
        <v>1184</v>
      </c>
      <c r="H591" s="154"/>
      <c r="I591" s="18" t="s">
        <v>1066</v>
      </c>
      <c r="J591" s="23" t="s">
        <v>1157</v>
      </c>
      <c r="K591" s="4">
        <v>40</v>
      </c>
      <c r="L591" s="4" t="s">
        <v>2</v>
      </c>
      <c r="M591" s="5" t="s">
        <v>1179</v>
      </c>
      <c r="N591" s="5" t="s">
        <v>1182</v>
      </c>
      <c r="O591" s="147">
        <v>3</v>
      </c>
      <c r="P591" s="15">
        <v>2</v>
      </c>
      <c r="Q591" s="148">
        <f t="shared" si="19"/>
        <v>5</v>
      </c>
      <c r="R5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AYA ROSALIE GRAND-ZATTRY UNION BLESSEOUA    YAO VINCENT  0565119652 40 F UNION LIBRE MENAGERE</v>
      </c>
      <c r="Z591" s="53"/>
      <c r="AA591" s="2"/>
      <c r="AB591" s="48"/>
      <c r="AG591" s="154"/>
      <c r="AH591" s="18"/>
      <c r="AI591" s="23"/>
      <c r="AJ591" s="4"/>
      <c r="AK591" s="4"/>
      <c r="AL591" s="5"/>
      <c r="AM591" s="5"/>
      <c r="AN591" s="147"/>
      <c r="AO591" s="15"/>
      <c r="AP591" s="148"/>
    </row>
    <row r="592" spans="1:42" ht="16.5" x14ac:dyDescent="0.35">
      <c r="A592" s="53">
        <v>591</v>
      </c>
      <c r="B592" s="2" t="s">
        <v>1128</v>
      </c>
      <c r="C592" s="48" t="s">
        <v>663</v>
      </c>
      <c r="D592" t="s">
        <v>1183</v>
      </c>
      <c r="E592" t="s">
        <v>1184</v>
      </c>
      <c r="H592" s="154"/>
      <c r="I592" s="18" t="s">
        <v>1066</v>
      </c>
      <c r="J592" s="23" t="s">
        <v>1158</v>
      </c>
      <c r="K592" s="4">
        <v>33</v>
      </c>
      <c r="L592" s="4" t="s">
        <v>9</v>
      </c>
      <c r="M592" s="5" t="s">
        <v>1181</v>
      </c>
      <c r="N592" s="5" t="s">
        <v>972</v>
      </c>
      <c r="O592" s="147">
        <v>2</v>
      </c>
      <c r="P592" s="15">
        <v>0</v>
      </c>
      <c r="Q592" s="148">
        <f t="shared" si="19"/>
        <v>2</v>
      </c>
      <c r="R5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GAMSORE VINCENT GRAND-ZATTRY UNION BLESSEOUA    YAO VINCENT  0709052028 33 M DOTE PLANTEUR</v>
      </c>
      <c r="Z592" s="53"/>
      <c r="AA592" s="2"/>
      <c r="AB592" s="48"/>
      <c r="AG592" s="154"/>
      <c r="AH592" s="18"/>
      <c r="AI592" s="23"/>
      <c r="AJ592" s="4"/>
      <c r="AK592" s="4"/>
      <c r="AL592" s="5"/>
      <c r="AM592" s="5"/>
      <c r="AN592" s="147"/>
      <c r="AO592" s="15"/>
      <c r="AP592" s="148"/>
    </row>
    <row r="593" spans="1:42" ht="16.5" x14ac:dyDescent="0.35">
      <c r="A593" s="53">
        <v>592</v>
      </c>
      <c r="B593" s="2" t="s">
        <v>1129</v>
      </c>
      <c r="C593" s="48" t="s">
        <v>663</v>
      </c>
      <c r="D593" t="s">
        <v>1183</v>
      </c>
      <c r="E593" t="s">
        <v>1184</v>
      </c>
      <c r="H593" s="154"/>
      <c r="I593" s="18" t="s">
        <v>1066</v>
      </c>
      <c r="J593" s="23" t="s">
        <v>1159</v>
      </c>
      <c r="K593" s="4">
        <v>42</v>
      </c>
      <c r="L593" s="4" t="s">
        <v>9</v>
      </c>
      <c r="M593" s="5" t="s">
        <v>1179</v>
      </c>
      <c r="N593" s="5" t="s">
        <v>972</v>
      </c>
      <c r="O593" s="147">
        <v>5</v>
      </c>
      <c r="P593" s="15">
        <v>0</v>
      </c>
      <c r="Q593" s="148">
        <f t="shared" si="19"/>
        <v>5</v>
      </c>
      <c r="R5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ABAIHI ZADI ANDERSON GRAND-ZATTRY UNION BLESSEOUA    YAO VINCENT  0545856352 42 M UNION LIBRE PLANTEUR</v>
      </c>
      <c r="Z593" s="53"/>
      <c r="AA593" s="2"/>
      <c r="AB593" s="48"/>
      <c r="AG593" s="154"/>
      <c r="AH593" s="18"/>
      <c r="AI593" s="23"/>
      <c r="AJ593" s="4"/>
      <c r="AK593" s="4"/>
      <c r="AL593" s="5"/>
      <c r="AM593" s="5"/>
      <c r="AN593" s="147"/>
      <c r="AO593" s="15"/>
      <c r="AP593" s="148"/>
    </row>
    <row r="594" spans="1:42" ht="16.5" x14ac:dyDescent="0.35">
      <c r="A594" s="53">
        <v>593</v>
      </c>
      <c r="B594" s="2" t="s">
        <v>1130</v>
      </c>
      <c r="C594" s="48" t="s">
        <v>663</v>
      </c>
      <c r="D594" t="s">
        <v>1183</v>
      </c>
      <c r="E594" t="s">
        <v>1184</v>
      </c>
      <c r="H594" s="154"/>
      <c r="I594" s="18" t="s">
        <v>1066</v>
      </c>
      <c r="J594" s="23" t="s">
        <v>1160</v>
      </c>
      <c r="K594" s="4">
        <v>33</v>
      </c>
      <c r="L594" s="4" t="s">
        <v>9</v>
      </c>
      <c r="M594" s="5" t="s">
        <v>1179</v>
      </c>
      <c r="N594" s="5" t="s">
        <v>972</v>
      </c>
      <c r="O594" s="147">
        <v>2</v>
      </c>
      <c r="P594" s="15">
        <v>2</v>
      </c>
      <c r="Q594" s="148">
        <f t="shared" si="19"/>
        <v>4</v>
      </c>
      <c r="R5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ZADI SMITH GRAND-ZATTRY UNION BLESSEOUA    YAO VINCENT  055911197 33 M UNION LIBRE PLANTEUR</v>
      </c>
      <c r="Z594" s="53"/>
      <c r="AA594" s="2"/>
      <c r="AB594" s="48"/>
      <c r="AG594" s="154"/>
      <c r="AH594" s="18"/>
      <c r="AI594" s="23"/>
      <c r="AJ594" s="4"/>
      <c r="AK594" s="4"/>
      <c r="AL594" s="5"/>
      <c r="AM594" s="5"/>
      <c r="AN594" s="147"/>
      <c r="AO594" s="15"/>
      <c r="AP594" s="148"/>
    </row>
    <row r="595" spans="1:42" ht="16.5" x14ac:dyDescent="0.35">
      <c r="A595" s="53">
        <v>594</v>
      </c>
      <c r="B595" s="2" t="s">
        <v>1131</v>
      </c>
      <c r="C595" s="48" t="s">
        <v>663</v>
      </c>
      <c r="D595" t="s">
        <v>1183</v>
      </c>
      <c r="E595" t="s">
        <v>1184</v>
      </c>
      <c r="H595" s="154"/>
      <c r="I595" s="18" t="s">
        <v>1066</v>
      </c>
      <c r="J595" s="23" t="s">
        <v>1161</v>
      </c>
      <c r="K595" s="4">
        <v>40</v>
      </c>
      <c r="L595" s="4" t="s">
        <v>2</v>
      </c>
      <c r="M595" s="5" t="s">
        <v>1179</v>
      </c>
      <c r="N595" s="5" t="s">
        <v>1182</v>
      </c>
      <c r="O595" s="147">
        <v>2</v>
      </c>
      <c r="P595" s="15">
        <v>1</v>
      </c>
      <c r="Q595" s="148">
        <f t="shared" si="19"/>
        <v>3</v>
      </c>
      <c r="R5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DAOBIA Y NATACHA GRAND-ZATTRY UNION BLESSEOUA    YAO VINCENT  0758534512 40 F UNION LIBRE MENAGERE</v>
      </c>
      <c r="Z595" s="53"/>
      <c r="AA595" s="2"/>
      <c r="AB595" s="48"/>
      <c r="AG595" s="154"/>
      <c r="AH595" s="18"/>
      <c r="AI595" s="23"/>
      <c r="AJ595" s="4"/>
      <c r="AK595" s="4"/>
      <c r="AL595" s="5"/>
      <c r="AM595" s="5"/>
      <c r="AN595" s="147"/>
      <c r="AO595" s="15"/>
      <c r="AP595" s="148"/>
    </row>
    <row r="596" spans="1:42" ht="16.5" x14ac:dyDescent="0.35">
      <c r="A596" s="53">
        <v>595</v>
      </c>
      <c r="B596" s="2" t="s">
        <v>1132</v>
      </c>
      <c r="C596" s="48" t="s">
        <v>663</v>
      </c>
      <c r="D596" t="s">
        <v>1183</v>
      </c>
      <c r="E596" t="s">
        <v>1184</v>
      </c>
      <c r="H596" s="154"/>
      <c r="I596" s="18" t="s">
        <v>1066</v>
      </c>
      <c r="J596" s="23" t="s">
        <v>1162</v>
      </c>
      <c r="K596" s="4">
        <v>50</v>
      </c>
      <c r="L596" s="4" t="s">
        <v>2</v>
      </c>
      <c r="M596" s="5" t="s">
        <v>1179</v>
      </c>
      <c r="N596" s="5" t="s">
        <v>1182</v>
      </c>
      <c r="O596" s="147">
        <v>2</v>
      </c>
      <c r="P596" s="15">
        <v>2</v>
      </c>
      <c r="Q596" s="148">
        <f t="shared" si="19"/>
        <v>4</v>
      </c>
      <c r="R5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MONIQUE GRAND-ZATTRY UNION BLESSEOUA    YAO VINCENT  0797898137 50 F UNION LIBRE MENAGERE</v>
      </c>
      <c r="Z596" s="53"/>
      <c r="AA596" s="2"/>
      <c r="AB596" s="48"/>
      <c r="AG596" s="154"/>
      <c r="AH596" s="18"/>
      <c r="AI596" s="23"/>
      <c r="AJ596" s="4"/>
      <c r="AK596" s="4"/>
      <c r="AL596" s="5"/>
      <c r="AM596" s="5"/>
      <c r="AN596" s="147"/>
      <c r="AO596" s="15"/>
      <c r="AP596" s="148"/>
    </row>
    <row r="597" spans="1:42" ht="16.5" x14ac:dyDescent="0.35">
      <c r="A597" s="53">
        <v>596</v>
      </c>
      <c r="B597" s="2" t="s">
        <v>1133</v>
      </c>
      <c r="C597" s="48" t="s">
        <v>663</v>
      </c>
      <c r="D597" t="s">
        <v>1183</v>
      </c>
      <c r="E597" t="s">
        <v>1184</v>
      </c>
      <c r="H597" s="154"/>
      <c r="I597" s="18" t="s">
        <v>1066</v>
      </c>
      <c r="J597" s="23" t="s">
        <v>1163</v>
      </c>
      <c r="K597" s="4">
        <v>50</v>
      </c>
      <c r="L597" s="4" t="s">
        <v>2</v>
      </c>
      <c r="M597" s="5" t="s">
        <v>1181</v>
      </c>
      <c r="N597" s="5" t="s">
        <v>1182</v>
      </c>
      <c r="O597" s="147">
        <v>1</v>
      </c>
      <c r="P597" s="15">
        <v>0</v>
      </c>
      <c r="Q597" s="148">
        <f t="shared" si="19"/>
        <v>1</v>
      </c>
      <c r="R5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 AMOIN GRAND-ZATTRY UNION BLESSEOUA    YAO VINCENT  0707100119 50 F DOTE MENAGERE</v>
      </c>
      <c r="Z597" s="53"/>
      <c r="AA597" s="2"/>
      <c r="AB597" s="48"/>
      <c r="AG597" s="154"/>
      <c r="AH597" s="18"/>
      <c r="AI597" s="23"/>
      <c r="AJ597" s="4"/>
      <c r="AK597" s="4"/>
      <c r="AL597" s="5"/>
      <c r="AM597" s="5"/>
      <c r="AN597" s="147"/>
      <c r="AO597" s="15"/>
      <c r="AP597" s="148"/>
    </row>
    <row r="598" spans="1:42" ht="16.5" x14ac:dyDescent="0.35">
      <c r="A598" s="53">
        <v>597</v>
      </c>
      <c r="B598" s="2" t="s">
        <v>1134</v>
      </c>
      <c r="C598" s="48" t="s">
        <v>663</v>
      </c>
      <c r="D598" t="s">
        <v>1183</v>
      </c>
      <c r="E598" t="s">
        <v>1184</v>
      </c>
      <c r="H598" s="154"/>
      <c r="I598" s="18" t="s">
        <v>1066</v>
      </c>
      <c r="J598" s="23" t="s">
        <v>1164</v>
      </c>
      <c r="K598" s="4">
        <v>35</v>
      </c>
      <c r="L598" s="4" t="s">
        <v>2</v>
      </c>
      <c r="M598" s="5" t="s">
        <v>1179</v>
      </c>
      <c r="N598" s="5" t="s">
        <v>1182</v>
      </c>
      <c r="O598" s="147">
        <v>0</v>
      </c>
      <c r="P598" s="15">
        <v>3</v>
      </c>
      <c r="Q598" s="148">
        <f t="shared" si="19"/>
        <v>3</v>
      </c>
      <c r="R5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KORE CHRISTINE GRAND-ZATTRY UNION BLESSEOUA    YAO VINCENT  0574932446 35 F UNION LIBRE MENAGERE</v>
      </c>
      <c r="Z598" s="53"/>
      <c r="AA598" s="2"/>
      <c r="AB598" s="48"/>
      <c r="AG598" s="154"/>
      <c r="AH598" s="18"/>
      <c r="AI598" s="23"/>
      <c r="AJ598" s="4"/>
      <c r="AK598" s="4"/>
      <c r="AL598" s="5"/>
      <c r="AM598" s="5"/>
      <c r="AN598" s="147"/>
      <c r="AO598" s="15"/>
      <c r="AP598" s="148"/>
    </row>
    <row r="599" spans="1:42" ht="16.5" x14ac:dyDescent="0.35">
      <c r="A599" s="53">
        <v>598</v>
      </c>
      <c r="B599" s="2" t="s">
        <v>1135</v>
      </c>
      <c r="C599" s="48" t="s">
        <v>663</v>
      </c>
      <c r="D599" t="s">
        <v>1183</v>
      </c>
      <c r="E599" t="s">
        <v>1184</v>
      </c>
      <c r="H599" s="154"/>
      <c r="I599" s="18" t="s">
        <v>1066</v>
      </c>
      <c r="J599" s="23" t="s">
        <v>1165</v>
      </c>
      <c r="K599" s="4">
        <v>34</v>
      </c>
      <c r="L599" s="4" t="s">
        <v>2</v>
      </c>
      <c r="M599" s="5" t="s">
        <v>1179</v>
      </c>
      <c r="N599" s="5" t="s">
        <v>1182</v>
      </c>
      <c r="O599" s="147">
        <v>0</v>
      </c>
      <c r="P599" s="15">
        <v>4</v>
      </c>
      <c r="Q599" s="148">
        <f t="shared" si="19"/>
        <v>4</v>
      </c>
      <c r="R5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ZARE MARINA GRAND-ZATTRY UNION BLESSEOUA    YAO VINCENT  0574819037 34 F UNION LIBRE MENAGERE</v>
      </c>
      <c r="Z599" s="53"/>
      <c r="AA599" s="2"/>
      <c r="AB599" s="48"/>
      <c r="AG599" s="154"/>
      <c r="AH599" s="18"/>
      <c r="AI599" s="23"/>
      <c r="AJ599" s="4"/>
      <c r="AK599" s="4"/>
      <c r="AL599" s="5"/>
      <c r="AM599" s="5"/>
      <c r="AN599" s="147"/>
      <c r="AO599" s="15"/>
      <c r="AP599" s="148"/>
    </row>
    <row r="600" spans="1:42" ht="16.5" x14ac:dyDescent="0.35">
      <c r="A600" s="53">
        <v>599</v>
      </c>
      <c r="B600" s="2" t="s">
        <v>1136</v>
      </c>
      <c r="C600" s="48" t="s">
        <v>663</v>
      </c>
      <c r="D600" t="s">
        <v>1183</v>
      </c>
      <c r="E600" t="s">
        <v>1184</v>
      </c>
      <c r="H600" s="154"/>
      <c r="I600" s="18" t="s">
        <v>1066</v>
      </c>
      <c r="J600" s="23" t="s">
        <v>1166</v>
      </c>
      <c r="K600" s="4">
        <v>32</v>
      </c>
      <c r="L600" s="4" t="s">
        <v>2</v>
      </c>
      <c r="M600" s="5" t="s">
        <v>1179</v>
      </c>
      <c r="N600" s="5" t="s">
        <v>1182</v>
      </c>
      <c r="O600" s="147">
        <v>4</v>
      </c>
      <c r="P600" s="15">
        <v>1</v>
      </c>
      <c r="Q600" s="148">
        <f t="shared" si="19"/>
        <v>5</v>
      </c>
      <c r="R6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ADELI LEOCADIE GRAND-ZATTRY UNION BLESSEOUA    YAO VINCENT  0769594740 32 F UNION LIBRE MENAGERE</v>
      </c>
      <c r="Z600" s="53"/>
      <c r="AA600" s="2"/>
      <c r="AB600" s="48"/>
      <c r="AG600" s="154"/>
      <c r="AH600" s="18"/>
      <c r="AI600" s="23"/>
      <c r="AJ600" s="4"/>
      <c r="AK600" s="4"/>
      <c r="AL600" s="5"/>
      <c r="AM600" s="5"/>
      <c r="AN600" s="147"/>
      <c r="AO600" s="15"/>
      <c r="AP600" s="148"/>
    </row>
    <row r="601" spans="1:42" ht="16.5" x14ac:dyDescent="0.35">
      <c r="A601" s="53">
        <v>600</v>
      </c>
      <c r="B601" s="2" t="s">
        <v>1137</v>
      </c>
      <c r="C601" s="48" t="s">
        <v>663</v>
      </c>
      <c r="D601" t="s">
        <v>1183</v>
      </c>
      <c r="E601" t="s">
        <v>1184</v>
      </c>
      <c r="H601" s="154"/>
      <c r="I601" s="18" t="s">
        <v>1066</v>
      </c>
      <c r="J601" s="23" t="s">
        <v>1167</v>
      </c>
      <c r="K601" s="4">
        <v>31</v>
      </c>
      <c r="L601" s="4" t="s">
        <v>2</v>
      </c>
      <c r="M601" s="5" t="s">
        <v>1179</v>
      </c>
      <c r="N601" s="5" t="s">
        <v>1182</v>
      </c>
      <c r="O601" s="147">
        <v>0</v>
      </c>
      <c r="P601" s="15">
        <v>1</v>
      </c>
      <c r="Q601" s="148">
        <f t="shared" si="19"/>
        <v>1</v>
      </c>
      <c r="R6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A. SUZANNE GRAND-ZATTRY UNION BLESSEOUA    YAO VINCENT  0748740053 31 F UNION LIBRE MENAGERE</v>
      </c>
      <c r="Z601" s="53"/>
      <c r="AA601" s="2"/>
      <c r="AB601" s="48"/>
      <c r="AG601" s="154"/>
      <c r="AH601" s="18"/>
      <c r="AI601" s="23"/>
      <c r="AJ601" s="4"/>
      <c r="AK601" s="4"/>
      <c r="AL601" s="5"/>
      <c r="AM601" s="5"/>
      <c r="AN601" s="147"/>
      <c r="AO601" s="15"/>
      <c r="AP601" s="148"/>
    </row>
    <row r="602" spans="1:42" ht="16.5" x14ac:dyDescent="0.35">
      <c r="A602" s="53">
        <v>601</v>
      </c>
      <c r="B602" s="2" t="s">
        <v>1138</v>
      </c>
      <c r="C602" s="48" t="s">
        <v>663</v>
      </c>
      <c r="D602" t="s">
        <v>1183</v>
      </c>
      <c r="E602" t="s">
        <v>1184</v>
      </c>
      <c r="H602" s="154"/>
      <c r="I602" s="18" t="s">
        <v>1066</v>
      </c>
      <c r="J602" s="23" t="s">
        <v>1168</v>
      </c>
      <c r="K602" s="4">
        <v>28</v>
      </c>
      <c r="L602" s="4" t="s">
        <v>2</v>
      </c>
      <c r="M602" s="5" t="s">
        <v>1179</v>
      </c>
      <c r="N602" s="5" t="s">
        <v>1182</v>
      </c>
      <c r="O602" s="147">
        <v>1</v>
      </c>
      <c r="P602" s="15">
        <v>1</v>
      </c>
      <c r="Q602" s="148">
        <f t="shared" si="19"/>
        <v>2</v>
      </c>
      <c r="R6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MADOU SANDRINE GRAND-ZATTRY UNION BLESSEOUA    YAO VINCENT  0787726283 28 F UNION LIBRE MENAGERE</v>
      </c>
      <c r="Z602" s="53"/>
      <c r="AA602" s="2"/>
      <c r="AB602" s="48"/>
      <c r="AG602" s="154"/>
      <c r="AH602" s="18"/>
      <c r="AI602" s="23"/>
      <c r="AJ602" s="4"/>
      <c r="AK602" s="4"/>
      <c r="AL602" s="5"/>
      <c r="AM602" s="5"/>
      <c r="AN602" s="147"/>
      <c r="AO602" s="15"/>
      <c r="AP602" s="148"/>
    </row>
    <row r="603" spans="1:42" ht="16.5" x14ac:dyDescent="0.35">
      <c r="A603" s="53">
        <v>602</v>
      </c>
      <c r="B603" s="2" t="s">
        <v>1139</v>
      </c>
      <c r="C603" s="48" t="s">
        <v>663</v>
      </c>
      <c r="D603" t="s">
        <v>1183</v>
      </c>
      <c r="E603" t="s">
        <v>1184</v>
      </c>
      <c r="H603" s="154"/>
      <c r="I603" s="18" t="s">
        <v>1066</v>
      </c>
      <c r="J603" s="23" t="s">
        <v>1169</v>
      </c>
      <c r="K603" s="4">
        <v>32</v>
      </c>
      <c r="L603" s="4" t="s">
        <v>9</v>
      </c>
      <c r="M603" s="5" t="s">
        <v>1179</v>
      </c>
      <c r="N603" s="5" t="s">
        <v>972</v>
      </c>
      <c r="O603" s="147">
        <v>2</v>
      </c>
      <c r="P603" s="15">
        <v>1</v>
      </c>
      <c r="Q603" s="148">
        <f t="shared" si="19"/>
        <v>3</v>
      </c>
      <c r="R6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ZOUZOUA LIGNON GERARD GRAND-ZATTRY UNION BLESSEOUA    YAO VINCENT  0788544048 32 M UNION LIBRE PLANTEUR</v>
      </c>
      <c r="Z603" s="53"/>
      <c r="AA603" s="2"/>
      <c r="AB603" s="48"/>
      <c r="AG603" s="154"/>
      <c r="AH603" s="18"/>
      <c r="AI603" s="23"/>
      <c r="AJ603" s="4"/>
      <c r="AK603" s="4"/>
      <c r="AL603" s="5"/>
      <c r="AM603" s="5"/>
      <c r="AN603" s="147"/>
      <c r="AO603" s="15"/>
      <c r="AP603" s="148"/>
    </row>
    <row r="604" spans="1:42" ht="16.5" x14ac:dyDescent="0.35">
      <c r="A604" s="53">
        <v>603</v>
      </c>
      <c r="B604" s="2" t="s">
        <v>1140</v>
      </c>
      <c r="C604" s="48" t="s">
        <v>663</v>
      </c>
      <c r="D604" t="s">
        <v>1183</v>
      </c>
      <c r="E604" t="s">
        <v>1184</v>
      </c>
      <c r="H604" s="154"/>
      <c r="I604" s="18" t="s">
        <v>1066</v>
      </c>
      <c r="J604" s="23" t="s">
        <v>1170</v>
      </c>
      <c r="K604" s="4">
        <v>54</v>
      </c>
      <c r="L604" s="4" t="s">
        <v>2</v>
      </c>
      <c r="M604" s="5" t="s">
        <v>1179</v>
      </c>
      <c r="N604" s="5" t="s">
        <v>1182</v>
      </c>
      <c r="O604" s="147">
        <v>4</v>
      </c>
      <c r="P604" s="15">
        <v>3</v>
      </c>
      <c r="Q604" s="148">
        <f t="shared" si="19"/>
        <v>7</v>
      </c>
      <c r="R6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ZAKO GOHINA ALEXISE GRAND-ZATTRY UNION BLESSEOUA    YAO VINCENT  0779979947 54 F UNION LIBRE MENAGERE</v>
      </c>
      <c r="Z604" s="53"/>
      <c r="AA604" s="2"/>
      <c r="AB604" s="48"/>
      <c r="AG604" s="154"/>
      <c r="AH604" s="18"/>
      <c r="AI604" s="23"/>
      <c r="AJ604" s="4"/>
      <c r="AK604" s="4"/>
      <c r="AL604" s="5"/>
      <c r="AM604" s="5"/>
      <c r="AN604" s="147"/>
      <c r="AO604" s="15"/>
      <c r="AP604" s="148"/>
    </row>
    <row r="605" spans="1:42" ht="16.5" x14ac:dyDescent="0.35">
      <c r="A605" s="53">
        <v>604</v>
      </c>
      <c r="B605" s="2" t="s">
        <v>1141</v>
      </c>
      <c r="C605" s="48" t="s">
        <v>663</v>
      </c>
      <c r="D605" t="s">
        <v>1183</v>
      </c>
      <c r="E605" t="s">
        <v>1184</v>
      </c>
      <c r="H605" s="154"/>
      <c r="I605" s="18" t="s">
        <v>1066</v>
      </c>
      <c r="J605" s="23" t="s">
        <v>1171</v>
      </c>
      <c r="K605" s="4">
        <v>35</v>
      </c>
      <c r="L605" s="4" t="s">
        <v>2</v>
      </c>
      <c r="M605" s="5" t="s">
        <v>1179</v>
      </c>
      <c r="N605" s="5" t="s">
        <v>1182</v>
      </c>
      <c r="O605" s="147">
        <v>2</v>
      </c>
      <c r="P605" s="15">
        <v>4</v>
      </c>
      <c r="Q605" s="148">
        <f t="shared" si="19"/>
        <v>6</v>
      </c>
      <c r="R6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BIAGNE CHRISTINE GRAND-ZATTRY UNION BLESSEOUA    YAO VINCENT  0170432024 35 F UNION LIBRE MENAGERE</v>
      </c>
      <c r="Z605" s="53"/>
      <c r="AA605" s="2"/>
      <c r="AB605" s="48"/>
      <c r="AG605" s="154"/>
      <c r="AH605" s="18"/>
      <c r="AI605" s="23"/>
      <c r="AJ605" s="4"/>
      <c r="AK605" s="4"/>
      <c r="AL605" s="5"/>
      <c r="AM605" s="5"/>
      <c r="AN605" s="147"/>
      <c r="AO605" s="15"/>
      <c r="AP605" s="148"/>
    </row>
    <row r="606" spans="1:42" ht="16.5" x14ac:dyDescent="0.35">
      <c r="A606" s="53">
        <v>605</v>
      </c>
      <c r="B606" s="2" t="s">
        <v>1142</v>
      </c>
      <c r="C606" s="48" t="s">
        <v>663</v>
      </c>
      <c r="D606" t="s">
        <v>1183</v>
      </c>
      <c r="E606" t="s">
        <v>1184</v>
      </c>
      <c r="H606" s="154"/>
      <c r="I606" s="18" t="s">
        <v>1066</v>
      </c>
      <c r="J606" s="23" t="s">
        <v>1172</v>
      </c>
      <c r="K606" s="4">
        <v>28</v>
      </c>
      <c r="L606" s="4" t="s">
        <v>2</v>
      </c>
      <c r="M606" s="5" t="s">
        <v>1179</v>
      </c>
      <c r="N606" s="5" t="s">
        <v>1182</v>
      </c>
      <c r="O606" s="147">
        <v>1</v>
      </c>
      <c r="P606" s="15">
        <v>0</v>
      </c>
      <c r="Q606" s="148">
        <f t="shared" si="19"/>
        <v>1</v>
      </c>
      <c r="R6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MELAINE GRAND-ZATTRY UNION BLESSEOUA    YAO VINCENT  0759124178 28 F UNION LIBRE MENAGERE</v>
      </c>
      <c r="Z606" s="53"/>
      <c r="AA606" s="2"/>
      <c r="AB606" s="48"/>
      <c r="AG606" s="154"/>
      <c r="AH606" s="18"/>
      <c r="AI606" s="23"/>
      <c r="AJ606" s="4"/>
      <c r="AK606" s="4"/>
      <c r="AL606" s="5"/>
      <c r="AM606" s="5"/>
      <c r="AN606" s="147"/>
      <c r="AO606" s="15"/>
      <c r="AP606" s="148"/>
    </row>
    <row r="607" spans="1:42" ht="16.5" x14ac:dyDescent="0.35">
      <c r="A607" s="53">
        <v>606</v>
      </c>
      <c r="B607" s="2" t="s">
        <v>1143</v>
      </c>
      <c r="C607" s="48" t="s">
        <v>663</v>
      </c>
      <c r="D607" t="s">
        <v>1183</v>
      </c>
      <c r="E607" t="s">
        <v>1184</v>
      </c>
      <c r="H607" s="154"/>
      <c r="I607" s="18" t="s">
        <v>1066</v>
      </c>
      <c r="J607" s="23" t="s">
        <v>1173</v>
      </c>
      <c r="K607" s="4">
        <v>30</v>
      </c>
      <c r="L607" s="4" t="s">
        <v>2</v>
      </c>
      <c r="M607" s="5" t="s">
        <v>1179</v>
      </c>
      <c r="N607" s="5" t="s">
        <v>1182</v>
      </c>
      <c r="O607" s="147">
        <v>2</v>
      </c>
      <c r="P607" s="15">
        <v>1</v>
      </c>
      <c r="Q607" s="148">
        <f t="shared" si="19"/>
        <v>3</v>
      </c>
      <c r="R6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DALI DORCAS GRAND-ZATTRY UNION BLESSEOUA    YAO VINCENT  0788110149 30 F UNION LIBRE MENAGERE</v>
      </c>
      <c r="Z607" s="53"/>
      <c r="AA607" s="2"/>
      <c r="AB607" s="48"/>
      <c r="AG607" s="154"/>
      <c r="AH607" s="18"/>
      <c r="AI607" s="23"/>
      <c r="AJ607" s="4"/>
      <c r="AK607" s="4"/>
      <c r="AL607" s="5"/>
      <c r="AM607" s="5"/>
      <c r="AN607" s="147"/>
      <c r="AO607" s="15"/>
      <c r="AP607" s="148"/>
    </row>
    <row r="608" spans="1:42" ht="16.5" x14ac:dyDescent="0.35">
      <c r="A608" s="53">
        <v>607</v>
      </c>
      <c r="B608" s="2" t="s">
        <v>1144</v>
      </c>
      <c r="C608" s="48" t="s">
        <v>663</v>
      </c>
      <c r="D608" t="s">
        <v>1183</v>
      </c>
      <c r="E608" t="s">
        <v>1184</v>
      </c>
      <c r="H608" s="154"/>
      <c r="I608" s="18" t="s">
        <v>1066</v>
      </c>
      <c r="J608" s="23" t="s">
        <v>1174</v>
      </c>
      <c r="K608" s="4">
        <v>36</v>
      </c>
      <c r="L608" s="4" t="s">
        <v>2</v>
      </c>
      <c r="M608" s="5" t="s">
        <v>1179</v>
      </c>
      <c r="N608" s="5" t="s">
        <v>1182</v>
      </c>
      <c r="O608" s="147">
        <v>6</v>
      </c>
      <c r="P608" s="15">
        <v>1</v>
      </c>
      <c r="Q608" s="148">
        <f t="shared" si="19"/>
        <v>7</v>
      </c>
      <c r="R6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KORE ZEGBEU PELAGIE GRAND-ZATTRY UNION BLESSEOUA    YAO VINCENT  0564411077 36 F UNION LIBRE MENAGERE</v>
      </c>
      <c r="Z608" s="53"/>
      <c r="AA608" s="2"/>
      <c r="AB608" s="48"/>
      <c r="AG608" s="154"/>
      <c r="AH608" s="18"/>
      <c r="AI608" s="23"/>
      <c r="AJ608" s="4"/>
      <c r="AK608" s="4"/>
      <c r="AL608" s="5"/>
      <c r="AM608" s="5"/>
      <c r="AN608" s="147"/>
      <c r="AO608" s="15"/>
      <c r="AP608" s="148"/>
    </row>
    <row r="609" spans="1:42" ht="16.5" x14ac:dyDescent="0.35">
      <c r="A609" s="53">
        <v>608</v>
      </c>
      <c r="B609" s="2" t="s">
        <v>1145</v>
      </c>
      <c r="C609" s="48" t="s">
        <v>663</v>
      </c>
      <c r="D609" t="s">
        <v>1183</v>
      </c>
      <c r="E609" t="s">
        <v>1184</v>
      </c>
      <c r="H609" s="154"/>
      <c r="I609" s="18" t="s">
        <v>1066</v>
      </c>
      <c r="J609" s="23"/>
      <c r="K609" s="4">
        <v>32</v>
      </c>
      <c r="L609" s="4" t="s">
        <v>2</v>
      </c>
      <c r="M609" s="5" t="s">
        <v>1179</v>
      </c>
      <c r="N609" s="5" t="s">
        <v>1182</v>
      </c>
      <c r="O609" s="147">
        <v>1</v>
      </c>
      <c r="P609" s="15">
        <v>0</v>
      </c>
      <c r="Q609" s="148">
        <f t="shared" si="19"/>
        <v>1</v>
      </c>
      <c r="R6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GRE WA YOLANDE GRAND-ZATTRY UNION BLESSEOUA    YAO VINCENT   32 F UNION LIBRE MENAGERE</v>
      </c>
      <c r="Z609" s="53"/>
      <c r="AA609" s="2"/>
      <c r="AB609" s="48"/>
      <c r="AG609" s="154"/>
      <c r="AH609" s="18"/>
      <c r="AI609" s="23"/>
      <c r="AJ609" s="4"/>
      <c r="AK609" s="4"/>
      <c r="AL609" s="5"/>
      <c r="AM609" s="5"/>
      <c r="AN609" s="147"/>
      <c r="AO609" s="15"/>
      <c r="AP609" s="148"/>
    </row>
    <row r="610" spans="1:42" ht="16.5" x14ac:dyDescent="0.35">
      <c r="A610" s="53">
        <v>609</v>
      </c>
      <c r="B610" s="2" t="s">
        <v>1146</v>
      </c>
      <c r="C610" s="48" t="s">
        <v>663</v>
      </c>
      <c r="D610" t="s">
        <v>1183</v>
      </c>
      <c r="E610" t="s">
        <v>1184</v>
      </c>
      <c r="H610" s="154"/>
      <c r="I610" s="18" t="s">
        <v>1066</v>
      </c>
      <c r="J610" s="23" t="s">
        <v>1175</v>
      </c>
      <c r="K610" s="4">
        <v>43</v>
      </c>
      <c r="L610" s="4" t="s">
        <v>2</v>
      </c>
      <c r="M610" s="5" t="s">
        <v>1179</v>
      </c>
      <c r="N610" s="5" t="s">
        <v>1182</v>
      </c>
      <c r="O610" s="147">
        <v>3</v>
      </c>
      <c r="P610" s="15">
        <v>4</v>
      </c>
      <c r="Q610" s="148">
        <f t="shared" si="19"/>
        <v>7</v>
      </c>
      <c r="R6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GBOKOU CLEMENTINE GRAND-ZATTRY UNION BLESSEOUA    YAO VINCENT  0757480715 43 F UNION LIBRE MENAGERE</v>
      </c>
      <c r="Z610" s="53"/>
      <c r="AA610" s="2"/>
      <c r="AB610" s="48"/>
      <c r="AG610" s="154"/>
      <c r="AH610" s="18"/>
      <c r="AI610" s="23"/>
      <c r="AJ610" s="4"/>
      <c r="AK610" s="4"/>
      <c r="AL610" s="5"/>
      <c r="AM610" s="5"/>
      <c r="AN610" s="147"/>
      <c r="AO610" s="15"/>
      <c r="AP610" s="148"/>
    </row>
    <row r="611" spans="1:42" ht="16.5" x14ac:dyDescent="0.5">
      <c r="A611" s="53">
        <v>610</v>
      </c>
      <c r="B611" s="2" t="s">
        <v>1147</v>
      </c>
      <c r="C611" s="48" t="s">
        <v>663</v>
      </c>
      <c r="D611" t="s">
        <v>1183</v>
      </c>
      <c r="E611" t="s">
        <v>1184</v>
      </c>
      <c r="H611" s="154"/>
      <c r="I611" s="18" t="s">
        <v>1066</v>
      </c>
      <c r="J611" s="23" t="s">
        <v>1176</v>
      </c>
      <c r="K611" s="6">
        <v>53</v>
      </c>
      <c r="L611" s="4" t="s">
        <v>2</v>
      </c>
      <c r="M611" s="6" t="s">
        <v>1179</v>
      </c>
      <c r="N611" s="6" t="s">
        <v>1182</v>
      </c>
      <c r="O611" s="149">
        <v>0</v>
      </c>
      <c r="P611" s="149">
        <v>0</v>
      </c>
      <c r="Q611" s="148">
        <f t="shared" si="19"/>
        <v>0</v>
      </c>
      <c r="R6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OSSIRI MARTHE GRAND-ZATTRY UNION BLESSEOUA    YAO VINCENT  0759573624 53 F UNION LIBRE MENAGERE</v>
      </c>
      <c r="Z611" s="53"/>
      <c r="AA611" s="2"/>
      <c r="AB611" s="48"/>
      <c r="AG611" s="154"/>
      <c r="AH611" s="18"/>
      <c r="AI611" s="23"/>
      <c r="AJ611" s="6"/>
      <c r="AK611" s="4"/>
      <c r="AL611" s="6"/>
      <c r="AM611" s="6"/>
      <c r="AN611" s="149"/>
      <c r="AO611" s="149"/>
      <c r="AP611" s="148"/>
    </row>
    <row r="612" spans="1:42" ht="16.5" x14ac:dyDescent="0.35">
      <c r="A612" s="53">
        <v>611</v>
      </c>
      <c r="B612" s="2" t="s">
        <v>1148</v>
      </c>
      <c r="C612" s="48" t="s">
        <v>663</v>
      </c>
      <c r="D612" t="s">
        <v>1183</v>
      </c>
      <c r="E612" t="s">
        <v>1184</v>
      </c>
      <c r="H612" s="154"/>
      <c r="I612" s="18" t="s">
        <v>1066</v>
      </c>
      <c r="J612" s="24"/>
      <c r="K612" s="8">
        <v>53</v>
      </c>
      <c r="L612" s="4" t="s">
        <v>2</v>
      </c>
      <c r="M612" s="8" t="s">
        <v>1179</v>
      </c>
      <c r="N612" s="8" t="s">
        <v>1182</v>
      </c>
      <c r="O612" s="151">
        <v>0</v>
      </c>
      <c r="P612" s="151">
        <v>4</v>
      </c>
      <c r="Q612" s="148">
        <f t="shared" si="19"/>
        <v>4</v>
      </c>
      <c r="R6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BAHI ODILE GRAND-ZATTRY UNION BLESSEOUA    YAO VINCENT   53 F UNION LIBRE MENAGERE</v>
      </c>
      <c r="Z612" s="53"/>
      <c r="AA612" s="2"/>
      <c r="AB612" s="48"/>
      <c r="AG612" s="154"/>
      <c r="AH612" s="18"/>
      <c r="AI612" s="24"/>
      <c r="AJ612" s="8"/>
      <c r="AK612" s="4"/>
      <c r="AL612" s="8"/>
      <c r="AM612" s="8"/>
      <c r="AN612" s="151"/>
      <c r="AO612" s="151"/>
      <c r="AP612" s="148"/>
    </row>
    <row r="613" spans="1:42" ht="16.5" x14ac:dyDescent="0.35">
      <c r="A613" s="53">
        <v>612</v>
      </c>
      <c r="B613" s="9" t="s">
        <v>1149</v>
      </c>
      <c r="C613" s="48" t="s">
        <v>663</v>
      </c>
      <c r="D613" t="s">
        <v>1183</v>
      </c>
      <c r="E613" t="s">
        <v>1184</v>
      </c>
      <c r="H613" s="154"/>
      <c r="I613" s="18" t="s">
        <v>1066</v>
      </c>
      <c r="J613" s="25" t="s">
        <v>1177</v>
      </c>
      <c r="K613" s="11">
        <v>33</v>
      </c>
      <c r="L613" s="178" t="s">
        <v>2</v>
      </c>
      <c r="M613" s="11" t="s">
        <v>1181</v>
      </c>
      <c r="N613" s="11" t="s">
        <v>1182</v>
      </c>
      <c r="O613" s="143">
        <v>2</v>
      </c>
      <c r="P613" s="143">
        <v>2</v>
      </c>
      <c r="Q613" s="148">
        <f t="shared" si="19"/>
        <v>4</v>
      </c>
      <c r="R6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ADJOUA GRAND-ZATTRY UNION BLESSEOUA    YAO VINCENT  0779223109 33 F DOTE MENAGERE</v>
      </c>
      <c r="Z613" s="53"/>
      <c r="AA613" s="9"/>
      <c r="AB613" s="48"/>
      <c r="AG613" s="154"/>
      <c r="AH613" s="18"/>
      <c r="AI613" s="25"/>
      <c r="AJ613" s="11"/>
      <c r="AK613" s="178"/>
      <c r="AL613" s="11"/>
      <c r="AM613" s="11"/>
      <c r="AN613" s="143"/>
      <c r="AO613" s="143"/>
      <c r="AP613" s="148"/>
    </row>
    <row r="614" spans="1:42" ht="17" thickBot="1" x14ac:dyDescent="0.4">
      <c r="A614" s="53">
        <v>613</v>
      </c>
      <c r="B614" s="9" t="s">
        <v>1150</v>
      </c>
      <c r="C614" s="48" t="s">
        <v>663</v>
      </c>
      <c r="D614" t="s">
        <v>1183</v>
      </c>
      <c r="E614" t="s">
        <v>1184</v>
      </c>
      <c r="H614" s="154"/>
      <c r="I614" s="18" t="s">
        <v>1066</v>
      </c>
      <c r="J614" s="193" t="s">
        <v>1178</v>
      </c>
      <c r="K614" s="14">
        <v>22</v>
      </c>
      <c r="L614" s="14" t="s">
        <v>9</v>
      </c>
      <c r="M614" s="14" t="s">
        <v>1179</v>
      </c>
      <c r="N614" s="14" t="s">
        <v>972</v>
      </c>
      <c r="O614" s="141">
        <v>0</v>
      </c>
      <c r="P614" s="141">
        <v>0</v>
      </c>
      <c r="Q614" s="148">
        <f t="shared" si="19"/>
        <v>0</v>
      </c>
      <c r="R6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KOALA ISSOUF GRAND-ZATTRY UNION BLESSEOUA    YAO VINCENT  0747883817 22 M UNION LIBRE PLANTEUR</v>
      </c>
      <c r="Z614" s="53"/>
      <c r="AA614" s="9"/>
      <c r="AB614" s="48"/>
      <c r="AG614" s="154"/>
      <c r="AH614" s="18"/>
      <c r="AI614" s="193"/>
      <c r="AJ614" s="14"/>
      <c r="AK614" s="14"/>
      <c r="AL614" s="14"/>
      <c r="AM614" s="14"/>
      <c r="AN614" s="141"/>
      <c r="AO614" s="141"/>
      <c r="AP614" s="148"/>
    </row>
    <row r="615" spans="1:42" ht="16.5" x14ac:dyDescent="0.35">
      <c r="A615" s="53">
        <v>614</v>
      </c>
      <c r="B615" s="2" t="s">
        <v>1185</v>
      </c>
      <c r="C615" s="48" t="s">
        <v>663</v>
      </c>
      <c r="D615" t="s">
        <v>1211</v>
      </c>
      <c r="E615" t="s">
        <v>1184</v>
      </c>
      <c r="H615" s="10"/>
      <c r="I615" s="18" t="s">
        <v>1066</v>
      </c>
      <c r="J615" s="23" t="s">
        <v>1212</v>
      </c>
      <c r="K615" s="4">
        <v>50</v>
      </c>
      <c r="L615" s="4" t="s">
        <v>9</v>
      </c>
      <c r="M615" s="5" t="s">
        <v>1095</v>
      </c>
      <c r="N615" s="5" t="s">
        <v>972</v>
      </c>
      <c r="O615" s="147">
        <v>4</v>
      </c>
      <c r="P615" s="15">
        <v>3</v>
      </c>
      <c r="Q615" s="148">
        <f>(O615+P615)</f>
        <v>7</v>
      </c>
      <c r="R6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ZALO SOKOURI JEAN CLAUDE GRAND-ZATTRY MAIN DANS LA MAIN BLESSEOUA    YAO VINCENT  0574639213 50 M MARIE PLANTEUR</v>
      </c>
      <c r="Z615" s="53"/>
      <c r="AA615" s="2"/>
      <c r="AB615" s="48"/>
      <c r="AG615" s="10"/>
      <c r="AH615" s="18"/>
      <c r="AI615" s="23"/>
      <c r="AJ615" s="4"/>
      <c r="AK615" s="4"/>
      <c r="AL615" s="5"/>
      <c r="AM615" s="5"/>
      <c r="AN615" s="147"/>
      <c r="AO615" s="15"/>
      <c r="AP615" s="148"/>
    </row>
    <row r="616" spans="1:42" ht="16.5" x14ac:dyDescent="0.35">
      <c r="A616" s="53">
        <v>615</v>
      </c>
      <c r="B616" s="2" t="s">
        <v>1186</v>
      </c>
      <c r="C616" s="48" t="s">
        <v>663</v>
      </c>
      <c r="D616" t="s">
        <v>1211</v>
      </c>
      <c r="E616" t="s">
        <v>1184</v>
      </c>
      <c r="H616" s="154"/>
      <c r="I616" s="18" t="s">
        <v>1066</v>
      </c>
      <c r="J616" s="23" t="s">
        <v>1213</v>
      </c>
      <c r="K616" s="4">
        <v>34</v>
      </c>
      <c r="L616" s="4" t="s">
        <v>9</v>
      </c>
      <c r="M616" s="5" t="s">
        <v>1181</v>
      </c>
      <c r="N616" s="5" t="s">
        <v>972</v>
      </c>
      <c r="O616" s="147">
        <v>1</v>
      </c>
      <c r="P616" s="15">
        <v>4</v>
      </c>
      <c r="Q616" s="148">
        <f t="shared" ref="Q616:Q641" si="20">(O616+P616)</f>
        <v>5</v>
      </c>
      <c r="R6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ZAKO AHIPO MARTIAL GRAND-ZATTRY MAIN DANS LA MAIN BLESSEOUA    YAO VINCENT  0566609416 34 M DOTE PLANTEUR</v>
      </c>
      <c r="Z616" s="53"/>
      <c r="AA616" s="2"/>
      <c r="AB616" s="48"/>
      <c r="AG616" s="154"/>
      <c r="AH616" s="18"/>
      <c r="AI616" s="23"/>
      <c r="AJ616" s="4"/>
      <c r="AK616" s="4"/>
      <c r="AL616" s="5"/>
      <c r="AM616" s="5"/>
      <c r="AN616" s="147"/>
      <c r="AO616" s="15"/>
      <c r="AP616" s="148"/>
    </row>
    <row r="617" spans="1:42" ht="16.5" x14ac:dyDescent="0.35">
      <c r="A617" s="53">
        <v>616</v>
      </c>
      <c r="B617" s="2" t="s">
        <v>1187</v>
      </c>
      <c r="C617" s="48" t="s">
        <v>663</v>
      </c>
      <c r="D617" t="s">
        <v>1211</v>
      </c>
      <c r="E617" t="s">
        <v>1184</v>
      </c>
      <c r="H617" s="154"/>
      <c r="I617" s="18" t="s">
        <v>1066</v>
      </c>
      <c r="J617" s="23" t="s">
        <v>1214</v>
      </c>
      <c r="K617" s="4">
        <v>65</v>
      </c>
      <c r="L617" s="4" t="s">
        <v>9</v>
      </c>
      <c r="M617" s="5" t="s">
        <v>1095</v>
      </c>
      <c r="N617" s="5" t="s">
        <v>972</v>
      </c>
      <c r="O617" s="147">
        <v>3</v>
      </c>
      <c r="P617" s="15">
        <v>1</v>
      </c>
      <c r="Q617" s="148">
        <f t="shared" si="20"/>
        <v>4</v>
      </c>
      <c r="R6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ZOKOU PIERRE GRAND-ZATTRY MAIN DANS LA MAIN BLESSEOUA    YAO VINCENT  0778713966 65 M MARIE PLANTEUR</v>
      </c>
      <c r="Z617" s="53"/>
      <c r="AA617" s="2"/>
      <c r="AB617" s="48"/>
      <c r="AG617" s="154"/>
      <c r="AH617" s="18"/>
      <c r="AI617" s="23"/>
      <c r="AJ617" s="4"/>
      <c r="AK617" s="4"/>
      <c r="AL617" s="5"/>
      <c r="AM617" s="5"/>
      <c r="AN617" s="147"/>
      <c r="AO617" s="15"/>
      <c r="AP617" s="148"/>
    </row>
    <row r="618" spans="1:42" ht="16.5" x14ac:dyDescent="0.35">
      <c r="A618" s="53">
        <v>617</v>
      </c>
      <c r="B618" s="2" t="s">
        <v>844</v>
      </c>
      <c r="C618" s="48" t="s">
        <v>663</v>
      </c>
      <c r="D618" t="s">
        <v>1211</v>
      </c>
      <c r="E618" t="s">
        <v>1184</v>
      </c>
      <c r="H618" s="154"/>
      <c r="I618" s="18" t="s">
        <v>1066</v>
      </c>
      <c r="J618" s="23" t="s">
        <v>1215</v>
      </c>
      <c r="K618" s="4">
        <v>47</v>
      </c>
      <c r="L618" s="4" t="s">
        <v>9</v>
      </c>
      <c r="M618" s="5" t="s">
        <v>1181</v>
      </c>
      <c r="N618" s="5" t="s">
        <v>972</v>
      </c>
      <c r="O618" s="147">
        <v>1</v>
      </c>
      <c r="P618" s="15">
        <v>2</v>
      </c>
      <c r="Q618" s="148">
        <f t="shared" si="20"/>
        <v>3</v>
      </c>
      <c r="R6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MABO ONE LAZARE GRAND-ZATTRY MAIN DANS LA MAIN BLESSEOUA    YAO VINCENT  0779433364 47 M DOTE PLANTEUR</v>
      </c>
      <c r="Z618" s="53"/>
      <c r="AA618" s="2"/>
      <c r="AB618" s="48"/>
      <c r="AG618" s="154"/>
      <c r="AH618" s="18"/>
      <c r="AI618" s="23"/>
      <c r="AJ618" s="4"/>
      <c r="AK618" s="4"/>
      <c r="AL618" s="5"/>
      <c r="AM618" s="5"/>
      <c r="AN618" s="147"/>
      <c r="AO618" s="15"/>
      <c r="AP618" s="148"/>
    </row>
    <row r="619" spans="1:42" ht="16.5" x14ac:dyDescent="0.35">
      <c r="A619" s="53">
        <v>618</v>
      </c>
      <c r="B619" s="2" t="s">
        <v>1188</v>
      </c>
      <c r="C619" s="48" t="s">
        <v>663</v>
      </c>
      <c r="D619" t="s">
        <v>1211</v>
      </c>
      <c r="E619" t="s">
        <v>1184</v>
      </c>
      <c r="H619" s="154"/>
      <c r="I619" s="18" t="s">
        <v>1066</v>
      </c>
      <c r="J619" s="23" t="s">
        <v>1216</v>
      </c>
      <c r="K619" s="4">
        <v>42</v>
      </c>
      <c r="L619" s="4" t="s">
        <v>9</v>
      </c>
      <c r="M619" s="3" t="s">
        <v>1181</v>
      </c>
      <c r="N619" s="5" t="s">
        <v>972</v>
      </c>
      <c r="O619" s="147">
        <v>5</v>
      </c>
      <c r="P619" s="15">
        <v>1</v>
      </c>
      <c r="Q619" s="148">
        <f t="shared" si="20"/>
        <v>6</v>
      </c>
      <c r="R6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NABO DJEDJE CHARLES GRAND-ZATTRY MAIN DANS LA MAIN BLESSEOUA    YAO VINCENT  0545612370 42 M DOTE PLANTEUR</v>
      </c>
      <c r="Z619" s="53"/>
      <c r="AA619" s="2"/>
      <c r="AB619" s="48"/>
      <c r="AG619" s="154"/>
      <c r="AH619" s="18"/>
      <c r="AI619" s="23"/>
      <c r="AJ619" s="4"/>
      <c r="AK619" s="4"/>
      <c r="AL619" s="3"/>
      <c r="AM619" s="5"/>
      <c r="AN619" s="147"/>
      <c r="AO619" s="15"/>
      <c r="AP619" s="148"/>
    </row>
    <row r="620" spans="1:42" ht="16.5" x14ac:dyDescent="0.35">
      <c r="A620" s="53">
        <v>619</v>
      </c>
      <c r="B620" s="2" t="s">
        <v>1189</v>
      </c>
      <c r="C620" s="48" t="s">
        <v>663</v>
      </c>
      <c r="D620" t="s">
        <v>1211</v>
      </c>
      <c r="E620" t="s">
        <v>1184</v>
      </c>
      <c r="H620" s="154"/>
      <c r="I620" s="18" t="s">
        <v>1066</v>
      </c>
      <c r="J620" s="23" t="s">
        <v>1217</v>
      </c>
      <c r="K620" s="4">
        <v>45</v>
      </c>
      <c r="L620" s="4" t="s">
        <v>9</v>
      </c>
      <c r="M620" s="5" t="s">
        <v>1181</v>
      </c>
      <c r="N620" s="5" t="s">
        <v>972</v>
      </c>
      <c r="O620" s="147">
        <v>4</v>
      </c>
      <c r="P620" s="15">
        <v>1</v>
      </c>
      <c r="Q620" s="148">
        <f t="shared" si="20"/>
        <v>5</v>
      </c>
      <c r="R6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NABO ZOUZOUA EMMANUEL GRAND-ZATTRY MAIN DANS LA MAIN BLESSEOUA    YAO VINCENT  0779487967 45 M DOTE PLANTEUR</v>
      </c>
      <c r="Z620" s="53"/>
      <c r="AA620" s="2"/>
      <c r="AB620" s="48"/>
      <c r="AG620" s="154"/>
      <c r="AH620" s="18"/>
      <c r="AI620" s="23"/>
      <c r="AJ620" s="4"/>
      <c r="AK620" s="4"/>
      <c r="AL620" s="5"/>
      <c r="AM620" s="5"/>
      <c r="AN620" s="147"/>
      <c r="AO620" s="15"/>
      <c r="AP620" s="148"/>
    </row>
    <row r="621" spans="1:42" ht="16.5" x14ac:dyDescent="0.35">
      <c r="A621" s="53">
        <v>620</v>
      </c>
      <c r="B621" s="2" t="s">
        <v>1190</v>
      </c>
      <c r="C621" s="48" t="s">
        <v>663</v>
      </c>
      <c r="D621" t="s">
        <v>1211</v>
      </c>
      <c r="E621" t="s">
        <v>1184</v>
      </c>
      <c r="H621" s="154"/>
      <c r="I621" s="18" t="s">
        <v>1066</v>
      </c>
      <c r="J621" s="23" t="s">
        <v>1218</v>
      </c>
      <c r="K621" s="4">
        <v>67</v>
      </c>
      <c r="L621" s="4" t="s">
        <v>9</v>
      </c>
      <c r="M621" s="5" t="s">
        <v>1181</v>
      </c>
      <c r="N621" s="5" t="s">
        <v>972</v>
      </c>
      <c r="O621" s="147">
        <v>3</v>
      </c>
      <c r="P621" s="15">
        <v>6</v>
      </c>
      <c r="Q621" s="148">
        <f t="shared" si="20"/>
        <v>9</v>
      </c>
      <c r="R6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KPLEGNON GAGO FRANCOIS GRAND-ZATTRY MAIN DANS LA MAIN BLESSEOUA    YAO VINCENT  0777934111 67 M DOTE PLANTEUR</v>
      </c>
      <c r="Z621" s="53"/>
      <c r="AA621" s="2"/>
      <c r="AB621" s="48"/>
      <c r="AG621" s="154"/>
      <c r="AH621" s="18"/>
      <c r="AI621" s="23"/>
      <c r="AJ621" s="4"/>
      <c r="AK621" s="4"/>
      <c r="AL621" s="5"/>
      <c r="AM621" s="5"/>
      <c r="AN621" s="147"/>
      <c r="AO621" s="15"/>
      <c r="AP621" s="148"/>
    </row>
    <row r="622" spans="1:42" ht="16.5" x14ac:dyDescent="0.35">
      <c r="A622" s="53">
        <v>621</v>
      </c>
      <c r="B622" s="2" t="s">
        <v>1191</v>
      </c>
      <c r="C622" s="48" t="s">
        <v>663</v>
      </c>
      <c r="D622" t="s">
        <v>1211</v>
      </c>
      <c r="E622" t="s">
        <v>1184</v>
      </c>
      <c r="H622" s="154"/>
      <c r="I622" s="18" t="s">
        <v>1066</v>
      </c>
      <c r="J622" s="23" t="s">
        <v>1219</v>
      </c>
      <c r="K622" s="4">
        <v>43</v>
      </c>
      <c r="L622" s="4" t="s">
        <v>2</v>
      </c>
      <c r="M622" s="5" t="s">
        <v>1095</v>
      </c>
      <c r="N622" s="5" t="s">
        <v>1182</v>
      </c>
      <c r="O622" s="147">
        <v>4</v>
      </c>
      <c r="P622" s="15">
        <v>3</v>
      </c>
      <c r="Q622" s="148">
        <f t="shared" si="20"/>
        <v>7</v>
      </c>
      <c r="R6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LEKPA ZEGBEU HORTENSE GRAND-ZATTRY MAIN DANS LA MAIN BLESSEOUA    YAO VINCENT  0709890572 43 F MARIE MENAGERE</v>
      </c>
      <c r="Z622" s="53"/>
      <c r="AA622" s="2"/>
      <c r="AB622" s="48"/>
      <c r="AG622" s="154"/>
      <c r="AH622" s="18"/>
      <c r="AI622" s="23"/>
      <c r="AJ622" s="4"/>
      <c r="AK622" s="4"/>
      <c r="AL622" s="5"/>
      <c r="AM622" s="5"/>
      <c r="AN622" s="147"/>
      <c r="AO622" s="15"/>
      <c r="AP622" s="148"/>
    </row>
    <row r="623" spans="1:42" ht="16.5" x14ac:dyDescent="0.35">
      <c r="A623" s="53">
        <v>622</v>
      </c>
      <c r="B623" s="2" t="s">
        <v>1192</v>
      </c>
      <c r="C623" s="48" t="s">
        <v>663</v>
      </c>
      <c r="D623" t="s">
        <v>1211</v>
      </c>
      <c r="E623" t="s">
        <v>1184</v>
      </c>
      <c r="H623" s="154"/>
      <c r="I623" s="18" t="s">
        <v>1066</v>
      </c>
      <c r="J623" s="23" t="s">
        <v>1220</v>
      </c>
      <c r="K623" s="4">
        <v>68</v>
      </c>
      <c r="L623" s="4" t="s">
        <v>9</v>
      </c>
      <c r="M623" s="5" t="s">
        <v>1181</v>
      </c>
      <c r="N623" s="5" t="s">
        <v>972</v>
      </c>
      <c r="O623" s="147">
        <v>1</v>
      </c>
      <c r="P623" s="15">
        <v>4</v>
      </c>
      <c r="Q623" s="148">
        <f t="shared" si="20"/>
        <v>5</v>
      </c>
      <c r="R6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BAHI DIGBEU MAMBERT GRAND-ZATTRY MAIN DANS LA MAIN BLESSEOUA    YAO VINCENT  0779143251 68 M DOTE PLANTEUR</v>
      </c>
      <c r="Z623" s="53"/>
      <c r="AA623" s="2"/>
      <c r="AB623" s="48"/>
      <c r="AG623" s="154"/>
      <c r="AH623" s="18"/>
      <c r="AI623" s="23"/>
      <c r="AJ623" s="4"/>
      <c r="AK623" s="4"/>
      <c r="AL623" s="5"/>
      <c r="AM623" s="5"/>
      <c r="AN623" s="147"/>
      <c r="AO623" s="15"/>
      <c r="AP623" s="148"/>
    </row>
    <row r="624" spans="1:42" ht="16.5" x14ac:dyDescent="0.35">
      <c r="A624" s="53">
        <v>623</v>
      </c>
      <c r="B624" s="2" t="s">
        <v>1193</v>
      </c>
      <c r="C624" s="48" t="s">
        <v>663</v>
      </c>
      <c r="D624" t="s">
        <v>1211</v>
      </c>
      <c r="E624" t="s">
        <v>1184</v>
      </c>
      <c r="H624" s="154"/>
      <c r="I624" s="18" t="s">
        <v>1066</v>
      </c>
      <c r="J624" s="23" t="s">
        <v>1221</v>
      </c>
      <c r="K624" s="4">
        <v>32</v>
      </c>
      <c r="L624" s="4" t="s">
        <v>9</v>
      </c>
      <c r="M624" s="5" t="s">
        <v>1181</v>
      </c>
      <c r="N624" s="5" t="s">
        <v>972</v>
      </c>
      <c r="O624" s="147">
        <v>4</v>
      </c>
      <c r="P624" s="15">
        <v>4</v>
      </c>
      <c r="Q624" s="148">
        <f t="shared" si="20"/>
        <v>8</v>
      </c>
      <c r="R6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MABO DODO FULGENCE GRAND-ZATTRY MAIN DANS LA MAIN BLESSEOUA    YAO VINCENT  0777058079 32 M DOTE PLANTEUR</v>
      </c>
      <c r="Z624" s="53"/>
      <c r="AA624" s="2"/>
      <c r="AB624" s="48"/>
      <c r="AG624" s="154"/>
      <c r="AH624" s="18"/>
      <c r="AI624" s="23"/>
      <c r="AJ624" s="4"/>
      <c r="AK624" s="4"/>
      <c r="AL624" s="5"/>
      <c r="AM624" s="5"/>
      <c r="AN624" s="147"/>
      <c r="AO624" s="15"/>
      <c r="AP624" s="148"/>
    </row>
    <row r="625" spans="1:42" ht="16.5" x14ac:dyDescent="0.35">
      <c r="A625" s="53">
        <v>624</v>
      </c>
      <c r="B625" s="2" t="s">
        <v>1194</v>
      </c>
      <c r="C625" s="48" t="s">
        <v>663</v>
      </c>
      <c r="D625" t="s">
        <v>1211</v>
      </c>
      <c r="E625" t="s">
        <v>1184</v>
      </c>
      <c r="H625" s="154"/>
      <c r="I625" s="18" t="s">
        <v>1066</v>
      </c>
      <c r="J625" s="23" t="s">
        <v>1222</v>
      </c>
      <c r="K625" s="4">
        <v>39</v>
      </c>
      <c r="L625" s="4" t="s">
        <v>9</v>
      </c>
      <c r="M625" s="5" t="s">
        <v>1181</v>
      </c>
      <c r="N625" s="5" t="s">
        <v>972</v>
      </c>
      <c r="O625" s="147">
        <v>1</v>
      </c>
      <c r="P625" s="15">
        <v>4</v>
      </c>
      <c r="Q625" s="148">
        <f t="shared" si="20"/>
        <v>5</v>
      </c>
      <c r="R6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ZAKO LEON GRAND-ZATTRY MAIN DANS LA MAIN BLESSEOUA    YAO VINCENT  0778393409 39 M DOTE PLANTEUR</v>
      </c>
      <c r="Z625" s="53"/>
      <c r="AA625" s="2"/>
      <c r="AB625" s="48"/>
      <c r="AG625" s="154"/>
      <c r="AH625" s="18"/>
      <c r="AI625" s="23"/>
      <c r="AJ625" s="4"/>
      <c r="AK625" s="4"/>
      <c r="AL625" s="5"/>
      <c r="AM625" s="5"/>
      <c r="AN625" s="147"/>
      <c r="AO625" s="15"/>
      <c r="AP625" s="148"/>
    </row>
    <row r="626" spans="1:42" ht="16.5" x14ac:dyDescent="0.35">
      <c r="A626" s="53">
        <v>625</v>
      </c>
      <c r="B626" s="2" t="s">
        <v>1195</v>
      </c>
      <c r="C626" s="48" t="s">
        <v>663</v>
      </c>
      <c r="D626" t="s">
        <v>1211</v>
      </c>
      <c r="E626" t="s">
        <v>1184</v>
      </c>
      <c r="H626" s="154"/>
      <c r="I626" s="18" t="s">
        <v>1066</v>
      </c>
      <c r="J626" s="23" t="s">
        <v>1223</v>
      </c>
      <c r="K626" s="4">
        <v>32</v>
      </c>
      <c r="L626" s="4" t="s">
        <v>2</v>
      </c>
      <c r="M626" s="5" t="s">
        <v>1181</v>
      </c>
      <c r="N626" s="5" t="s">
        <v>1182</v>
      </c>
      <c r="O626" s="147">
        <v>4</v>
      </c>
      <c r="P626" s="15">
        <v>4</v>
      </c>
      <c r="Q626" s="148">
        <f t="shared" si="20"/>
        <v>8</v>
      </c>
      <c r="R6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KOKO ZADIHONON THERESE GRAND-ZATTRY MAIN DANS LA MAIN BLESSEOUA    YAO VINCENT  0789013316 32 F DOTE MENAGERE</v>
      </c>
      <c r="Z626" s="53"/>
      <c r="AA626" s="2"/>
      <c r="AB626" s="48"/>
      <c r="AG626" s="154"/>
      <c r="AH626" s="18"/>
      <c r="AI626" s="23"/>
      <c r="AJ626" s="4"/>
      <c r="AK626" s="4"/>
      <c r="AL626" s="5"/>
      <c r="AM626" s="5"/>
      <c r="AN626" s="147"/>
      <c r="AO626" s="15"/>
      <c r="AP626" s="148"/>
    </row>
    <row r="627" spans="1:42" ht="16.5" x14ac:dyDescent="0.35">
      <c r="A627" s="53">
        <v>626</v>
      </c>
      <c r="B627" s="2" t="s">
        <v>1196</v>
      </c>
      <c r="C627" s="48" t="s">
        <v>663</v>
      </c>
      <c r="D627" t="s">
        <v>1211</v>
      </c>
      <c r="E627" t="s">
        <v>1184</v>
      </c>
      <c r="H627" s="154"/>
      <c r="I627" s="18" t="s">
        <v>1066</v>
      </c>
      <c r="J627" s="23" t="s">
        <v>1224</v>
      </c>
      <c r="K627" s="4">
        <v>31</v>
      </c>
      <c r="L627" s="4" t="s">
        <v>2</v>
      </c>
      <c r="M627" s="5" t="s">
        <v>1181</v>
      </c>
      <c r="N627" s="5" t="s">
        <v>1182</v>
      </c>
      <c r="O627" s="147">
        <v>3</v>
      </c>
      <c r="P627" s="15">
        <v>0</v>
      </c>
      <c r="Q627" s="148">
        <f t="shared" si="20"/>
        <v>3</v>
      </c>
      <c r="R6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AHOU FRANCINE GRAND-ZATTRY MAIN DANS LA MAIN BLESSEOUA    YAO VINCENT  0797432577 31 F DOTE MENAGERE</v>
      </c>
      <c r="Z627" s="53"/>
      <c r="AA627" s="2"/>
      <c r="AB627" s="48"/>
      <c r="AG627" s="154"/>
      <c r="AH627" s="18"/>
      <c r="AI627" s="23"/>
      <c r="AJ627" s="4"/>
      <c r="AK627" s="4"/>
      <c r="AL627" s="5"/>
      <c r="AM627" s="5"/>
      <c r="AN627" s="147"/>
      <c r="AO627" s="15"/>
      <c r="AP627" s="148"/>
    </row>
    <row r="628" spans="1:42" ht="16.5" x14ac:dyDescent="0.35">
      <c r="A628" s="53">
        <v>627</v>
      </c>
      <c r="B628" s="2" t="s">
        <v>1197</v>
      </c>
      <c r="C628" s="48" t="s">
        <v>663</v>
      </c>
      <c r="D628" t="s">
        <v>1211</v>
      </c>
      <c r="E628" t="s">
        <v>1184</v>
      </c>
      <c r="H628" s="154"/>
      <c r="I628" s="18" t="s">
        <v>1066</v>
      </c>
      <c r="J628" s="23" t="s">
        <v>1225</v>
      </c>
      <c r="K628" s="4">
        <v>38</v>
      </c>
      <c r="L628" s="4" t="s">
        <v>2</v>
      </c>
      <c r="M628" s="5" t="s">
        <v>1181</v>
      </c>
      <c r="N628" s="5" t="s">
        <v>1182</v>
      </c>
      <c r="O628" s="147">
        <v>2</v>
      </c>
      <c r="P628" s="15">
        <v>5</v>
      </c>
      <c r="Q628" s="148">
        <f t="shared" si="20"/>
        <v>7</v>
      </c>
      <c r="R6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KOUDOUGNON FLORE GRAND-ZATTRY MAIN DANS LA MAIN BLESSEOUA    YAO VINCENT  0545862598 38 F DOTE MENAGERE</v>
      </c>
      <c r="Z628" s="53"/>
      <c r="AA628" s="2"/>
      <c r="AB628" s="48"/>
      <c r="AG628" s="154"/>
      <c r="AH628" s="18"/>
      <c r="AI628" s="23"/>
      <c r="AJ628" s="4"/>
      <c r="AK628" s="4"/>
      <c r="AL628" s="5"/>
      <c r="AM628" s="5"/>
      <c r="AN628" s="147"/>
      <c r="AO628" s="15"/>
      <c r="AP628" s="148"/>
    </row>
    <row r="629" spans="1:42" ht="16.5" x14ac:dyDescent="0.35">
      <c r="A629" s="53">
        <v>628</v>
      </c>
      <c r="B629" s="2" t="s">
        <v>1198</v>
      </c>
      <c r="C629" s="48" t="s">
        <v>663</v>
      </c>
      <c r="D629" t="s">
        <v>1211</v>
      </c>
      <c r="E629" t="s">
        <v>1184</v>
      </c>
      <c r="H629" s="154"/>
      <c r="I629" s="18" t="s">
        <v>1066</v>
      </c>
      <c r="J629" s="23" t="s">
        <v>1226</v>
      </c>
      <c r="K629" s="4">
        <v>36</v>
      </c>
      <c r="L629" s="4" t="s">
        <v>2</v>
      </c>
      <c r="M629" s="5" t="s">
        <v>1181</v>
      </c>
      <c r="N629" s="5" t="s">
        <v>1182</v>
      </c>
      <c r="O629" s="147">
        <v>0</v>
      </c>
      <c r="P629" s="15">
        <v>4</v>
      </c>
      <c r="Q629" s="148">
        <f t="shared" si="20"/>
        <v>4</v>
      </c>
      <c r="R6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GOGOUA MARIE GRAND-ZATTRY MAIN DANS LA MAIN BLESSEOUA    YAO VINCENT  0564143365 36 F DOTE MENAGERE</v>
      </c>
      <c r="Z629" s="53"/>
      <c r="AA629" s="2"/>
      <c r="AB629" s="48"/>
      <c r="AG629" s="154"/>
      <c r="AH629" s="18"/>
      <c r="AI629" s="23"/>
      <c r="AJ629" s="4"/>
      <c r="AK629" s="4"/>
      <c r="AL629" s="5"/>
      <c r="AM629" s="5"/>
      <c r="AN629" s="147"/>
      <c r="AO629" s="15"/>
      <c r="AP629" s="148"/>
    </row>
    <row r="630" spans="1:42" ht="16.5" x14ac:dyDescent="0.35">
      <c r="A630" s="53">
        <v>629</v>
      </c>
      <c r="B630" s="2" t="s">
        <v>1199</v>
      </c>
      <c r="C630" s="48" t="s">
        <v>663</v>
      </c>
      <c r="D630" t="s">
        <v>1211</v>
      </c>
      <c r="E630" t="s">
        <v>1184</v>
      </c>
      <c r="H630" s="154"/>
      <c r="I630" s="18" t="s">
        <v>1066</v>
      </c>
      <c r="J630" s="23"/>
      <c r="K630" s="4">
        <v>42</v>
      </c>
      <c r="L630" s="4" t="s">
        <v>2</v>
      </c>
      <c r="M630" s="5" t="s">
        <v>1181</v>
      </c>
      <c r="N630" s="5" t="s">
        <v>1182</v>
      </c>
      <c r="O630" s="147">
        <v>3</v>
      </c>
      <c r="P630" s="15">
        <v>4</v>
      </c>
      <c r="Q630" s="148">
        <f t="shared" si="20"/>
        <v>7</v>
      </c>
      <c r="R6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KIPRE GENEVIEVE GRAND-ZATTRY MAIN DANS LA MAIN BLESSEOUA    YAO VINCENT   42 F DOTE MENAGERE</v>
      </c>
      <c r="Z630" s="53"/>
      <c r="AA630" s="2"/>
      <c r="AB630" s="48"/>
      <c r="AG630" s="154"/>
      <c r="AH630" s="18"/>
      <c r="AI630" s="23"/>
      <c r="AJ630" s="4"/>
      <c r="AK630" s="4"/>
      <c r="AL630" s="5"/>
      <c r="AM630" s="5"/>
      <c r="AN630" s="147"/>
      <c r="AO630" s="15"/>
      <c r="AP630" s="148"/>
    </row>
    <row r="631" spans="1:42" ht="16.5" x14ac:dyDescent="0.35">
      <c r="A631" s="53">
        <v>630</v>
      </c>
      <c r="B631" s="2" t="s">
        <v>1200</v>
      </c>
      <c r="C631" s="48" t="s">
        <v>663</v>
      </c>
      <c r="D631" t="s">
        <v>1211</v>
      </c>
      <c r="E631" t="s">
        <v>1184</v>
      </c>
      <c r="H631" s="154"/>
      <c r="I631" s="18" t="s">
        <v>1066</v>
      </c>
      <c r="J631" s="23" t="s">
        <v>1227</v>
      </c>
      <c r="K631" s="4">
        <v>55</v>
      </c>
      <c r="L631" s="4" t="s">
        <v>2</v>
      </c>
      <c r="M631" s="5" t="s">
        <v>1181</v>
      </c>
      <c r="N631" s="5" t="s">
        <v>1182</v>
      </c>
      <c r="O631" s="147">
        <v>1</v>
      </c>
      <c r="P631" s="15">
        <v>5</v>
      </c>
      <c r="Q631" s="148">
        <f t="shared" si="20"/>
        <v>6</v>
      </c>
      <c r="R6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KIPRE GREWA ROSE GRAND-ZATTRY MAIN DANS LA MAIN BLESSEOUA    YAO VINCENT  0778024233 55 F DOTE MENAGERE</v>
      </c>
      <c r="Z631" s="53"/>
      <c r="AA631" s="2"/>
      <c r="AB631" s="48"/>
      <c r="AG631" s="154"/>
      <c r="AH631" s="18"/>
      <c r="AI631" s="23"/>
      <c r="AJ631" s="4"/>
      <c r="AK631" s="4"/>
      <c r="AL631" s="5"/>
      <c r="AM631" s="5"/>
      <c r="AN631" s="147"/>
      <c r="AO631" s="15"/>
      <c r="AP631" s="148"/>
    </row>
    <row r="632" spans="1:42" ht="16.5" x14ac:dyDescent="0.35">
      <c r="A632" s="53">
        <v>631</v>
      </c>
      <c r="B632" s="2" t="s">
        <v>1201</v>
      </c>
      <c r="C632" s="48" t="s">
        <v>663</v>
      </c>
      <c r="D632" t="s">
        <v>1211</v>
      </c>
      <c r="E632" t="s">
        <v>1184</v>
      </c>
      <c r="H632" s="154"/>
      <c r="I632" s="18" t="s">
        <v>1066</v>
      </c>
      <c r="J632" s="23" t="s">
        <v>1228</v>
      </c>
      <c r="K632" s="4">
        <v>45</v>
      </c>
      <c r="L632" s="4" t="s">
        <v>2</v>
      </c>
      <c r="M632" s="5" t="s">
        <v>1181</v>
      </c>
      <c r="N632" s="5" t="s">
        <v>1182</v>
      </c>
      <c r="O632" s="147">
        <v>3</v>
      </c>
      <c r="P632" s="15">
        <v>4</v>
      </c>
      <c r="Q632" s="148">
        <f t="shared" si="20"/>
        <v>7</v>
      </c>
      <c r="R6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DEGRI DOGROU GRAND-ZATTRY MAIN DANS LA MAIN BLESSEOUA    YAO VINCENT  0779442900 45 F DOTE MENAGERE</v>
      </c>
      <c r="Z632" s="53"/>
      <c r="AA632" s="2"/>
      <c r="AB632" s="48"/>
      <c r="AG632" s="154"/>
      <c r="AH632" s="18"/>
      <c r="AI632" s="23"/>
      <c r="AJ632" s="4"/>
      <c r="AK632" s="4"/>
      <c r="AL632" s="5"/>
      <c r="AM632" s="5"/>
      <c r="AN632" s="147"/>
      <c r="AO632" s="15"/>
      <c r="AP632" s="148"/>
    </row>
    <row r="633" spans="1:42" ht="16.5" x14ac:dyDescent="0.35">
      <c r="A633" s="53">
        <v>632</v>
      </c>
      <c r="B633" s="2" t="s">
        <v>1202</v>
      </c>
      <c r="C633" s="48" t="s">
        <v>663</v>
      </c>
      <c r="D633" t="s">
        <v>1211</v>
      </c>
      <c r="E633" t="s">
        <v>1184</v>
      </c>
      <c r="H633" s="154"/>
      <c r="I633" s="18" t="s">
        <v>1066</v>
      </c>
      <c r="J633" s="23" t="s">
        <v>1229</v>
      </c>
      <c r="K633" s="4">
        <v>53</v>
      </c>
      <c r="L633" s="4" t="s">
        <v>9</v>
      </c>
      <c r="M633" s="5" t="s">
        <v>1181</v>
      </c>
      <c r="N633" s="5" t="s">
        <v>972</v>
      </c>
      <c r="O633" s="147">
        <v>4</v>
      </c>
      <c r="P633" s="15">
        <v>5</v>
      </c>
      <c r="Q633" s="148">
        <f t="shared" si="20"/>
        <v>9</v>
      </c>
      <c r="R6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ZAKO JEAN  GRAND-ZATTRY MAIN DANS LA MAIN BLESSEOUA    YAO VINCENT  0574657233 53 M DOTE PLANTEUR</v>
      </c>
      <c r="Z633" s="53"/>
      <c r="AA633" s="2"/>
      <c r="AB633" s="48"/>
      <c r="AG633" s="154"/>
      <c r="AH633" s="18"/>
      <c r="AI633" s="23"/>
      <c r="AJ633" s="4"/>
      <c r="AK633" s="4"/>
      <c r="AL633" s="5"/>
      <c r="AM633" s="5"/>
      <c r="AN633" s="147"/>
      <c r="AO633" s="15"/>
      <c r="AP633" s="148"/>
    </row>
    <row r="634" spans="1:42" ht="16.5" x14ac:dyDescent="0.35">
      <c r="A634" s="53">
        <v>633</v>
      </c>
      <c r="B634" s="2" t="s">
        <v>1203</v>
      </c>
      <c r="C634" s="48" t="s">
        <v>663</v>
      </c>
      <c r="D634" t="s">
        <v>1211</v>
      </c>
      <c r="E634" t="s">
        <v>1184</v>
      </c>
      <c r="H634" s="154"/>
      <c r="I634" s="18" t="s">
        <v>1066</v>
      </c>
      <c r="J634" s="23" t="s">
        <v>1230</v>
      </c>
      <c r="K634" s="4">
        <v>37</v>
      </c>
      <c r="L634" s="4" t="s">
        <v>2</v>
      </c>
      <c r="M634" s="5" t="s">
        <v>1181</v>
      </c>
      <c r="N634" s="5" t="s">
        <v>1182</v>
      </c>
      <c r="O634" s="147">
        <v>1</v>
      </c>
      <c r="P634" s="15">
        <v>1</v>
      </c>
      <c r="Q634" s="148">
        <f t="shared" si="20"/>
        <v>2</v>
      </c>
      <c r="R6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ZOKOU LAHORE ISABELLE GRAND-ZATTRY MAIN DANS LA MAIN BLESSEOUA    YAO VINCENT  0555721437 37 F DOTE MENAGERE</v>
      </c>
      <c r="Z634" s="53"/>
      <c r="AA634" s="2"/>
      <c r="AB634" s="48"/>
      <c r="AG634" s="154"/>
      <c r="AH634" s="18"/>
      <c r="AI634" s="23"/>
      <c r="AJ634" s="4"/>
      <c r="AK634" s="4"/>
      <c r="AL634" s="5"/>
      <c r="AM634" s="5"/>
      <c r="AN634" s="147"/>
      <c r="AO634" s="15"/>
      <c r="AP634" s="148"/>
    </row>
    <row r="635" spans="1:42" ht="16.5" x14ac:dyDescent="0.35">
      <c r="A635" s="53">
        <v>634</v>
      </c>
      <c r="B635" s="2" t="s">
        <v>1204</v>
      </c>
      <c r="C635" s="48" t="s">
        <v>663</v>
      </c>
      <c r="D635" t="s">
        <v>1211</v>
      </c>
      <c r="E635" t="s">
        <v>1184</v>
      </c>
      <c r="H635" s="154"/>
      <c r="I635" s="18" t="s">
        <v>1066</v>
      </c>
      <c r="J635" s="23" t="s">
        <v>1231</v>
      </c>
      <c r="K635" s="4">
        <v>58</v>
      </c>
      <c r="L635" s="4" t="s">
        <v>2</v>
      </c>
      <c r="M635" s="5" t="s">
        <v>1181</v>
      </c>
      <c r="N635" s="5" t="s">
        <v>1182</v>
      </c>
      <c r="O635" s="147">
        <v>1</v>
      </c>
      <c r="P635" s="15">
        <v>2</v>
      </c>
      <c r="Q635" s="148">
        <f t="shared" si="20"/>
        <v>3</v>
      </c>
      <c r="R6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GUEHI CECILE GRAND-ZATTRY MAIN DANS LA MAIN BLESSEOUA    YAO VINCENT  0788772389 58 F DOTE MENAGERE</v>
      </c>
      <c r="Z635" s="53"/>
      <c r="AA635" s="2"/>
      <c r="AB635" s="48"/>
      <c r="AG635" s="154"/>
      <c r="AH635" s="18"/>
      <c r="AI635" s="23"/>
      <c r="AJ635" s="4"/>
      <c r="AK635" s="4"/>
      <c r="AL635" s="5"/>
      <c r="AM635" s="5"/>
      <c r="AN635" s="147"/>
      <c r="AO635" s="15"/>
      <c r="AP635" s="148"/>
    </row>
    <row r="636" spans="1:42" ht="16.5" x14ac:dyDescent="0.35">
      <c r="A636" s="53">
        <v>635</v>
      </c>
      <c r="B636" s="2" t="s">
        <v>1205</v>
      </c>
      <c r="C636" s="48" t="s">
        <v>663</v>
      </c>
      <c r="D636" t="s">
        <v>1211</v>
      </c>
      <c r="E636" t="s">
        <v>1184</v>
      </c>
      <c r="H636" s="154"/>
      <c r="I636" s="18" t="s">
        <v>1066</v>
      </c>
      <c r="J636" s="23" t="s">
        <v>1232</v>
      </c>
      <c r="K636" s="4">
        <v>56</v>
      </c>
      <c r="L636" s="4" t="s">
        <v>2</v>
      </c>
      <c r="M636" s="5" t="s">
        <v>1181</v>
      </c>
      <c r="N636" s="5" t="s">
        <v>1182</v>
      </c>
      <c r="O636" s="147">
        <v>5</v>
      </c>
      <c r="P636" s="15">
        <v>4</v>
      </c>
      <c r="Q636" s="148">
        <f t="shared" si="20"/>
        <v>9</v>
      </c>
      <c r="R6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BAHI GENEVIEVE GRAND-ZATTRY MAIN DANS LA MAIN BLESSEOUA    YAO VINCENT  0709015990 56 F DOTE MENAGERE</v>
      </c>
      <c r="Z636" s="53"/>
      <c r="AA636" s="2"/>
      <c r="AB636" s="48"/>
      <c r="AG636" s="154"/>
      <c r="AH636" s="18"/>
      <c r="AI636" s="23"/>
      <c r="AJ636" s="4"/>
      <c r="AK636" s="4"/>
      <c r="AL636" s="5"/>
      <c r="AM636" s="5"/>
      <c r="AN636" s="147"/>
      <c r="AO636" s="15"/>
      <c r="AP636" s="148"/>
    </row>
    <row r="637" spans="1:42" ht="16.5" x14ac:dyDescent="0.35">
      <c r="A637" s="53">
        <v>636</v>
      </c>
      <c r="B637" s="2" t="s">
        <v>1206</v>
      </c>
      <c r="C637" s="48" t="s">
        <v>663</v>
      </c>
      <c r="D637" t="s">
        <v>1211</v>
      </c>
      <c r="E637" t="s">
        <v>1184</v>
      </c>
      <c r="H637" s="154"/>
      <c r="I637" s="18" t="s">
        <v>1066</v>
      </c>
      <c r="J637" s="23" t="s">
        <v>1233</v>
      </c>
      <c r="K637" s="4">
        <v>19</v>
      </c>
      <c r="L637" s="4" t="s">
        <v>9</v>
      </c>
      <c r="M637" s="5" t="s">
        <v>969</v>
      </c>
      <c r="N637" s="5" t="s">
        <v>972</v>
      </c>
      <c r="O637" s="147">
        <v>0</v>
      </c>
      <c r="P637" s="15">
        <v>0</v>
      </c>
      <c r="Q637" s="148">
        <f t="shared" si="20"/>
        <v>0</v>
      </c>
      <c r="R6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ZAKO PREGNON ESSY CONSTY GRAND-ZATTRY MAIN DANS LA MAIN BLESSEOUA    YAO VINCENT  0141234250 19 M CELIBATAIRE PLANTEUR</v>
      </c>
      <c r="Z637" s="53"/>
      <c r="AA637" s="2"/>
      <c r="AB637" s="48"/>
      <c r="AG637" s="154"/>
      <c r="AH637" s="18"/>
      <c r="AI637" s="23"/>
      <c r="AJ637" s="4"/>
      <c r="AK637" s="4"/>
      <c r="AL637" s="5"/>
      <c r="AM637" s="5"/>
      <c r="AN637" s="147"/>
      <c r="AO637" s="15"/>
      <c r="AP637" s="148"/>
    </row>
    <row r="638" spans="1:42" ht="16.5" x14ac:dyDescent="0.35">
      <c r="A638" s="53">
        <v>637</v>
      </c>
      <c r="B638" s="2" t="s">
        <v>1207</v>
      </c>
      <c r="C638" s="48" t="s">
        <v>663</v>
      </c>
      <c r="D638" t="s">
        <v>1211</v>
      </c>
      <c r="E638" t="s">
        <v>1184</v>
      </c>
      <c r="H638" s="154"/>
      <c r="I638" s="18" t="s">
        <v>1066</v>
      </c>
      <c r="J638" s="23" t="s">
        <v>1234</v>
      </c>
      <c r="K638" s="4">
        <v>57</v>
      </c>
      <c r="L638" s="4" t="s">
        <v>2</v>
      </c>
      <c r="M638" s="5" t="s">
        <v>1181</v>
      </c>
      <c r="N638" s="5" t="s">
        <v>1182</v>
      </c>
      <c r="O638" s="147">
        <v>3</v>
      </c>
      <c r="P638" s="15">
        <v>2</v>
      </c>
      <c r="Q638" s="148">
        <f t="shared" si="20"/>
        <v>5</v>
      </c>
      <c r="R6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YAHA CATHERINE GRAND-ZATTRY MAIN DANS LA MAIN BLESSEOUA    YAO VINCENT  0748402984 57 F DOTE MENAGERE</v>
      </c>
      <c r="Z638" s="53"/>
      <c r="AA638" s="2"/>
      <c r="AB638" s="48"/>
      <c r="AG638" s="154"/>
      <c r="AH638" s="18"/>
      <c r="AI638" s="23"/>
      <c r="AJ638" s="4"/>
      <c r="AK638" s="4"/>
      <c r="AL638" s="5"/>
      <c r="AM638" s="5"/>
      <c r="AN638" s="147"/>
      <c r="AO638" s="15"/>
      <c r="AP638" s="148"/>
    </row>
    <row r="639" spans="1:42" ht="16.5" x14ac:dyDescent="0.35">
      <c r="A639" s="53">
        <v>638</v>
      </c>
      <c r="B639" s="2" t="s">
        <v>1208</v>
      </c>
      <c r="C639" s="48" t="s">
        <v>663</v>
      </c>
      <c r="D639" t="s">
        <v>1211</v>
      </c>
      <c r="E639" t="s">
        <v>1184</v>
      </c>
      <c r="H639" s="154"/>
      <c r="I639" s="18" t="s">
        <v>1066</v>
      </c>
      <c r="J639" s="23" t="s">
        <v>1235</v>
      </c>
      <c r="K639" s="4">
        <v>53</v>
      </c>
      <c r="L639" s="4" t="s">
        <v>9</v>
      </c>
      <c r="M639" s="5" t="s">
        <v>1181</v>
      </c>
      <c r="N639" s="5" t="s">
        <v>972</v>
      </c>
      <c r="O639" s="147">
        <v>1</v>
      </c>
      <c r="P639" s="15">
        <v>4</v>
      </c>
      <c r="Q639" s="148">
        <f t="shared" si="20"/>
        <v>5</v>
      </c>
      <c r="R6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ABEAHI DONWAHI JOACHIM GRAND-ZATTRY MAIN DANS LA MAIN BLESSEOUA    YAO VINCENT  0747348103 53 M DOTE PLANTEUR</v>
      </c>
      <c r="Z639" s="53"/>
      <c r="AA639" s="2"/>
      <c r="AB639" s="48"/>
      <c r="AG639" s="154"/>
      <c r="AH639" s="18"/>
      <c r="AI639" s="23"/>
      <c r="AJ639" s="4"/>
      <c r="AK639" s="4"/>
      <c r="AL639" s="5"/>
      <c r="AM639" s="5"/>
      <c r="AN639" s="147"/>
      <c r="AO639" s="15"/>
      <c r="AP639" s="148"/>
    </row>
    <row r="640" spans="1:42" ht="16.5" x14ac:dyDescent="0.35">
      <c r="A640" s="53">
        <v>639</v>
      </c>
      <c r="B640" s="2" t="s">
        <v>1209</v>
      </c>
      <c r="C640" s="48" t="s">
        <v>663</v>
      </c>
      <c r="D640" t="s">
        <v>1211</v>
      </c>
      <c r="E640" t="s">
        <v>1184</v>
      </c>
      <c r="H640" s="154"/>
      <c r="I640" s="18" t="s">
        <v>1066</v>
      </c>
      <c r="J640" s="23" t="s">
        <v>1236</v>
      </c>
      <c r="K640" s="4">
        <v>47</v>
      </c>
      <c r="L640" s="4" t="s">
        <v>9</v>
      </c>
      <c r="M640" s="5" t="s">
        <v>1181</v>
      </c>
      <c r="N640" s="5" t="s">
        <v>972</v>
      </c>
      <c r="O640" s="147">
        <v>4</v>
      </c>
      <c r="P640" s="15">
        <v>3</v>
      </c>
      <c r="Q640" s="148">
        <f t="shared" si="20"/>
        <v>7</v>
      </c>
      <c r="R6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MATCHARO GUEHI BARTHELEMI GRAND-ZATTRY MAIN DANS LA MAIN BLESSEOUA    YAO VINCENT  0575141721 47 M DOTE PLANTEUR</v>
      </c>
      <c r="Z640" s="53"/>
      <c r="AA640" s="2"/>
      <c r="AB640" s="48"/>
      <c r="AG640" s="154"/>
      <c r="AH640" s="18"/>
      <c r="AI640" s="23"/>
      <c r="AJ640" s="4"/>
      <c r="AK640" s="4"/>
      <c r="AL640" s="5"/>
      <c r="AM640" s="5"/>
      <c r="AN640" s="147"/>
      <c r="AO640" s="15"/>
      <c r="AP640" s="148"/>
    </row>
    <row r="641" spans="1:42" ht="16.5" x14ac:dyDescent="0.5">
      <c r="A641" s="53">
        <v>640</v>
      </c>
      <c r="B641" s="9" t="s">
        <v>1210</v>
      </c>
      <c r="C641" s="48" t="s">
        <v>663</v>
      </c>
      <c r="D641" t="s">
        <v>1211</v>
      </c>
      <c r="E641" t="s">
        <v>1184</v>
      </c>
      <c r="H641" s="154"/>
      <c r="I641" s="18" t="s">
        <v>1066</v>
      </c>
      <c r="J641" s="23" t="s">
        <v>1237</v>
      </c>
      <c r="K641" s="6">
        <v>39</v>
      </c>
      <c r="L641" s="4" t="s">
        <v>2</v>
      </c>
      <c r="M641" s="6" t="s">
        <v>1181</v>
      </c>
      <c r="N641" s="6" t="s">
        <v>1182</v>
      </c>
      <c r="O641" s="149">
        <v>3</v>
      </c>
      <c r="P641" s="149">
        <v>2</v>
      </c>
      <c r="Q641" s="148">
        <f t="shared" si="20"/>
        <v>5</v>
      </c>
      <c r="R6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GOGOUA GBAZOKOU ARMELLE GRAND-ZATTRY MAIN DANS LA MAIN BLESSEOUA    YAO VINCENT  0747326053 39 F DOTE MENAGERE</v>
      </c>
      <c r="Z641" s="53"/>
      <c r="AA641" s="9"/>
      <c r="AB641" s="48"/>
      <c r="AG641" s="154"/>
      <c r="AH641" s="18"/>
      <c r="AI641" s="23"/>
      <c r="AJ641" s="6"/>
      <c r="AK641" s="4"/>
      <c r="AL641" s="6"/>
      <c r="AM641" s="6"/>
      <c r="AN641" s="149"/>
      <c r="AO641" s="149"/>
      <c r="AP641" s="148"/>
    </row>
    <row r="642" spans="1:42" ht="16.5" x14ac:dyDescent="0.35">
      <c r="A642" s="53">
        <v>641</v>
      </c>
      <c r="B642" s="2" t="s">
        <v>1238</v>
      </c>
      <c r="C642" s="48" t="s">
        <v>663</v>
      </c>
      <c r="D642" t="s">
        <v>1257</v>
      </c>
      <c r="E642" t="s">
        <v>1184</v>
      </c>
      <c r="H642" s="10"/>
      <c r="I642" s="18" t="s">
        <v>1066</v>
      </c>
      <c r="J642" s="23" t="s">
        <v>1258</v>
      </c>
      <c r="K642" s="4">
        <v>55</v>
      </c>
      <c r="L642" s="4" t="s">
        <v>9</v>
      </c>
      <c r="M642" s="5" t="s">
        <v>1179</v>
      </c>
      <c r="N642" s="5" t="s">
        <v>972</v>
      </c>
      <c r="O642" s="147">
        <v>6</v>
      </c>
      <c r="P642" s="15">
        <v>4</v>
      </c>
      <c r="Q642" s="148">
        <f>(O642+P642)</f>
        <v>10</v>
      </c>
      <c r="R6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ROBERT GRAND-ZATTRY ZOMADRE BLESSEOUA    YAO VINCENT  0747005040 55 M UNION LIBRE PLANTEUR</v>
      </c>
      <c r="Z642" s="53"/>
      <c r="AA642" s="2"/>
      <c r="AB642" s="48"/>
      <c r="AG642" s="10"/>
      <c r="AH642" s="18"/>
      <c r="AI642" s="23"/>
      <c r="AJ642" s="4"/>
      <c r="AK642" s="4"/>
      <c r="AL642" s="5"/>
      <c r="AM642" s="5"/>
      <c r="AN642" s="147"/>
      <c r="AO642" s="15"/>
      <c r="AP642" s="148"/>
    </row>
    <row r="643" spans="1:42" ht="16.5" x14ac:dyDescent="0.35">
      <c r="A643" s="53">
        <v>642</v>
      </c>
      <c r="B643" s="2" t="s">
        <v>1239</v>
      </c>
      <c r="C643" s="48" t="s">
        <v>663</v>
      </c>
      <c r="D643" t="s">
        <v>1257</v>
      </c>
      <c r="E643" t="s">
        <v>1184</v>
      </c>
      <c r="H643" s="154"/>
      <c r="I643" s="18" t="s">
        <v>1066</v>
      </c>
      <c r="J643" s="23" t="s">
        <v>1259</v>
      </c>
      <c r="K643" s="4">
        <v>34</v>
      </c>
      <c r="L643" s="4" t="s">
        <v>9</v>
      </c>
      <c r="M643" s="5" t="s">
        <v>1179</v>
      </c>
      <c r="N643" s="5" t="s">
        <v>972</v>
      </c>
      <c r="O643" s="147">
        <v>3</v>
      </c>
      <c r="P643" s="15">
        <v>2</v>
      </c>
      <c r="Q643" s="148">
        <f t="shared" ref="Q643:Q660" si="21">(O643+P643)</f>
        <v>5</v>
      </c>
      <c r="R6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DEH GNEBELO CARLOS GRAND-ZATTRY ZOMADRE BLESSEOUA    YAO VINCENT  0747713372 34 M UNION LIBRE PLANTEUR</v>
      </c>
      <c r="Z643" s="53"/>
      <c r="AA643" s="2"/>
      <c r="AB643" s="48"/>
      <c r="AG643" s="154"/>
      <c r="AH643" s="18"/>
      <c r="AI643" s="23"/>
      <c r="AJ643" s="4"/>
      <c r="AK643" s="4"/>
      <c r="AL643" s="5"/>
      <c r="AM643" s="5"/>
      <c r="AN643" s="147"/>
      <c r="AO643" s="15"/>
      <c r="AP643" s="148"/>
    </row>
    <row r="644" spans="1:42" ht="16.5" x14ac:dyDescent="0.35">
      <c r="A644" s="53">
        <v>643</v>
      </c>
      <c r="B644" s="2" t="s">
        <v>1240</v>
      </c>
      <c r="C644" s="48" t="s">
        <v>663</v>
      </c>
      <c r="D644" t="s">
        <v>1257</v>
      </c>
      <c r="E644" t="s">
        <v>1184</v>
      </c>
      <c r="H644" s="154"/>
      <c r="I644" s="18" t="s">
        <v>1066</v>
      </c>
      <c r="J644" s="23" t="s">
        <v>1260</v>
      </c>
      <c r="K644" s="4">
        <v>44</v>
      </c>
      <c r="L644" s="4" t="s">
        <v>2</v>
      </c>
      <c r="M644" s="5" t="s">
        <v>1179</v>
      </c>
      <c r="N644" s="5" t="s">
        <v>1182</v>
      </c>
      <c r="O644" s="147">
        <v>3</v>
      </c>
      <c r="P644" s="15">
        <v>1</v>
      </c>
      <c r="Q644" s="148">
        <f t="shared" si="21"/>
        <v>4</v>
      </c>
      <c r="R6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OSSOUA ORTHENSE GRAND-ZATTRY ZOMADRE BLESSEOUA    YAO VINCENT  0788136542 44 F UNION LIBRE MENAGERE</v>
      </c>
      <c r="Z644" s="53"/>
      <c r="AA644" s="2"/>
      <c r="AB644" s="48"/>
      <c r="AG644" s="154"/>
      <c r="AH644" s="18"/>
      <c r="AI644" s="23"/>
      <c r="AJ644" s="4"/>
      <c r="AK644" s="4"/>
      <c r="AL644" s="5"/>
      <c r="AM644" s="5"/>
      <c r="AN644" s="147"/>
      <c r="AO644" s="15"/>
      <c r="AP644" s="148"/>
    </row>
    <row r="645" spans="1:42" ht="16.5" x14ac:dyDescent="0.35">
      <c r="A645" s="53">
        <v>644</v>
      </c>
      <c r="B645" s="2" t="s">
        <v>1241</v>
      </c>
      <c r="C645" s="48" t="s">
        <v>663</v>
      </c>
      <c r="D645" t="s">
        <v>1257</v>
      </c>
      <c r="E645" t="s">
        <v>1184</v>
      </c>
      <c r="H645" s="154"/>
      <c r="I645" s="18" t="s">
        <v>1066</v>
      </c>
      <c r="J645" s="23" t="s">
        <v>1261</v>
      </c>
      <c r="K645" s="4">
        <v>51</v>
      </c>
      <c r="L645" s="4" t="s">
        <v>9</v>
      </c>
      <c r="M645" s="5" t="s">
        <v>1179</v>
      </c>
      <c r="N645" s="5" t="s">
        <v>972</v>
      </c>
      <c r="O645" s="147">
        <v>6</v>
      </c>
      <c r="P645" s="15">
        <v>4</v>
      </c>
      <c r="Q645" s="148">
        <f t="shared" si="21"/>
        <v>10</v>
      </c>
      <c r="R6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LIDA GABRIERT GRAND-ZATTRY ZOMADRE BLESSEOUA    YAO VINCENT  0747477264 51 M UNION LIBRE PLANTEUR</v>
      </c>
      <c r="Z645" s="53"/>
      <c r="AA645" s="2"/>
      <c r="AB645" s="48"/>
      <c r="AG645" s="154"/>
      <c r="AH645" s="18"/>
      <c r="AI645" s="23"/>
      <c r="AJ645" s="4"/>
      <c r="AK645" s="4"/>
      <c r="AL645" s="5"/>
      <c r="AM645" s="5"/>
      <c r="AN645" s="147"/>
      <c r="AO645" s="15"/>
      <c r="AP645" s="148"/>
    </row>
    <row r="646" spans="1:42" ht="16.5" x14ac:dyDescent="0.35">
      <c r="A646" s="53">
        <v>645</v>
      </c>
      <c r="B646" s="2" t="s">
        <v>1242</v>
      </c>
      <c r="C646" s="48" t="s">
        <v>663</v>
      </c>
      <c r="D646" t="s">
        <v>1257</v>
      </c>
      <c r="E646" t="s">
        <v>1184</v>
      </c>
      <c r="H646" s="154"/>
      <c r="I646" s="18" t="s">
        <v>1066</v>
      </c>
      <c r="J646" s="23" t="s">
        <v>1262</v>
      </c>
      <c r="K646" s="4">
        <v>48</v>
      </c>
      <c r="L646" s="4" t="s">
        <v>9</v>
      </c>
      <c r="M646" s="3" t="s">
        <v>1179</v>
      </c>
      <c r="N646" s="5" t="s">
        <v>972</v>
      </c>
      <c r="O646" s="147">
        <v>4</v>
      </c>
      <c r="P646" s="15">
        <v>5</v>
      </c>
      <c r="Q646" s="148">
        <f t="shared" si="21"/>
        <v>9</v>
      </c>
      <c r="R6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DOUDOU KORE VINCENT GRAND-ZATTRY ZOMADRE BLESSEOUA    YAO VINCENT  0555676399 48 M UNION LIBRE PLANTEUR</v>
      </c>
      <c r="Z646" s="53"/>
      <c r="AA646" s="2"/>
      <c r="AB646" s="48"/>
      <c r="AG646" s="154"/>
      <c r="AH646" s="18"/>
      <c r="AI646" s="23"/>
      <c r="AJ646" s="4"/>
      <c r="AK646" s="4"/>
      <c r="AL646" s="3"/>
      <c r="AM646" s="5"/>
      <c r="AN646" s="147"/>
      <c r="AO646" s="15"/>
      <c r="AP646" s="148"/>
    </row>
    <row r="647" spans="1:42" ht="16.5" x14ac:dyDescent="0.35">
      <c r="A647" s="53">
        <v>646</v>
      </c>
      <c r="B647" s="2" t="s">
        <v>1243</v>
      </c>
      <c r="C647" s="48" t="s">
        <v>663</v>
      </c>
      <c r="D647" t="s">
        <v>1257</v>
      </c>
      <c r="E647" t="s">
        <v>1184</v>
      </c>
      <c r="H647" s="154"/>
      <c r="I647" s="18" t="s">
        <v>1066</v>
      </c>
      <c r="J647" s="23" t="s">
        <v>1263</v>
      </c>
      <c r="K647" s="4">
        <v>40</v>
      </c>
      <c r="L647" s="4" t="s">
        <v>2</v>
      </c>
      <c r="M647" s="5" t="s">
        <v>1179</v>
      </c>
      <c r="N647" s="5" t="s">
        <v>1182</v>
      </c>
      <c r="O647" s="147">
        <v>4</v>
      </c>
      <c r="P647" s="15">
        <v>0</v>
      </c>
      <c r="Q647" s="148">
        <f t="shared" si="21"/>
        <v>4</v>
      </c>
      <c r="R6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DODO WAZI MICHAELLE GRAND-ZATTRY ZOMADRE BLESSEOUA    YAO VINCENT  0747375130 40 F UNION LIBRE MENAGERE</v>
      </c>
      <c r="Z647" s="53"/>
      <c r="AA647" s="2"/>
      <c r="AB647" s="48"/>
      <c r="AG647" s="154"/>
      <c r="AH647" s="18"/>
      <c r="AI647" s="23"/>
      <c r="AJ647" s="4"/>
      <c r="AK647" s="4"/>
      <c r="AL647" s="5"/>
      <c r="AM647" s="5"/>
      <c r="AN647" s="147"/>
      <c r="AO647" s="15"/>
      <c r="AP647" s="148"/>
    </row>
    <row r="648" spans="1:42" ht="16.5" x14ac:dyDescent="0.35">
      <c r="A648" s="53">
        <v>647</v>
      </c>
      <c r="B648" s="2" t="s">
        <v>1244</v>
      </c>
      <c r="C648" s="48" t="s">
        <v>663</v>
      </c>
      <c r="D648" t="s">
        <v>1257</v>
      </c>
      <c r="E648" t="s">
        <v>1184</v>
      </c>
      <c r="H648" s="154"/>
      <c r="I648" s="18" t="s">
        <v>1066</v>
      </c>
      <c r="J648" s="23" t="s">
        <v>1264</v>
      </c>
      <c r="K648" s="4">
        <v>33</v>
      </c>
      <c r="L648" s="4" t="s">
        <v>2</v>
      </c>
      <c r="M648" s="5" t="s">
        <v>1179</v>
      </c>
      <c r="N648" s="5" t="s">
        <v>1182</v>
      </c>
      <c r="O648" s="147">
        <v>3</v>
      </c>
      <c r="P648" s="15">
        <v>2</v>
      </c>
      <c r="Q648" s="148">
        <f t="shared" si="21"/>
        <v>5</v>
      </c>
      <c r="R6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DESSOU DANIELLE GRAND-ZATTRY ZOMADRE BLESSEOUA    YAO VINCENT  0555992356 33 F UNION LIBRE MENAGERE</v>
      </c>
      <c r="Z648" s="53"/>
      <c r="AA648" s="2"/>
      <c r="AB648" s="48"/>
      <c r="AG648" s="154"/>
      <c r="AH648" s="18"/>
      <c r="AI648" s="23"/>
      <c r="AJ648" s="4"/>
      <c r="AK648" s="4"/>
      <c r="AL648" s="5"/>
      <c r="AM648" s="5"/>
      <c r="AN648" s="147"/>
      <c r="AO648" s="15"/>
      <c r="AP648" s="148"/>
    </row>
    <row r="649" spans="1:42" ht="16.5" x14ac:dyDescent="0.35">
      <c r="A649" s="53">
        <v>648</v>
      </c>
      <c r="B649" s="2" t="s">
        <v>1245</v>
      </c>
      <c r="C649" s="48" t="s">
        <v>663</v>
      </c>
      <c r="D649" t="s">
        <v>1257</v>
      </c>
      <c r="E649" t="s">
        <v>1184</v>
      </c>
      <c r="H649" s="154"/>
      <c r="I649" s="18" t="s">
        <v>1066</v>
      </c>
      <c r="J649" s="23" t="s">
        <v>1265</v>
      </c>
      <c r="K649" s="4">
        <v>45</v>
      </c>
      <c r="L649" s="4" t="s">
        <v>2</v>
      </c>
      <c r="M649" s="5" t="s">
        <v>1179</v>
      </c>
      <c r="N649" s="5" t="s">
        <v>1182</v>
      </c>
      <c r="O649" s="147">
        <v>6</v>
      </c>
      <c r="P649" s="15">
        <v>2</v>
      </c>
      <c r="Q649" s="148">
        <f t="shared" si="21"/>
        <v>8</v>
      </c>
      <c r="R6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KORE BOUDOU CLARICE GRAND-ZATTRY ZOMADRE BLESSEOUA    YAO VINCENT  0787920738 45 F UNION LIBRE MENAGERE</v>
      </c>
      <c r="Z649" s="53"/>
      <c r="AA649" s="2"/>
      <c r="AB649" s="48"/>
      <c r="AG649" s="154"/>
      <c r="AH649" s="18"/>
      <c r="AI649" s="23"/>
      <c r="AJ649" s="4"/>
      <c r="AK649" s="4"/>
      <c r="AL649" s="5"/>
      <c r="AM649" s="5"/>
      <c r="AN649" s="147"/>
      <c r="AO649" s="15"/>
      <c r="AP649" s="148"/>
    </row>
    <row r="650" spans="1:42" ht="16.5" x14ac:dyDescent="0.35">
      <c r="A650" s="53">
        <v>649</v>
      </c>
      <c r="B650" s="2" t="s">
        <v>1246</v>
      </c>
      <c r="C650" s="48" t="s">
        <v>663</v>
      </c>
      <c r="D650" t="s">
        <v>1257</v>
      </c>
      <c r="E650" t="s">
        <v>1184</v>
      </c>
      <c r="H650" s="154"/>
      <c r="I650" s="18" t="s">
        <v>1066</v>
      </c>
      <c r="J650" s="23" t="s">
        <v>1266</v>
      </c>
      <c r="K650" s="4">
        <v>76</v>
      </c>
      <c r="L650" s="4" t="s">
        <v>9</v>
      </c>
      <c r="M650" s="5" t="s">
        <v>1179</v>
      </c>
      <c r="N650" s="5" t="s">
        <v>972</v>
      </c>
      <c r="O650" s="147">
        <v>0</v>
      </c>
      <c r="P650" s="15">
        <v>2</v>
      </c>
      <c r="Q650" s="148">
        <f t="shared" si="21"/>
        <v>2</v>
      </c>
      <c r="R6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DOUDOU YOKORE ANATHOLE GRAND-ZATTRY ZOMADRE BLESSEOUA    YAO VINCENT  0748851139 76 M UNION LIBRE PLANTEUR</v>
      </c>
      <c r="Z650" s="53"/>
      <c r="AA650" s="2"/>
      <c r="AB650" s="48"/>
      <c r="AG650" s="154"/>
      <c r="AH650" s="18"/>
      <c r="AI650" s="23"/>
      <c r="AJ650" s="4"/>
      <c r="AK650" s="4"/>
      <c r="AL650" s="5"/>
      <c r="AM650" s="5"/>
      <c r="AN650" s="147"/>
      <c r="AO650" s="15"/>
      <c r="AP650" s="148"/>
    </row>
    <row r="651" spans="1:42" ht="16.5" x14ac:dyDescent="0.35">
      <c r="A651" s="53">
        <v>650</v>
      </c>
      <c r="B651" s="2" t="s">
        <v>1247</v>
      </c>
      <c r="C651" s="48" t="s">
        <v>663</v>
      </c>
      <c r="D651" t="s">
        <v>1257</v>
      </c>
      <c r="E651" t="s">
        <v>1184</v>
      </c>
      <c r="H651" s="154"/>
      <c r="I651" s="18" t="s">
        <v>1066</v>
      </c>
      <c r="J651" s="23" t="s">
        <v>1267</v>
      </c>
      <c r="K651" s="4">
        <v>65</v>
      </c>
      <c r="L651" s="4" t="s">
        <v>9</v>
      </c>
      <c r="M651" s="5" t="s">
        <v>1181</v>
      </c>
      <c r="N651" s="5" t="s">
        <v>972</v>
      </c>
      <c r="O651" s="147">
        <v>0</v>
      </c>
      <c r="P651" s="15">
        <v>2</v>
      </c>
      <c r="Q651" s="148">
        <f t="shared" si="21"/>
        <v>2</v>
      </c>
      <c r="R6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PLEGNON KORE GILLE GRAND-ZATTRY ZOMADRE BLESSEOUA    YAO VINCENT  0574240751 65 M DOTE PLANTEUR</v>
      </c>
      <c r="Z651" s="53"/>
      <c r="AA651" s="2"/>
      <c r="AB651" s="48"/>
      <c r="AG651" s="154"/>
      <c r="AH651" s="18"/>
      <c r="AI651" s="23"/>
      <c r="AJ651" s="4"/>
      <c r="AK651" s="4"/>
      <c r="AL651" s="5"/>
      <c r="AM651" s="5"/>
      <c r="AN651" s="147"/>
      <c r="AO651" s="15"/>
      <c r="AP651" s="148"/>
    </row>
    <row r="652" spans="1:42" ht="16.5" x14ac:dyDescent="0.35">
      <c r="A652" s="53">
        <v>651</v>
      </c>
      <c r="B652" s="2" t="s">
        <v>1248</v>
      </c>
      <c r="C652" s="48" t="s">
        <v>663</v>
      </c>
      <c r="D652" t="s">
        <v>1257</v>
      </c>
      <c r="E652" t="s">
        <v>1184</v>
      </c>
      <c r="H652" s="154"/>
      <c r="I652" s="18" t="s">
        <v>1066</v>
      </c>
      <c r="J652" s="23" t="s">
        <v>1268</v>
      </c>
      <c r="K652" s="4">
        <v>30</v>
      </c>
      <c r="L652" s="4" t="s">
        <v>2</v>
      </c>
      <c r="M652" s="5" t="s">
        <v>1179</v>
      </c>
      <c r="N652" s="5" t="s">
        <v>1182</v>
      </c>
      <c r="O652" s="147">
        <v>3</v>
      </c>
      <c r="P652" s="15">
        <v>1</v>
      </c>
      <c r="Q652" s="148">
        <f t="shared" si="21"/>
        <v>4</v>
      </c>
      <c r="R6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ZOUZOU DEBORA GRAND-ZATTRY ZOMADRE BLESSEOUA    YAO VINCENT  0798989386 30 F UNION LIBRE MENAGERE</v>
      </c>
      <c r="Z652" s="53"/>
      <c r="AA652" s="2"/>
      <c r="AB652" s="48"/>
      <c r="AG652" s="154"/>
      <c r="AH652" s="18"/>
      <c r="AI652" s="23"/>
      <c r="AJ652" s="4"/>
      <c r="AK652" s="4"/>
      <c r="AL652" s="5"/>
      <c r="AM652" s="5"/>
      <c r="AN652" s="147"/>
      <c r="AO652" s="15"/>
      <c r="AP652" s="148"/>
    </row>
    <row r="653" spans="1:42" ht="16.5" x14ac:dyDescent="0.35">
      <c r="A653" s="53">
        <v>652</v>
      </c>
      <c r="B653" s="2" t="s">
        <v>1249</v>
      </c>
      <c r="C653" s="48" t="s">
        <v>663</v>
      </c>
      <c r="D653" t="s">
        <v>1257</v>
      </c>
      <c r="E653" t="s">
        <v>1184</v>
      </c>
      <c r="H653" s="154"/>
      <c r="I653" s="18" t="s">
        <v>1066</v>
      </c>
      <c r="J653" s="23" t="s">
        <v>1269</v>
      </c>
      <c r="K653" s="4">
        <v>37</v>
      </c>
      <c r="L653" s="4" t="s">
        <v>2</v>
      </c>
      <c r="M653" s="5" t="s">
        <v>1179</v>
      </c>
      <c r="N653" s="5" t="s">
        <v>1182</v>
      </c>
      <c r="O653" s="147">
        <v>6</v>
      </c>
      <c r="P653" s="15">
        <v>1</v>
      </c>
      <c r="Q653" s="148">
        <f t="shared" si="21"/>
        <v>7</v>
      </c>
      <c r="R6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NROMA VIVIANE GRAND-ZATTRY ZOMADRE BLESSEOUA    YAO VINCENT  0769358868 37 F UNION LIBRE MENAGERE</v>
      </c>
      <c r="Z653" s="53"/>
      <c r="AA653" s="2"/>
      <c r="AB653" s="48"/>
      <c r="AG653" s="154"/>
      <c r="AH653" s="18"/>
      <c r="AI653" s="23"/>
      <c r="AJ653" s="4"/>
      <c r="AK653" s="4"/>
      <c r="AL653" s="5"/>
      <c r="AM653" s="5"/>
      <c r="AN653" s="147"/>
      <c r="AO653" s="15"/>
      <c r="AP653" s="148"/>
    </row>
    <row r="654" spans="1:42" ht="16.5" x14ac:dyDescent="0.35">
      <c r="A654" s="53">
        <v>653</v>
      </c>
      <c r="B654" s="2" t="s">
        <v>1250</v>
      </c>
      <c r="C654" s="48" t="s">
        <v>663</v>
      </c>
      <c r="D654" t="s">
        <v>1257</v>
      </c>
      <c r="E654" t="s">
        <v>1184</v>
      </c>
      <c r="H654" s="154"/>
      <c r="I654" s="18" t="s">
        <v>1066</v>
      </c>
      <c r="J654" s="23" t="s">
        <v>1270</v>
      </c>
      <c r="K654" s="4">
        <v>32</v>
      </c>
      <c r="L654" s="4" t="s">
        <v>2</v>
      </c>
      <c r="M654" s="5" t="s">
        <v>1179</v>
      </c>
      <c r="N654" s="5" t="s">
        <v>1182</v>
      </c>
      <c r="O654" s="147">
        <v>2</v>
      </c>
      <c r="P654" s="15">
        <v>2</v>
      </c>
      <c r="Q654" s="148">
        <f t="shared" si="21"/>
        <v>4</v>
      </c>
      <c r="R6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TAPE ROKICE GRAND-ZATTRY ZOMADRE BLESSEOUA    YAO VINCENT  0545011190 32 F UNION LIBRE MENAGERE</v>
      </c>
      <c r="Z654" s="53"/>
      <c r="AA654" s="2"/>
      <c r="AB654" s="48"/>
      <c r="AG654" s="154"/>
      <c r="AH654" s="18"/>
      <c r="AI654" s="23"/>
      <c r="AJ654" s="4"/>
      <c r="AK654" s="4"/>
      <c r="AL654" s="5"/>
      <c r="AM654" s="5"/>
      <c r="AN654" s="147"/>
      <c r="AO654" s="15"/>
      <c r="AP654" s="148"/>
    </row>
    <row r="655" spans="1:42" ht="16.5" x14ac:dyDescent="0.35">
      <c r="A655" s="53">
        <v>654</v>
      </c>
      <c r="B655" s="2" t="s">
        <v>1251</v>
      </c>
      <c r="C655" s="48" t="s">
        <v>663</v>
      </c>
      <c r="D655" t="s">
        <v>1257</v>
      </c>
      <c r="E655" t="s">
        <v>1184</v>
      </c>
      <c r="H655" s="154"/>
      <c r="I655" s="18" t="s">
        <v>1066</v>
      </c>
      <c r="J655" s="23" t="s">
        <v>1271</v>
      </c>
      <c r="K655" s="4"/>
      <c r="L655" s="4" t="s">
        <v>2</v>
      </c>
      <c r="M655" s="5" t="s">
        <v>1181</v>
      </c>
      <c r="N655" s="5" t="s">
        <v>923</v>
      </c>
      <c r="O655" s="147">
        <v>1</v>
      </c>
      <c r="P655" s="15">
        <v>2</v>
      </c>
      <c r="Q655" s="148">
        <f t="shared" si="21"/>
        <v>3</v>
      </c>
      <c r="R6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KORE ANGE MARIE GRAND-ZATTRY ZOMADRE BLESSEOUA    YAO VINCENT  0555911821  F DOTE COMMERCANTE</v>
      </c>
      <c r="Z655" s="53"/>
      <c r="AA655" s="2"/>
      <c r="AB655" s="48"/>
      <c r="AG655" s="154"/>
      <c r="AH655" s="18"/>
      <c r="AI655" s="23"/>
      <c r="AJ655" s="4"/>
      <c r="AK655" s="4"/>
      <c r="AL655" s="5"/>
      <c r="AM655" s="5"/>
      <c r="AN655" s="147"/>
      <c r="AO655" s="15"/>
      <c r="AP655" s="148"/>
    </row>
    <row r="656" spans="1:42" ht="16.5" x14ac:dyDescent="0.35">
      <c r="A656" s="53">
        <v>655</v>
      </c>
      <c r="B656" s="2" t="s">
        <v>1252</v>
      </c>
      <c r="C656" s="48" t="s">
        <v>663</v>
      </c>
      <c r="D656" t="s">
        <v>1257</v>
      </c>
      <c r="E656" t="s">
        <v>1184</v>
      </c>
      <c r="H656" s="154"/>
      <c r="I656" s="18" t="s">
        <v>1066</v>
      </c>
      <c r="J656" s="23" t="s">
        <v>1272</v>
      </c>
      <c r="K656" s="4">
        <v>53</v>
      </c>
      <c r="L656" s="4" t="s">
        <v>9</v>
      </c>
      <c r="M656" s="5" t="s">
        <v>1179</v>
      </c>
      <c r="N656" s="5" t="s">
        <v>972</v>
      </c>
      <c r="O656" s="147">
        <v>4</v>
      </c>
      <c r="P656" s="15">
        <v>1</v>
      </c>
      <c r="Q656" s="148">
        <f t="shared" si="21"/>
        <v>5</v>
      </c>
      <c r="R6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SERY GNACO ANDERSON GRAND-ZATTRY ZOMADRE BLESSEOUA    YAO VINCENT  0779336786 53 M UNION LIBRE PLANTEUR</v>
      </c>
      <c r="Z656" s="53"/>
      <c r="AA656" s="2"/>
      <c r="AB656" s="48"/>
      <c r="AG656" s="154"/>
      <c r="AH656" s="18"/>
      <c r="AI656" s="23"/>
      <c r="AJ656" s="4"/>
      <c r="AK656" s="4"/>
      <c r="AL656" s="5"/>
      <c r="AM656" s="5"/>
      <c r="AN656" s="147"/>
      <c r="AO656" s="15"/>
      <c r="AP656" s="148"/>
    </row>
    <row r="657" spans="1:42" ht="16.5" x14ac:dyDescent="0.35">
      <c r="A657" s="53">
        <v>656</v>
      </c>
      <c r="B657" s="2" t="s">
        <v>1253</v>
      </c>
      <c r="C657" s="48" t="s">
        <v>663</v>
      </c>
      <c r="D657" t="s">
        <v>1257</v>
      </c>
      <c r="E657" t="s">
        <v>1184</v>
      </c>
      <c r="H657" s="154"/>
      <c r="I657" s="18" t="s">
        <v>1066</v>
      </c>
      <c r="J657" s="23" t="s">
        <v>1273</v>
      </c>
      <c r="K657" s="4">
        <v>59</v>
      </c>
      <c r="L657" s="4" t="s">
        <v>2</v>
      </c>
      <c r="M657" s="5" t="s">
        <v>1179</v>
      </c>
      <c r="N657" s="5" t="s">
        <v>1182</v>
      </c>
      <c r="O657" s="147">
        <v>4</v>
      </c>
      <c r="P657" s="15">
        <v>0</v>
      </c>
      <c r="Q657" s="148">
        <f t="shared" si="21"/>
        <v>4</v>
      </c>
      <c r="R6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SOCO APPOLINE GRAND-ZATTRY ZOMADRE BLESSEOUA    YAO VINCENT  0575209921 59 F UNION LIBRE MENAGERE</v>
      </c>
      <c r="Z657" s="53"/>
      <c r="AA657" s="2"/>
      <c r="AB657" s="48"/>
      <c r="AG657" s="154"/>
      <c r="AH657" s="18"/>
      <c r="AI657" s="23"/>
      <c r="AJ657" s="4"/>
      <c r="AK657" s="4"/>
      <c r="AL657" s="5"/>
      <c r="AM657" s="5"/>
      <c r="AN657" s="147"/>
      <c r="AO657" s="15"/>
      <c r="AP657" s="148"/>
    </row>
    <row r="658" spans="1:42" ht="16.5" x14ac:dyDescent="0.35">
      <c r="A658" s="53">
        <v>657</v>
      </c>
      <c r="B658" s="2" t="s">
        <v>1254</v>
      </c>
      <c r="C658" s="48" t="s">
        <v>663</v>
      </c>
      <c r="D658" t="s">
        <v>1257</v>
      </c>
      <c r="E658" t="s">
        <v>1184</v>
      </c>
      <c r="H658" s="154"/>
      <c r="I658" s="18" t="s">
        <v>1066</v>
      </c>
      <c r="J658" s="23" t="s">
        <v>1274</v>
      </c>
      <c r="K658" s="4">
        <v>29</v>
      </c>
      <c r="L658" s="4" t="s">
        <v>2</v>
      </c>
      <c r="M658" s="5" t="s">
        <v>1179</v>
      </c>
      <c r="N658" s="5" t="s">
        <v>1182</v>
      </c>
      <c r="O658" s="147">
        <v>2</v>
      </c>
      <c r="P658" s="15">
        <v>2</v>
      </c>
      <c r="Q658" s="148">
        <f t="shared" si="21"/>
        <v>4</v>
      </c>
      <c r="R6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BAHI NOURA GRAND-ZATTRY ZOMADRE BLESSEOUA    YAO VINCENT  0556445382 29 F UNION LIBRE MENAGERE</v>
      </c>
      <c r="Z658" s="53"/>
      <c r="AA658" s="2"/>
      <c r="AB658" s="48"/>
      <c r="AG658" s="154"/>
      <c r="AH658" s="18"/>
      <c r="AI658" s="23"/>
      <c r="AJ658" s="4"/>
      <c r="AK658" s="4"/>
      <c r="AL658" s="5"/>
      <c r="AM658" s="5"/>
      <c r="AN658" s="147"/>
      <c r="AO658" s="15"/>
      <c r="AP658" s="148"/>
    </row>
    <row r="659" spans="1:42" ht="16.5" x14ac:dyDescent="0.35">
      <c r="A659" s="53">
        <v>658</v>
      </c>
      <c r="B659" s="2" t="s">
        <v>1255</v>
      </c>
      <c r="C659" s="48" t="s">
        <v>663</v>
      </c>
      <c r="D659" t="s">
        <v>1257</v>
      </c>
      <c r="E659" t="s">
        <v>1184</v>
      </c>
      <c r="H659" s="154"/>
      <c r="I659" s="18" t="s">
        <v>1066</v>
      </c>
      <c r="J659" s="23" t="s">
        <v>1275</v>
      </c>
      <c r="K659" s="4">
        <v>40</v>
      </c>
      <c r="L659" s="4" t="s">
        <v>9</v>
      </c>
      <c r="M659" s="5" t="s">
        <v>1179</v>
      </c>
      <c r="N659" s="5" t="s">
        <v>972</v>
      </c>
      <c r="O659" s="147">
        <v>6</v>
      </c>
      <c r="P659" s="15">
        <v>3</v>
      </c>
      <c r="Q659" s="148">
        <f t="shared" si="21"/>
        <v>9</v>
      </c>
      <c r="R6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WO GUI FRANCK GRAND-ZATTRY ZOMADRE BLESSEOUA    YAO VINCENT  0708720850 40 M UNION LIBRE PLANTEUR</v>
      </c>
      <c r="Z659" s="53"/>
      <c r="AA659" s="2"/>
      <c r="AB659" s="48"/>
      <c r="AG659" s="154"/>
      <c r="AH659" s="18"/>
      <c r="AI659" s="23"/>
      <c r="AJ659" s="4"/>
      <c r="AK659" s="4"/>
      <c r="AL659" s="5"/>
      <c r="AM659" s="5"/>
      <c r="AN659" s="147"/>
      <c r="AO659" s="15"/>
      <c r="AP659" s="148"/>
    </row>
    <row r="660" spans="1:42" ht="16.5" x14ac:dyDescent="0.35">
      <c r="A660" s="53">
        <v>659</v>
      </c>
      <c r="B660" s="2" t="s">
        <v>1256</v>
      </c>
      <c r="C660" s="48" t="s">
        <v>663</v>
      </c>
      <c r="D660" t="s">
        <v>1257</v>
      </c>
      <c r="E660" t="s">
        <v>1184</v>
      </c>
      <c r="H660" s="154"/>
      <c r="I660" s="18" t="s">
        <v>1066</v>
      </c>
      <c r="J660" s="23" t="s">
        <v>1276</v>
      </c>
      <c r="K660" s="4">
        <v>48</v>
      </c>
      <c r="L660" s="4" t="s">
        <v>9</v>
      </c>
      <c r="M660" s="5" t="s">
        <v>1181</v>
      </c>
      <c r="N660" s="5" t="s">
        <v>972</v>
      </c>
      <c r="O660" s="147">
        <v>2</v>
      </c>
      <c r="P660" s="15">
        <v>3</v>
      </c>
      <c r="Q660" s="148">
        <f t="shared" si="21"/>
        <v>5</v>
      </c>
      <c r="R6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KOUADIO EVARISTE GRAND-ZATTRY ZOMADRE BLESSEOUA    YAO VINCENT  0749218633 48 M DOTE PLANTEUR</v>
      </c>
      <c r="Z660" s="53"/>
      <c r="AA660" s="2"/>
      <c r="AB660" s="48"/>
      <c r="AG660" s="154"/>
      <c r="AH660" s="18"/>
      <c r="AI660" s="23"/>
      <c r="AJ660" s="4"/>
      <c r="AK660" s="4"/>
      <c r="AL660" s="5"/>
      <c r="AM660" s="5"/>
      <c r="AN660" s="147"/>
      <c r="AO660" s="15"/>
      <c r="AP660" s="148"/>
    </row>
    <row r="661" spans="1:42" ht="16.5" x14ac:dyDescent="0.35">
      <c r="A661" s="53">
        <v>660</v>
      </c>
      <c r="B661" s="9" t="s">
        <v>409</v>
      </c>
      <c r="C661" s="48" t="s">
        <v>663</v>
      </c>
      <c r="D661" t="s">
        <v>1257</v>
      </c>
      <c r="E661" t="s">
        <v>1184</v>
      </c>
      <c r="H661" s="154"/>
      <c r="I661" s="18" t="s">
        <v>1066</v>
      </c>
      <c r="J661" s="23" t="s">
        <v>433</v>
      </c>
      <c r="L661" s="4" t="s">
        <v>2</v>
      </c>
      <c r="M661" s="5" t="s">
        <v>1095</v>
      </c>
      <c r="O661" s="147">
        <v>2</v>
      </c>
      <c r="P661" s="15">
        <v>1</v>
      </c>
      <c r="Q661" s="148">
        <f>(O661+P661)</f>
        <v>3</v>
      </c>
      <c r="R6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DOGBO AYA ROSALIE GRAND-ZATTRY ZOMADRE BLESSEOUA    YAO VINCENT  0789950884  F MARIE </v>
      </c>
      <c r="Z661" s="53"/>
      <c r="AA661" s="9"/>
      <c r="AB661" s="48"/>
      <c r="AG661" s="154"/>
      <c r="AH661" s="18"/>
      <c r="AI661" s="23"/>
      <c r="AK661" s="4"/>
      <c r="AL661" s="5"/>
      <c r="AN661" s="147"/>
      <c r="AO661" s="15"/>
      <c r="AP661" s="148"/>
    </row>
    <row r="662" spans="1:42" ht="16.5" x14ac:dyDescent="0.35">
      <c r="A662" s="53">
        <v>661</v>
      </c>
      <c r="B662" s="2" t="s">
        <v>1277</v>
      </c>
      <c r="C662" s="48" t="s">
        <v>663</v>
      </c>
      <c r="D662" t="s">
        <v>1306</v>
      </c>
      <c r="E662" t="s">
        <v>1307</v>
      </c>
      <c r="H662" s="10"/>
      <c r="I662" s="18" t="s">
        <v>1066</v>
      </c>
      <c r="J662" s="23" t="s">
        <v>1308</v>
      </c>
      <c r="L662" s="4" t="s">
        <v>2</v>
      </c>
      <c r="M662" s="5"/>
      <c r="O662" s="147">
        <v>5</v>
      </c>
      <c r="P662" s="15">
        <v>1</v>
      </c>
      <c r="Q662" s="148">
        <f t="shared" ref="Q662:Q690" si="22">(O662+P662)</f>
        <v>6</v>
      </c>
      <c r="R6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ZOUMA GRAND-ZATTRY RELEWENDE KIPIRI    YAO VINCENT  0749664007  F  </v>
      </c>
      <c r="Z662" s="53"/>
      <c r="AA662" s="2"/>
      <c r="AB662" s="48"/>
      <c r="AG662" s="10"/>
      <c r="AH662" s="18"/>
      <c r="AI662" s="23"/>
      <c r="AK662" s="4"/>
      <c r="AL662" s="5"/>
      <c r="AN662" s="147"/>
      <c r="AO662" s="15"/>
      <c r="AP662" s="148"/>
    </row>
    <row r="663" spans="1:42" ht="16.5" x14ac:dyDescent="0.35">
      <c r="A663" s="53">
        <v>662</v>
      </c>
      <c r="B663" s="2" t="s">
        <v>1278</v>
      </c>
      <c r="C663" s="48" t="s">
        <v>663</v>
      </c>
      <c r="D663" t="s">
        <v>1306</v>
      </c>
      <c r="E663" t="s">
        <v>1307</v>
      </c>
      <c r="H663" s="154"/>
      <c r="I663" s="18" t="s">
        <v>1066</v>
      </c>
      <c r="J663" s="23" t="s">
        <v>1309</v>
      </c>
      <c r="L663" s="4" t="s">
        <v>2</v>
      </c>
      <c r="M663" s="5"/>
      <c r="O663" s="147">
        <v>3</v>
      </c>
      <c r="P663" s="15">
        <v>2</v>
      </c>
      <c r="Q663" s="148">
        <f t="shared" si="22"/>
        <v>5</v>
      </c>
      <c r="R6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BIMBA SAFIATOU GRAND-ZATTRY RELEWENDE KIPIRI    YAO VINCENT  0767783686  F  </v>
      </c>
      <c r="Z663" s="53"/>
      <c r="AA663" s="2"/>
      <c r="AB663" s="48"/>
      <c r="AG663" s="154"/>
      <c r="AH663" s="18"/>
      <c r="AI663" s="23"/>
      <c r="AK663" s="4"/>
      <c r="AL663" s="5"/>
      <c r="AN663" s="147"/>
      <c r="AO663" s="15"/>
      <c r="AP663" s="148"/>
    </row>
    <row r="664" spans="1:42" ht="16.5" x14ac:dyDescent="0.35">
      <c r="A664" s="53">
        <v>663</v>
      </c>
      <c r="B664" s="2" t="s">
        <v>1279</v>
      </c>
      <c r="C664" s="48" t="s">
        <v>663</v>
      </c>
      <c r="D664" t="s">
        <v>1306</v>
      </c>
      <c r="E664" t="s">
        <v>1307</v>
      </c>
      <c r="H664" s="154"/>
      <c r="I664" s="18" t="s">
        <v>1066</v>
      </c>
      <c r="J664" s="23" t="s">
        <v>1310</v>
      </c>
      <c r="L664" s="4" t="s">
        <v>2</v>
      </c>
      <c r="M664" s="5"/>
      <c r="O664" s="147">
        <v>3</v>
      </c>
      <c r="P664" s="15">
        <v>3</v>
      </c>
      <c r="Q664" s="148">
        <f t="shared" si="22"/>
        <v>6</v>
      </c>
      <c r="R6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GAMSORE SAFIATOU GRAND-ZATTRY RELEWENDE KIPIRI    YAO VINCENT  0709714315  F  </v>
      </c>
      <c r="Z664" s="53"/>
      <c r="AA664" s="2"/>
      <c r="AB664" s="48"/>
      <c r="AG664" s="154"/>
      <c r="AH664" s="18"/>
      <c r="AI664" s="23"/>
      <c r="AK664" s="4"/>
      <c r="AL664" s="5"/>
      <c r="AN664" s="147"/>
      <c r="AO664" s="15"/>
      <c r="AP664" s="148"/>
    </row>
    <row r="665" spans="1:42" ht="16.5" x14ac:dyDescent="0.35">
      <c r="A665" s="53">
        <v>664</v>
      </c>
      <c r="B665" s="2" t="s">
        <v>1280</v>
      </c>
      <c r="C665" s="48" t="s">
        <v>663</v>
      </c>
      <c r="D665" t="s">
        <v>1306</v>
      </c>
      <c r="E665" t="s">
        <v>1307</v>
      </c>
      <c r="H665" s="154"/>
      <c r="I665" s="18" t="s">
        <v>1066</v>
      </c>
      <c r="J665" s="23" t="s">
        <v>1311</v>
      </c>
      <c r="L665" s="4" t="s">
        <v>2</v>
      </c>
      <c r="M665" s="3"/>
      <c r="O665" s="147">
        <v>1</v>
      </c>
      <c r="P665" s="15">
        <v>2</v>
      </c>
      <c r="Q665" s="148">
        <f t="shared" si="22"/>
        <v>3</v>
      </c>
      <c r="R6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NIKIEMA KOTIM GRAND-ZATTRY RELEWENDE KIPIRI    YAO VINCENT  0768961817  F  </v>
      </c>
      <c r="Z665" s="53"/>
      <c r="AA665" s="2"/>
      <c r="AB665" s="48"/>
      <c r="AG665" s="154"/>
      <c r="AH665" s="18"/>
      <c r="AI665" s="23"/>
      <c r="AK665" s="4"/>
      <c r="AL665" s="3"/>
      <c r="AN665" s="147"/>
      <c r="AO665" s="15"/>
      <c r="AP665" s="148"/>
    </row>
    <row r="666" spans="1:42" ht="16.5" x14ac:dyDescent="0.35">
      <c r="A666" s="53">
        <v>665</v>
      </c>
      <c r="B666" s="2" t="s">
        <v>1281</v>
      </c>
      <c r="C666" s="48" t="s">
        <v>663</v>
      </c>
      <c r="D666" t="s">
        <v>1306</v>
      </c>
      <c r="E666" t="s">
        <v>1307</v>
      </c>
      <c r="H666" s="154"/>
      <c r="I666" s="18" t="s">
        <v>1066</v>
      </c>
      <c r="J666" s="23" t="s">
        <v>1312</v>
      </c>
      <c r="L666" s="4" t="s">
        <v>2</v>
      </c>
      <c r="M666" s="5"/>
      <c r="O666" s="147">
        <v>2</v>
      </c>
      <c r="P666" s="15">
        <v>3</v>
      </c>
      <c r="Q666" s="148">
        <f t="shared" si="22"/>
        <v>5</v>
      </c>
      <c r="R6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FATIMATA  GRAND-ZATTRY RELEWENDE KIPIRI    YAO VINCENT  0748663835  F  </v>
      </c>
      <c r="Z666" s="53"/>
      <c r="AA666" s="2"/>
      <c r="AB666" s="48"/>
      <c r="AG666" s="154"/>
      <c r="AH666" s="18"/>
      <c r="AI666" s="23"/>
      <c r="AK666" s="4"/>
      <c r="AL666" s="5"/>
      <c r="AN666" s="147"/>
      <c r="AO666" s="15"/>
      <c r="AP666" s="148"/>
    </row>
    <row r="667" spans="1:42" ht="16.5" x14ac:dyDescent="0.35">
      <c r="A667" s="53">
        <v>666</v>
      </c>
      <c r="B667" s="2" t="s">
        <v>1282</v>
      </c>
      <c r="C667" s="48" t="s">
        <v>663</v>
      </c>
      <c r="D667" t="s">
        <v>1306</v>
      </c>
      <c r="E667" t="s">
        <v>1307</v>
      </c>
      <c r="H667" s="154"/>
      <c r="I667" s="18" t="s">
        <v>1066</v>
      </c>
      <c r="J667" s="23" t="s">
        <v>1313</v>
      </c>
      <c r="L667" s="4" t="s">
        <v>2</v>
      </c>
      <c r="M667" s="5"/>
      <c r="O667" s="147">
        <v>1</v>
      </c>
      <c r="P667" s="15">
        <v>2</v>
      </c>
      <c r="Q667" s="148">
        <f t="shared" si="22"/>
        <v>3</v>
      </c>
      <c r="R6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KONFE SALIMATA GRAND-ZATTRY RELEWENDE KIPIRI    YAO VINCENT  0709873904  F  </v>
      </c>
      <c r="Z667" s="53"/>
      <c r="AA667" s="2"/>
      <c r="AB667" s="48"/>
      <c r="AG667" s="154"/>
      <c r="AH667" s="18"/>
      <c r="AI667" s="23"/>
      <c r="AK667" s="4"/>
      <c r="AL667" s="5"/>
      <c r="AN667" s="147"/>
      <c r="AO667" s="15"/>
      <c r="AP667" s="148"/>
    </row>
    <row r="668" spans="1:42" ht="16.5" x14ac:dyDescent="0.35">
      <c r="A668" s="53">
        <v>667</v>
      </c>
      <c r="B668" s="2" t="s">
        <v>1283</v>
      </c>
      <c r="C668" s="48" t="s">
        <v>663</v>
      </c>
      <c r="D668" t="s">
        <v>1306</v>
      </c>
      <c r="E668" t="s">
        <v>1307</v>
      </c>
      <c r="H668" s="154"/>
      <c r="I668" s="18" t="s">
        <v>1066</v>
      </c>
      <c r="J668" s="23" t="s">
        <v>1314</v>
      </c>
      <c r="L668" s="4" t="s">
        <v>2</v>
      </c>
      <c r="M668" s="5"/>
      <c r="O668" s="147"/>
      <c r="P668" s="15"/>
      <c r="Q668" s="148">
        <f t="shared" si="22"/>
        <v>0</v>
      </c>
      <c r="R6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SALI GRAND-ZATTRY RELEWENDE KIPIRI    YAO VINCENT  0777807902  F  </v>
      </c>
      <c r="Z668" s="53"/>
      <c r="AA668" s="2"/>
      <c r="AB668" s="48"/>
      <c r="AG668" s="154"/>
      <c r="AH668" s="18"/>
      <c r="AI668" s="23"/>
      <c r="AK668" s="4"/>
      <c r="AL668" s="5"/>
      <c r="AN668" s="147"/>
      <c r="AO668" s="15"/>
      <c r="AP668" s="148"/>
    </row>
    <row r="669" spans="1:42" ht="16.5" x14ac:dyDescent="0.35">
      <c r="A669" s="53">
        <v>668</v>
      </c>
      <c r="B669" s="2" t="s">
        <v>1284</v>
      </c>
      <c r="C669" s="48" t="s">
        <v>663</v>
      </c>
      <c r="D669" t="s">
        <v>1306</v>
      </c>
      <c r="E669" t="s">
        <v>1307</v>
      </c>
      <c r="H669" s="154"/>
      <c r="I669" s="18" t="s">
        <v>1066</v>
      </c>
      <c r="J669" s="23"/>
      <c r="L669" s="4" t="s">
        <v>2</v>
      </c>
      <c r="M669" s="5"/>
      <c r="O669" s="147">
        <v>0</v>
      </c>
      <c r="P669" s="15">
        <v>4</v>
      </c>
      <c r="Q669" s="148">
        <f t="shared" si="22"/>
        <v>4</v>
      </c>
      <c r="R6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YAMEOGO ROSALIE GRAND-ZATTRY RELEWENDE KIPIRI    YAO VINCENT    F  </v>
      </c>
      <c r="Z669" s="53"/>
      <c r="AA669" s="2"/>
      <c r="AB669" s="48"/>
      <c r="AG669" s="154"/>
      <c r="AH669" s="18"/>
      <c r="AI669" s="23"/>
      <c r="AK669" s="4"/>
      <c r="AL669" s="5"/>
      <c r="AN669" s="147"/>
      <c r="AO669" s="15"/>
      <c r="AP669" s="148"/>
    </row>
    <row r="670" spans="1:42" ht="16.5" x14ac:dyDescent="0.35">
      <c r="A670" s="53">
        <v>669</v>
      </c>
      <c r="B670" s="2" t="s">
        <v>1285</v>
      </c>
      <c r="C670" s="48" t="s">
        <v>663</v>
      </c>
      <c r="D670" t="s">
        <v>1306</v>
      </c>
      <c r="E670" t="s">
        <v>1307</v>
      </c>
      <c r="H670" s="154"/>
      <c r="I670" s="18" t="s">
        <v>1066</v>
      </c>
      <c r="J670" s="23" t="s">
        <v>1315</v>
      </c>
      <c r="L670" s="4" t="s">
        <v>2</v>
      </c>
      <c r="M670" s="5"/>
      <c r="O670" s="147">
        <v>2</v>
      </c>
      <c r="P670" s="15">
        <v>2</v>
      </c>
      <c r="Q670" s="148">
        <f t="shared" si="22"/>
        <v>4</v>
      </c>
      <c r="R6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AIBATA GRAND-ZATTRY RELEWENDE KIPIRI    YAO VINCENT  0747532244  F  </v>
      </c>
      <c r="Z670" s="53"/>
      <c r="AA670" s="2"/>
      <c r="AB670" s="48"/>
      <c r="AG670" s="154"/>
      <c r="AH670" s="18"/>
      <c r="AI670" s="23"/>
      <c r="AK670" s="4"/>
      <c r="AL670" s="5"/>
      <c r="AN670" s="147"/>
      <c r="AO670" s="15"/>
      <c r="AP670" s="148"/>
    </row>
    <row r="671" spans="1:42" ht="16.5" x14ac:dyDescent="0.35">
      <c r="A671" s="53">
        <v>670</v>
      </c>
      <c r="B671" s="2" t="s">
        <v>1286</v>
      </c>
      <c r="C671" s="48" t="s">
        <v>663</v>
      </c>
      <c r="D671" t="s">
        <v>1306</v>
      </c>
      <c r="E671" t="s">
        <v>1307</v>
      </c>
      <c r="H671" s="154"/>
      <c r="I671" s="18" t="s">
        <v>1066</v>
      </c>
      <c r="J671" s="23"/>
      <c r="L671" s="4" t="s">
        <v>2</v>
      </c>
      <c r="M671" s="5"/>
      <c r="O671" s="147">
        <v>2</v>
      </c>
      <c r="P671" s="15">
        <v>2</v>
      </c>
      <c r="Q671" s="148">
        <f t="shared" si="22"/>
        <v>4</v>
      </c>
      <c r="R6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KIENDREBEOGO MARCELINE GRAND-ZATTRY RELEWENDE KIPIRI    YAO VINCENT    F  </v>
      </c>
      <c r="Z671" s="53"/>
      <c r="AA671" s="2"/>
      <c r="AB671" s="48"/>
      <c r="AG671" s="154"/>
      <c r="AH671" s="18"/>
      <c r="AI671" s="23"/>
      <c r="AK671" s="4"/>
      <c r="AL671" s="5"/>
      <c r="AN671" s="147"/>
      <c r="AO671" s="15"/>
      <c r="AP671" s="148"/>
    </row>
    <row r="672" spans="1:42" ht="16.5" x14ac:dyDescent="0.35">
      <c r="A672" s="53">
        <v>671</v>
      </c>
      <c r="B672" s="2" t="s">
        <v>1287</v>
      </c>
      <c r="C672" s="48" t="s">
        <v>663</v>
      </c>
      <c r="D672" t="s">
        <v>1306</v>
      </c>
      <c r="E672" t="s">
        <v>1307</v>
      </c>
      <c r="H672" s="154"/>
      <c r="I672" s="18" t="s">
        <v>1066</v>
      </c>
      <c r="J672" s="23" t="s">
        <v>1316</v>
      </c>
      <c r="L672" s="4" t="s">
        <v>2</v>
      </c>
      <c r="M672" s="5"/>
      <c r="O672" s="147">
        <v>1</v>
      </c>
      <c r="P672" s="15">
        <v>4</v>
      </c>
      <c r="Q672" s="148">
        <f t="shared" si="22"/>
        <v>5</v>
      </c>
      <c r="R6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AMI GRAND-ZATTRY RELEWENDE KIPIRI    YAO VINCENT  0759046388  F  </v>
      </c>
      <c r="Z672" s="53"/>
      <c r="AA672" s="2"/>
      <c r="AB672" s="48"/>
      <c r="AG672" s="154"/>
      <c r="AH672" s="18"/>
      <c r="AI672" s="23"/>
      <c r="AK672" s="4"/>
      <c r="AL672" s="5"/>
      <c r="AN672" s="147"/>
      <c r="AO672" s="15"/>
      <c r="AP672" s="148"/>
    </row>
    <row r="673" spans="1:42" ht="16.5" x14ac:dyDescent="0.35">
      <c r="A673" s="53">
        <v>672</v>
      </c>
      <c r="B673" s="2" t="s">
        <v>1281</v>
      </c>
      <c r="C673" s="48" t="s">
        <v>663</v>
      </c>
      <c r="D673" t="s">
        <v>1306</v>
      </c>
      <c r="E673" t="s">
        <v>1307</v>
      </c>
      <c r="H673" s="154"/>
      <c r="I673" s="18" t="s">
        <v>1066</v>
      </c>
      <c r="J673" s="23" t="s">
        <v>1317</v>
      </c>
      <c r="L673" s="4" t="s">
        <v>2</v>
      </c>
      <c r="M673" s="5"/>
      <c r="O673" s="147">
        <v>1</v>
      </c>
      <c r="P673" s="15">
        <v>4</v>
      </c>
      <c r="Q673" s="148">
        <f t="shared" si="22"/>
        <v>5</v>
      </c>
      <c r="R6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FATIMATA  GRAND-ZATTRY RELEWENDE KIPIRI    YAO VINCENT  0777106343  F  </v>
      </c>
      <c r="Z673" s="53"/>
      <c r="AA673" s="2"/>
      <c r="AB673" s="48"/>
      <c r="AG673" s="154"/>
      <c r="AH673" s="18"/>
      <c r="AI673" s="23"/>
      <c r="AK673" s="4"/>
      <c r="AL673" s="5"/>
      <c r="AN673" s="147"/>
      <c r="AO673" s="15"/>
      <c r="AP673" s="148"/>
    </row>
    <row r="674" spans="1:42" ht="16.5" x14ac:dyDescent="0.35">
      <c r="A674" s="53">
        <v>673</v>
      </c>
      <c r="B674" s="2" t="s">
        <v>1288</v>
      </c>
      <c r="C674" s="48" t="s">
        <v>663</v>
      </c>
      <c r="D674" t="s">
        <v>1306</v>
      </c>
      <c r="E674" t="s">
        <v>1307</v>
      </c>
      <c r="H674" s="154"/>
      <c r="I674" s="18" t="s">
        <v>1066</v>
      </c>
      <c r="J674" s="23" t="s">
        <v>1318</v>
      </c>
      <c r="L674" s="4" t="s">
        <v>9</v>
      </c>
      <c r="M674" s="5"/>
      <c r="O674" s="147">
        <v>5</v>
      </c>
      <c r="P674" s="15">
        <v>1</v>
      </c>
      <c r="Q674" s="148">
        <f t="shared" si="22"/>
        <v>6</v>
      </c>
      <c r="R6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MARIAM 2 GRAND-ZATTRY RELEWENDE KIPIRI    YAO VINCENT  0797211108  M  </v>
      </c>
      <c r="Z674" s="53"/>
      <c r="AA674" s="2"/>
      <c r="AB674" s="48"/>
      <c r="AG674" s="154"/>
      <c r="AH674" s="18"/>
      <c r="AI674" s="23"/>
      <c r="AK674" s="4"/>
      <c r="AL674" s="5"/>
      <c r="AN674" s="147"/>
      <c r="AO674" s="15"/>
      <c r="AP674" s="148"/>
    </row>
    <row r="675" spans="1:42" ht="16.5" x14ac:dyDescent="0.35">
      <c r="A675" s="53">
        <v>674</v>
      </c>
      <c r="B675" s="2" t="s">
        <v>1289</v>
      </c>
      <c r="C675" s="48" t="s">
        <v>663</v>
      </c>
      <c r="D675" t="s">
        <v>1306</v>
      </c>
      <c r="E675" t="s">
        <v>1307</v>
      </c>
      <c r="H675" s="154"/>
      <c r="I675" s="18" t="s">
        <v>1066</v>
      </c>
      <c r="J675" s="23" t="s">
        <v>1319</v>
      </c>
      <c r="L675" s="4" t="s">
        <v>2</v>
      </c>
      <c r="M675" s="5"/>
      <c r="O675" s="147">
        <v>2</v>
      </c>
      <c r="P675" s="15">
        <v>0</v>
      </c>
      <c r="Q675" s="148">
        <f t="shared" si="22"/>
        <v>2</v>
      </c>
      <c r="R6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SARBA AMIDOU GRAND-ZATTRY RELEWENDE KIPIRI    YAO VINCENT  0747911820  F  </v>
      </c>
      <c r="Z675" s="53"/>
      <c r="AA675" s="2"/>
      <c r="AB675" s="48"/>
      <c r="AG675" s="154"/>
      <c r="AH675" s="18"/>
      <c r="AI675" s="23"/>
      <c r="AK675" s="4"/>
      <c r="AL675" s="5"/>
      <c r="AN675" s="147"/>
      <c r="AO675" s="15"/>
      <c r="AP675" s="148"/>
    </row>
    <row r="676" spans="1:42" ht="16.5" x14ac:dyDescent="0.35">
      <c r="A676" s="53">
        <v>675</v>
      </c>
      <c r="B676" s="2" t="s">
        <v>1290</v>
      </c>
      <c r="C676" s="48" t="s">
        <v>663</v>
      </c>
      <c r="D676" t="s">
        <v>1306</v>
      </c>
      <c r="E676" t="s">
        <v>1307</v>
      </c>
      <c r="H676" s="154"/>
      <c r="I676" s="18" t="s">
        <v>1066</v>
      </c>
      <c r="J676" s="23" t="s">
        <v>1320</v>
      </c>
      <c r="L676" s="4" t="s">
        <v>2</v>
      </c>
      <c r="M676" s="5"/>
      <c r="O676" s="147">
        <v>3</v>
      </c>
      <c r="P676" s="15">
        <v>1</v>
      </c>
      <c r="Q676" s="148">
        <f t="shared" si="22"/>
        <v>4</v>
      </c>
      <c r="R6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MARIAM1 GRAND-ZATTRY RELEWENDE KIPIRI    YAO VINCENT  0778688037  F  </v>
      </c>
      <c r="Z676" s="53"/>
      <c r="AA676" s="2"/>
      <c r="AB676" s="48"/>
      <c r="AG676" s="154"/>
      <c r="AH676" s="18"/>
      <c r="AI676" s="23"/>
      <c r="AK676" s="4"/>
      <c r="AL676" s="5"/>
      <c r="AN676" s="147"/>
      <c r="AO676" s="15"/>
      <c r="AP676" s="148"/>
    </row>
    <row r="677" spans="1:42" ht="16.5" x14ac:dyDescent="0.35">
      <c r="A677" s="53">
        <v>676</v>
      </c>
      <c r="B677" s="2" t="s">
        <v>1291</v>
      </c>
      <c r="C677" s="48" t="s">
        <v>663</v>
      </c>
      <c r="D677" t="s">
        <v>1306</v>
      </c>
      <c r="E677" t="s">
        <v>1307</v>
      </c>
      <c r="H677" s="154"/>
      <c r="I677" s="18" t="s">
        <v>1066</v>
      </c>
      <c r="J677" s="23" t="s">
        <v>1321</v>
      </c>
      <c r="L677" s="4" t="s">
        <v>2</v>
      </c>
      <c r="M677" s="5" t="s">
        <v>1095</v>
      </c>
      <c r="O677" s="147">
        <v>4</v>
      </c>
      <c r="P677" s="15">
        <v>2</v>
      </c>
      <c r="Q677" s="148">
        <f t="shared" si="22"/>
        <v>6</v>
      </c>
      <c r="R6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AZETA GRAND-ZATTRY RELEWENDE KIPIRI    YAO VINCENT  0171248216  F MARIE </v>
      </c>
      <c r="Z677" s="53"/>
      <c r="AA677" s="2"/>
      <c r="AB677" s="48"/>
      <c r="AG677" s="154"/>
      <c r="AH677" s="18"/>
      <c r="AI677" s="23"/>
      <c r="AK677" s="4"/>
      <c r="AL677" s="5"/>
      <c r="AN677" s="147"/>
      <c r="AO677" s="15"/>
      <c r="AP677" s="148"/>
    </row>
    <row r="678" spans="1:42" ht="16.5" x14ac:dyDescent="0.35">
      <c r="A678" s="53">
        <v>677</v>
      </c>
      <c r="B678" s="2" t="s">
        <v>1292</v>
      </c>
      <c r="C678" s="48" t="s">
        <v>663</v>
      </c>
      <c r="D678" t="s">
        <v>1306</v>
      </c>
      <c r="E678" t="s">
        <v>1307</v>
      </c>
      <c r="H678" s="154"/>
      <c r="I678" s="18" t="s">
        <v>1066</v>
      </c>
      <c r="J678" s="23" t="s">
        <v>1320</v>
      </c>
      <c r="L678" s="4" t="s">
        <v>2</v>
      </c>
      <c r="M678" s="5" t="s">
        <v>1095</v>
      </c>
      <c r="O678" s="147">
        <v>2</v>
      </c>
      <c r="P678" s="15">
        <v>3</v>
      </c>
      <c r="Q678" s="148">
        <f t="shared" si="22"/>
        <v>5</v>
      </c>
      <c r="R6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KOTIM GRAND-ZATTRY RELEWENDE KIPIRI    YAO VINCENT  0778688037  F MARIE </v>
      </c>
      <c r="Z678" s="53"/>
      <c r="AA678" s="2"/>
      <c r="AB678" s="48"/>
      <c r="AG678" s="154"/>
      <c r="AH678" s="18"/>
      <c r="AI678" s="23"/>
      <c r="AK678" s="4"/>
      <c r="AL678" s="5"/>
      <c r="AN678" s="147"/>
      <c r="AO678" s="15"/>
      <c r="AP678" s="148"/>
    </row>
    <row r="679" spans="1:42" ht="16.5" x14ac:dyDescent="0.35">
      <c r="A679" s="53">
        <v>678</v>
      </c>
      <c r="B679" s="2" t="s">
        <v>1293</v>
      </c>
      <c r="C679" s="48" t="s">
        <v>663</v>
      </c>
      <c r="D679" t="s">
        <v>1306</v>
      </c>
      <c r="E679" t="s">
        <v>1307</v>
      </c>
      <c r="H679" s="154"/>
      <c r="I679" s="18" t="s">
        <v>1066</v>
      </c>
      <c r="J679" s="23" t="s">
        <v>1322</v>
      </c>
      <c r="L679" s="4" t="s">
        <v>2</v>
      </c>
      <c r="M679" s="5" t="s">
        <v>1095</v>
      </c>
      <c r="O679" s="147">
        <v>2</v>
      </c>
      <c r="P679" s="15">
        <v>4</v>
      </c>
      <c r="Q679" s="148">
        <f t="shared" si="22"/>
        <v>6</v>
      </c>
      <c r="R6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SAWADOGO BIBATA GRAND-ZATTRY RELEWENDE KIPIRI    YAO VINCENT  0758041545  F MARIE </v>
      </c>
      <c r="Z679" s="53"/>
      <c r="AA679" s="2"/>
      <c r="AB679" s="48"/>
      <c r="AG679" s="154"/>
      <c r="AH679" s="18"/>
      <c r="AI679" s="23"/>
      <c r="AK679" s="4"/>
      <c r="AL679" s="5"/>
      <c r="AN679" s="147"/>
      <c r="AO679" s="15"/>
      <c r="AP679" s="148"/>
    </row>
    <row r="680" spans="1:42" ht="16.5" x14ac:dyDescent="0.35">
      <c r="A680" s="53">
        <v>679</v>
      </c>
      <c r="B680" s="2" t="s">
        <v>1294</v>
      </c>
      <c r="C680" s="48" t="s">
        <v>663</v>
      </c>
      <c r="D680" t="s">
        <v>1306</v>
      </c>
      <c r="E680" t="s">
        <v>1307</v>
      </c>
      <c r="H680" s="154"/>
      <c r="I680" s="18" t="s">
        <v>1066</v>
      </c>
      <c r="J680" s="23" t="s">
        <v>1323</v>
      </c>
      <c r="L680" s="4" t="s">
        <v>2</v>
      </c>
      <c r="M680" s="5"/>
      <c r="O680" s="147">
        <v>2</v>
      </c>
      <c r="P680" s="15">
        <v>2</v>
      </c>
      <c r="Q680" s="148">
        <f t="shared" si="22"/>
        <v>4</v>
      </c>
      <c r="R6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NAKANABO ZALISSA GRAND-ZATTRY RELEWENDE KIPIRI    YAO VINCENT  0767978676  F  </v>
      </c>
      <c r="Z680" s="53"/>
      <c r="AA680" s="2"/>
      <c r="AB680" s="48"/>
      <c r="AG680" s="154"/>
      <c r="AH680" s="18"/>
      <c r="AI680" s="23"/>
      <c r="AK680" s="4"/>
      <c r="AL680" s="5"/>
      <c r="AN680" s="147"/>
      <c r="AO680" s="15"/>
      <c r="AP680" s="148"/>
    </row>
    <row r="681" spans="1:42" ht="16.5" x14ac:dyDescent="0.35">
      <c r="A681" s="53">
        <v>680</v>
      </c>
      <c r="B681" s="2" t="s">
        <v>1295</v>
      </c>
      <c r="C681" s="48" t="s">
        <v>663</v>
      </c>
      <c r="D681" t="s">
        <v>1306</v>
      </c>
      <c r="E681" t="s">
        <v>1307</v>
      </c>
      <c r="H681" s="154"/>
      <c r="I681" s="18" t="s">
        <v>1066</v>
      </c>
      <c r="J681" s="23"/>
      <c r="L681" s="4" t="s">
        <v>2</v>
      </c>
      <c r="M681" s="5"/>
      <c r="O681" s="147">
        <v>4</v>
      </c>
      <c r="P681" s="15">
        <v>2</v>
      </c>
      <c r="Q681" s="148">
        <f t="shared" si="22"/>
        <v>6</v>
      </c>
      <c r="R6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GONDE SARATA GRAND-ZATTRY RELEWENDE KIPIRI    YAO VINCENT    F  </v>
      </c>
      <c r="Z681" s="53"/>
      <c r="AA681" s="2"/>
      <c r="AB681" s="48"/>
      <c r="AG681" s="154"/>
      <c r="AH681" s="18"/>
      <c r="AI681" s="23"/>
      <c r="AK681" s="4"/>
      <c r="AL681" s="5"/>
      <c r="AN681" s="147"/>
      <c r="AO681" s="15"/>
      <c r="AP681" s="148"/>
    </row>
    <row r="682" spans="1:42" ht="16.5" x14ac:dyDescent="0.35">
      <c r="A682" s="53">
        <v>681</v>
      </c>
      <c r="B682" s="2" t="s">
        <v>1296</v>
      </c>
      <c r="C682" s="48" t="s">
        <v>663</v>
      </c>
      <c r="D682" t="s">
        <v>1306</v>
      </c>
      <c r="E682" t="s">
        <v>1307</v>
      </c>
      <c r="H682" s="154"/>
      <c r="I682" s="18" t="s">
        <v>1066</v>
      </c>
      <c r="J682" s="23" t="s">
        <v>1324</v>
      </c>
      <c r="L682" s="4" t="s">
        <v>2</v>
      </c>
      <c r="M682" s="5"/>
      <c r="O682" s="147">
        <v>1</v>
      </c>
      <c r="P682" s="15">
        <v>3</v>
      </c>
      <c r="Q682" s="148">
        <f t="shared" si="22"/>
        <v>4</v>
      </c>
      <c r="R6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OREMI SAFIATA GRAND-ZATTRY RELEWENDE KIPIRI    YAO VINCENT  0777806808  F  </v>
      </c>
      <c r="Z682" s="53"/>
      <c r="AA682" s="2"/>
      <c r="AB682" s="48"/>
      <c r="AG682" s="154"/>
      <c r="AH682" s="18"/>
      <c r="AI682" s="23"/>
      <c r="AK682" s="4"/>
      <c r="AL682" s="5"/>
      <c r="AN682" s="147"/>
      <c r="AO682" s="15"/>
      <c r="AP682" s="148"/>
    </row>
    <row r="683" spans="1:42" ht="16.5" x14ac:dyDescent="0.35">
      <c r="A683" s="53">
        <v>682</v>
      </c>
      <c r="B683" s="2" t="s">
        <v>1297</v>
      </c>
      <c r="C683" s="48" t="s">
        <v>663</v>
      </c>
      <c r="D683" t="s">
        <v>1306</v>
      </c>
      <c r="E683" t="s">
        <v>1307</v>
      </c>
      <c r="H683" s="154"/>
      <c r="I683" s="18" t="s">
        <v>1066</v>
      </c>
      <c r="J683" s="23"/>
      <c r="L683" s="4" t="s">
        <v>2</v>
      </c>
      <c r="M683" s="5"/>
      <c r="O683" s="147">
        <v>1</v>
      </c>
      <c r="P683" s="15">
        <v>3</v>
      </c>
      <c r="Q683" s="148">
        <f t="shared" si="22"/>
        <v>4</v>
      </c>
      <c r="R6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MARIAM 3 GRAND-ZATTRY RELEWENDE KIPIRI    YAO VINCENT    F  </v>
      </c>
      <c r="Z683" s="53"/>
      <c r="AA683" s="2"/>
      <c r="AB683" s="48"/>
      <c r="AG683" s="154"/>
      <c r="AH683" s="18"/>
      <c r="AI683" s="23"/>
      <c r="AK683" s="4"/>
      <c r="AL683" s="5"/>
      <c r="AN683" s="147"/>
      <c r="AO683" s="15"/>
      <c r="AP683" s="148"/>
    </row>
    <row r="684" spans="1:42" ht="16.5" x14ac:dyDescent="0.35">
      <c r="A684" s="53">
        <v>683</v>
      </c>
      <c r="B684" s="2" t="s">
        <v>1298</v>
      </c>
      <c r="C684" s="48" t="s">
        <v>663</v>
      </c>
      <c r="D684" t="s">
        <v>1306</v>
      </c>
      <c r="E684" t="s">
        <v>1307</v>
      </c>
      <c r="H684" s="154"/>
      <c r="I684" s="18" t="s">
        <v>1066</v>
      </c>
      <c r="J684" s="23" t="s">
        <v>1325</v>
      </c>
      <c r="L684" s="4" t="s">
        <v>2</v>
      </c>
      <c r="M684" s="5"/>
      <c r="O684" s="147">
        <v>4</v>
      </c>
      <c r="P684" s="15">
        <v>2</v>
      </c>
      <c r="Q684" s="148">
        <f t="shared" si="22"/>
        <v>6</v>
      </c>
      <c r="R6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MAIGA RAMATA GRAND-ZATTRY RELEWENDE KIPIRI    YAO VINCENT  0788926673  F  </v>
      </c>
      <c r="Z684" s="53"/>
      <c r="AA684" s="2"/>
      <c r="AB684" s="48"/>
      <c r="AG684" s="154"/>
      <c r="AH684" s="18"/>
      <c r="AI684" s="23"/>
      <c r="AK684" s="4"/>
      <c r="AL684" s="5"/>
      <c r="AN684" s="147"/>
      <c r="AO684" s="15"/>
      <c r="AP684" s="148"/>
    </row>
    <row r="685" spans="1:42" ht="16.5" x14ac:dyDescent="0.35">
      <c r="A685" s="53">
        <v>684</v>
      </c>
      <c r="B685" s="2" t="s">
        <v>1299</v>
      </c>
      <c r="C685" s="48" t="s">
        <v>663</v>
      </c>
      <c r="D685" t="s">
        <v>1306</v>
      </c>
      <c r="E685" t="s">
        <v>1307</v>
      </c>
      <c r="H685" s="154"/>
      <c r="I685" s="18" t="s">
        <v>1066</v>
      </c>
      <c r="J685" s="23" t="s">
        <v>1326</v>
      </c>
      <c r="L685" s="4" t="s">
        <v>9</v>
      </c>
      <c r="M685" s="5" t="s">
        <v>1095</v>
      </c>
      <c r="O685" s="147">
        <v>1</v>
      </c>
      <c r="P685" s="15">
        <v>2</v>
      </c>
      <c r="Q685" s="148">
        <f t="shared" si="22"/>
        <v>3</v>
      </c>
      <c r="R6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BAGUAN AZATA GRAND-ZATTRY RELEWENDE KIPIRI    YAO VINCENT  0749587983  M MARIE </v>
      </c>
      <c r="Z685" s="53"/>
      <c r="AA685" s="2"/>
      <c r="AB685" s="48"/>
      <c r="AG685" s="154"/>
      <c r="AH685" s="18"/>
      <c r="AI685" s="23"/>
      <c r="AK685" s="4"/>
      <c r="AL685" s="5"/>
      <c r="AN685" s="147"/>
      <c r="AO685" s="15"/>
      <c r="AP685" s="148"/>
    </row>
    <row r="686" spans="1:42" ht="16.5" x14ac:dyDescent="0.35">
      <c r="A686" s="53">
        <v>685</v>
      </c>
      <c r="B686" s="2" t="s">
        <v>1300</v>
      </c>
      <c r="C686" s="48" t="s">
        <v>663</v>
      </c>
      <c r="D686" t="s">
        <v>1306</v>
      </c>
      <c r="E686" t="s">
        <v>1307</v>
      </c>
      <c r="H686" s="154"/>
      <c r="I686" s="18" t="s">
        <v>1066</v>
      </c>
      <c r="J686" s="23" t="s">
        <v>1327</v>
      </c>
      <c r="L686" s="4" t="s">
        <v>9</v>
      </c>
      <c r="M686" s="5"/>
      <c r="O686" s="147">
        <v>0</v>
      </c>
      <c r="P686" s="15">
        <v>0</v>
      </c>
      <c r="Q686" s="148">
        <f t="shared" si="22"/>
        <v>0</v>
      </c>
      <c r="R6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MADE AROUNA GRAND-ZATTRY RELEWENDE KIPIRI    YAO VINCENT  0708776905  M  </v>
      </c>
      <c r="Z686" s="53"/>
      <c r="AA686" s="2"/>
      <c r="AB686" s="48"/>
      <c r="AG686" s="154"/>
      <c r="AH686" s="18"/>
      <c r="AI686" s="23"/>
      <c r="AK686" s="4"/>
      <c r="AL686" s="5"/>
      <c r="AN686" s="147"/>
      <c r="AO686" s="15"/>
      <c r="AP686" s="148"/>
    </row>
    <row r="687" spans="1:42" ht="16.5" x14ac:dyDescent="0.5">
      <c r="A687" s="53">
        <v>686</v>
      </c>
      <c r="B687" s="2" t="s">
        <v>1301</v>
      </c>
      <c r="C687" s="48" t="s">
        <v>663</v>
      </c>
      <c r="D687" t="s">
        <v>1306</v>
      </c>
      <c r="E687" t="s">
        <v>1307</v>
      </c>
      <c r="H687" s="154"/>
      <c r="I687" s="18" t="s">
        <v>1066</v>
      </c>
      <c r="J687" s="23" t="s">
        <v>1328</v>
      </c>
      <c r="L687" s="4" t="s">
        <v>2</v>
      </c>
      <c r="M687" s="6"/>
      <c r="O687" s="149">
        <v>2</v>
      </c>
      <c r="P687" s="149">
        <v>3</v>
      </c>
      <c r="Q687" s="148">
        <f t="shared" si="22"/>
        <v>5</v>
      </c>
      <c r="R6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TRAORE RASMANI GRAND-ZATTRY RELEWENDE KIPIRI    YAO VINCENT  0759113148  F  </v>
      </c>
      <c r="Z687" s="53"/>
      <c r="AA687" s="2"/>
      <c r="AB687" s="48"/>
      <c r="AG687" s="154"/>
      <c r="AH687" s="18"/>
      <c r="AI687" s="23"/>
      <c r="AK687" s="4"/>
      <c r="AL687" s="6"/>
      <c r="AN687" s="149"/>
      <c r="AO687" s="149"/>
      <c r="AP687" s="148"/>
    </row>
    <row r="688" spans="1:42" ht="16.5" x14ac:dyDescent="0.35">
      <c r="A688" s="53">
        <v>687</v>
      </c>
      <c r="B688" s="2" t="s">
        <v>1302</v>
      </c>
      <c r="C688" s="48" t="s">
        <v>663</v>
      </c>
      <c r="D688" t="s">
        <v>1306</v>
      </c>
      <c r="E688" t="s">
        <v>1307</v>
      </c>
      <c r="H688" s="154"/>
      <c r="I688" s="18" t="s">
        <v>1066</v>
      </c>
      <c r="J688" s="23" t="s">
        <v>1329</v>
      </c>
      <c r="L688" s="4" t="s">
        <v>2</v>
      </c>
      <c r="M688" s="8"/>
      <c r="O688" s="151">
        <v>0</v>
      </c>
      <c r="P688" s="151">
        <v>0</v>
      </c>
      <c r="Q688" s="148">
        <f t="shared" si="22"/>
        <v>0</v>
      </c>
      <c r="R6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KIRAKOYA AMSETOU GRAND-ZATTRY RELEWENDE KIPIRI    YAO VINCENT  0777806804  F  </v>
      </c>
      <c r="Z688" s="53"/>
      <c r="AA688" s="2"/>
      <c r="AB688" s="48"/>
      <c r="AG688" s="154"/>
      <c r="AH688" s="18"/>
      <c r="AI688" s="23"/>
      <c r="AK688" s="4"/>
      <c r="AL688" s="8"/>
      <c r="AN688" s="151"/>
      <c r="AO688" s="151"/>
      <c r="AP688" s="148"/>
    </row>
    <row r="689" spans="1:42" ht="16.5" x14ac:dyDescent="0.35">
      <c r="A689" s="53">
        <v>688</v>
      </c>
      <c r="B689" s="2" t="s">
        <v>1303</v>
      </c>
      <c r="C689" s="48" t="s">
        <v>663</v>
      </c>
      <c r="D689" t="s">
        <v>1306</v>
      </c>
      <c r="E689" t="s">
        <v>1307</v>
      </c>
      <c r="H689" s="154"/>
      <c r="I689" s="18" t="s">
        <v>1066</v>
      </c>
      <c r="J689" s="24"/>
      <c r="L689" s="178" t="s">
        <v>2</v>
      </c>
      <c r="M689" s="11"/>
      <c r="O689" s="143">
        <v>0</v>
      </c>
      <c r="P689" s="143">
        <v>0</v>
      </c>
      <c r="Q689" s="148">
        <f t="shared" si="22"/>
        <v>0</v>
      </c>
      <c r="R6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KAFANDO SALIMATA GRAND-ZATTRY RELEWENDE KIPIRI    YAO VINCENT    F  </v>
      </c>
      <c r="Z689" s="53"/>
      <c r="AA689" s="2"/>
      <c r="AB689" s="48"/>
      <c r="AG689" s="154"/>
      <c r="AH689" s="18"/>
      <c r="AI689" s="24"/>
      <c r="AK689" s="178"/>
      <c r="AL689" s="11"/>
      <c r="AN689" s="143"/>
      <c r="AO689" s="143"/>
      <c r="AP689" s="148"/>
    </row>
    <row r="690" spans="1:42" ht="17" thickBot="1" x14ac:dyDescent="0.4">
      <c r="A690" s="53">
        <v>689</v>
      </c>
      <c r="B690" s="9" t="s">
        <v>1304</v>
      </c>
      <c r="C690" s="48" t="s">
        <v>663</v>
      </c>
      <c r="D690" t="s">
        <v>1306</v>
      </c>
      <c r="E690" t="s">
        <v>1307</v>
      </c>
      <c r="H690" s="154"/>
      <c r="I690" s="18" t="s">
        <v>1066</v>
      </c>
      <c r="J690" s="25"/>
      <c r="L690" s="14" t="s">
        <v>2</v>
      </c>
      <c r="M690" s="14" t="s">
        <v>1095</v>
      </c>
      <c r="O690" s="141">
        <v>2</v>
      </c>
      <c r="P690" s="141">
        <v>3</v>
      </c>
      <c r="Q690" s="148">
        <f t="shared" si="22"/>
        <v>5</v>
      </c>
      <c r="R6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MAMOUNATA GRAND-ZATTRY RELEWENDE KIPIRI    YAO VINCENT    F MARIE </v>
      </c>
      <c r="Z690" s="53"/>
      <c r="AA690" s="9"/>
      <c r="AB690" s="48"/>
      <c r="AG690" s="154"/>
      <c r="AH690" s="18"/>
      <c r="AI690" s="25"/>
      <c r="AK690" s="14"/>
      <c r="AL690" s="14"/>
      <c r="AN690" s="141"/>
      <c r="AO690" s="141"/>
      <c r="AP690" s="148"/>
    </row>
    <row r="691" spans="1:42" ht="17" thickBot="1" x14ac:dyDescent="0.4">
      <c r="A691" s="53">
        <v>690</v>
      </c>
      <c r="B691" s="9" t="s">
        <v>1305</v>
      </c>
      <c r="C691" s="48" t="s">
        <v>663</v>
      </c>
      <c r="D691" t="s">
        <v>1306</v>
      </c>
      <c r="E691" t="s">
        <v>1307</v>
      </c>
      <c r="H691" s="154"/>
      <c r="I691" s="18" t="s">
        <v>1066</v>
      </c>
      <c r="J691" s="193" t="s">
        <v>1330</v>
      </c>
      <c r="L691" s="195" t="s">
        <v>2</v>
      </c>
      <c r="M691" s="27"/>
      <c r="O691" s="190"/>
      <c r="P691" s="190"/>
      <c r="Q691" s="191">
        <f t="shared" ref="Q691" si="23">SUM(M691:P691)</f>
        <v>0</v>
      </c>
      <c r="R6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SARBA ZOURATA GRAND-ZATTRY RELEWENDE KIPIRI    YAO VINCENT  0153021400  F  </v>
      </c>
      <c r="Z691" s="53"/>
      <c r="AA691" s="9"/>
      <c r="AB691" s="48"/>
      <c r="AG691" s="154"/>
      <c r="AH691" s="18"/>
      <c r="AI691" s="193"/>
      <c r="AK691" s="195"/>
      <c r="AL691" s="27"/>
      <c r="AN691" s="190"/>
      <c r="AO691" s="190"/>
      <c r="AP691" s="191"/>
    </row>
    <row r="692" spans="1:42" ht="16.5" x14ac:dyDescent="0.35">
      <c r="A692" s="53">
        <v>691</v>
      </c>
      <c r="B692" s="2" t="s">
        <v>1331</v>
      </c>
      <c r="C692" s="48" t="s">
        <v>663</v>
      </c>
      <c r="D692" t="s">
        <v>1257</v>
      </c>
      <c r="E692" t="s">
        <v>1307</v>
      </c>
      <c r="H692" s="10"/>
      <c r="I692" s="18" t="s">
        <v>1066</v>
      </c>
      <c r="J692" s="23"/>
      <c r="L692" s="4" t="s">
        <v>2</v>
      </c>
      <c r="M692" s="5" t="s">
        <v>1095</v>
      </c>
      <c r="O692" s="147">
        <v>3</v>
      </c>
      <c r="P692" s="15">
        <v>3</v>
      </c>
      <c r="Q692" s="148">
        <f>(O692+P692)</f>
        <v>6</v>
      </c>
      <c r="R6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YOKORE LIDY  GRAND-ZATTRY ZOMADRE KIPIRI    YAO VINCENT    F MARIE </v>
      </c>
      <c r="Z692" s="53"/>
      <c r="AA692" s="2"/>
      <c r="AB692" s="48"/>
      <c r="AG692" s="10"/>
      <c r="AH692" s="18"/>
      <c r="AI692" s="23"/>
      <c r="AK692" s="4"/>
      <c r="AL692" s="5"/>
      <c r="AN692" s="147"/>
      <c r="AO692" s="15"/>
      <c r="AP692" s="148"/>
    </row>
    <row r="693" spans="1:42" ht="16.5" x14ac:dyDescent="0.35">
      <c r="A693" s="53">
        <v>692</v>
      </c>
      <c r="B693" s="2" t="s">
        <v>1332</v>
      </c>
      <c r="C693" s="48" t="s">
        <v>663</v>
      </c>
      <c r="D693" t="s">
        <v>1257</v>
      </c>
      <c r="E693" t="s">
        <v>1307</v>
      </c>
      <c r="H693" s="154"/>
      <c r="I693" s="18" t="s">
        <v>1066</v>
      </c>
      <c r="J693" s="23"/>
      <c r="L693" s="4" t="s">
        <v>9</v>
      </c>
      <c r="M693" s="5" t="s">
        <v>1095</v>
      </c>
      <c r="O693" s="147">
        <v>3</v>
      </c>
      <c r="P693" s="15">
        <v>3</v>
      </c>
      <c r="Q693" s="148">
        <f t="shared" ref="Q693:Q721" si="24">(O693+P693)</f>
        <v>6</v>
      </c>
      <c r="R6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DAH NAGO JEAN GRAND-ZATTRY ZOMADRE KIPIRI    YAO VINCENT    M MARIE </v>
      </c>
      <c r="Z693" s="53"/>
      <c r="AA693" s="2"/>
      <c r="AB693" s="48"/>
      <c r="AG693" s="154"/>
      <c r="AH693" s="18"/>
      <c r="AI693" s="23"/>
      <c r="AK693" s="4"/>
      <c r="AL693" s="5"/>
      <c r="AN693" s="147"/>
      <c r="AO693" s="15"/>
      <c r="AP693" s="148"/>
    </row>
    <row r="694" spans="1:42" ht="16.5" x14ac:dyDescent="0.35">
      <c r="A694" s="53">
        <v>693</v>
      </c>
      <c r="B694" s="2" t="s">
        <v>1333</v>
      </c>
      <c r="C694" s="48" t="s">
        <v>663</v>
      </c>
      <c r="D694" t="s">
        <v>1257</v>
      </c>
      <c r="E694" t="s">
        <v>1307</v>
      </c>
      <c r="H694" s="154"/>
      <c r="I694" s="18" t="s">
        <v>1066</v>
      </c>
      <c r="J694" s="23" t="s">
        <v>1361</v>
      </c>
      <c r="L694" s="4" t="s">
        <v>2</v>
      </c>
      <c r="M694" s="5" t="s">
        <v>1063</v>
      </c>
      <c r="O694" s="147">
        <v>8</v>
      </c>
      <c r="P694" s="15">
        <v>0</v>
      </c>
      <c r="Q694" s="148">
        <f t="shared" si="24"/>
        <v>8</v>
      </c>
      <c r="R6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TETIALY SAHERE ALIDA GRAND-ZATTRY ZOMADRE KIPIRI    YAO VINCENT  0160330872  F CONCUBINAGE </v>
      </c>
      <c r="Z694" s="53"/>
      <c r="AA694" s="2"/>
      <c r="AB694" s="48"/>
      <c r="AG694" s="154"/>
      <c r="AH694" s="18"/>
      <c r="AI694" s="23"/>
      <c r="AK694" s="4"/>
      <c r="AL694" s="5"/>
      <c r="AN694" s="147"/>
      <c r="AO694" s="15"/>
      <c r="AP694" s="148"/>
    </row>
    <row r="695" spans="1:42" ht="16.5" x14ac:dyDescent="0.35">
      <c r="A695" s="53">
        <v>694</v>
      </c>
      <c r="B695" s="2" t="s">
        <v>1334</v>
      </c>
      <c r="C695" s="48" t="s">
        <v>663</v>
      </c>
      <c r="D695" t="s">
        <v>1257</v>
      </c>
      <c r="E695" t="s">
        <v>1307</v>
      </c>
      <c r="H695" s="154"/>
      <c r="I695" s="18" t="s">
        <v>1066</v>
      </c>
      <c r="J695" s="23"/>
      <c r="L695" s="4" t="s">
        <v>2</v>
      </c>
      <c r="M695" s="5" t="s">
        <v>1063</v>
      </c>
      <c r="O695" s="147">
        <v>2</v>
      </c>
      <c r="P695" s="15">
        <v>2</v>
      </c>
      <c r="Q695" s="148">
        <f t="shared" si="24"/>
        <v>4</v>
      </c>
      <c r="R6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MORY DJAGBA ELISABETH GRAND-ZATTRY ZOMADRE KIPIRI    YAO VINCENT    F CONCUBINAGE </v>
      </c>
      <c r="Z695" s="53"/>
      <c r="AA695" s="2"/>
      <c r="AB695" s="48"/>
      <c r="AG695" s="154"/>
      <c r="AH695" s="18"/>
      <c r="AI695" s="23"/>
      <c r="AK695" s="4"/>
      <c r="AL695" s="5"/>
      <c r="AN695" s="147"/>
      <c r="AO695" s="15"/>
      <c r="AP695" s="148"/>
    </row>
    <row r="696" spans="1:42" ht="16.5" x14ac:dyDescent="0.35">
      <c r="A696" s="53">
        <v>695</v>
      </c>
      <c r="B696" s="2" t="s">
        <v>1335</v>
      </c>
      <c r="C696" s="48" t="s">
        <v>663</v>
      </c>
      <c r="D696" t="s">
        <v>1257</v>
      </c>
      <c r="E696" t="s">
        <v>1307</v>
      </c>
      <c r="H696" s="154"/>
      <c r="I696" s="18" t="s">
        <v>1066</v>
      </c>
      <c r="J696" s="23"/>
      <c r="L696" s="4" t="s">
        <v>2</v>
      </c>
      <c r="M696" s="3" t="s">
        <v>1063</v>
      </c>
      <c r="O696" s="147">
        <v>3</v>
      </c>
      <c r="P696" s="15">
        <v>2</v>
      </c>
      <c r="Q696" s="148">
        <f t="shared" si="24"/>
        <v>5</v>
      </c>
      <c r="R6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OYOUROU SEGUI GRAND-ZATTRY ZOMADRE KIPIRI    YAO VINCENT    F CONCUBINAGE </v>
      </c>
      <c r="Z696" s="53"/>
      <c r="AA696" s="2"/>
      <c r="AB696" s="48"/>
      <c r="AG696" s="154"/>
      <c r="AH696" s="18"/>
      <c r="AI696" s="23"/>
      <c r="AK696" s="4"/>
      <c r="AL696" s="3"/>
      <c r="AN696" s="147"/>
      <c r="AO696" s="15"/>
      <c r="AP696" s="148"/>
    </row>
    <row r="697" spans="1:42" ht="16.5" x14ac:dyDescent="0.35">
      <c r="A697" s="53">
        <v>696</v>
      </c>
      <c r="B697" s="2" t="s">
        <v>1336</v>
      </c>
      <c r="C697" s="48" t="s">
        <v>663</v>
      </c>
      <c r="D697" t="s">
        <v>1257</v>
      </c>
      <c r="E697" t="s">
        <v>1307</v>
      </c>
      <c r="H697" s="154"/>
      <c r="I697" s="18" t="s">
        <v>1066</v>
      </c>
      <c r="J697" s="23"/>
      <c r="L697" s="4" t="s">
        <v>2</v>
      </c>
      <c r="M697" s="5" t="s">
        <v>1063</v>
      </c>
      <c r="O697" s="147">
        <v>4</v>
      </c>
      <c r="P697" s="15">
        <v>3</v>
      </c>
      <c r="Q697" s="148">
        <f t="shared" si="24"/>
        <v>7</v>
      </c>
      <c r="R6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DAH DJAGBA HORTENSE GRAND-ZATTRY ZOMADRE KIPIRI    YAO VINCENT    F CONCUBINAGE </v>
      </c>
      <c r="Z697" s="53"/>
      <c r="AA697" s="2"/>
      <c r="AB697" s="48"/>
      <c r="AG697" s="154"/>
      <c r="AH697" s="18"/>
      <c r="AI697" s="23"/>
      <c r="AK697" s="4"/>
      <c r="AL697" s="5"/>
      <c r="AN697" s="147"/>
      <c r="AO697" s="15"/>
      <c r="AP697" s="148"/>
    </row>
    <row r="698" spans="1:42" ht="16.5" x14ac:dyDescent="0.35">
      <c r="A698" s="53">
        <v>697</v>
      </c>
      <c r="B698" s="2" t="s">
        <v>1337</v>
      </c>
      <c r="C698" s="48" t="s">
        <v>663</v>
      </c>
      <c r="D698" t="s">
        <v>1257</v>
      </c>
      <c r="E698" t="s">
        <v>1307</v>
      </c>
      <c r="H698" s="154"/>
      <c r="I698" s="18" t="s">
        <v>1066</v>
      </c>
      <c r="J698" s="23"/>
      <c r="L698" s="4" t="s">
        <v>2</v>
      </c>
      <c r="M698" s="5" t="s">
        <v>1063</v>
      </c>
      <c r="O698" s="147">
        <v>1</v>
      </c>
      <c r="P698" s="15">
        <v>2</v>
      </c>
      <c r="Q698" s="148">
        <f t="shared" si="24"/>
        <v>3</v>
      </c>
      <c r="R6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GRABY BERNADETTE GRAND-ZATTRY ZOMADRE KIPIRI    YAO VINCENT    F CONCUBINAGE </v>
      </c>
      <c r="Z698" s="53"/>
      <c r="AA698" s="2"/>
      <c r="AB698" s="48"/>
      <c r="AG698" s="154"/>
      <c r="AH698" s="18"/>
      <c r="AI698" s="23"/>
      <c r="AK698" s="4"/>
      <c r="AL698" s="5"/>
      <c r="AN698" s="147"/>
      <c r="AO698" s="15"/>
      <c r="AP698" s="148"/>
    </row>
    <row r="699" spans="1:42" ht="16.5" x14ac:dyDescent="0.35">
      <c r="A699" s="53">
        <v>698</v>
      </c>
      <c r="B699" s="2" t="s">
        <v>1338</v>
      </c>
      <c r="C699" s="48" t="s">
        <v>663</v>
      </c>
      <c r="D699" t="s">
        <v>1257</v>
      </c>
      <c r="E699" t="s">
        <v>1307</v>
      </c>
      <c r="H699" s="154"/>
      <c r="I699" s="18" t="s">
        <v>1066</v>
      </c>
      <c r="J699" s="23"/>
      <c r="L699" s="4" t="s">
        <v>2</v>
      </c>
      <c r="M699" s="5" t="s">
        <v>1063</v>
      </c>
      <c r="O699" s="147">
        <v>2</v>
      </c>
      <c r="P699" s="15">
        <v>3</v>
      </c>
      <c r="Q699" s="148">
        <f t="shared" si="24"/>
        <v>5</v>
      </c>
      <c r="R6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LOGUHE LOUMA BRIGITTE GRAND-ZATTRY ZOMADRE KIPIRI    YAO VINCENT    F CONCUBINAGE </v>
      </c>
      <c r="Z699" s="53"/>
      <c r="AA699" s="2"/>
      <c r="AB699" s="48"/>
      <c r="AG699" s="154"/>
      <c r="AH699" s="18"/>
      <c r="AI699" s="23"/>
      <c r="AK699" s="4"/>
      <c r="AL699" s="5"/>
      <c r="AN699" s="147"/>
      <c r="AO699" s="15"/>
      <c r="AP699" s="148"/>
    </row>
    <row r="700" spans="1:42" ht="16.5" x14ac:dyDescent="0.35">
      <c r="A700" s="53">
        <v>699</v>
      </c>
      <c r="B700" s="2" t="s">
        <v>1339</v>
      </c>
      <c r="C700" s="48" t="s">
        <v>663</v>
      </c>
      <c r="D700" t="s">
        <v>1257</v>
      </c>
      <c r="E700" t="s">
        <v>1307</v>
      </c>
      <c r="H700" s="154"/>
      <c r="I700" s="18" t="s">
        <v>1066</v>
      </c>
      <c r="J700" s="23"/>
      <c r="L700" s="4" t="s">
        <v>2</v>
      </c>
      <c r="M700" s="5" t="s">
        <v>1063</v>
      </c>
      <c r="O700" s="147">
        <v>1</v>
      </c>
      <c r="P700" s="15">
        <v>0</v>
      </c>
      <c r="Q700" s="148">
        <f t="shared" si="24"/>
        <v>1</v>
      </c>
      <c r="R7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GAGA IRENE GRAND-ZATTRY ZOMADRE KIPIRI    YAO VINCENT    F CONCUBINAGE </v>
      </c>
      <c r="Z700" s="53"/>
      <c r="AA700" s="2"/>
      <c r="AB700" s="48"/>
      <c r="AG700" s="154"/>
      <c r="AH700" s="18"/>
      <c r="AI700" s="23"/>
      <c r="AK700" s="4"/>
      <c r="AL700" s="5"/>
      <c r="AN700" s="147"/>
      <c r="AO700" s="15"/>
      <c r="AP700" s="148"/>
    </row>
    <row r="701" spans="1:42" ht="16.5" x14ac:dyDescent="0.35">
      <c r="A701" s="53">
        <v>700</v>
      </c>
      <c r="B701" s="2" t="s">
        <v>1340</v>
      </c>
      <c r="C701" s="48" t="s">
        <v>663</v>
      </c>
      <c r="D701" t="s">
        <v>1257</v>
      </c>
      <c r="E701" t="s">
        <v>1307</v>
      </c>
      <c r="H701" s="154"/>
      <c r="I701" s="18" t="s">
        <v>1066</v>
      </c>
      <c r="J701" s="23"/>
      <c r="L701" s="4" t="s">
        <v>2</v>
      </c>
      <c r="M701" s="5" t="s">
        <v>1063</v>
      </c>
      <c r="O701" s="147">
        <v>8</v>
      </c>
      <c r="P701" s="15">
        <v>1</v>
      </c>
      <c r="Q701" s="148">
        <f t="shared" si="24"/>
        <v>9</v>
      </c>
      <c r="R7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NAMANE SAHERE EUGENIE GRAND-ZATTRY ZOMADRE KIPIRI    YAO VINCENT    F CONCUBINAGE </v>
      </c>
      <c r="Z701" s="53"/>
      <c r="AA701" s="2"/>
      <c r="AB701" s="48"/>
      <c r="AG701" s="154"/>
      <c r="AH701" s="18"/>
      <c r="AI701" s="23"/>
      <c r="AK701" s="4"/>
      <c r="AL701" s="5"/>
      <c r="AN701" s="147"/>
      <c r="AO701" s="15"/>
      <c r="AP701" s="148"/>
    </row>
    <row r="702" spans="1:42" ht="16.5" x14ac:dyDescent="0.35">
      <c r="A702" s="53">
        <v>701</v>
      </c>
      <c r="B702" s="2" t="s">
        <v>1341</v>
      </c>
      <c r="C702" s="48" t="s">
        <v>663</v>
      </c>
      <c r="D702" t="s">
        <v>1257</v>
      </c>
      <c r="E702" t="s">
        <v>1307</v>
      </c>
      <c r="H702" s="154"/>
      <c r="I702" s="18" t="s">
        <v>1066</v>
      </c>
      <c r="J702" s="23" t="s">
        <v>1362</v>
      </c>
      <c r="L702" s="4" t="s">
        <v>9</v>
      </c>
      <c r="M702" s="5" t="s">
        <v>1063</v>
      </c>
      <c r="O702" s="147">
        <v>8</v>
      </c>
      <c r="P702" s="15">
        <v>1</v>
      </c>
      <c r="Q702" s="148">
        <f t="shared" si="24"/>
        <v>9</v>
      </c>
      <c r="R7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ZIRIGNON SERI MATHIAS GRAND-ZATTRY ZOMADRE KIPIRI    YAO VINCENT  0152625491  M CONCUBINAGE </v>
      </c>
      <c r="Z702" s="53"/>
      <c r="AA702" s="2"/>
      <c r="AB702" s="48"/>
      <c r="AG702" s="154"/>
      <c r="AH702" s="18"/>
      <c r="AI702" s="23"/>
      <c r="AK702" s="4"/>
      <c r="AL702" s="5"/>
      <c r="AN702" s="147"/>
      <c r="AO702" s="15"/>
      <c r="AP702" s="148"/>
    </row>
    <row r="703" spans="1:42" ht="16.5" x14ac:dyDescent="0.35">
      <c r="A703" s="53">
        <v>702</v>
      </c>
      <c r="B703" s="2" t="s">
        <v>1342</v>
      </c>
      <c r="C703" s="48" t="s">
        <v>663</v>
      </c>
      <c r="D703" t="s">
        <v>1257</v>
      </c>
      <c r="E703" t="s">
        <v>1307</v>
      </c>
      <c r="H703" s="154"/>
      <c r="I703" s="18" t="s">
        <v>1066</v>
      </c>
      <c r="J703" s="23"/>
      <c r="L703" s="4" t="s">
        <v>2</v>
      </c>
      <c r="M703" s="5" t="s">
        <v>1063</v>
      </c>
      <c r="O703" s="147">
        <v>1</v>
      </c>
      <c r="P703" s="15">
        <v>3</v>
      </c>
      <c r="Q703" s="148">
        <f t="shared" si="24"/>
        <v>4</v>
      </c>
      <c r="R7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DEGRE MAZO RACHELLE GRAND-ZATTRY ZOMADRE KIPIRI    YAO VINCENT    F CONCUBINAGE </v>
      </c>
      <c r="Z703" s="53"/>
      <c r="AA703" s="2"/>
      <c r="AB703" s="48"/>
      <c r="AG703" s="154"/>
      <c r="AH703" s="18"/>
      <c r="AI703" s="23"/>
      <c r="AK703" s="4"/>
      <c r="AL703" s="5"/>
      <c r="AN703" s="147"/>
      <c r="AO703" s="15"/>
      <c r="AP703" s="148"/>
    </row>
    <row r="704" spans="1:42" ht="16.5" x14ac:dyDescent="0.35">
      <c r="A704" s="53">
        <v>703</v>
      </c>
      <c r="B704" s="2" t="s">
        <v>1343</v>
      </c>
      <c r="C704" s="48" t="s">
        <v>663</v>
      </c>
      <c r="D704" t="s">
        <v>1257</v>
      </c>
      <c r="E704" t="s">
        <v>1307</v>
      </c>
      <c r="H704" s="154"/>
      <c r="I704" s="18" t="s">
        <v>1066</v>
      </c>
      <c r="J704" s="23" t="s">
        <v>1363</v>
      </c>
      <c r="L704" s="4" t="s">
        <v>2</v>
      </c>
      <c r="M704" s="5" t="s">
        <v>1063</v>
      </c>
      <c r="O704" s="147">
        <v>2</v>
      </c>
      <c r="P704" s="15">
        <v>2</v>
      </c>
      <c r="Q704" s="148">
        <f t="shared" si="24"/>
        <v>4</v>
      </c>
      <c r="R7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LOGBO KOUDOUGNON NATHALIE GRAND-ZATTRY ZOMADRE KIPIRI    YAO VINCENT  0142257974  F CONCUBINAGE </v>
      </c>
      <c r="Z704" s="53"/>
      <c r="AA704" s="2"/>
      <c r="AB704" s="48"/>
      <c r="AG704" s="154"/>
      <c r="AH704" s="18"/>
      <c r="AI704" s="23"/>
      <c r="AK704" s="4"/>
      <c r="AL704" s="5"/>
      <c r="AN704" s="147"/>
      <c r="AO704" s="15"/>
      <c r="AP704" s="148"/>
    </row>
    <row r="705" spans="1:42" ht="16.5" x14ac:dyDescent="0.35">
      <c r="A705" s="53">
        <v>704</v>
      </c>
      <c r="B705" s="2" t="s">
        <v>1344</v>
      </c>
      <c r="C705" s="48" t="s">
        <v>663</v>
      </c>
      <c r="D705" t="s">
        <v>1257</v>
      </c>
      <c r="E705" t="s">
        <v>1307</v>
      </c>
      <c r="H705" s="154"/>
      <c r="I705" s="18" t="s">
        <v>1066</v>
      </c>
      <c r="J705" s="23"/>
      <c r="L705" s="4" t="s">
        <v>2</v>
      </c>
      <c r="M705" s="5" t="s">
        <v>1063</v>
      </c>
      <c r="O705" s="147">
        <v>0</v>
      </c>
      <c r="P705" s="15">
        <v>2</v>
      </c>
      <c r="Q705" s="148">
        <f t="shared" si="24"/>
        <v>2</v>
      </c>
      <c r="R7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OUGUEHI ANICK GRAND-ZATTRY ZOMADRE KIPIRI    YAO VINCENT    F CONCUBINAGE </v>
      </c>
      <c r="Z705" s="53"/>
      <c r="AA705" s="2"/>
      <c r="AB705" s="48"/>
      <c r="AG705" s="154"/>
      <c r="AH705" s="18"/>
      <c r="AI705" s="23"/>
      <c r="AK705" s="4"/>
      <c r="AL705" s="5"/>
      <c r="AN705" s="147"/>
      <c r="AO705" s="15"/>
      <c r="AP705" s="148"/>
    </row>
    <row r="706" spans="1:42" ht="16.5" x14ac:dyDescent="0.35">
      <c r="A706" s="53">
        <v>705</v>
      </c>
      <c r="B706" s="2" t="s">
        <v>1345</v>
      </c>
      <c r="C706" s="48" t="s">
        <v>663</v>
      </c>
      <c r="D706" t="s">
        <v>1257</v>
      </c>
      <c r="E706" t="s">
        <v>1307</v>
      </c>
      <c r="H706" s="154"/>
      <c r="I706" s="18" t="s">
        <v>1066</v>
      </c>
      <c r="J706" s="23"/>
      <c r="L706" s="4" t="s">
        <v>9</v>
      </c>
      <c r="M706" s="5" t="s">
        <v>1095</v>
      </c>
      <c r="O706" s="147">
        <v>3</v>
      </c>
      <c r="P706" s="15">
        <v>2</v>
      </c>
      <c r="Q706" s="148">
        <f t="shared" si="24"/>
        <v>5</v>
      </c>
      <c r="R7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KOUKO GNIZAKO GRAND-ZATTRY ZOMADRE KIPIRI    YAO VINCENT    M MARIE </v>
      </c>
      <c r="Z706" s="53"/>
      <c r="AA706" s="2"/>
      <c r="AB706" s="48"/>
      <c r="AG706" s="154"/>
      <c r="AH706" s="18"/>
      <c r="AI706" s="23"/>
      <c r="AK706" s="4"/>
      <c r="AL706" s="5"/>
      <c r="AN706" s="147"/>
      <c r="AO706" s="15"/>
      <c r="AP706" s="148"/>
    </row>
    <row r="707" spans="1:42" ht="16.5" x14ac:dyDescent="0.35">
      <c r="A707" s="53">
        <v>706</v>
      </c>
      <c r="B707" s="2" t="s">
        <v>1346</v>
      </c>
      <c r="C707" s="48" t="s">
        <v>663</v>
      </c>
      <c r="D707" t="s">
        <v>1257</v>
      </c>
      <c r="E707" t="s">
        <v>1307</v>
      </c>
      <c r="H707" s="154"/>
      <c r="I707" s="18" t="s">
        <v>1066</v>
      </c>
      <c r="J707" s="23"/>
      <c r="L707" s="4" t="s">
        <v>9</v>
      </c>
      <c r="M707" s="5" t="s">
        <v>1063</v>
      </c>
      <c r="O707" s="147">
        <v>3</v>
      </c>
      <c r="P707" s="15">
        <v>3</v>
      </c>
      <c r="Q707" s="148">
        <f t="shared" si="24"/>
        <v>6</v>
      </c>
      <c r="R7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BLE GOKUI LUC GRAND-ZATTRY ZOMADRE KIPIRI    YAO VINCENT    M CONCUBINAGE </v>
      </c>
      <c r="Z707" s="53"/>
      <c r="AA707" s="2"/>
      <c r="AB707" s="48"/>
      <c r="AG707" s="154"/>
      <c r="AH707" s="18"/>
      <c r="AI707" s="23"/>
      <c r="AK707" s="4"/>
      <c r="AL707" s="5"/>
      <c r="AN707" s="147"/>
      <c r="AO707" s="15"/>
      <c r="AP707" s="148"/>
    </row>
    <row r="708" spans="1:42" ht="16.5" x14ac:dyDescent="0.35">
      <c r="A708" s="53">
        <v>707</v>
      </c>
      <c r="B708" s="2" t="s">
        <v>1347</v>
      </c>
      <c r="C708" s="48" t="s">
        <v>663</v>
      </c>
      <c r="D708" t="s">
        <v>1257</v>
      </c>
      <c r="E708" t="s">
        <v>1307</v>
      </c>
      <c r="H708" s="154"/>
      <c r="I708" s="18" t="s">
        <v>1066</v>
      </c>
      <c r="J708" s="23"/>
      <c r="L708" s="4" t="s">
        <v>2</v>
      </c>
      <c r="M708" s="5" t="s">
        <v>1063</v>
      </c>
      <c r="O708" s="147">
        <v>2</v>
      </c>
      <c r="P708" s="15">
        <v>4</v>
      </c>
      <c r="Q708" s="148">
        <f t="shared" si="24"/>
        <v>6</v>
      </c>
      <c r="R7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ZADI CHANTAL GRAND-ZATTRY ZOMADRE KIPIRI    YAO VINCENT    F CONCUBINAGE </v>
      </c>
      <c r="Z708" s="53"/>
      <c r="AA708" s="2"/>
      <c r="AB708" s="48"/>
      <c r="AG708" s="154"/>
      <c r="AH708" s="18"/>
      <c r="AI708" s="23"/>
      <c r="AK708" s="4"/>
      <c r="AL708" s="5"/>
      <c r="AN708" s="147"/>
      <c r="AO708" s="15"/>
      <c r="AP708" s="148"/>
    </row>
    <row r="709" spans="1:42" ht="16.5" x14ac:dyDescent="0.35">
      <c r="A709" s="53">
        <v>708</v>
      </c>
      <c r="B709" s="2" t="s">
        <v>1348</v>
      </c>
      <c r="C709" s="48" t="s">
        <v>663</v>
      </c>
      <c r="D709" t="s">
        <v>1257</v>
      </c>
      <c r="E709" t="s">
        <v>1307</v>
      </c>
      <c r="H709" s="154"/>
      <c r="I709" s="18" t="s">
        <v>1066</v>
      </c>
      <c r="J709" s="23"/>
      <c r="L709" s="4" t="s">
        <v>2</v>
      </c>
      <c r="M709" s="5" t="s">
        <v>1063</v>
      </c>
      <c r="O709" s="147">
        <v>1</v>
      </c>
      <c r="P709" s="15">
        <v>3</v>
      </c>
      <c r="Q709" s="148">
        <f t="shared" si="24"/>
        <v>4</v>
      </c>
      <c r="R7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AKISSI ROSINE GRAND-ZATTRY ZOMADRE KIPIRI    YAO VINCENT    F CONCUBINAGE </v>
      </c>
      <c r="Z709" s="53"/>
      <c r="AA709" s="2"/>
      <c r="AB709" s="48"/>
      <c r="AG709" s="154"/>
      <c r="AH709" s="18"/>
      <c r="AI709" s="23"/>
      <c r="AK709" s="4"/>
      <c r="AL709" s="5"/>
      <c r="AN709" s="147"/>
      <c r="AO709" s="15"/>
      <c r="AP709" s="148"/>
    </row>
    <row r="710" spans="1:42" ht="16.5" x14ac:dyDescent="0.35">
      <c r="A710" s="53">
        <v>709</v>
      </c>
      <c r="B710" s="2" t="s">
        <v>1349</v>
      </c>
      <c r="C710" s="48" t="s">
        <v>663</v>
      </c>
      <c r="D710" t="s">
        <v>1257</v>
      </c>
      <c r="E710" t="s">
        <v>1307</v>
      </c>
      <c r="H710" s="154"/>
      <c r="I710" s="18" t="s">
        <v>1066</v>
      </c>
      <c r="J710" s="23"/>
      <c r="L710" s="4" t="s">
        <v>2</v>
      </c>
      <c r="M710" s="5" t="s">
        <v>1063</v>
      </c>
      <c r="O710" s="147">
        <v>2</v>
      </c>
      <c r="P710" s="15">
        <v>0</v>
      </c>
      <c r="Q710" s="148">
        <f t="shared" si="24"/>
        <v>2</v>
      </c>
      <c r="R7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DIGBEU CHRISTELLE GRAND-ZATTRY ZOMADRE KIPIRI    YAO VINCENT    F CONCUBINAGE </v>
      </c>
      <c r="Z710" s="53"/>
      <c r="AA710" s="2"/>
      <c r="AB710" s="48"/>
      <c r="AG710" s="154"/>
      <c r="AH710" s="18"/>
      <c r="AI710" s="23"/>
      <c r="AK710" s="4"/>
      <c r="AL710" s="5"/>
      <c r="AN710" s="147"/>
      <c r="AO710" s="15"/>
      <c r="AP710" s="148"/>
    </row>
    <row r="711" spans="1:42" ht="16.5" x14ac:dyDescent="0.35">
      <c r="A711" s="53">
        <v>710</v>
      </c>
      <c r="B711" s="2" t="s">
        <v>1350</v>
      </c>
      <c r="C711" s="48" t="s">
        <v>663</v>
      </c>
      <c r="D711" t="s">
        <v>1257</v>
      </c>
      <c r="E711" t="s">
        <v>1307</v>
      </c>
      <c r="H711" s="154"/>
      <c r="I711" s="18" t="s">
        <v>1066</v>
      </c>
      <c r="J711" s="23"/>
      <c r="L711" s="4" t="s">
        <v>2</v>
      </c>
      <c r="M711" s="5" t="s">
        <v>1063</v>
      </c>
      <c r="O711" s="147">
        <v>4</v>
      </c>
      <c r="P711" s="15">
        <v>1</v>
      </c>
      <c r="Q711" s="148">
        <f t="shared" si="24"/>
        <v>5</v>
      </c>
      <c r="R7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ZEGBEU BOKOU MEHI CHARLOTTE GRAND-ZATTRY ZOMADRE KIPIRI    YAO VINCENT    F CONCUBINAGE </v>
      </c>
      <c r="Z711" s="53"/>
      <c r="AA711" s="2"/>
      <c r="AB711" s="48"/>
      <c r="AG711" s="154"/>
      <c r="AH711" s="18"/>
      <c r="AI711" s="23"/>
      <c r="AK711" s="4"/>
      <c r="AL711" s="5"/>
      <c r="AN711" s="147"/>
      <c r="AO711" s="15"/>
      <c r="AP711" s="148"/>
    </row>
    <row r="712" spans="1:42" ht="16.5" x14ac:dyDescent="0.35">
      <c r="A712" s="53">
        <v>711</v>
      </c>
      <c r="B712" s="2" t="s">
        <v>1351</v>
      </c>
      <c r="C712" s="48" t="s">
        <v>663</v>
      </c>
      <c r="D712" t="s">
        <v>1257</v>
      </c>
      <c r="E712" t="s">
        <v>1307</v>
      </c>
      <c r="H712" s="154"/>
      <c r="I712" s="18" t="s">
        <v>1066</v>
      </c>
      <c r="J712" s="23"/>
      <c r="L712" s="4" t="s">
        <v>2</v>
      </c>
      <c r="M712" s="5" t="s">
        <v>1063</v>
      </c>
      <c r="O712" s="147">
        <v>1</v>
      </c>
      <c r="P712" s="15">
        <v>0</v>
      </c>
      <c r="Q712" s="148">
        <f t="shared" si="24"/>
        <v>1</v>
      </c>
      <c r="R7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GBAKA BALE IRENE GRAND-ZATTRY ZOMADRE KIPIRI    YAO VINCENT    F CONCUBINAGE </v>
      </c>
      <c r="Z712" s="53"/>
      <c r="AA712" s="2"/>
      <c r="AB712" s="48"/>
      <c r="AG712" s="154"/>
      <c r="AH712" s="18"/>
      <c r="AI712" s="23"/>
      <c r="AK712" s="4"/>
      <c r="AL712" s="5"/>
      <c r="AN712" s="147"/>
      <c r="AO712" s="15"/>
      <c r="AP712" s="148"/>
    </row>
    <row r="713" spans="1:42" ht="16.5" x14ac:dyDescent="0.35">
      <c r="A713" s="53">
        <v>712</v>
      </c>
      <c r="B713" s="2" t="s">
        <v>1352</v>
      </c>
      <c r="C713" s="48" t="s">
        <v>663</v>
      </c>
      <c r="D713" t="s">
        <v>1257</v>
      </c>
      <c r="E713" t="s">
        <v>1307</v>
      </c>
      <c r="H713" s="154"/>
      <c r="I713" s="18" t="s">
        <v>1066</v>
      </c>
      <c r="J713" s="23"/>
      <c r="L713" s="4" t="s">
        <v>2</v>
      </c>
      <c r="M713" s="5" t="s">
        <v>1063</v>
      </c>
      <c r="O713" s="147">
        <v>2</v>
      </c>
      <c r="P713" s="15">
        <v>0</v>
      </c>
      <c r="Q713" s="148">
        <f t="shared" si="24"/>
        <v>2</v>
      </c>
      <c r="R7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GBALOU ESTELLE GRAND-ZATTRY ZOMADRE KIPIRI    YAO VINCENT    F CONCUBINAGE </v>
      </c>
      <c r="Z713" s="53"/>
      <c r="AA713" s="2"/>
      <c r="AB713" s="48"/>
      <c r="AG713" s="154"/>
      <c r="AH713" s="18"/>
      <c r="AI713" s="23"/>
      <c r="AK713" s="4"/>
      <c r="AL713" s="5"/>
      <c r="AN713" s="147"/>
      <c r="AO713" s="15"/>
      <c r="AP713" s="148"/>
    </row>
    <row r="714" spans="1:42" ht="16.5" x14ac:dyDescent="0.35">
      <c r="A714" s="53">
        <v>713</v>
      </c>
      <c r="B714" s="2" t="s">
        <v>1353</v>
      </c>
      <c r="C714" s="48" t="s">
        <v>663</v>
      </c>
      <c r="D714" t="s">
        <v>1257</v>
      </c>
      <c r="E714" t="s">
        <v>1307</v>
      </c>
      <c r="H714" s="154"/>
      <c r="I714" s="18" t="s">
        <v>1066</v>
      </c>
      <c r="J714" s="23"/>
      <c r="L714" s="4" t="s">
        <v>2</v>
      </c>
      <c r="M714" s="5" t="s">
        <v>1063</v>
      </c>
      <c r="O714" s="147">
        <v>0</v>
      </c>
      <c r="P714" s="15">
        <v>0</v>
      </c>
      <c r="Q714" s="148">
        <f t="shared" si="24"/>
        <v>0</v>
      </c>
      <c r="R7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OUPOH PEGY LAURE GRAND-ZATTRY ZOMADRE KIPIRI    YAO VINCENT    F CONCUBINAGE </v>
      </c>
      <c r="Z714" s="53"/>
      <c r="AA714" s="2"/>
      <c r="AB714" s="48"/>
      <c r="AG714" s="154"/>
      <c r="AH714" s="18"/>
      <c r="AI714" s="23"/>
      <c r="AK714" s="4"/>
      <c r="AL714" s="5"/>
      <c r="AN714" s="147"/>
      <c r="AO714" s="15"/>
      <c r="AP714" s="148"/>
    </row>
    <row r="715" spans="1:42" ht="16.5" x14ac:dyDescent="0.35">
      <c r="A715" s="53">
        <v>714</v>
      </c>
      <c r="B715" s="2" t="s">
        <v>1354</v>
      </c>
      <c r="C715" s="48" t="s">
        <v>663</v>
      </c>
      <c r="D715" t="s">
        <v>1257</v>
      </c>
      <c r="E715" t="s">
        <v>1307</v>
      </c>
      <c r="H715" s="154"/>
      <c r="I715" s="18" t="s">
        <v>1066</v>
      </c>
      <c r="J715" s="23"/>
      <c r="L715" s="4" t="s">
        <v>9</v>
      </c>
      <c r="M715" s="5" t="s">
        <v>1063</v>
      </c>
      <c r="O715" s="147">
        <v>4</v>
      </c>
      <c r="P715" s="15">
        <v>4</v>
      </c>
      <c r="Q715" s="148">
        <f t="shared" si="24"/>
        <v>8</v>
      </c>
      <c r="R7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DAH TAPE NICAISE GRAND-ZATTRY ZOMADRE KIPIRI    YAO VINCENT    M CONCUBINAGE </v>
      </c>
      <c r="Z715" s="53"/>
      <c r="AA715" s="2"/>
      <c r="AB715" s="48"/>
      <c r="AG715" s="154"/>
      <c r="AH715" s="18"/>
      <c r="AI715" s="23"/>
      <c r="AK715" s="4"/>
      <c r="AL715" s="5"/>
      <c r="AN715" s="147"/>
      <c r="AO715" s="15"/>
      <c r="AP715" s="148"/>
    </row>
    <row r="716" spans="1:42" ht="16.5" x14ac:dyDescent="0.35">
      <c r="A716" s="53">
        <v>715</v>
      </c>
      <c r="B716" s="2" t="s">
        <v>1355</v>
      </c>
      <c r="C716" s="48" t="s">
        <v>663</v>
      </c>
      <c r="D716" t="s">
        <v>1257</v>
      </c>
      <c r="E716" t="s">
        <v>1307</v>
      </c>
      <c r="H716" s="154"/>
      <c r="I716" s="18" t="s">
        <v>1066</v>
      </c>
      <c r="J716" s="23"/>
      <c r="L716" s="4" t="s">
        <v>2</v>
      </c>
      <c r="M716" s="5" t="s">
        <v>1063</v>
      </c>
      <c r="O716" s="147">
        <v>2</v>
      </c>
      <c r="P716" s="15">
        <v>0</v>
      </c>
      <c r="Q716" s="148">
        <f t="shared" si="24"/>
        <v>2</v>
      </c>
      <c r="R7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BOBEA MELAINE GRAND-ZATTRY ZOMADRE KIPIRI    YAO VINCENT    F CONCUBINAGE </v>
      </c>
      <c r="Z716" s="53"/>
      <c r="AA716" s="2"/>
      <c r="AB716" s="48"/>
      <c r="AG716" s="154"/>
      <c r="AH716" s="18"/>
      <c r="AI716" s="23"/>
      <c r="AK716" s="4"/>
      <c r="AL716" s="5"/>
      <c r="AN716" s="147"/>
      <c r="AO716" s="15"/>
      <c r="AP716" s="148"/>
    </row>
    <row r="717" spans="1:42" ht="16.5" x14ac:dyDescent="0.35">
      <c r="A717" s="53">
        <v>716</v>
      </c>
      <c r="B717" s="2" t="s">
        <v>1356</v>
      </c>
      <c r="C717" s="48" t="s">
        <v>663</v>
      </c>
      <c r="D717" t="s">
        <v>1257</v>
      </c>
      <c r="E717" t="s">
        <v>1307</v>
      </c>
      <c r="H717" s="154"/>
      <c r="I717" s="18" t="s">
        <v>1066</v>
      </c>
      <c r="J717" s="23" t="s">
        <v>1364</v>
      </c>
      <c r="L717" s="4" t="s">
        <v>2</v>
      </c>
      <c r="M717" s="5" t="s">
        <v>1063</v>
      </c>
      <c r="O717" s="147">
        <v>1</v>
      </c>
      <c r="P717" s="15">
        <v>4</v>
      </c>
      <c r="Q717" s="148">
        <f t="shared" si="24"/>
        <v>5</v>
      </c>
      <c r="R7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GOGOUA NADEGE GRAND-ZATTRY ZOMADRE KIPIRI    YAO VINCENT  0171478536  F CONCUBINAGE </v>
      </c>
      <c r="Z717" s="53"/>
      <c r="AA717" s="2"/>
      <c r="AB717" s="48"/>
      <c r="AG717" s="154"/>
      <c r="AH717" s="18"/>
      <c r="AI717" s="23"/>
      <c r="AK717" s="4"/>
      <c r="AL717" s="5"/>
      <c r="AN717" s="147"/>
      <c r="AO717" s="15"/>
      <c r="AP717" s="148"/>
    </row>
    <row r="718" spans="1:42" ht="16.5" x14ac:dyDescent="0.5">
      <c r="A718" s="53">
        <v>717</v>
      </c>
      <c r="B718" s="2" t="s">
        <v>1357</v>
      </c>
      <c r="C718" s="48" t="s">
        <v>663</v>
      </c>
      <c r="D718" t="s">
        <v>1257</v>
      </c>
      <c r="E718" t="s">
        <v>1307</v>
      </c>
      <c r="H718" s="154"/>
      <c r="I718" s="18" t="s">
        <v>1066</v>
      </c>
      <c r="J718" s="23"/>
      <c r="L718" s="4" t="s">
        <v>2</v>
      </c>
      <c r="M718" s="6" t="s">
        <v>1063</v>
      </c>
      <c r="O718" s="149">
        <v>1</v>
      </c>
      <c r="P718" s="149">
        <v>0</v>
      </c>
      <c r="Q718" s="148">
        <f t="shared" si="24"/>
        <v>1</v>
      </c>
      <c r="R7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GUEDE DEYE THERESE GRAND-ZATTRY ZOMADRE KIPIRI    YAO VINCENT    F CONCUBINAGE </v>
      </c>
      <c r="Z718" s="53"/>
      <c r="AA718" s="2"/>
      <c r="AB718" s="48"/>
      <c r="AG718" s="154"/>
      <c r="AH718" s="18"/>
      <c r="AI718" s="23"/>
      <c r="AK718" s="4"/>
      <c r="AL718" s="6"/>
      <c r="AN718" s="149"/>
      <c r="AO718" s="149"/>
      <c r="AP718" s="148"/>
    </row>
    <row r="719" spans="1:42" ht="16.5" x14ac:dyDescent="0.35">
      <c r="A719" s="53">
        <v>718</v>
      </c>
      <c r="B719" s="2" t="s">
        <v>1358</v>
      </c>
      <c r="C719" s="48" t="s">
        <v>663</v>
      </c>
      <c r="D719" t="s">
        <v>1257</v>
      </c>
      <c r="E719" t="s">
        <v>1307</v>
      </c>
      <c r="H719" s="154"/>
      <c r="I719" s="18" t="s">
        <v>1066</v>
      </c>
      <c r="J719" s="24"/>
      <c r="L719" s="4" t="s">
        <v>2</v>
      </c>
      <c r="M719" s="8" t="s">
        <v>1063</v>
      </c>
      <c r="O719" s="151">
        <v>0</v>
      </c>
      <c r="P719" s="151">
        <v>0</v>
      </c>
      <c r="Q719" s="148">
        <f t="shared" si="24"/>
        <v>0</v>
      </c>
      <c r="R7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LEKPA SAHOUA REBECCA GRAND-ZATTRY ZOMADRE KIPIRI    YAO VINCENT    F CONCUBINAGE </v>
      </c>
      <c r="Z719" s="53"/>
      <c r="AA719" s="2"/>
      <c r="AB719" s="48"/>
      <c r="AG719" s="154"/>
      <c r="AH719" s="18"/>
      <c r="AI719" s="24"/>
      <c r="AK719" s="4"/>
      <c r="AL719" s="8"/>
      <c r="AN719" s="151"/>
      <c r="AO719" s="151"/>
      <c r="AP719" s="148"/>
    </row>
    <row r="720" spans="1:42" ht="16.5" x14ac:dyDescent="0.35">
      <c r="A720" s="53">
        <v>719</v>
      </c>
      <c r="B720" s="9" t="s">
        <v>1359</v>
      </c>
      <c r="C720" s="48" t="s">
        <v>663</v>
      </c>
      <c r="D720" t="s">
        <v>1257</v>
      </c>
      <c r="E720" t="s">
        <v>1307</v>
      </c>
      <c r="H720" s="154"/>
      <c r="I720" s="18" t="s">
        <v>1066</v>
      </c>
      <c r="J720" s="25"/>
      <c r="L720" s="178" t="s">
        <v>9</v>
      </c>
      <c r="M720" s="11" t="s">
        <v>1063</v>
      </c>
      <c r="O720" s="143">
        <v>5</v>
      </c>
      <c r="P720" s="143">
        <v>2</v>
      </c>
      <c r="Q720" s="148">
        <f t="shared" si="24"/>
        <v>7</v>
      </c>
      <c r="R7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KOUDOUGNON RAPHAEL GRAND-ZATTRY ZOMADRE KIPIRI    YAO VINCENT    M CONCUBINAGE </v>
      </c>
      <c r="Z720" s="53"/>
      <c r="AA720" s="9"/>
      <c r="AB720" s="48"/>
      <c r="AG720" s="154"/>
      <c r="AH720" s="18"/>
      <c r="AI720" s="25"/>
      <c r="AK720" s="178"/>
      <c r="AL720" s="11"/>
      <c r="AN720" s="143"/>
      <c r="AO720" s="143"/>
      <c r="AP720" s="148"/>
    </row>
    <row r="721" spans="1:42" ht="17" thickBot="1" x14ac:dyDescent="0.4">
      <c r="A721" s="53">
        <v>720</v>
      </c>
      <c r="B721" s="9" t="s">
        <v>1360</v>
      </c>
      <c r="C721" s="48" t="s">
        <v>663</v>
      </c>
      <c r="D721" t="s">
        <v>1257</v>
      </c>
      <c r="E721" t="s">
        <v>1307</v>
      </c>
      <c r="H721" s="154"/>
      <c r="I721" s="18" t="s">
        <v>1066</v>
      </c>
      <c r="J721" s="193"/>
      <c r="L721" s="14" t="s">
        <v>9</v>
      </c>
      <c r="M721" s="14" t="s">
        <v>1063</v>
      </c>
      <c r="O721" s="141">
        <v>3</v>
      </c>
      <c r="P721" s="141">
        <v>4</v>
      </c>
      <c r="Q721" s="148">
        <f t="shared" si="24"/>
        <v>7</v>
      </c>
      <c r="R7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YEPE CLAUDE GRAND-ZATTRY ZOMADRE KIPIRI    YAO VINCENT    M CONCUBINAGE </v>
      </c>
      <c r="Z721" s="53"/>
      <c r="AA721" s="9"/>
      <c r="AB721" s="48"/>
      <c r="AG721" s="154"/>
      <c r="AH721" s="18"/>
      <c r="AI721" s="193"/>
      <c r="AK721" s="14"/>
      <c r="AL721" s="14"/>
      <c r="AN721" s="141"/>
      <c r="AO721" s="141"/>
      <c r="AP721" s="148"/>
    </row>
    <row r="722" spans="1:42" ht="16.5" x14ac:dyDescent="0.35">
      <c r="A722" s="53">
        <v>721</v>
      </c>
      <c r="B722" s="5" t="s">
        <v>256</v>
      </c>
      <c r="C722" s="48" t="s">
        <v>663</v>
      </c>
      <c r="D722" t="s">
        <v>1365</v>
      </c>
      <c r="E722" t="s">
        <v>1307</v>
      </c>
      <c r="H722" s="10"/>
      <c r="I722" s="18" t="s">
        <v>1066</v>
      </c>
      <c r="J722" s="23" t="s">
        <v>299</v>
      </c>
      <c r="L722" s="4" t="s">
        <v>9</v>
      </c>
      <c r="M722" s="27"/>
      <c r="O722" s="143"/>
      <c r="P722" s="143"/>
      <c r="Q722" s="153">
        <f>SUM(M722:P722)</f>
        <v>0</v>
      </c>
      <c r="R7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ALASSANE GRAND-ZATTRY  LAGOZI KIPIRI    YAO VINCENT  0778103746  M  </v>
      </c>
      <c r="Z722" s="53"/>
      <c r="AA722" s="5"/>
      <c r="AB722" s="48"/>
      <c r="AG722" s="10"/>
      <c r="AH722" s="18"/>
      <c r="AI722" s="23"/>
      <c r="AK722" s="4"/>
      <c r="AL722" s="27"/>
      <c r="AN722" s="143"/>
      <c r="AO722" s="143"/>
      <c r="AP722" s="153"/>
    </row>
    <row r="723" spans="1:42" ht="16.5" x14ac:dyDescent="0.35">
      <c r="A723" s="53">
        <v>722</v>
      </c>
      <c r="B723" s="5" t="s">
        <v>257</v>
      </c>
      <c r="C723" s="48" t="s">
        <v>663</v>
      </c>
      <c r="D723" t="s">
        <v>1365</v>
      </c>
      <c r="E723" t="s">
        <v>1307</v>
      </c>
      <c r="H723" s="10"/>
      <c r="I723" s="18" t="s">
        <v>1066</v>
      </c>
      <c r="J723" s="23" t="s">
        <v>300</v>
      </c>
      <c r="L723" s="4" t="s">
        <v>2</v>
      </c>
      <c r="M723" s="5"/>
      <c r="O723" s="143"/>
      <c r="P723" s="143"/>
      <c r="Q723" s="153">
        <f t="shared" ref="Q723:Q750" si="25">SUM(M723:P723)</f>
        <v>0</v>
      </c>
      <c r="R7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ZONGO MAMOUNATA GRAND-ZATTRY  LAGOZI KIPIRI    YAO VINCENT  0798113505  F  </v>
      </c>
      <c r="Z723" s="53"/>
      <c r="AA723" s="5"/>
      <c r="AB723" s="48"/>
      <c r="AG723" s="10"/>
      <c r="AH723" s="18"/>
      <c r="AI723" s="23"/>
      <c r="AK723" s="4"/>
      <c r="AL723" s="5"/>
      <c r="AN723" s="143"/>
      <c r="AO723" s="143"/>
      <c r="AP723" s="153"/>
    </row>
    <row r="724" spans="1:42" ht="16.5" x14ac:dyDescent="0.35">
      <c r="A724" s="53">
        <v>723</v>
      </c>
      <c r="B724" s="5" t="s">
        <v>258</v>
      </c>
      <c r="C724" s="48" t="s">
        <v>663</v>
      </c>
      <c r="D724" t="s">
        <v>1365</v>
      </c>
      <c r="E724" t="s">
        <v>1307</v>
      </c>
      <c r="H724" s="154"/>
      <c r="I724" s="18" t="s">
        <v>1066</v>
      </c>
      <c r="J724" s="23"/>
      <c r="L724" s="4" t="s">
        <v>2</v>
      </c>
      <c r="M724" s="5"/>
      <c r="O724" s="190"/>
      <c r="P724" s="190"/>
      <c r="Q724" s="191">
        <f t="shared" si="25"/>
        <v>0</v>
      </c>
      <c r="R7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NIKIEMA SAFIATOU GRAND-ZATTRY  LAGOZI KIPIRI    YAO VINCENT    F  </v>
      </c>
      <c r="Z724" s="53"/>
      <c r="AA724" s="5"/>
      <c r="AB724" s="48"/>
      <c r="AG724" s="154"/>
      <c r="AH724" s="18"/>
      <c r="AI724" s="23"/>
      <c r="AK724" s="4"/>
      <c r="AL724" s="5"/>
      <c r="AN724" s="190"/>
      <c r="AO724" s="190"/>
      <c r="AP724" s="191"/>
    </row>
    <row r="725" spans="1:42" ht="16.5" x14ac:dyDescent="0.35">
      <c r="A725" s="53">
        <v>724</v>
      </c>
      <c r="B725" s="5" t="s">
        <v>259</v>
      </c>
      <c r="C725" s="48" t="s">
        <v>663</v>
      </c>
      <c r="D725" t="s">
        <v>1365</v>
      </c>
      <c r="E725" t="s">
        <v>1307</v>
      </c>
      <c r="H725" s="154"/>
      <c r="I725" s="18" t="s">
        <v>1066</v>
      </c>
      <c r="J725" s="23" t="s">
        <v>301</v>
      </c>
      <c r="L725" s="4" t="s">
        <v>9</v>
      </c>
      <c r="M725" s="5"/>
      <c r="O725" s="190"/>
      <c r="P725" s="190"/>
      <c r="Q725" s="191">
        <f t="shared" si="25"/>
        <v>0</v>
      </c>
      <c r="R7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KOUALA ADAMA GRAND-ZATTRY  LAGOZI KIPIRI    YAO VINCENT  0747785419  M  </v>
      </c>
      <c r="Z725" s="53"/>
      <c r="AA725" s="5"/>
      <c r="AB725" s="48"/>
      <c r="AG725" s="154"/>
      <c r="AH725" s="18"/>
      <c r="AI725" s="23"/>
      <c r="AK725" s="4"/>
      <c r="AL725" s="5"/>
      <c r="AN725" s="190"/>
      <c r="AO725" s="190"/>
      <c r="AP725" s="191"/>
    </row>
    <row r="726" spans="1:42" ht="16.5" x14ac:dyDescent="0.35">
      <c r="A726" s="53">
        <v>725</v>
      </c>
      <c r="B726" s="5" t="s">
        <v>260</v>
      </c>
      <c r="C726" s="48" t="s">
        <v>663</v>
      </c>
      <c r="D726" t="s">
        <v>1365</v>
      </c>
      <c r="E726" t="s">
        <v>1307</v>
      </c>
      <c r="H726" s="154"/>
      <c r="I726" s="18" t="s">
        <v>1066</v>
      </c>
      <c r="J726" s="23"/>
      <c r="L726" s="4" t="s">
        <v>2</v>
      </c>
      <c r="M726" s="5"/>
      <c r="O726" s="190"/>
      <c r="P726" s="190"/>
      <c r="Q726" s="191">
        <f t="shared" si="25"/>
        <v>0</v>
      </c>
      <c r="R7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AMINATA GRAND-ZATTRY  LAGOZI KIPIRI    YAO VINCENT    F  </v>
      </c>
      <c r="Z726" s="53"/>
      <c r="AA726" s="5"/>
      <c r="AB726" s="48"/>
      <c r="AG726" s="154"/>
      <c r="AH726" s="18"/>
      <c r="AI726" s="23"/>
      <c r="AK726" s="4"/>
      <c r="AL726" s="5"/>
      <c r="AN726" s="190"/>
      <c r="AO726" s="190"/>
      <c r="AP726" s="191"/>
    </row>
    <row r="727" spans="1:42" ht="16.5" x14ac:dyDescent="0.35">
      <c r="A727" s="53">
        <v>726</v>
      </c>
      <c r="B727" s="5" t="s">
        <v>261</v>
      </c>
      <c r="C727" s="48" t="s">
        <v>663</v>
      </c>
      <c r="D727" t="s">
        <v>1365</v>
      </c>
      <c r="E727" t="s">
        <v>1307</v>
      </c>
      <c r="H727" s="154"/>
      <c r="I727" s="18" t="s">
        <v>1066</v>
      </c>
      <c r="J727" s="23"/>
      <c r="L727" s="4" t="s">
        <v>2</v>
      </c>
      <c r="M727" s="5"/>
      <c r="O727" s="190"/>
      <c r="P727" s="190"/>
      <c r="Q727" s="191">
        <f t="shared" si="25"/>
        <v>0</v>
      </c>
      <c r="R7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KARIDJATOU GRAND-ZATTRY  LAGOZI KIPIRI    YAO VINCENT    F  </v>
      </c>
      <c r="Z727" s="53"/>
      <c r="AA727" s="5"/>
      <c r="AB727" s="48"/>
      <c r="AG727" s="154"/>
      <c r="AH727" s="18"/>
      <c r="AI727" s="23"/>
      <c r="AK727" s="4"/>
      <c r="AL727" s="5"/>
      <c r="AN727" s="190"/>
      <c r="AO727" s="190"/>
      <c r="AP727" s="191"/>
    </row>
    <row r="728" spans="1:42" ht="16.5" x14ac:dyDescent="0.35">
      <c r="A728" s="53">
        <v>727</v>
      </c>
      <c r="B728" s="5" t="s">
        <v>262</v>
      </c>
      <c r="C728" s="48" t="s">
        <v>663</v>
      </c>
      <c r="D728" t="s">
        <v>1365</v>
      </c>
      <c r="E728" t="s">
        <v>1307</v>
      </c>
      <c r="H728" s="154"/>
      <c r="I728" s="18" t="s">
        <v>1066</v>
      </c>
      <c r="J728" s="23" t="s">
        <v>302</v>
      </c>
      <c r="L728" s="4" t="s">
        <v>2</v>
      </c>
      <c r="M728" s="5"/>
      <c r="O728" s="190"/>
      <c r="P728" s="190"/>
      <c r="Q728" s="191">
        <f t="shared" si="25"/>
        <v>0</v>
      </c>
      <c r="R7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LISATA GRAND-ZATTRY  LAGOZI KIPIRI    YAO VINCENT  0758510795  F  </v>
      </c>
      <c r="Z728" s="53"/>
      <c r="AA728" s="5"/>
      <c r="AB728" s="48"/>
      <c r="AG728" s="154"/>
      <c r="AH728" s="18"/>
      <c r="AI728" s="23"/>
      <c r="AK728" s="4"/>
      <c r="AL728" s="5"/>
      <c r="AN728" s="190"/>
      <c r="AO728" s="190"/>
      <c r="AP728" s="191"/>
    </row>
    <row r="729" spans="1:42" ht="16.5" x14ac:dyDescent="0.35">
      <c r="A729" s="53">
        <v>728</v>
      </c>
      <c r="B729" s="5" t="s">
        <v>263</v>
      </c>
      <c r="C729" s="48" t="s">
        <v>663</v>
      </c>
      <c r="D729" t="s">
        <v>1365</v>
      </c>
      <c r="E729" t="s">
        <v>1307</v>
      </c>
      <c r="H729" s="154"/>
      <c r="I729" s="18" t="s">
        <v>1066</v>
      </c>
      <c r="J729" s="23"/>
      <c r="L729" s="4" t="s">
        <v>2</v>
      </c>
      <c r="M729" s="5"/>
      <c r="O729" s="190"/>
      <c r="P729" s="190"/>
      <c r="Q729" s="191">
        <f t="shared" si="25"/>
        <v>0</v>
      </c>
      <c r="R7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NIKIEMA AMI GRAND-ZATTRY  LAGOZI KIPIRI    YAO VINCENT    F  </v>
      </c>
      <c r="Z729" s="53"/>
      <c r="AA729" s="5"/>
      <c r="AB729" s="48"/>
      <c r="AG729" s="154"/>
      <c r="AH729" s="18"/>
      <c r="AI729" s="23"/>
      <c r="AK729" s="4"/>
      <c r="AL729" s="5"/>
      <c r="AN729" s="190"/>
      <c r="AO729" s="190"/>
      <c r="AP729" s="191"/>
    </row>
    <row r="730" spans="1:42" ht="16.5" x14ac:dyDescent="0.35">
      <c r="A730" s="53">
        <v>729</v>
      </c>
      <c r="B730" s="5" t="s">
        <v>264</v>
      </c>
      <c r="C730" s="48" t="s">
        <v>663</v>
      </c>
      <c r="D730" t="s">
        <v>1365</v>
      </c>
      <c r="E730" t="s">
        <v>1307</v>
      </c>
      <c r="H730" s="154"/>
      <c r="I730" s="18" t="s">
        <v>1066</v>
      </c>
      <c r="J730" s="23"/>
      <c r="L730" s="4" t="s">
        <v>9</v>
      </c>
      <c r="M730" s="5"/>
      <c r="O730" s="190"/>
      <c r="P730" s="190"/>
      <c r="Q730" s="191">
        <f t="shared" si="25"/>
        <v>0</v>
      </c>
      <c r="R7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SOULEMANE GRAND-ZATTRY  LAGOZI KIPIRI    YAO VINCENT    M  </v>
      </c>
      <c r="Z730" s="53"/>
      <c r="AA730" s="5"/>
      <c r="AB730" s="48"/>
      <c r="AG730" s="154"/>
      <c r="AH730" s="18"/>
      <c r="AI730" s="23"/>
      <c r="AK730" s="4"/>
      <c r="AL730" s="5"/>
      <c r="AN730" s="190"/>
      <c r="AO730" s="190"/>
      <c r="AP730" s="191"/>
    </row>
    <row r="731" spans="1:42" ht="16.5" x14ac:dyDescent="0.35">
      <c r="A731" s="53">
        <v>730</v>
      </c>
      <c r="B731" s="5" t="s">
        <v>265</v>
      </c>
      <c r="C731" s="48" t="s">
        <v>663</v>
      </c>
      <c r="D731" t="s">
        <v>1365</v>
      </c>
      <c r="E731" t="s">
        <v>1307</v>
      </c>
      <c r="H731" s="154"/>
      <c r="I731" s="18" t="s">
        <v>1066</v>
      </c>
      <c r="J731" s="23" t="s">
        <v>303</v>
      </c>
      <c r="L731" s="4" t="s">
        <v>9</v>
      </c>
      <c r="M731" s="5"/>
      <c r="O731" s="190"/>
      <c r="P731" s="190"/>
      <c r="Q731" s="191">
        <f t="shared" si="25"/>
        <v>0</v>
      </c>
      <c r="R7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ISSIAKA GRAND-ZATTRY  LAGOZI KIPIRI    YAO VINCENT  0778103467  M  </v>
      </c>
      <c r="Z731" s="53"/>
      <c r="AA731" s="5"/>
      <c r="AB731" s="48"/>
      <c r="AG731" s="154"/>
      <c r="AH731" s="18"/>
      <c r="AI731" s="23"/>
      <c r="AK731" s="4"/>
      <c r="AL731" s="5"/>
      <c r="AN731" s="190"/>
      <c r="AO731" s="190"/>
      <c r="AP731" s="191"/>
    </row>
    <row r="732" spans="1:42" ht="16.5" x14ac:dyDescent="0.35">
      <c r="A732" s="53">
        <v>731</v>
      </c>
      <c r="B732" s="5" t="s">
        <v>266</v>
      </c>
      <c r="C732" s="48" t="s">
        <v>663</v>
      </c>
      <c r="D732" t="s">
        <v>1365</v>
      </c>
      <c r="E732" t="s">
        <v>1307</v>
      </c>
      <c r="H732" s="154"/>
      <c r="I732" s="18" t="s">
        <v>1066</v>
      </c>
      <c r="J732" s="23"/>
      <c r="L732" s="4" t="s">
        <v>9</v>
      </c>
      <c r="M732" s="5"/>
      <c r="O732" s="190"/>
      <c r="P732" s="190"/>
      <c r="Q732" s="191">
        <f t="shared" si="25"/>
        <v>0</v>
      </c>
      <c r="R7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MADI GRAND-ZATTRY  LAGOZI KIPIRI    YAO VINCENT    M  </v>
      </c>
      <c r="Z732" s="53"/>
      <c r="AA732" s="5"/>
      <c r="AB732" s="48"/>
      <c r="AG732" s="154"/>
      <c r="AH732" s="18"/>
      <c r="AI732" s="23"/>
      <c r="AK732" s="4"/>
      <c r="AL732" s="5"/>
      <c r="AN732" s="190"/>
      <c r="AO732" s="190"/>
      <c r="AP732" s="191"/>
    </row>
    <row r="733" spans="1:42" ht="16.5" x14ac:dyDescent="0.35">
      <c r="A733" s="53">
        <v>732</v>
      </c>
      <c r="B733" s="5" t="s">
        <v>267</v>
      </c>
      <c r="C733" s="48" t="s">
        <v>663</v>
      </c>
      <c r="D733" t="s">
        <v>1365</v>
      </c>
      <c r="E733" t="s">
        <v>1307</v>
      </c>
      <c r="H733" s="154"/>
      <c r="I733" s="18" t="s">
        <v>1066</v>
      </c>
      <c r="J733" s="23" t="s">
        <v>304</v>
      </c>
      <c r="L733" s="4" t="s">
        <v>9</v>
      </c>
      <c r="M733" s="5"/>
      <c r="O733" s="190"/>
      <c r="P733" s="190"/>
      <c r="Q733" s="191">
        <f t="shared" si="25"/>
        <v>0</v>
      </c>
      <c r="R7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ABDOULAYE GRAND-ZATTRY  LAGOZI KIPIRI    YAO VINCENT  0566195231  M  </v>
      </c>
      <c r="Z733" s="53"/>
      <c r="AA733" s="5"/>
      <c r="AB733" s="48"/>
      <c r="AG733" s="154"/>
      <c r="AH733" s="18"/>
      <c r="AI733" s="23"/>
      <c r="AK733" s="4"/>
      <c r="AL733" s="5"/>
      <c r="AN733" s="190"/>
      <c r="AO733" s="190"/>
      <c r="AP733" s="191"/>
    </row>
    <row r="734" spans="1:42" ht="16.5" x14ac:dyDescent="0.35">
      <c r="A734" s="53">
        <v>733</v>
      </c>
      <c r="B734" s="5" t="s">
        <v>268</v>
      </c>
      <c r="C734" s="48" t="s">
        <v>663</v>
      </c>
      <c r="D734" t="s">
        <v>1365</v>
      </c>
      <c r="E734" t="s">
        <v>1307</v>
      </c>
      <c r="H734" s="154"/>
      <c r="I734" s="18" t="s">
        <v>1066</v>
      </c>
      <c r="J734" s="23"/>
      <c r="L734" s="4" t="s">
        <v>2</v>
      </c>
      <c r="M734" s="5"/>
      <c r="O734" s="190"/>
      <c r="P734" s="190"/>
      <c r="Q734" s="191">
        <f t="shared" si="25"/>
        <v>0</v>
      </c>
      <c r="R7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NAHANA ZEYNAB GRAND-ZATTRY  LAGOZI KIPIRI    YAO VINCENT    F  </v>
      </c>
      <c r="Z734" s="53"/>
      <c r="AA734" s="5"/>
      <c r="AB734" s="48"/>
      <c r="AG734" s="154"/>
      <c r="AH734" s="18"/>
      <c r="AI734" s="23"/>
      <c r="AK734" s="4"/>
      <c r="AL734" s="5"/>
      <c r="AN734" s="190"/>
      <c r="AO734" s="190"/>
      <c r="AP734" s="191"/>
    </row>
    <row r="735" spans="1:42" ht="16.5" x14ac:dyDescent="0.35">
      <c r="A735" s="53">
        <v>734</v>
      </c>
      <c r="B735" s="5" t="s">
        <v>269</v>
      </c>
      <c r="C735" s="48" t="s">
        <v>663</v>
      </c>
      <c r="D735" t="s">
        <v>1365</v>
      </c>
      <c r="E735" t="s">
        <v>1307</v>
      </c>
      <c r="H735" s="154"/>
      <c r="I735" s="18" t="s">
        <v>1066</v>
      </c>
      <c r="J735" s="23"/>
      <c r="L735" s="4" t="s">
        <v>2</v>
      </c>
      <c r="M735" s="5"/>
      <c r="O735" s="190"/>
      <c r="P735" s="190"/>
      <c r="Q735" s="191">
        <f t="shared" si="25"/>
        <v>0</v>
      </c>
      <c r="R7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KOROTOUM GRAND-ZATTRY  LAGOZI KIPIRI    YAO VINCENT    F  </v>
      </c>
      <c r="Z735" s="53"/>
      <c r="AA735" s="5"/>
      <c r="AB735" s="48"/>
      <c r="AG735" s="154"/>
      <c r="AH735" s="18"/>
      <c r="AI735" s="23"/>
      <c r="AK735" s="4"/>
      <c r="AL735" s="5"/>
      <c r="AN735" s="190"/>
      <c r="AO735" s="190"/>
      <c r="AP735" s="191"/>
    </row>
    <row r="736" spans="1:42" ht="16.5" x14ac:dyDescent="0.35">
      <c r="A736" s="53">
        <v>735</v>
      </c>
      <c r="B736" s="5" t="s">
        <v>270</v>
      </c>
      <c r="C736" s="48" t="s">
        <v>663</v>
      </c>
      <c r="D736" t="s">
        <v>1365</v>
      </c>
      <c r="E736" t="s">
        <v>1307</v>
      </c>
      <c r="H736" s="154"/>
      <c r="I736" s="18" t="s">
        <v>1066</v>
      </c>
      <c r="J736" s="23"/>
      <c r="L736" s="4" t="s">
        <v>2</v>
      </c>
      <c r="M736" s="5"/>
      <c r="O736" s="190"/>
      <c r="P736" s="190"/>
      <c r="Q736" s="191">
        <f t="shared" si="25"/>
        <v>0</v>
      </c>
      <c r="R7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WILLI HABIBATO GRAND-ZATTRY  LAGOZI KIPIRI    YAO VINCENT    F  </v>
      </c>
      <c r="Z736" s="53"/>
      <c r="AA736" s="5"/>
      <c r="AB736" s="48"/>
      <c r="AG736" s="154"/>
      <c r="AH736" s="18"/>
      <c r="AI736" s="23"/>
      <c r="AK736" s="4"/>
      <c r="AL736" s="5"/>
      <c r="AN736" s="190"/>
      <c r="AO736" s="190"/>
      <c r="AP736" s="191"/>
    </row>
    <row r="737" spans="1:42" ht="16.5" x14ac:dyDescent="0.35">
      <c r="A737" s="53">
        <v>736</v>
      </c>
      <c r="B737" s="5" t="s">
        <v>271</v>
      </c>
      <c r="C737" s="48" t="s">
        <v>663</v>
      </c>
      <c r="D737" t="s">
        <v>1365</v>
      </c>
      <c r="E737" t="s">
        <v>1307</v>
      </c>
      <c r="H737" s="154"/>
      <c r="I737" s="18" t="s">
        <v>1066</v>
      </c>
      <c r="J737" s="23" t="s">
        <v>305</v>
      </c>
      <c r="L737" s="4" t="s">
        <v>2</v>
      </c>
      <c r="M737" s="5"/>
      <c r="O737" s="190"/>
      <c r="P737" s="190"/>
      <c r="Q737" s="191">
        <f t="shared" si="25"/>
        <v>0</v>
      </c>
      <c r="R7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MAMOUNATA GRAND-ZATTRY  LAGOZI KIPIRI    YAO VINCENT  0758876879  F  </v>
      </c>
      <c r="Z737" s="53"/>
      <c r="AA737" s="5"/>
      <c r="AB737" s="48"/>
      <c r="AG737" s="154"/>
      <c r="AH737" s="18"/>
      <c r="AI737" s="23"/>
      <c r="AK737" s="4"/>
      <c r="AL737" s="5"/>
      <c r="AN737" s="190"/>
      <c r="AO737" s="190"/>
      <c r="AP737" s="191"/>
    </row>
    <row r="738" spans="1:42" ht="16.5" x14ac:dyDescent="0.35">
      <c r="A738" s="53">
        <v>737</v>
      </c>
      <c r="B738" s="5" t="s">
        <v>272</v>
      </c>
      <c r="C738" s="48" t="s">
        <v>663</v>
      </c>
      <c r="D738" t="s">
        <v>1365</v>
      </c>
      <c r="E738" t="s">
        <v>1307</v>
      </c>
      <c r="H738" s="154"/>
      <c r="I738" s="18" t="s">
        <v>1066</v>
      </c>
      <c r="J738" s="23" t="s">
        <v>306</v>
      </c>
      <c r="L738" s="4" t="s">
        <v>9</v>
      </c>
      <c r="M738" s="5"/>
      <c r="O738" s="190"/>
      <c r="P738" s="190"/>
      <c r="Q738" s="191">
        <f t="shared" si="25"/>
        <v>0</v>
      </c>
      <c r="R7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IBRAHIM GRAND-ZATTRY  LAGOZI KIPIRI    YAO VINCENT  0742026800  M  </v>
      </c>
      <c r="Z738" s="53"/>
      <c r="AA738" s="5"/>
      <c r="AB738" s="48"/>
      <c r="AG738" s="154"/>
      <c r="AH738" s="18"/>
      <c r="AI738" s="23"/>
      <c r="AK738" s="4"/>
      <c r="AL738" s="5"/>
      <c r="AN738" s="190"/>
      <c r="AO738" s="190"/>
      <c r="AP738" s="191"/>
    </row>
    <row r="739" spans="1:42" ht="16.5" x14ac:dyDescent="0.35">
      <c r="A739" s="53">
        <v>738</v>
      </c>
      <c r="B739" s="5" t="s">
        <v>273</v>
      </c>
      <c r="C739" s="48" t="s">
        <v>663</v>
      </c>
      <c r="D739" t="s">
        <v>1365</v>
      </c>
      <c r="E739" t="s">
        <v>1307</v>
      </c>
      <c r="H739" s="154"/>
      <c r="I739" s="18" t="s">
        <v>1066</v>
      </c>
      <c r="J739" s="23" t="s">
        <v>307</v>
      </c>
      <c r="L739" s="4" t="s">
        <v>9</v>
      </c>
      <c r="M739" s="5"/>
      <c r="O739" s="190"/>
      <c r="P739" s="190"/>
      <c r="Q739" s="191">
        <f t="shared" si="25"/>
        <v>0</v>
      </c>
      <c r="R7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IBRAHIM GRAND-ZATTRY  LAGOZI KIPIRI    YAO VINCENT  0759014585  M  </v>
      </c>
      <c r="Z739" s="53"/>
      <c r="AA739" s="5"/>
      <c r="AB739" s="48"/>
      <c r="AG739" s="154"/>
      <c r="AH739" s="18"/>
      <c r="AI739" s="23"/>
      <c r="AK739" s="4"/>
      <c r="AL739" s="5"/>
      <c r="AN739" s="190"/>
      <c r="AO739" s="190"/>
      <c r="AP739" s="191"/>
    </row>
    <row r="740" spans="1:42" ht="16.5" x14ac:dyDescent="0.35">
      <c r="A740" s="53">
        <v>739</v>
      </c>
      <c r="B740" s="5" t="s">
        <v>274</v>
      </c>
      <c r="C740" s="48" t="s">
        <v>663</v>
      </c>
      <c r="D740" t="s">
        <v>1365</v>
      </c>
      <c r="E740" t="s">
        <v>1307</v>
      </c>
      <c r="H740" s="154"/>
      <c r="I740" s="18" t="s">
        <v>1066</v>
      </c>
      <c r="J740" s="23"/>
      <c r="L740" s="4" t="s">
        <v>2</v>
      </c>
      <c r="M740" s="5"/>
      <c r="O740" s="190"/>
      <c r="P740" s="190"/>
      <c r="Q740" s="191">
        <f t="shared" si="25"/>
        <v>0</v>
      </c>
      <c r="R7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AWA GRAND-ZATTRY  LAGOZI KIPIRI    YAO VINCENT    F  </v>
      </c>
      <c r="Z740" s="53"/>
      <c r="AA740" s="5"/>
      <c r="AB740" s="48"/>
      <c r="AG740" s="154"/>
      <c r="AH740" s="18"/>
      <c r="AI740" s="23"/>
      <c r="AK740" s="4"/>
      <c r="AL740" s="5"/>
      <c r="AN740" s="190"/>
      <c r="AO740" s="190"/>
      <c r="AP740" s="191"/>
    </row>
    <row r="741" spans="1:42" ht="16.5" x14ac:dyDescent="0.35">
      <c r="A741" s="53">
        <v>740</v>
      </c>
      <c r="B741" s="5" t="s">
        <v>275</v>
      </c>
      <c r="C741" s="48" t="s">
        <v>663</v>
      </c>
      <c r="D741" t="s">
        <v>1365</v>
      </c>
      <c r="E741" t="s">
        <v>1307</v>
      </c>
      <c r="H741" s="154"/>
      <c r="I741" s="18" t="s">
        <v>1066</v>
      </c>
      <c r="J741" s="23"/>
      <c r="L741" s="4" t="s">
        <v>2</v>
      </c>
      <c r="M741" s="5"/>
      <c r="O741" s="190"/>
      <c r="P741" s="190"/>
      <c r="Q741" s="191">
        <f t="shared" si="25"/>
        <v>0</v>
      </c>
      <c r="R7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TIENDREBEOGO RAMATA GRAND-ZATTRY  LAGOZI KIPIRI    YAO VINCENT    F  </v>
      </c>
      <c r="Z741" s="53"/>
      <c r="AA741" s="5"/>
      <c r="AB741" s="48"/>
      <c r="AG741" s="154"/>
      <c r="AH741" s="18"/>
      <c r="AI741" s="23"/>
      <c r="AK741" s="4"/>
      <c r="AL741" s="5"/>
      <c r="AN741" s="190"/>
      <c r="AO741" s="190"/>
      <c r="AP741" s="191"/>
    </row>
    <row r="742" spans="1:42" ht="16.5" x14ac:dyDescent="0.35">
      <c r="A742" s="53">
        <v>741</v>
      </c>
      <c r="B742" s="5" t="s">
        <v>276</v>
      </c>
      <c r="C742" s="48" t="s">
        <v>663</v>
      </c>
      <c r="D742" t="s">
        <v>1365</v>
      </c>
      <c r="E742" t="s">
        <v>1307</v>
      </c>
      <c r="H742" s="154"/>
      <c r="I742" s="18" t="s">
        <v>1066</v>
      </c>
      <c r="J742" s="23"/>
      <c r="L742" s="4" t="s">
        <v>2</v>
      </c>
      <c r="M742" s="5"/>
      <c r="O742" s="190"/>
      <c r="P742" s="190"/>
      <c r="Q742" s="191">
        <f t="shared" si="25"/>
        <v>0</v>
      </c>
      <c r="R7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KARIDJATOU GRAND-ZATTRY  LAGOZI KIPIRI    YAO VINCENT    F  </v>
      </c>
      <c r="Z742" s="53"/>
      <c r="AA742" s="5"/>
      <c r="AB742" s="48"/>
      <c r="AG742" s="154"/>
      <c r="AH742" s="18"/>
      <c r="AI742" s="23"/>
      <c r="AK742" s="4"/>
      <c r="AL742" s="5"/>
      <c r="AN742" s="190"/>
      <c r="AO742" s="190"/>
      <c r="AP742" s="191"/>
    </row>
    <row r="743" spans="1:42" ht="16.5" x14ac:dyDescent="0.35">
      <c r="A743" s="53">
        <v>742</v>
      </c>
      <c r="B743" s="5" t="s">
        <v>277</v>
      </c>
      <c r="C743" s="48" t="s">
        <v>663</v>
      </c>
      <c r="D743" t="s">
        <v>1365</v>
      </c>
      <c r="E743" t="s">
        <v>1307</v>
      </c>
      <c r="H743" s="154"/>
      <c r="I743" s="18" t="s">
        <v>1066</v>
      </c>
      <c r="J743" s="23" t="s">
        <v>308</v>
      </c>
      <c r="L743" s="4" t="s">
        <v>9</v>
      </c>
      <c r="M743" s="5"/>
      <c r="O743" s="190"/>
      <c r="P743" s="190"/>
      <c r="Q743" s="191">
        <f t="shared" si="25"/>
        <v>0</v>
      </c>
      <c r="R7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ZOUNGRANA AMIDOU GRAND-ZATTRY  LAGOZI KIPIRI    YAO VINCENT  0747912400  M  </v>
      </c>
      <c r="Z743" s="53"/>
      <c r="AA743" s="5"/>
      <c r="AB743" s="48"/>
      <c r="AG743" s="154"/>
      <c r="AH743" s="18"/>
      <c r="AI743" s="23"/>
      <c r="AK743" s="4"/>
      <c r="AL743" s="5"/>
      <c r="AN743" s="190"/>
      <c r="AO743" s="190"/>
      <c r="AP743" s="191"/>
    </row>
    <row r="744" spans="1:42" ht="16.5" x14ac:dyDescent="0.35">
      <c r="A744" s="53">
        <v>743</v>
      </c>
      <c r="B744" s="5" t="s">
        <v>278</v>
      </c>
      <c r="C744" s="48" t="s">
        <v>663</v>
      </c>
      <c r="D744" t="s">
        <v>1365</v>
      </c>
      <c r="E744" t="s">
        <v>1307</v>
      </c>
      <c r="H744" s="154"/>
      <c r="I744" s="18" t="s">
        <v>1066</v>
      </c>
      <c r="J744" s="23" t="s">
        <v>309</v>
      </c>
      <c r="L744" s="4" t="s">
        <v>9</v>
      </c>
      <c r="M744" s="5"/>
      <c r="O744" s="190"/>
      <c r="P744" s="190"/>
      <c r="Q744" s="191">
        <f t="shared" si="25"/>
        <v>0</v>
      </c>
      <c r="R7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ZOUNGRANA SOULEYMANE GRAND-ZATTRY  LAGOZI KIPIRI    YAO VINCENT  0768396232  M  </v>
      </c>
      <c r="Z744" s="53"/>
      <c r="AA744" s="5"/>
      <c r="AB744" s="48"/>
      <c r="AG744" s="154"/>
      <c r="AH744" s="18"/>
      <c r="AI744" s="23"/>
      <c r="AK744" s="4"/>
      <c r="AL744" s="5"/>
      <c r="AN744" s="190"/>
      <c r="AO744" s="190"/>
      <c r="AP744" s="191"/>
    </row>
    <row r="745" spans="1:42" ht="16.5" x14ac:dyDescent="0.35">
      <c r="A745" s="53">
        <v>744</v>
      </c>
      <c r="B745" s="5" t="s">
        <v>279</v>
      </c>
      <c r="C745" s="48" t="s">
        <v>663</v>
      </c>
      <c r="D745" t="s">
        <v>1365</v>
      </c>
      <c r="E745" t="s">
        <v>1307</v>
      </c>
      <c r="H745" s="154"/>
      <c r="I745" s="18" t="s">
        <v>1066</v>
      </c>
      <c r="J745" s="23" t="s">
        <v>310</v>
      </c>
      <c r="L745" s="4" t="s">
        <v>9</v>
      </c>
      <c r="M745" s="5"/>
      <c r="O745" s="190"/>
      <c r="P745" s="190"/>
      <c r="Q745" s="191">
        <f t="shared" si="25"/>
        <v>0</v>
      </c>
      <c r="R7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ZOUNGRANA OUSMANE GRAND-ZATTRY  LAGOZI KIPIRI    YAO VINCENT  0777204741  M  </v>
      </c>
      <c r="Z745" s="53"/>
      <c r="AA745" s="5"/>
      <c r="AB745" s="48"/>
      <c r="AG745" s="154"/>
      <c r="AH745" s="18"/>
      <c r="AI745" s="23"/>
      <c r="AK745" s="4"/>
      <c r="AL745" s="5"/>
      <c r="AN745" s="190"/>
      <c r="AO745" s="190"/>
      <c r="AP745" s="191"/>
    </row>
    <row r="746" spans="1:42" ht="16.5" x14ac:dyDescent="0.35">
      <c r="A746" s="53">
        <v>745</v>
      </c>
      <c r="B746" s="5" t="s">
        <v>280</v>
      </c>
      <c r="C746" s="48" t="s">
        <v>663</v>
      </c>
      <c r="D746" t="s">
        <v>1365</v>
      </c>
      <c r="E746" t="s">
        <v>1307</v>
      </c>
      <c r="H746" s="154"/>
      <c r="I746" s="18" t="s">
        <v>1066</v>
      </c>
      <c r="J746" s="23" t="s">
        <v>311</v>
      </c>
      <c r="L746" s="4" t="s">
        <v>9</v>
      </c>
      <c r="M746" s="5"/>
      <c r="O746" s="190"/>
      <c r="P746" s="190"/>
      <c r="Q746" s="191">
        <f t="shared" si="25"/>
        <v>0</v>
      </c>
      <c r="R7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BOUGOUM MOUSSA GRAND-ZATTRY  LAGOZI KIPIRI    YAO VINCENT  0748780881  M  </v>
      </c>
      <c r="Z746" s="53"/>
      <c r="AA746" s="5"/>
      <c r="AB746" s="48"/>
      <c r="AG746" s="154"/>
      <c r="AH746" s="18"/>
      <c r="AI746" s="23"/>
      <c r="AK746" s="4"/>
      <c r="AL746" s="5"/>
      <c r="AN746" s="190"/>
      <c r="AO746" s="190"/>
      <c r="AP746" s="191"/>
    </row>
    <row r="747" spans="1:42" ht="16.5" x14ac:dyDescent="0.35">
      <c r="A747" s="53">
        <v>746</v>
      </c>
      <c r="B747" s="5" t="s">
        <v>281</v>
      </c>
      <c r="C747" s="48" t="s">
        <v>663</v>
      </c>
      <c r="D747" t="s">
        <v>1365</v>
      </c>
      <c r="E747" t="s">
        <v>1307</v>
      </c>
      <c r="H747" s="154"/>
      <c r="I747" s="18" t="s">
        <v>1066</v>
      </c>
      <c r="J747" s="23"/>
      <c r="L747" s="4" t="s">
        <v>9</v>
      </c>
      <c r="M747" s="5"/>
      <c r="O747" s="190"/>
      <c r="P747" s="190"/>
      <c r="Q747" s="191">
        <f t="shared" si="25"/>
        <v>0</v>
      </c>
      <c r="R7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KOANDA SALIMANTA GRAND-ZATTRY  LAGOZI KIPIRI    YAO VINCENT    M  </v>
      </c>
      <c r="Z747" s="53"/>
      <c r="AA747" s="5"/>
      <c r="AB747" s="48"/>
      <c r="AG747" s="154"/>
      <c r="AH747" s="18"/>
      <c r="AI747" s="23"/>
      <c r="AK747" s="4"/>
      <c r="AL747" s="5"/>
      <c r="AN747" s="190"/>
      <c r="AO747" s="190"/>
      <c r="AP747" s="191"/>
    </row>
    <row r="748" spans="1:42" ht="16.5" x14ac:dyDescent="0.35">
      <c r="A748" s="53">
        <v>747</v>
      </c>
      <c r="B748" s="5" t="s">
        <v>282</v>
      </c>
      <c r="C748" s="48" t="s">
        <v>663</v>
      </c>
      <c r="D748" t="s">
        <v>1365</v>
      </c>
      <c r="E748" t="s">
        <v>1307</v>
      </c>
      <c r="H748" s="154"/>
      <c r="I748" s="18" t="s">
        <v>1066</v>
      </c>
      <c r="J748" s="23"/>
      <c r="L748" s="4" t="s">
        <v>2</v>
      </c>
      <c r="M748" s="5"/>
      <c r="O748" s="190"/>
      <c r="P748" s="190"/>
      <c r="Q748" s="191">
        <f t="shared" si="25"/>
        <v>0</v>
      </c>
      <c r="R7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KABORE FATOUMATA GRAND-ZATTRY  LAGOZI KIPIRI    YAO VINCENT    F  </v>
      </c>
      <c r="Z748" s="53"/>
      <c r="AA748" s="5"/>
      <c r="AB748" s="48"/>
      <c r="AG748" s="154"/>
      <c r="AH748" s="18"/>
      <c r="AI748" s="23"/>
      <c r="AK748" s="4"/>
      <c r="AL748" s="5"/>
      <c r="AN748" s="190"/>
      <c r="AO748" s="190"/>
      <c r="AP748" s="191"/>
    </row>
    <row r="749" spans="1:42" ht="16.5" x14ac:dyDescent="0.35">
      <c r="A749" s="53">
        <v>748</v>
      </c>
      <c r="B749" s="5" t="s">
        <v>283</v>
      </c>
      <c r="C749" s="48" t="s">
        <v>663</v>
      </c>
      <c r="D749" t="s">
        <v>1365</v>
      </c>
      <c r="E749" t="s">
        <v>1307</v>
      </c>
      <c r="H749" s="154"/>
      <c r="I749" s="18" t="s">
        <v>1066</v>
      </c>
      <c r="J749" s="24"/>
      <c r="L749" s="4" t="s">
        <v>2</v>
      </c>
      <c r="M749" s="5"/>
      <c r="O749" s="190"/>
      <c r="P749" s="190"/>
      <c r="Q749" s="191">
        <f t="shared" si="25"/>
        <v>0</v>
      </c>
      <c r="R7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AMINATA GRAND-ZATTRY  LAGOZI KIPIRI    YAO VINCENT    F  </v>
      </c>
      <c r="Z749" s="53"/>
      <c r="AA749" s="5"/>
      <c r="AB749" s="48"/>
      <c r="AG749" s="154"/>
      <c r="AH749" s="18"/>
      <c r="AI749" s="24"/>
      <c r="AK749" s="4"/>
      <c r="AL749" s="5"/>
      <c r="AN749" s="190"/>
      <c r="AO749" s="190"/>
      <c r="AP749" s="191"/>
    </row>
    <row r="750" spans="1:42" ht="17" thickBot="1" x14ac:dyDescent="0.4">
      <c r="A750" s="53">
        <v>749</v>
      </c>
      <c r="B750" s="12" t="s">
        <v>284</v>
      </c>
      <c r="C750" s="48" t="s">
        <v>663</v>
      </c>
      <c r="D750" t="s">
        <v>1365</v>
      </c>
      <c r="E750" t="s">
        <v>1307</v>
      </c>
      <c r="H750" s="154"/>
      <c r="I750" s="18" t="s">
        <v>1066</v>
      </c>
      <c r="J750" s="193"/>
      <c r="L750" s="179" t="s">
        <v>2</v>
      </c>
      <c r="M750" s="5"/>
      <c r="O750" s="190"/>
      <c r="P750" s="190"/>
      <c r="Q750" s="191">
        <f t="shared" si="25"/>
        <v>0</v>
      </c>
      <c r="R7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KOLOGO RAMATA  GRAND-ZATTRY  LAGOZI KIPIRI    YAO VINCENT    F  </v>
      </c>
      <c r="Z750" s="53"/>
      <c r="AA750" s="12"/>
      <c r="AB750" s="48"/>
      <c r="AG750" s="154"/>
      <c r="AH750" s="18"/>
      <c r="AI750" s="193"/>
      <c r="AK750" s="179"/>
      <c r="AL750" s="5"/>
      <c r="AN750" s="190"/>
      <c r="AO750" s="190"/>
      <c r="AP750" s="191"/>
    </row>
    <row r="751" spans="1:42" ht="16.5" x14ac:dyDescent="0.35">
      <c r="A751" s="53">
        <v>750</v>
      </c>
      <c r="B751" s="5" t="s">
        <v>1366</v>
      </c>
      <c r="C751" s="48" t="s">
        <v>663</v>
      </c>
      <c r="D751" t="s">
        <v>1423</v>
      </c>
      <c r="E751" s="41" t="s">
        <v>1424</v>
      </c>
      <c r="H751" s="10"/>
      <c r="I751" s="18" t="s">
        <v>1066</v>
      </c>
      <c r="J751" s="23" t="s">
        <v>1394</v>
      </c>
      <c r="K751" s="4"/>
      <c r="L751" s="4" t="s">
        <v>2</v>
      </c>
      <c r="M751" s="5" t="s">
        <v>1063</v>
      </c>
      <c r="N751" s="5" t="s">
        <v>1182</v>
      </c>
      <c r="O751" s="147">
        <v>0</v>
      </c>
      <c r="P751" s="15">
        <v>0</v>
      </c>
      <c r="Q751" s="148">
        <f>(O751+P751)</f>
        <v>0</v>
      </c>
      <c r="R7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GUEDE VAGBEU YVONE GRAND-ZATTRY BENI MAIHEOUA    YAO VINCENT  0173465578  F CONCUBINAGE MENAGERE</v>
      </c>
      <c r="Z751" s="53"/>
      <c r="AA751" s="5"/>
      <c r="AB751" s="48"/>
      <c r="AD751" s="41"/>
      <c r="AG751" s="10"/>
      <c r="AH751" s="18"/>
      <c r="AI751" s="23"/>
      <c r="AJ751" s="4"/>
      <c r="AK751" s="4"/>
      <c r="AL751" s="5"/>
      <c r="AM751" s="5"/>
      <c r="AN751" s="147"/>
      <c r="AO751" s="15"/>
      <c r="AP751" s="148"/>
    </row>
    <row r="752" spans="1:42" ht="16.5" x14ac:dyDescent="0.35">
      <c r="A752" s="53">
        <v>751</v>
      </c>
      <c r="B752" s="5" t="s">
        <v>1367</v>
      </c>
      <c r="C752" s="48" t="s">
        <v>663</v>
      </c>
      <c r="D752" t="s">
        <v>1423</v>
      </c>
      <c r="E752" s="41" t="s">
        <v>1424</v>
      </c>
      <c r="H752" s="10"/>
      <c r="I752" s="18" t="s">
        <v>1066</v>
      </c>
      <c r="J752" s="23" t="s">
        <v>1395</v>
      </c>
      <c r="K752" s="4">
        <v>44</v>
      </c>
      <c r="L752" s="4" t="s">
        <v>2</v>
      </c>
      <c r="M752" s="5" t="s">
        <v>1063</v>
      </c>
      <c r="N752" s="5" t="s">
        <v>1182</v>
      </c>
      <c r="O752" s="147">
        <v>2</v>
      </c>
      <c r="P752" s="15">
        <v>0</v>
      </c>
      <c r="Q752" s="148">
        <f t="shared" ref="Q752:Q779" si="26">(O752+P752)</f>
        <v>2</v>
      </c>
      <c r="R7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KREOUA ELISABETH GRAND-ZATTRY BENI MAIHEOUA    YAO VINCENT  0172840308 44 F CONCUBINAGE MENAGERE</v>
      </c>
      <c r="Z752" s="53"/>
      <c r="AA752" s="5"/>
      <c r="AB752" s="48"/>
      <c r="AD752" s="41"/>
      <c r="AG752" s="10"/>
      <c r="AH752" s="18"/>
      <c r="AI752" s="23"/>
      <c r="AJ752" s="4"/>
      <c r="AK752" s="4"/>
      <c r="AL752" s="5"/>
      <c r="AM752" s="5"/>
      <c r="AN752" s="147"/>
      <c r="AO752" s="15"/>
      <c r="AP752" s="148"/>
    </row>
    <row r="753" spans="1:42" ht="16.5" x14ac:dyDescent="0.35">
      <c r="A753" s="53">
        <v>752</v>
      </c>
      <c r="B753" s="5" t="s">
        <v>1368</v>
      </c>
      <c r="C753" s="48" t="s">
        <v>663</v>
      </c>
      <c r="D753" t="s">
        <v>1423</v>
      </c>
      <c r="E753" s="41" t="s">
        <v>1424</v>
      </c>
      <c r="H753" s="154"/>
      <c r="I753" s="18" t="s">
        <v>1066</v>
      </c>
      <c r="J753" s="23" t="s">
        <v>1396</v>
      </c>
      <c r="K753" s="4">
        <v>45</v>
      </c>
      <c r="L753" s="4" t="s">
        <v>2</v>
      </c>
      <c r="M753" s="5" t="s">
        <v>1063</v>
      </c>
      <c r="N753" s="5" t="s">
        <v>1182</v>
      </c>
      <c r="O753" s="147">
        <v>3</v>
      </c>
      <c r="P753" s="15">
        <v>1</v>
      </c>
      <c r="Q753" s="148">
        <f t="shared" si="26"/>
        <v>4</v>
      </c>
      <c r="R7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ADJO ROSELINE GRAND-ZATTRY BENI MAIHEOUA    YAO VINCENT  0757340886 45 F CONCUBINAGE MENAGERE</v>
      </c>
      <c r="Z753" s="53"/>
      <c r="AA753" s="5"/>
      <c r="AB753" s="48"/>
      <c r="AD753" s="41"/>
      <c r="AG753" s="154"/>
      <c r="AH753" s="18"/>
      <c r="AI753" s="23"/>
      <c r="AJ753" s="4"/>
      <c r="AK753" s="4"/>
      <c r="AL753" s="5"/>
      <c r="AM753" s="5"/>
      <c r="AN753" s="147"/>
      <c r="AO753" s="15"/>
      <c r="AP753" s="148"/>
    </row>
    <row r="754" spans="1:42" ht="16.5" x14ac:dyDescent="0.35">
      <c r="A754" s="53">
        <v>753</v>
      </c>
      <c r="B754" s="5" t="s">
        <v>1369</v>
      </c>
      <c r="C754" s="48" t="s">
        <v>663</v>
      </c>
      <c r="D754" t="s">
        <v>1423</v>
      </c>
      <c r="E754" s="41" t="s">
        <v>1424</v>
      </c>
      <c r="H754" s="154"/>
      <c r="I754" s="18" t="s">
        <v>1066</v>
      </c>
      <c r="J754" s="23" t="s">
        <v>1397</v>
      </c>
      <c r="K754" s="4">
        <v>27</v>
      </c>
      <c r="L754" s="4" t="s">
        <v>2</v>
      </c>
      <c r="M754" s="5" t="s">
        <v>1063</v>
      </c>
      <c r="N754" s="5" t="s">
        <v>1182</v>
      </c>
      <c r="O754" s="147">
        <v>0</v>
      </c>
      <c r="P754" s="15">
        <v>1</v>
      </c>
      <c r="Q754" s="148">
        <f t="shared" si="26"/>
        <v>1</v>
      </c>
      <c r="R7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BOBIA PELAGIE GRAND-ZATTRY BENI MAIHEOUA    YAO VINCENT  0101318120 27 F CONCUBINAGE MENAGERE</v>
      </c>
      <c r="Z754" s="53"/>
      <c r="AA754" s="5"/>
      <c r="AB754" s="48"/>
      <c r="AD754" s="41"/>
      <c r="AG754" s="154"/>
      <c r="AH754" s="18"/>
      <c r="AI754" s="23"/>
      <c r="AJ754" s="4"/>
      <c r="AK754" s="4"/>
      <c r="AL754" s="5"/>
      <c r="AM754" s="5"/>
      <c r="AN754" s="147"/>
      <c r="AO754" s="15"/>
      <c r="AP754" s="148"/>
    </row>
    <row r="755" spans="1:42" ht="16.5" x14ac:dyDescent="0.35">
      <c r="A755" s="53">
        <v>754</v>
      </c>
      <c r="B755" s="5" t="s">
        <v>1370</v>
      </c>
      <c r="C755" s="48" t="s">
        <v>663</v>
      </c>
      <c r="D755" t="s">
        <v>1423</v>
      </c>
      <c r="E755" s="41" t="s">
        <v>1424</v>
      </c>
      <c r="H755" s="154"/>
      <c r="I755" s="18" t="s">
        <v>1066</v>
      </c>
      <c r="J755" s="23" t="s">
        <v>1398</v>
      </c>
      <c r="K755" s="4">
        <v>30</v>
      </c>
      <c r="L755" s="4" t="s">
        <v>2</v>
      </c>
      <c r="M755" s="3" t="s">
        <v>1063</v>
      </c>
      <c r="N755" s="5" t="s">
        <v>1182</v>
      </c>
      <c r="O755" s="147">
        <v>0</v>
      </c>
      <c r="P755" s="15">
        <v>3</v>
      </c>
      <c r="Q755" s="148">
        <f t="shared" si="26"/>
        <v>3</v>
      </c>
      <c r="R7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ZEZE CARINE GRAND-ZATTRY BENI MAIHEOUA    YAO VINCENT  0172868568 30 F CONCUBINAGE MENAGERE</v>
      </c>
      <c r="Z755" s="53"/>
      <c r="AA755" s="5"/>
      <c r="AB755" s="48"/>
      <c r="AD755" s="41"/>
      <c r="AG755" s="154"/>
      <c r="AH755" s="18"/>
      <c r="AI755" s="23"/>
      <c r="AJ755" s="4"/>
      <c r="AK755" s="4"/>
      <c r="AL755" s="3"/>
      <c r="AM755" s="5"/>
      <c r="AN755" s="147"/>
      <c r="AO755" s="15"/>
      <c r="AP755" s="148"/>
    </row>
    <row r="756" spans="1:42" ht="16.5" x14ac:dyDescent="0.35">
      <c r="A756" s="53">
        <v>755</v>
      </c>
      <c r="B756" s="5" t="s">
        <v>1371</v>
      </c>
      <c r="C756" s="48" t="s">
        <v>663</v>
      </c>
      <c r="D756" t="s">
        <v>1423</v>
      </c>
      <c r="E756" s="41" t="s">
        <v>1424</v>
      </c>
      <c r="H756" s="154"/>
      <c r="I756" s="18" t="s">
        <v>1066</v>
      </c>
      <c r="J756" s="23" t="s">
        <v>1399</v>
      </c>
      <c r="K756" s="4">
        <v>37</v>
      </c>
      <c r="L756" s="4" t="s">
        <v>2</v>
      </c>
      <c r="M756" s="5" t="s">
        <v>1063</v>
      </c>
      <c r="N756" s="5" t="s">
        <v>1182</v>
      </c>
      <c r="O756" s="147">
        <v>2</v>
      </c>
      <c r="P756" s="15">
        <v>2</v>
      </c>
      <c r="Q756" s="148">
        <f t="shared" si="26"/>
        <v>4</v>
      </c>
      <c r="R7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GROGA BLANCHE CHRISTINE GRAND-ZATTRY BENI MAIHEOUA    YAO VINCENT  0545485506 37 F CONCUBINAGE MENAGERE</v>
      </c>
      <c r="Z756" s="53"/>
      <c r="AA756" s="5"/>
      <c r="AB756" s="48"/>
      <c r="AD756" s="41"/>
      <c r="AG756" s="154"/>
      <c r="AH756" s="18"/>
      <c r="AI756" s="23"/>
      <c r="AJ756" s="4"/>
      <c r="AK756" s="4"/>
      <c r="AL756" s="5"/>
      <c r="AM756" s="5"/>
      <c r="AN756" s="147"/>
      <c r="AO756" s="15"/>
      <c r="AP756" s="148"/>
    </row>
    <row r="757" spans="1:42" ht="16.5" x14ac:dyDescent="0.35">
      <c r="A757" s="53">
        <v>756</v>
      </c>
      <c r="B757" s="5" t="s">
        <v>1372</v>
      </c>
      <c r="C757" s="48" t="s">
        <v>663</v>
      </c>
      <c r="D757" t="s">
        <v>1423</v>
      </c>
      <c r="E757" s="41" t="s">
        <v>1424</v>
      </c>
      <c r="H757" s="154"/>
      <c r="I757" s="18" t="s">
        <v>1066</v>
      </c>
      <c r="J757" s="23" t="s">
        <v>1400</v>
      </c>
      <c r="K757" s="4">
        <v>40</v>
      </c>
      <c r="L757" s="4" t="s">
        <v>2</v>
      </c>
      <c r="M757" s="5" t="s">
        <v>1063</v>
      </c>
      <c r="N757" s="5" t="s">
        <v>1182</v>
      </c>
      <c r="O757" s="147">
        <v>0</v>
      </c>
      <c r="P757" s="15">
        <v>1</v>
      </c>
      <c r="Q757" s="148">
        <f t="shared" si="26"/>
        <v>1</v>
      </c>
      <c r="R7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DABLE JUSTINE GRAND-ZATTRY BENI MAIHEOUA    YAO VINCENT  0554432003 40 F CONCUBINAGE MENAGERE</v>
      </c>
      <c r="Z757" s="53"/>
      <c r="AA757" s="5"/>
      <c r="AB757" s="48"/>
      <c r="AD757" s="41"/>
      <c r="AG757" s="154"/>
      <c r="AH757" s="18"/>
      <c r="AI757" s="23"/>
      <c r="AJ757" s="4"/>
      <c r="AK757" s="4"/>
      <c r="AL757" s="5"/>
      <c r="AM757" s="5"/>
      <c r="AN757" s="147"/>
      <c r="AO757" s="15"/>
      <c r="AP757" s="148"/>
    </row>
    <row r="758" spans="1:42" ht="16.5" x14ac:dyDescent="0.35">
      <c r="A758" s="53">
        <v>757</v>
      </c>
      <c r="B758" s="5" t="s">
        <v>1373</v>
      </c>
      <c r="C758" s="48" t="s">
        <v>663</v>
      </c>
      <c r="D758" t="s">
        <v>1423</v>
      </c>
      <c r="E758" s="41" t="s">
        <v>1424</v>
      </c>
      <c r="H758" s="154"/>
      <c r="I758" s="18" t="s">
        <v>1066</v>
      </c>
      <c r="J758" s="23" t="s">
        <v>1401</v>
      </c>
      <c r="K758" s="4">
        <v>41</v>
      </c>
      <c r="L758" s="4" t="s">
        <v>2</v>
      </c>
      <c r="M758" s="5" t="s">
        <v>1063</v>
      </c>
      <c r="N758" s="5" t="s">
        <v>1182</v>
      </c>
      <c r="O758" s="147">
        <v>3</v>
      </c>
      <c r="P758" s="15">
        <v>3</v>
      </c>
      <c r="Q758" s="148">
        <f t="shared" si="26"/>
        <v>6</v>
      </c>
      <c r="R7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GNAZEBO IBO JOSEPHINE GRAND-ZATTRY BENI MAIHEOUA    YAO VINCENT  0153955563 41 F CONCUBINAGE MENAGERE</v>
      </c>
      <c r="Z758" s="53"/>
      <c r="AA758" s="5"/>
      <c r="AB758" s="48"/>
      <c r="AD758" s="41"/>
      <c r="AG758" s="154"/>
      <c r="AH758" s="18"/>
      <c r="AI758" s="23"/>
      <c r="AJ758" s="4"/>
      <c r="AK758" s="4"/>
      <c r="AL758" s="5"/>
      <c r="AM758" s="5"/>
      <c r="AN758" s="147"/>
      <c r="AO758" s="15"/>
      <c r="AP758" s="148"/>
    </row>
    <row r="759" spans="1:42" ht="16.5" x14ac:dyDescent="0.35">
      <c r="A759" s="53">
        <v>758</v>
      </c>
      <c r="B759" s="5" t="s">
        <v>122</v>
      </c>
      <c r="C759" s="48" t="s">
        <v>663</v>
      </c>
      <c r="D759" t="s">
        <v>1423</v>
      </c>
      <c r="E759" s="41" t="s">
        <v>1424</v>
      </c>
      <c r="H759" s="154"/>
      <c r="I759" s="18" t="s">
        <v>1066</v>
      </c>
      <c r="J759" s="23" t="s">
        <v>1402</v>
      </c>
      <c r="K759" s="4">
        <v>33</v>
      </c>
      <c r="L759" s="4" t="s">
        <v>2</v>
      </c>
      <c r="M759" s="5" t="s">
        <v>1063</v>
      </c>
      <c r="N759" s="5" t="s">
        <v>1182</v>
      </c>
      <c r="O759" s="147">
        <v>2</v>
      </c>
      <c r="P759" s="15">
        <v>4</v>
      </c>
      <c r="Q759" s="148">
        <f t="shared" si="26"/>
        <v>6</v>
      </c>
      <c r="R7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COULIBALY SALIMATA GRAND-ZATTRY BENI MAIHEOUA    YAO VINCENT  0584081793 33 F CONCUBINAGE MENAGERE</v>
      </c>
      <c r="Z759" s="53"/>
      <c r="AA759" s="5"/>
      <c r="AB759" s="48"/>
      <c r="AD759" s="41"/>
      <c r="AG759" s="154"/>
      <c r="AH759" s="18"/>
      <c r="AI759" s="23"/>
      <c r="AJ759" s="4"/>
      <c r="AK759" s="4"/>
      <c r="AL759" s="5"/>
      <c r="AM759" s="5"/>
      <c r="AN759" s="147"/>
      <c r="AO759" s="15"/>
      <c r="AP759" s="148"/>
    </row>
    <row r="760" spans="1:42" ht="16.5" x14ac:dyDescent="0.35">
      <c r="A760" s="53">
        <v>759</v>
      </c>
      <c r="B760" s="5" t="s">
        <v>1374</v>
      </c>
      <c r="C760" s="48" t="s">
        <v>663</v>
      </c>
      <c r="D760" t="s">
        <v>1423</v>
      </c>
      <c r="E760" s="41" t="s">
        <v>1424</v>
      </c>
      <c r="H760" s="154"/>
      <c r="I760" s="18" t="s">
        <v>1066</v>
      </c>
      <c r="J760" s="23" t="s">
        <v>1403</v>
      </c>
      <c r="K760" s="4"/>
      <c r="L760" s="4" t="s">
        <v>2</v>
      </c>
      <c r="M760" s="5" t="s">
        <v>1063</v>
      </c>
      <c r="N760" s="5" t="s">
        <v>1182</v>
      </c>
      <c r="O760" s="147">
        <v>3</v>
      </c>
      <c r="P760" s="15">
        <v>1</v>
      </c>
      <c r="Q760" s="148">
        <f t="shared" si="26"/>
        <v>4</v>
      </c>
      <c r="R7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MAGUI HORTENSE GRAND-ZATTRY BENI MAIHEOUA    YAO VINCENT  0150228941  F CONCUBINAGE MENAGERE</v>
      </c>
      <c r="Z760" s="53"/>
      <c r="AA760" s="5"/>
      <c r="AB760" s="48"/>
      <c r="AD760" s="41"/>
      <c r="AG760" s="154"/>
      <c r="AH760" s="18"/>
      <c r="AI760" s="23"/>
      <c r="AJ760" s="4"/>
      <c r="AK760" s="4"/>
      <c r="AL760" s="5"/>
      <c r="AM760" s="5"/>
      <c r="AN760" s="147"/>
      <c r="AO760" s="15"/>
      <c r="AP760" s="148"/>
    </row>
    <row r="761" spans="1:42" ht="16.5" x14ac:dyDescent="0.35">
      <c r="A761" s="53">
        <v>760</v>
      </c>
      <c r="B761" s="5" t="s">
        <v>1375</v>
      </c>
      <c r="C761" s="48" t="s">
        <v>663</v>
      </c>
      <c r="D761" t="s">
        <v>1423</v>
      </c>
      <c r="E761" s="41" t="s">
        <v>1424</v>
      </c>
      <c r="H761" s="154"/>
      <c r="I761" s="18" t="s">
        <v>1066</v>
      </c>
      <c r="J761" s="23" t="s">
        <v>1404</v>
      </c>
      <c r="K761" s="4">
        <v>41</v>
      </c>
      <c r="L761" s="4" t="s">
        <v>2</v>
      </c>
      <c r="M761" s="5" t="s">
        <v>1063</v>
      </c>
      <c r="N761" s="5" t="s">
        <v>1182</v>
      </c>
      <c r="O761" s="147">
        <v>4</v>
      </c>
      <c r="P761" s="15">
        <v>1</v>
      </c>
      <c r="Q761" s="148">
        <f t="shared" si="26"/>
        <v>5</v>
      </c>
      <c r="R7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MARIE LOUISE GRAND-ZATTRY BENI MAIHEOUA    YAO VINCENT  0556820007 41 F CONCUBINAGE MENAGERE</v>
      </c>
      <c r="Z761" s="53"/>
      <c r="AA761" s="5"/>
      <c r="AB761" s="48"/>
      <c r="AD761" s="41"/>
      <c r="AG761" s="154"/>
      <c r="AH761" s="18"/>
      <c r="AI761" s="23"/>
      <c r="AJ761" s="4"/>
      <c r="AK761" s="4"/>
      <c r="AL761" s="5"/>
      <c r="AM761" s="5"/>
      <c r="AN761" s="147"/>
      <c r="AO761" s="15"/>
      <c r="AP761" s="148"/>
    </row>
    <row r="762" spans="1:42" ht="16.5" x14ac:dyDescent="0.35">
      <c r="A762" s="53">
        <v>761</v>
      </c>
      <c r="B762" s="5" t="s">
        <v>1376</v>
      </c>
      <c r="C762" s="48" t="s">
        <v>663</v>
      </c>
      <c r="D762" t="s">
        <v>1423</v>
      </c>
      <c r="E762" s="41" t="s">
        <v>1424</v>
      </c>
      <c r="H762" s="154"/>
      <c r="I762" s="18" t="s">
        <v>1066</v>
      </c>
      <c r="J762" s="23" t="s">
        <v>1405</v>
      </c>
      <c r="K762" s="4">
        <v>32</v>
      </c>
      <c r="L762" s="4" t="s">
        <v>2</v>
      </c>
      <c r="M762" s="5" t="s">
        <v>1063</v>
      </c>
      <c r="N762" s="5" t="s">
        <v>1182</v>
      </c>
      <c r="O762" s="147">
        <v>3</v>
      </c>
      <c r="P762" s="15">
        <v>1</v>
      </c>
      <c r="Q762" s="148">
        <f t="shared" si="26"/>
        <v>4</v>
      </c>
      <c r="R7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KOBEI SABINE GRAND-ZATTRY BENI MAIHEOUA    YAO VINCENT  0143503626 32 F CONCUBINAGE MENAGERE</v>
      </c>
      <c r="Z762" s="53"/>
      <c r="AA762" s="5"/>
      <c r="AB762" s="48"/>
      <c r="AD762" s="41"/>
      <c r="AG762" s="154"/>
      <c r="AH762" s="18"/>
      <c r="AI762" s="23"/>
      <c r="AJ762" s="4"/>
      <c r="AK762" s="4"/>
      <c r="AL762" s="5"/>
      <c r="AM762" s="5"/>
      <c r="AN762" s="147"/>
      <c r="AO762" s="15"/>
      <c r="AP762" s="148"/>
    </row>
    <row r="763" spans="1:42" ht="16.5" x14ac:dyDescent="0.35">
      <c r="A763" s="53">
        <v>762</v>
      </c>
      <c r="B763" s="5" t="s">
        <v>1377</v>
      </c>
      <c r="C763" s="48" t="s">
        <v>663</v>
      </c>
      <c r="D763" t="s">
        <v>1423</v>
      </c>
      <c r="E763" s="41" t="s">
        <v>1424</v>
      </c>
      <c r="H763" s="154"/>
      <c r="I763" s="18" t="s">
        <v>1066</v>
      </c>
      <c r="J763" s="23" t="s">
        <v>1406</v>
      </c>
      <c r="K763" s="4">
        <v>50</v>
      </c>
      <c r="L763" s="4" t="s">
        <v>2</v>
      </c>
      <c r="M763" s="5" t="s">
        <v>1063</v>
      </c>
      <c r="N763" s="5" t="s">
        <v>1182</v>
      </c>
      <c r="O763" s="147">
        <v>2</v>
      </c>
      <c r="P763" s="15">
        <v>2</v>
      </c>
      <c r="Q763" s="148">
        <f t="shared" si="26"/>
        <v>4</v>
      </c>
      <c r="R7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LOGNON JEANNETTE GRAND-ZATTRY BENI MAIHEOUA    YAO VINCENT  0798473582 50 F CONCUBINAGE MENAGERE</v>
      </c>
      <c r="Z763" s="53"/>
      <c r="AA763" s="5"/>
      <c r="AB763" s="48"/>
      <c r="AD763" s="41"/>
      <c r="AG763" s="154"/>
      <c r="AH763" s="18"/>
      <c r="AI763" s="23"/>
      <c r="AJ763" s="4"/>
      <c r="AK763" s="4"/>
      <c r="AL763" s="5"/>
      <c r="AM763" s="5"/>
      <c r="AN763" s="147"/>
      <c r="AO763" s="15"/>
      <c r="AP763" s="148"/>
    </row>
    <row r="764" spans="1:42" ht="16.5" x14ac:dyDescent="0.35">
      <c r="A764" s="53">
        <v>763</v>
      </c>
      <c r="B764" s="5" t="s">
        <v>1378</v>
      </c>
      <c r="C764" s="48" t="s">
        <v>663</v>
      </c>
      <c r="D764" t="s">
        <v>1423</v>
      </c>
      <c r="E764" s="41" t="s">
        <v>1424</v>
      </c>
      <c r="H764" s="154"/>
      <c r="I764" s="18" t="s">
        <v>1066</v>
      </c>
      <c r="J764" s="23" t="s">
        <v>1407</v>
      </c>
      <c r="K764" s="4">
        <v>40</v>
      </c>
      <c r="L764" s="4" t="s">
        <v>2</v>
      </c>
      <c r="M764" s="5" t="s">
        <v>1063</v>
      </c>
      <c r="N764" s="5" t="s">
        <v>1182</v>
      </c>
      <c r="O764" s="147">
        <v>1</v>
      </c>
      <c r="P764" s="15">
        <v>2</v>
      </c>
      <c r="Q764" s="148">
        <f t="shared" si="26"/>
        <v>3</v>
      </c>
      <c r="R7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GNAZEBO CHRISTINE GRAND-ZATTRY BENI MAIHEOUA    YAO VINCENT  0766744531 40 F CONCUBINAGE MENAGERE</v>
      </c>
      <c r="Z764" s="53"/>
      <c r="AA764" s="5"/>
      <c r="AB764" s="48"/>
      <c r="AD764" s="41"/>
      <c r="AG764" s="154"/>
      <c r="AH764" s="18"/>
      <c r="AI764" s="23"/>
      <c r="AJ764" s="4"/>
      <c r="AK764" s="4"/>
      <c r="AL764" s="5"/>
      <c r="AM764" s="5"/>
      <c r="AN764" s="147"/>
      <c r="AO764" s="15"/>
      <c r="AP764" s="148"/>
    </row>
    <row r="765" spans="1:42" ht="16.5" x14ac:dyDescent="0.35">
      <c r="A765" s="53">
        <v>764</v>
      </c>
      <c r="B765" s="5" t="s">
        <v>1379</v>
      </c>
      <c r="C765" s="48" t="s">
        <v>663</v>
      </c>
      <c r="D765" t="s">
        <v>1423</v>
      </c>
      <c r="E765" s="41" t="s">
        <v>1424</v>
      </c>
      <c r="H765" s="154"/>
      <c r="I765" s="18" t="s">
        <v>1066</v>
      </c>
      <c r="J765" s="23" t="s">
        <v>1408</v>
      </c>
      <c r="K765" s="4">
        <v>38</v>
      </c>
      <c r="L765" s="4" t="s">
        <v>2</v>
      </c>
      <c r="M765" s="5" t="s">
        <v>1063</v>
      </c>
      <c r="N765" s="5" t="s">
        <v>1182</v>
      </c>
      <c r="O765" s="147">
        <v>1</v>
      </c>
      <c r="P765" s="15">
        <v>1</v>
      </c>
      <c r="Q765" s="148">
        <f t="shared" si="26"/>
        <v>2</v>
      </c>
      <c r="R7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AFFOUE SYLVIE GRAND-ZATTRY BENI MAIHEOUA    YAO VINCENT  0769544381 38 F CONCUBINAGE MENAGERE</v>
      </c>
      <c r="Z765" s="53"/>
      <c r="AA765" s="5"/>
      <c r="AB765" s="48"/>
      <c r="AD765" s="41"/>
      <c r="AG765" s="154"/>
      <c r="AH765" s="18"/>
      <c r="AI765" s="23"/>
      <c r="AJ765" s="4"/>
      <c r="AK765" s="4"/>
      <c r="AL765" s="5"/>
      <c r="AM765" s="5"/>
      <c r="AN765" s="147"/>
      <c r="AO765" s="15"/>
      <c r="AP765" s="148"/>
    </row>
    <row r="766" spans="1:42" ht="16.5" x14ac:dyDescent="0.35">
      <c r="A766" s="53">
        <v>765</v>
      </c>
      <c r="B766" s="5" t="s">
        <v>1380</v>
      </c>
      <c r="C766" s="48" t="s">
        <v>663</v>
      </c>
      <c r="D766" t="s">
        <v>1423</v>
      </c>
      <c r="E766" s="41" t="s">
        <v>1424</v>
      </c>
      <c r="H766" s="154"/>
      <c r="I766" s="18" t="s">
        <v>1066</v>
      </c>
      <c r="J766" s="23" t="s">
        <v>1409</v>
      </c>
      <c r="K766" s="4">
        <v>46</v>
      </c>
      <c r="L766" s="4" t="s">
        <v>2</v>
      </c>
      <c r="M766" s="5" t="s">
        <v>1063</v>
      </c>
      <c r="N766" s="5" t="s">
        <v>1182</v>
      </c>
      <c r="O766" s="147">
        <v>1</v>
      </c>
      <c r="P766" s="15">
        <v>1</v>
      </c>
      <c r="Q766" s="148">
        <f t="shared" si="26"/>
        <v>2</v>
      </c>
      <c r="R7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BROU CATHERINE GRAND-ZATTRY BENI MAIHEOUA    YAO VINCENT  0709297137 46 F CONCUBINAGE MENAGERE</v>
      </c>
      <c r="Z766" s="53"/>
      <c r="AA766" s="5"/>
      <c r="AB766" s="48"/>
      <c r="AD766" s="41"/>
      <c r="AG766" s="154"/>
      <c r="AH766" s="18"/>
      <c r="AI766" s="23"/>
      <c r="AJ766" s="4"/>
      <c r="AK766" s="4"/>
      <c r="AL766" s="5"/>
      <c r="AM766" s="5"/>
      <c r="AN766" s="147"/>
      <c r="AO766" s="15"/>
      <c r="AP766" s="148"/>
    </row>
    <row r="767" spans="1:42" ht="16.5" x14ac:dyDescent="0.35">
      <c r="A767" s="53">
        <v>766</v>
      </c>
      <c r="B767" s="5" t="s">
        <v>1381</v>
      </c>
      <c r="C767" s="48" t="s">
        <v>663</v>
      </c>
      <c r="D767" t="s">
        <v>1423</v>
      </c>
      <c r="E767" s="41" t="s">
        <v>1424</v>
      </c>
      <c r="H767" s="154"/>
      <c r="I767" s="18" t="s">
        <v>1066</v>
      </c>
      <c r="J767" s="23" t="s">
        <v>1410</v>
      </c>
      <c r="K767" s="4">
        <v>34</v>
      </c>
      <c r="L767" s="4" t="s">
        <v>2</v>
      </c>
      <c r="M767" s="5" t="s">
        <v>1063</v>
      </c>
      <c r="N767" s="5" t="s">
        <v>1182</v>
      </c>
      <c r="O767" s="147">
        <v>3</v>
      </c>
      <c r="P767" s="15">
        <v>2</v>
      </c>
      <c r="Q767" s="148">
        <f t="shared" si="26"/>
        <v>5</v>
      </c>
      <c r="R7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ADJOUA ROSINE GRAND-ZATTRY BENI MAIHEOUA    YAO VINCENT  0707757382 34 F CONCUBINAGE MENAGERE</v>
      </c>
      <c r="Z767" s="53"/>
      <c r="AA767" s="5"/>
      <c r="AB767" s="48"/>
      <c r="AD767" s="41"/>
      <c r="AG767" s="154"/>
      <c r="AH767" s="18"/>
      <c r="AI767" s="23"/>
      <c r="AJ767" s="4"/>
      <c r="AK767" s="4"/>
      <c r="AL767" s="5"/>
      <c r="AM767" s="5"/>
      <c r="AN767" s="147"/>
      <c r="AO767" s="15"/>
      <c r="AP767" s="148"/>
    </row>
    <row r="768" spans="1:42" ht="16.5" x14ac:dyDescent="0.35">
      <c r="A768" s="53">
        <v>767</v>
      </c>
      <c r="B768" s="5" t="s">
        <v>1382</v>
      </c>
      <c r="C768" s="48" t="s">
        <v>663</v>
      </c>
      <c r="D768" t="s">
        <v>1423</v>
      </c>
      <c r="E768" s="41" t="s">
        <v>1424</v>
      </c>
      <c r="H768" s="154"/>
      <c r="I768" s="18" t="s">
        <v>1066</v>
      </c>
      <c r="J768" s="23" t="s">
        <v>1411</v>
      </c>
      <c r="K768" s="4">
        <v>42</v>
      </c>
      <c r="L768" s="4" t="s">
        <v>2</v>
      </c>
      <c r="M768" s="5" t="s">
        <v>1063</v>
      </c>
      <c r="N768" s="5" t="s">
        <v>1182</v>
      </c>
      <c r="O768" s="147">
        <v>3</v>
      </c>
      <c r="P768" s="15">
        <v>3</v>
      </c>
      <c r="Q768" s="148">
        <f t="shared" si="26"/>
        <v>6</v>
      </c>
      <c r="R7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DJA YOLANDE GRAND-ZATTRY BENI MAIHEOUA    YAO VINCENT  0584161940 42 F CONCUBINAGE MENAGERE</v>
      </c>
      <c r="Z768" s="53"/>
      <c r="AA768" s="5"/>
      <c r="AB768" s="48"/>
      <c r="AD768" s="41"/>
      <c r="AG768" s="154"/>
      <c r="AH768" s="18"/>
      <c r="AI768" s="23"/>
      <c r="AJ768" s="4"/>
      <c r="AK768" s="4"/>
      <c r="AL768" s="5"/>
      <c r="AM768" s="5"/>
      <c r="AN768" s="147"/>
      <c r="AO768" s="15"/>
      <c r="AP768" s="148"/>
    </row>
    <row r="769" spans="1:42" ht="16.5" x14ac:dyDescent="0.35">
      <c r="A769" s="53">
        <v>768</v>
      </c>
      <c r="B769" s="5" t="s">
        <v>1383</v>
      </c>
      <c r="C769" s="48" t="s">
        <v>663</v>
      </c>
      <c r="D769" t="s">
        <v>1423</v>
      </c>
      <c r="E769" s="41" t="s">
        <v>1424</v>
      </c>
      <c r="H769" s="154"/>
      <c r="I769" s="18" t="s">
        <v>1066</v>
      </c>
      <c r="J769" s="23" t="s">
        <v>1412</v>
      </c>
      <c r="K769" s="4">
        <v>57</v>
      </c>
      <c r="L769" s="4" t="s">
        <v>2</v>
      </c>
      <c r="M769" s="5" t="s">
        <v>1063</v>
      </c>
      <c r="N769" s="5" t="s">
        <v>1182</v>
      </c>
      <c r="O769" s="147">
        <v>0</v>
      </c>
      <c r="P769" s="15">
        <v>0</v>
      </c>
      <c r="Q769" s="148">
        <f t="shared" si="26"/>
        <v>0</v>
      </c>
      <c r="R7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LOKPO CLEMENTINE GRAND-ZATTRY BENI MAIHEOUA    YAO VINCENT  0757378636 57 F CONCUBINAGE MENAGERE</v>
      </c>
      <c r="Z769" s="53"/>
      <c r="AA769" s="5"/>
      <c r="AB769" s="48"/>
      <c r="AD769" s="41"/>
      <c r="AG769" s="154"/>
      <c r="AH769" s="18"/>
      <c r="AI769" s="23"/>
      <c r="AJ769" s="4"/>
      <c r="AK769" s="4"/>
      <c r="AL769" s="5"/>
      <c r="AM769" s="5"/>
      <c r="AN769" s="147"/>
      <c r="AO769" s="15"/>
      <c r="AP769" s="148"/>
    </row>
    <row r="770" spans="1:42" ht="16.5" x14ac:dyDescent="0.35">
      <c r="A770" s="53">
        <v>769</v>
      </c>
      <c r="B770" s="5" t="s">
        <v>1384</v>
      </c>
      <c r="C770" s="48" t="s">
        <v>663</v>
      </c>
      <c r="D770" t="s">
        <v>1423</v>
      </c>
      <c r="E770" s="41" t="s">
        <v>1424</v>
      </c>
      <c r="H770" s="154"/>
      <c r="I770" s="18" t="s">
        <v>1066</v>
      </c>
      <c r="J770" s="23" t="s">
        <v>1413</v>
      </c>
      <c r="K770" s="4">
        <v>41</v>
      </c>
      <c r="L770" s="4" t="s">
        <v>2</v>
      </c>
      <c r="M770" s="5" t="s">
        <v>1063</v>
      </c>
      <c r="N770" s="5" t="s">
        <v>1182</v>
      </c>
      <c r="O770" s="147">
        <v>2</v>
      </c>
      <c r="P770" s="15">
        <v>4</v>
      </c>
      <c r="Q770" s="148">
        <f t="shared" si="26"/>
        <v>6</v>
      </c>
      <c r="R7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KOUASSI AMOIN ELISABETH GRAND-ZATTRY BENI MAIHEOUA    YAO VINCENT  0555779387 41 F CONCUBINAGE MENAGERE</v>
      </c>
      <c r="Z770" s="53"/>
      <c r="AA770" s="5"/>
      <c r="AB770" s="48"/>
      <c r="AD770" s="41"/>
      <c r="AG770" s="154"/>
      <c r="AH770" s="18"/>
      <c r="AI770" s="23"/>
      <c r="AJ770" s="4"/>
      <c r="AK770" s="4"/>
      <c r="AL770" s="5"/>
      <c r="AM770" s="5"/>
      <c r="AN770" s="147"/>
      <c r="AO770" s="15"/>
      <c r="AP770" s="148"/>
    </row>
    <row r="771" spans="1:42" ht="16.5" x14ac:dyDescent="0.35">
      <c r="A771" s="53">
        <v>770</v>
      </c>
      <c r="B771" s="5" t="s">
        <v>1385</v>
      </c>
      <c r="C771" s="48" t="s">
        <v>663</v>
      </c>
      <c r="D771" t="s">
        <v>1423</v>
      </c>
      <c r="E771" s="41" t="s">
        <v>1424</v>
      </c>
      <c r="H771" s="154"/>
      <c r="I771" s="18" t="s">
        <v>1066</v>
      </c>
      <c r="J771" s="23" t="s">
        <v>1414</v>
      </c>
      <c r="K771" s="4">
        <v>28</v>
      </c>
      <c r="L771" s="4" t="s">
        <v>2</v>
      </c>
      <c r="M771" s="5" t="s">
        <v>1063</v>
      </c>
      <c r="N771" s="5" t="s">
        <v>1182</v>
      </c>
      <c r="O771" s="147">
        <v>1</v>
      </c>
      <c r="P771" s="15">
        <v>2</v>
      </c>
      <c r="Q771" s="148">
        <f t="shared" si="26"/>
        <v>3</v>
      </c>
      <c r="R7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GUEDE ARMANDE GRAND-ZATTRY BENI MAIHEOUA    YAO VINCENT  0545166569 28 F CONCUBINAGE MENAGERE</v>
      </c>
      <c r="Z771" s="53"/>
      <c r="AA771" s="5"/>
      <c r="AB771" s="48"/>
      <c r="AD771" s="41"/>
      <c r="AG771" s="154"/>
      <c r="AH771" s="18"/>
      <c r="AI771" s="23"/>
      <c r="AJ771" s="4"/>
      <c r="AK771" s="4"/>
      <c r="AL771" s="5"/>
      <c r="AM771" s="5"/>
      <c r="AN771" s="147"/>
      <c r="AO771" s="15"/>
      <c r="AP771" s="148"/>
    </row>
    <row r="772" spans="1:42" ht="16.5" x14ac:dyDescent="0.35">
      <c r="A772" s="53">
        <v>771</v>
      </c>
      <c r="B772" s="5" t="s">
        <v>1386</v>
      </c>
      <c r="C772" s="48" t="s">
        <v>663</v>
      </c>
      <c r="D772" t="s">
        <v>1423</v>
      </c>
      <c r="E772" s="41" t="s">
        <v>1424</v>
      </c>
      <c r="H772" s="154"/>
      <c r="I772" s="18" t="s">
        <v>1066</v>
      </c>
      <c r="J772" s="23" t="s">
        <v>1415</v>
      </c>
      <c r="K772" s="4">
        <v>25</v>
      </c>
      <c r="L772" s="4" t="s">
        <v>2</v>
      </c>
      <c r="M772" s="5" t="s">
        <v>1063</v>
      </c>
      <c r="N772" s="5" t="s">
        <v>1182</v>
      </c>
      <c r="O772" s="147">
        <v>0</v>
      </c>
      <c r="P772" s="15">
        <v>0</v>
      </c>
      <c r="Q772" s="148">
        <f t="shared" si="26"/>
        <v>0</v>
      </c>
      <c r="R7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ADJO IDA GRAND-ZATTRY BENI MAIHEOUA    YAO VINCENT  0143396939 25 F CONCUBINAGE MENAGERE</v>
      </c>
      <c r="Z772" s="53"/>
      <c r="AA772" s="5"/>
      <c r="AB772" s="48"/>
      <c r="AD772" s="41"/>
      <c r="AG772" s="154"/>
      <c r="AH772" s="18"/>
      <c r="AI772" s="23"/>
      <c r="AJ772" s="4"/>
      <c r="AK772" s="4"/>
      <c r="AL772" s="5"/>
      <c r="AM772" s="5"/>
      <c r="AN772" s="147"/>
      <c r="AO772" s="15"/>
      <c r="AP772" s="148"/>
    </row>
    <row r="773" spans="1:42" ht="16.5" x14ac:dyDescent="0.35">
      <c r="A773" s="53">
        <v>772</v>
      </c>
      <c r="B773" s="5" t="s">
        <v>1387</v>
      </c>
      <c r="C773" s="48" t="s">
        <v>663</v>
      </c>
      <c r="D773" t="s">
        <v>1423</v>
      </c>
      <c r="E773" s="41" t="s">
        <v>1424</v>
      </c>
      <c r="H773" s="154"/>
      <c r="I773" s="18" t="s">
        <v>1066</v>
      </c>
      <c r="J773" s="23" t="s">
        <v>1416</v>
      </c>
      <c r="K773" s="4">
        <v>53</v>
      </c>
      <c r="L773" s="4" t="s">
        <v>2</v>
      </c>
      <c r="M773" s="5" t="s">
        <v>1063</v>
      </c>
      <c r="N773" s="5" t="s">
        <v>1182</v>
      </c>
      <c r="O773" s="147">
        <v>5</v>
      </c>
      <c r="P773" s="15">
        <v>3</v>
      </c>
      <c r="Q773" s="148">
        <f t="shared" si="26"/>
        <v>8</v>
      </c>
      <c r="R7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ZABOUO GEORGETTE GRAND-ZATTRY BENI MAIHEOUA    YAO VINCENT  0757744571 53 F CONCUBINAGE MENAGERE</v>
      </c>
      <c r="Z773" s="53"/>
      <c r="AA773" s="5"/>
      <c r="AB773" s="48"/>
      <c r="AD773" s="41"/>
      <c r="AG773" s="154"/>
      <c r="AH773" s="18"/>
      <c r="AI773" s="23"/>
      <c r="AJ773" s="4"/>
      <c r="AK773" s="4"/>
      <c r="AL773" s="5"/>
      <c r="AM773" s="5"/>
      <c r="AN773" s="147"/>
      <c r="AO773" s="15"/>
      <c r="AP773" s="148"/>
    </row>
    <row r="774" spans="1:42" ht="16.5" x14ac:dyDescent="0.35">
      <c r="A774" s="53">
        <v>773</v>
      </c>
      <c r="B774" s="5" t="s">
        <v>1388</v>
      </c>
      <c r="C774" s="48" t="s">
        <v>663</v>
      </c>
      <c r="D774" t="s">
        <v>1423</v>
      </c>
      <c r="E774" s="41" t="s">
        <v>1424</v>
      </c>
      <c r="H774" s="154"/>
      <c r="I774" s="18" t="s">
        <v>1066</v>
      </c>
      <c r="J774" s="23" t="s">
        <v>1417</v>
      </c>
      <c r="K774" s="4">
        <v>50</v>
      </c>
      <c r="L774" s="4" t="s">
        <v>2</v>
      </c>
      <c r="M774" s="5" t="s">
        <v>1063</v>
      </c>
      <c r="N774" s="5" t="s">
        <v>1182</v>
      </c>
      <c r="O774" s="147">
        <v>4</v>
      </c>
      <c r="P774" s="15">
        <v>4</v>
      </c>
      <c r="Q774" s="148">
        <f t="shared" si="26"/>
        <v>8</v>
      </c>
      <c r="R7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ZADY CHANTALE GRAND-ZATTRY BENI MAIHEOUA    YAO VINCENT  075855878722 50 F CONCUBINAGE MENAGERE</v>
      </c>
      <c r="Z774" s="53"/>
      <c r="AA774" s="5"/>
      <c r="AB774" s="48"/>
      <c r="AD774" s="41"/>
      <c r="AG774" s="154"/>
      <c r="AH774" s="18"/>
      <c r="AI774" s="23"/>
      <c r="AJ774" s="4"/>
      <c r="AK774" s="4"/>
      <c r="AL774" s="5"/>
      <c r="AM774" s="5"/>
      <c r="AN774" s="147"/>
      <c r="AO774" s="15"/>
      <c r="AP774" s="148"/>
    </row>
    <row r="775" spans="1:42" ht="16.5" x14ac:dyDescent="0.35">
      <c r="A775" s="53">
        <v>774</v>
      </c>
      <c r="B775" s="5" t="s">
        <v>1389</v>
      </c>
      <c r="C775" s="48" t="s">
        <v>663</v>
      </c>
      <c r="D775" t="s">
        <v>1423</v>
      </c>
      <c r="E775" s="41" t="s">
        <v>1424</v>
      </c>
      <c r="H775" s="154"/>
      <c r="I775" s="18" t="s">
        <v>1066</v>
      </c>
      <c r="J775" s="23" t="s">
        <v>1418</v>
      </c>
      <c r="K775" s="4">
        <v>42</v>
      </c>
      <c r="L775" s="4" t="s">
        <v>2</v>
      </c>
      <c r="M775" s="5" t="s">
        <v>1063</v>
      </c>
      <c r="N775" s="5" t="s">
        <v>1182</v>
      </c>
      <c r="O775" s="147">
        <v>3</v>
      </c>
      <c r="P775" s="15">
        <v>1</v>
      </c>
      <c r="Q775" s="148">
        <f t="shared" si="26"/>
        <v>4</v>
      </c>
      <c r="R7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AYA NOEL GRAND-ZATTRY BENI MAIHEOUA    YAO VINCENT  0799336229 42 F CONCUBINAGE MENAGERE</v>
      </c>
      <c r="Z775" s="53"/>
      <c r="AA775" s="5"/>
      <c r="AB775" s="48"/>
      <c r="AD775" s="41"/>
      <c r="AG775" s="154"/>
      <c r="AH775" s="18"/>
      <c r="AI775" s="23"/>
      <c r="AJ775" s="4"/>
      <c r="AK775" s="4"/>
      <c r="AL775" s="5"/>
      <c r="AM775" s="5"/>
      <c r="AN775" s="147"/>
      <c r="AO775" s="15"/>
      <c r="AP775" s="148"/>
    </row>
    <row r="776" spans="1:42" ht="16.5" x14ac:dyDescent="0.35">
      <c r="A776" s="53">
        <v>775</v>
      </c>
      <c r="B776" s="5" t="s">
        <v>1390</v>
      </c>
      <c r="C776" s="48" t="s">
        <v>663</v>
      </c>
      <c r="D776" t="s">
        <v>1423</v>
      </c>
      <c r="E776" s="41" t="s">
        <v>1424</v>
      </c>
      <c r="H776" s="154"/>
      <c r="I776" s="18" t="s">
        <v>1066</v>
      </c>
      <c r="J776" s="23" t="s">
        <v>1419</v>
      </c>
      <c r="K776" s="4">
        <v>28</v>
      </c>
      <c r="L776" s="4" t="s">
        <v>2</v>
      </c>
      <c r="M776" s="5" t="s">
        <v>1063</v>
      </c>
      <c r="N776" s="5" t="s">
        <v>1182</v>
      </c>
      <c r="O776" s="147">
        <v>0</v>
      </c>
      <c r="P776" s="15">
        <v>1</v>
      </c>
      <c r="Q776" s="148">
        <f t="shared" si="26"/>
        <v>1</v>
      </c>
      <c r="R7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ANGE GRAND-ZATTRY BENI MAIHEOUA    YAO VINCENT  0749710388 28 F CONCUBINAGE MENAGERE</v>
      </c>
      <c r="Z776" s="53"/>
      <c r="AA776" s="5"/>
      <c r="AB776" s="48"/>
      <c r="AD776" s="41"/>
      <c r="AG776" s="154"/>
      <c r="AH776" s="18"/>
      <c r="AI776" s="23"/>
      <c r="AJ776" s="4"/>
      <c r="AK776" s="4"/>
      <c r="AL776" s="5"/>
      <c r="AM776" s="5"/>
      <c r="AN776" s="147"/>
      <c r="AO776" s="15"/>
      <c r="AP776" s="148"/>
    </row>
    <row r="777" spans="1:42" ht="16.5" x14ac:dyDescent="0.5">
      <c r="A777" s="53">
        <v>776</v>
      </c>
      <c r="B777" s="5" t="s">
        <v>1391</v>
      </c>
      <c r="C777" s="48" t="s">
        <v>663</v>
      </c>
      <c r="D777" t="s">
        <v>1423</v>
      </c>
      <c r="E777" s="41" t="s">
        <v>1424</v>
      </c>
      <c r="H777" s="154"/>
      <c r="I777" s="18" t="s">
        <v>1066</v>
      </c>
      <c r="J777" s="23" t="s">
        <v>1420</v>
      </c>
      <c r="K777" s="6">
        <v>35</v>
      </c>
      <c r="L777" s="4" t="s">
        <v>2</v>
      </c>
      <c r="M777" s="6" t="s">
        <v>1063</v>
      </c>
      <c r="N777" s="6" t="s">
        <v>1182</v>
      </c>
      <c r="O777" s="149">
        <v>3</v>
      </c>
      <c r="P777" s="149">
        <v>2</v>
      </c>
      <c r="Q777" s="148">
        <f t="shared" si="26"/>
        <v>5</v>
      </c>
      <c r="R7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GOGOUA CHANTALE GRAND-ZATTRY BENI MAIHEOUA    YAO VINCENT  0140160023 35 F CONCUBINAGE MENAGERE</v>
      </c>
      <c r="Z777" s="53"/>
      <c r="AA777" s="5"/>
      <c r="AB777" s="48"/>
      <c r="AD777" s="41"/>
      <c r="AG777" s="154"/>
      <c r="AH777" s="18"/>
      <c r="AI777" s="23"/>
      <c r="AJ777" s="6"/>
      <c r="AK777" s="4"/>
      <c r="AL777" s="6"/>
      <c r="AM777" s="6"/>
      <c r="AN777" s="149"/>
      <c r="AO777" s="149"/>
      <c r="AP777" s="148"/>
    </row>
    <row r="778" spans="1:42" ht="16.5" x14ac:dyDescent="0.35">
      <c r="A778" s="53">
        <v>777</v>
      </c>
      <c r="B778" s="5" t="s">
        <v>1392</v>
      </c>
      <c r="C778" s="48" t="s">
        <v>663</v>
      </c>
      <c r="D778" t="s">
        <v>1423</v>
      </c>
      <c r="E778" s="41" t="s">
        <v>1424</v>
      </c>
      <c r="H778" s="154"/>
      <c r="I778" s="18" t="s">
        <v>1066</v>
      </c>
      <c r="J778" s="24" t="s">
        <v>1421</v>
      </c>
      <c r="K778" s="8">
        <v>43</v>
      </c>
      <c r="L778" s="4" t="s">
        <v>2</v>
      </c>
      <c r="M778" s="8" t="s">
        <v>1063</v>
      </c>
      <c r="N778" s="8" t="s">
        <v>1182</v>
      </c>
      <c r="O778" s="151">
        <v>2</v>
      </c>
      <c r="P778" s="151">
        <v>8</v>
      </c>
      <c r="Q778" s="148">
        <f t="shared" si="26"/>
        <v>10</v>
      </c>
      <c r="R7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YOBOUE AFFOUE CHANTALE GRAND-ZATTRY BENI MAIHEOUA    YAO VINCENT  0565387003 43 F CONCUBINAGE MENAGERE</v>
      </c>
      <c r="Z778" s="53"/>
      <c r="AA778" s="5"/>
      <c r="AB778" s="48"/>
      <c r="AD778" s="41"/>
      <c r="AG778" s="154"/>
      <c r="AH778" s="18"/>
      <c r="AI778" s="24"/>
      <c r="AJ778" s="8"/>
      <c r="AK778" s="4"/>
      <c r="AL778" s="8"/>
      <c r="AM778" s="8"/>
      <c r="AN778" s="151"/>
      <c r="AO778" s="151"/>
      <c r="AP778" s="148"/>
    </row>
    <row r="779" spans="1:42" ht="16.5" x14ac:dyDescent="0.35">
      <c r="A779" s="53">
        <v>778</v>
      </c>
      <c r="B779" s="27" t="s">
        <v>1393</v>
      </c>
      <c r="C779" s="48" t="s">
        <v>663</v>
      </c>
      <c r="D779" t="s">
        <v>1423</v>
      </c>
      <c r="E779" s="41" t="s">
        <v>1424</v>
      </c>
      <c r="H779" s="154"/>
      <c r="I779" s="18" t="s">
        <v>1066</v>
      </c>
      <c r="J779" s="25" t="s">
        <v>1422</v>
      </c>
      <c r="K779" s="11">
        <v>35</v>
      </c>
      <c r="L779" s="178" t="s">
        <v>2</v>
      </c>
      <c r="M779" s="11" t="s">
        <v>1063</v>
      </c>
      <c r="N779" s="11" t="s">
        <v>1182</v>
      </c>
      <c r="O779" s="143">
        <v>4</v>
      </c>
      <c r="P779" s="143">
        <v>1</v>
      </c>
      <c r="Q779" s="148">
        <f t="shared" si="26"/>
        <v>5</v>
      </c>
      <c r="R7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AHOU ADELINE GRAND-ZATTRY BENI MAIHEOUA    YAO VINCENT  0170304941 35 F CONCUBINAGE MENAGERE</v>
      </c>
      <c r="Z779" s="53"/>
      <c r="AA779" s="27"/>
      <c r="AB779" s="48"/>
      <c r="AD779" s="41"/>
      <c r="AG779" s="154"/>
      <c r="AH779" s="18"/>
      <c r="AI779" s="25"/>
      <c r="AJ779" s="11"/>
      <c r="AK779" s="178"/>
      <c r="AL779" s="11"/>
      <c r="AM779" s="11"/>
      <c r="AN779" s="143"/>
      <c r="AO779" s="143"/>
      <c r="AP779" s="148"/>
    </row>
    <row r="780" spans="1:42" ht="16.5" x14ac:dyDescent="0.35">
      <c r="A780" s="53">
        <v>779</v>
      </c>
      <c r="B780" s="2" t="s">
        <v>1425</v>
      </c>
      <c r="C780" s="48" t="s">
        <v>663</v>
      </c>
      <c r="D780" t="s">
        <v>1480</v>
      </c>
      <c r="E780" s="41" t="s">
        <v>1424</v>
      </c>
      <c r="H780" s="10"/>
      <c r="I780" s="18" t="s">
        <v>1066</v>
      </c>
      <c r="J780" s="23" t="s">
        <v>1453</v>
      </c>
      <c r="K780" s="4"/>
      <c r="L780" s="4" t="s">
        <v>9</v>
      </c>
      <c r="M780" s="5" t="s">
        <v>1063</v>
      </c>
      <c r="N780" s="5" t="s">
        <v>972</v>
      </c>
      <c r="O780" s="147">
        <v>2</v>
      </c>
      <c r="P780" s="15">
        <v>2</v>
      </c>
      <c r="Q780" s="148">
        <f>(O780+P780)</f>
        <v>4</v>
      </c>
      <c r="R7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N'DOUA ABEL GRAND-ZATTRY TENNDE MAIHEOUA    YAO VINCENT  0779144096  M CONCUBINAGE PLANTEUR</v>
      </c>
      <c r="Z780" s="53"/>
      <c r="AA780" s="2"/>
      <c r="AB780" s="48"/>
      <c r="AD780" s="41"/>
      <c r="AG780" s="10"/>
      <c r="AH780" s="18"/>
      <c r="AI780" s="23"/>
      <c r="AJ780" s="4"/>
      <c r="AK780" s="4"/>
      <c r="AL780" s="5"/>
      <c r="AM780" s="5"/>
      <c r="AN780" s="147"/>
      <c r="AO780" s="15"/>
      <c r="AP780" s="148"/>
    </row>
    <row r="781" spans="1:42" ht="16.5" x14ac:dyDescent="0.35">
      <c r="A781" s="53">
        <v>780</v>
      </c>
      <c r="B781" s="2" t="s">
        <v>858</v>
      </c>
      <c r="C781" s="48" t="s">
        <v>663</v>
      </c>
      <c r="D781" t="s">
        <v>1480</v>
      </c>
      <c r="E781" s="41" t="s">
        <v>1424</v>
      </c>
      <c r="H781" s="154"/>
      <c r="I781" s="18" t="s">
        <v>1066</v>
      </c>
      <c r="J781" s="23" t="s">
        <v>1454</v>
      </c>
      <c r="K781" s="4">
        <v>44</v>
      </c>
      <c r="L781" s="4" t="s">
        <v>9</v>
      </c>
      <c r="M781" s="5" t="s">
        <v>1063</v>
      </c>
      <c r="N781" s="5" t="s">
        <v>972</v>
      </c>
      <c r="O781" s="147">
        <v>1</v>
      </c>
      <c r="P781" s="15">
        <v>2</v>
      </c>
      <c r="Q781" s="148">
        <f t="shared" ref="Q781:Q808" si="27">(O781+P781)</f>
        <v>3</v>
      </c>
      <c r="R7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DJORLAUD SEVERIN GRAND-ZATTRY TENNDE MAIHEOUA    YAO VINCENT  0565125524 44 M CONCUBINAGE PLANTEUR</v>
      </c>
      <c r="Z781" s="53"/>
      <c r="AA781" s="2"/>
      <c r="AB781" s="48"/>
      <c r="AD781" s="41"/>
      <c r="AG781" s="154"/>
      <c r="AH781" s="18"/>
      <c r="AI781" s="23"/>
      <c r="AJ781" s="4"/>
      <c r="AK781" s="4"/>
      <c r="AL781" s="5"/>
      <c r="AM781" s="5"/>
      <c r="AN781" s="147"/>
      <c r="AO781" s="15"/>
      <c r="AP781" s="148"/>
    </row>
    <row r="782" spans="1:42" ht="16.5" x14ac:dyDescent="0.35">
      <c r="A782" s="53">
        <v>781</v>
      </c>
      <c r="B782" s="2" t="s">
        <v>1426</v>
      </c>
      <c r="C782" s="48" t="s">
        <v>663</v>
      </c>
      <c r="D782" t="s">
        <v>1480</v>
      </c>
      <c r="E782" s="41" t="s">
        <v>1424</v>
      </c>
      <c r="H782" s="154"/>
      <c r="I782" s="18" t="s">
        <v>1066</v>
      </c>
      <c r="J782" s="23" t="s">
        <v>1455</v>
      </c>
      <c r="K782" s="4">
        <v>36</v>
      </c>
      <c r="L782" s="4" t="s">
        <v>9</v>
      </c>
      <c r="M782" s="5" t="s">
        <v>1063</v>
      </c>
      <c r="N782" s="5" t="s">
        <v>972</v>
      </c>
      <c r="O782" s="147">
        <v>4</v>
      </c>
      <c r="P782" s="15">
        <v>2</v>
      </c>
      <c r="Q782" s="148">
        <f t="shared" si="27"/>
        <v>6</v>
      </c>
      <c r="R7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ZAKO KESSIE PAULIN GRAND-ZATTRY TENNDE MAIHEOUA    YAO VINCENT  0748034236 36 M CONCUBINAGE PLANTEUR</v>
      </c>
      <c r="Z782" s="53"/>
      <c r="AA782" s="2"/>
      <c r="AB782" s="48"/>
      <c r="AD782" s="41"/>
      <c r="AG782" s="154"/>
      <c r="AH782" s="18"/>
      <c r="AI782" s="23"/>
      <c r="AJ782" s="4"/>
      <c r="AK782" s="4"/>
      <c r="AL782" s="5"/>
      <c r="AM782" s="5"/>
      <c r="AN782" s="147"/>
      <c r="AO782" s="15"/>
      <c r="AP782" s="148"/>
    </row>
    <row r="783" spans="1:42" ht="16.5" x14ac:dyDescent="0.35">
      <c r="A783" s="53">
        <v>782</v>
      </c>
      <c r="B783" s="2" t="s">
        <v>1427</v>
      </c>
      <c r="C783" s="48" t="s">
        <v>663</v>
      </c>
      <c r="D783" t="s">
        <v>1480</v>
      </c>
      <c r="E783" s="41" t="s">
        <v>1424</v>
      </c>
      <c r="H783" s="154"/>
      <c r="I783" s="18" t="s">
        <v>1066</v>
      </c>
      <c r="J783" s="23" t="s">
        <v>1456</v>
      </c>
      <c r="K783" s="4">
        <v>38</v>
      </c>
      <c r="L783" s="4" t="s">
        <v>9</v>
      </c>
      <c r="M783" s="5" t="s">
        <v>1063</v>
      </c>
      <c r="N783" s="5" t="s">
        <v>972</v>
      </c>
      <c r="O783" s="147">
        <v>4</v>
      </c>
      <c r="P783" s="15">
        <v>2</v>
      </c>
      <c r="Q783" s="148">
        <f t="shared" si="27"/>
        <v>6</v>
      </c>
      <c r="R7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ZADY FABRICE GRAND-ZATTRY TENNDE MAIHEOUA    YAO VINCENT  0707423621 38 M CONCUBINAGE PLANTEUR</v>
      </c>
      <c r="Z783" s="53"/>
      <c r="AA783" s="2"/>
      <c r="AB783" s="48"/>
      <c r="AD783" s="41"/>
      <c r="AG783" s="154"/>
      <c r="AH783" s="18"/>
      <c r="AI783" s="23"/>
      <c r="AJ783" s="4"/>
      <c r="AK783" s="4"/>
      <c r="AL783" s="5"/>
      <c r="AM783" s="5"/>
      <c r="AN783" s="147"/>
      <c r="AO783" s="15"/>
      <c r="AP783" s="148"/>
    </row>
    <row r="784" spans="1:42" ht="16.5" x14ac:dyDescent="0.35">
      <c r="A784" s="53">
        <v>783</v>
      </c>
      <c r="B784" s="2" t="s">
        <v>1428</v>
      </c>
      <c r="C784" s="48" t="s">
        <v>663</v>
      </c>
      <c r="D784" t="s">
        <v>1480</v>
      </c>
      <c r="E784" s="41" t="s">
        <v>1424</v>
      </c>
      <c r="H784" s="154"/>
      <c r="I784" s="18" t="s">
        <v>1066</v>
      </c>
      <c r="J784" s="23" t="s">
        <v>1457</v>
      </c>
      <c r="K784" s="4">
        <v>37</v>
      </c>
      <c r="L784" s="4" t="s">
        <v>9</v>
      </c>
      <c r="M784" s="3" t="s">
        <v>1063</v>
      </c>
      <c r="N784" s="5" t="s">
        <v>972</v>
      </c>
      <c r="O784" s="147">
        <v>1</v>
      </c>
      <c r="P784" s="15">
        <v>1</v>
      </c>
      <c r="Q784" s="148">
        <f t="shared" si="27"/>
        <v>2</v>
      </c>
      <c r="R7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GNAORE RICHARD GRAND-ZATTRY TENNDE MAIHEOUA    YAO VINCENT  0554571975 37 M CONCUBINAGE PLANTEUR</v>
      </c>
      <c r="Z784" s="53"/>
      <c r="AA784" s="2"/>
      <c r="AB784" s="48"/>
      <c r="AD784" s="41"/>
      <c r="AG784" s="154"/>
      <c r="AH784" s="18"/>
      <c r="AI784" s="23"/>
      <c r="AJ784" s="4"/>
      <c r="AK784" s="4"/>
      <c r="AL784" s="3"/>
      <c r="AM784" s="5"/>
      <c r="AN784" s="147"/>
      <c r="AO784" s="15"/>
      <c r="AP784" s="148"/>
    </row>
    <row r="785" spans="1:42" ht="16.5" x14ac:dyDescent="0.35">
      <c r="A785" s="53">
        <v>784</v>
      </c>
      <c r="B785" s="2" t="s">
        <v>1429</v>
      </c>
      <c r="C785" s="48" t="s">
        <v>663</v>
      </c>
      <c r="D785" t="s">
        <v>1480</v>
      </c>
      <c r="E785" s="41" t="s">
        <v>1424</v>
      </c>
      <c r="H785" s="154"/>
      <c r="I785" s="18" t="s">
        <v>1066</v>
      </c>
      <c r="J785" s="23" t="s">
        <v>1458</v>
      </c>
      <c r="K785" s="4">
        <v>37</v>
      </c>
      <c r="L785" s="4" t="s">
        <v>9</v>
      </c>
      <c r="M785" s="5" t="s">
        <v>1063</v>
      </c>
      <c r="N785" s="5" t="s">
        <v>972</v>
      </c>
      <c r="O785" s="147">
        <v>2</v>
      </c>
      <c r="P785" s="15">
        <v>2</v>
      </c>
      <c r="Q785" s="148">
        <f t="shared" si="27"/>
        <v>4</v>
      </c>
      <c r="R7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GBETE LOOURI DELPHIN  GRAND-ZATTRY TENNDE MAIHEOUA    YAO VINCENT  0141445876 37 M CONCUBINAGE PLANTEUR</v>
      </c>
      <c r="Z785" s="53"/>
      <c r="AA785" s="2"/>
      <c r="AB785" s="48"/>
      <c r="AD785" s="41"/>
      <c r="AG785" s="154"/>
      <c r="AH785" s="18"/>
      <c r="AI785" s="23"/>
      <c r="AJ785" s="4"/>
      <c r="AK785" s="4"/>
      <c r="AL785" s="5"/>
      <c r="AM785" s="5"/>
      <c r="AN785" s="147"/>
      <c r="AO785" s="15"/>
      <c r="AP785" s="148"/>
    </row>
    <row r="786" spans="1:42" ht="16.5" x14ac:dyDescent="0.35">
      <c r="A786" s="53">
        <v>785</v>
      </c>
      <c r="B786" s="2" t="s">
        <v>1430</v>
      </c>
      <c r="C786" s="48" t="s">
        <v>663</v>
      </c>
      <c r="D786" t="s">
        <v>1480</v>
      </c>
      <c r="E786" s="41" t="s">
        <v>1424</v>
      </c>
      <c r="H786" s="154"/>
      <c r="I786" s="18" t="s">
        <v>1066</v>
      </c>
      <c r="J786" s="23" t="s">
        <v>1459</v>
      </c>
      <c r="K786" s="4">
        <v>42</v>
      </c>
      <c r="L786" s="4" t="s">
        <v>9</v>
      </c>
      <c r="M786" s="5" t="s">
        <v>1063</v>
      </c>
      <c r="N786" s="5" t="s">
        <v>972</v>
      </c>
      <c r="O786" s="147">
        <v>5</v>
      </c>
      <c r="P786" s="15">
        <v>2</v>
      </c>
      <c r="Q786" s="148">
        <f t="shared" si="27"/>
        <v>7</v>
      </c>
      <c r="R7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TAKORE P. NARCISSE GRAND-ZATTRY TENNDE MAIHEOUA    YAO VINCENT  0759369296 42 M CONCUBINAGE PLANTEUR</v>
      </c>
      <c r="Z786" s="53"/>
      <c r="AA786" s="2"/>
      <c r="AB786" s="48"/>
      <c r="AD786" s="41"/>
      <c r="AG786" s="154"/>
      <c r="AH786" s="18"/>
      <c r="AI786" s="23"/>
      <c r="AJ786" s="4"/>
      <c r="AK786" s="4"/>
      <c r="AL786" s="5"/>
      <c r="AM786" s="5"/>
      <c r="AN786" s="147"/>
      <c r="AO786" s="15"/>
      <c r="AP786" s="148"/>
    </row>
    <row r="787" spans="1:42" ht="16.5" x14ac:dyDescent="0.35">
      <c r="A787" s="53">
        <v>786</v>
      </c>
      <c r="B787" s="2" t="s">
        <v>1431</v>
      </c>
      <c r="C787" s="48" t="s">
        <v>663</v>
      </c>
      <c r="D787" t="s">
        <v>1480</v>
      </c>
      <c r="E787" s="41" t="s">
        <v>1424</v>
      </c>
      <c r="H787" s="154"/>
      <c r="I787" s="18" t="s">
        <v>1066</v>
      </c>
      <c r="J787" s="23" t="s">
        <v>1460</v>
      </c>
      <c r="K787" s="4">
        <v>30</v>
      </c>
      <c r="L787" s="4" t="s">
        <v>9</v>
      </c>
      <c r="M787" s="5" t="s">
        <v>1063</v>
      </c>
      <c r="N787" s="5" t="s">
        <v>972</v>
      </c>
      <c r="O787" s="147">
        <v>0</v>
      </c>
      <c r="P787" s="15">
        <v>0</v>
      </c>
      <c r="Q787" s="148">
        <f t="shared" si="27"/>
        <v>0</v>
      </c>
      <c r="R7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BELEMOU ROBERT GRAND-ZATTRY TENNDE MAIHEOUA    YAO VINCENT  0172050926 30 M CONCUBINAGE PLANTEUR</v>
      </c>
      <c r="Z787" s="53"/>
      <c r="AA787" s="2"/>
      <c r="AB787" s="48"/>
      <c r="AD787" s="41"/>
      <c r="AG787" s="154"/>
      <c r="AH787" s="18"/>
      <c r="AI787" s="23"/>
      <c r="AJ787" s="4"/>
      <c r="AK787" s="4"/>
      <c r="AL787" s="5"/>
      <c r="AM787" s="5"/>
      <c r="AN787" s="147"/>
      <c r="AO787" s="15"/>
      <c r="AP787" s="148"/>
    </row>
    <row r="788" spans="1:42" ht="16.5" x14ac:dyDescent="0.35">
      <c r="A788" s="53">
        <v>787</v>
      </c>
      <c r="B788" s="2" t="s">
        <v>1432</v>
      </c>
      <c r="C788" s="48" t="s">
        <v>663</v>
      </c>
      <c r="D788" t="s">
        <v>1480</v>
      </c>
      <c r="E788" s="41" t="s">
        <v>1424</v>
      </c>
      <c r="H788" s="154"/>
      <c r="I788" s="18" t="s">
        <v>1066</v>
      </c>
      <c r="J788" s="23" t="s">
        <v>1461</v>
      </c>
      <c r="K788" s="4">
        <v>52</v>
      </c>
      <c r="L788" s="4" t="s">
        <v>9</v>
      </c>
      <c r="M788" s="5" t="s">
        <v>1063</v>
      </c>
      <c r="N788" s="5" t="s">
        <v>972</v>
      </c>
      <c r="O788" s="147">
        <v>3</v>
      </c>
      <c r="P788" s="15">
        <v>3</v>
      </c>
      <c r="Q788" s="148">
        <f t="shared" si="27"/>
        <v>6</v>
      </c>
      <c r="R7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KEUBLI LALOU CHAMBERT GRAND-ZATTRY TENNDE MAIHEOUA    YAO VINCENT  0171395223 52 M CONCUBINAGE PLANTEUR</v>
      </c>
      <c r="Z788" s="53"/>
      <c r="AA788" s="2"/>
      <c r="AB788" s="48"/>
      <c r="AD788" s="41"/>
      <c r="AG788" s="154"/>
      <c r="AH788" s="18"/>
      <c r="AI788" s="23"/>
      <c r="AJ788" s="4"/>
      <c r="AK788" s="4"/>
      <c r="AL788" s="5"/>
      <c r="AM788" s="5"/>
      <c r="AN788" s="147"/>
      <c r="AO788" s="15"/>
      <c r="AP788" s="148"/>
    </row>
    <row r="789" spans="1:42" ht="16.5" x14ac:dyDescent="0.35">
      <c r="A789" s="53">
        <v>788</v>
      </c>
      <c r="B789" s="2" t="s">
        <v>1433</v>
      </c>
      <c r="C789" s="48" t="s">
        <v>663</v>
      </c>
      <c r="D789" t="s">
        <v>1480</v>
      </c>
      <c r="E789" s="41" t="s">
        <v>1424</v>
      </c>
      <c r="H789" s="154"/>
      <c r="I789" s="18" t="s">
        <v>1066</v>
      </c>
      <c r="J789" s="23" t="s">
        <v>1462</v>
      </c>
      <c r="K789" s="4">
        <v>42</v>
      </c>
      <c r="L789" s="4" t="s">
        <v>9</v>
      </c>
      <c r="M789" s="5" t="s">
        <v>1063</v>
      </c>
      <c r="N789" s="5" t="s">
        <v>972</v>
      </c>
      <c r="O789" s="147">
        <v>2</v>
      </c>
      <c r="P789" s="15">
        <v>0</v>
      </c>
      <c r="Q789" s="148">
        <f t="shared" si="27"/>
        <v>2</v>
      </c>
      <c r="R7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DEGBA YOKORE MAURICE GRAND-ZATTRY TENNDE MAIHEOUA    YAO VINCENT  0574144332 42 M CONCUBINAGE PLANTEUR</v>
      </c>
      <c r="Z789" s="53"/>
      <c r="AA789" s="2"/>
      <c r="AB789" s="48"/>
      <c r="AD789" s="41"/>
      <c r="AG789" s="154"/>
      <c r="AH789" s="18"/>
      <c r="AI789" s="23"/>
      <c r="AJ789" s="4"/>
      <c r="AK789" s="4"/>
      <c r="AL789" s="5"/>
      <c r="AM789" s="5"/>
      <c r="AN789" s="147"/>
      <c r="AO789" s="15"/>
      <c r="AP789" s="148"/>
    </row>
    <row r="790" spans="1:42" ht="16.5" x14ac:dyDescent="0.35">
      <c r="A790" s="53">
        <v>789</v>
      </c>
      <c r="B790" s="2" t="s">
        <v>1434</v>
      </c>
      <c r="C790" s="48" t="s">
        <v>663</v>
      </c>
      <c r="D790" t="s">
        <v>1480</v>
      </c>
      <c r="E790" s="41" t="s">
        <v>1424</v>
      </c>
      <c r="H790" s="154"/>
      <c r="I790" s="18" t="s">
        <v>1066</v>
      </c>
      <c r="J790" s="23" t="s">
        <v>1461</v>
      </c>
      <c r="K790" s="4">
        <v>39</v>
      </c>
      <c r="L790" s="4" t="s">
        <v>9</v>
      </c>
      <c r="M790" s="5" t="s">
        <v>1063</v>
      </c>
      <c r="N790" s="5" t="s">
        <v>972</v>
      </c>
      <c r="O790" s="147">
        <v>5</v>
      </c>
      <c r="P790" s="15">
        <v>3</v>
      </c>
      <c r="Q790" s="148">
        <f t="shared" si="27"/>
        <v>8</v>
      </c>
      <c r="R7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GBRETE G PAULIN GRAND-ZATTRY TENNDE MAIHEOUA    YAO VINCENT  0171395223 39 M CONCUBINAGE PLANTEUR</v>
      </c>
      <c r="Z790" s="53"/>
      <c r="AA790" s="2"/>
      <c r="AB790" s="48"/>
      <c r="AD790" s="41"/>
      <c r="AG790" s="154"/>
      <c r="AH790" s="18"/>
      <c r="AI790" s="23"/>
      <c r="AJ790" s="4"/>
      <c r="AK790" s="4"/>
      <c r="AL790" s="5"/>
      <c r="AM790" s="5"/>
      <c r="AN790" s="147"/>
      <c r="AO790" s="15"/>
      <c r="AP790" s="148"/>
    </row>
    <row r="791" spans="1:42" ht="16.5" x14ac:dyDescent="0.35">
      <c r="A791" s="53">
        <v>790</v>
      </c>
      <c r="B791" s="2" t="s">
        <v>1435</v>
      </c>
      <c r="C791" s="48" t="s">
        <v>663</v>
      </c>
      <c r="D791" t="s">
        <v>1480</v>
      </c>
      <c r="E791" s="41" t="s">
        <v>1424</v>
      </c>
      <c r="H791" s="154"/>
      <c r="I791" s="18" t="s">
        <v>1066</v>
      </c>
      <c r="J791" s="23" t="s">
        <v>1463</v>
      </c>
      <c r="K791" s="4">
        <v>55</v>
      </c>
      <c r="L791" s="4" t="s">
        <v>9</v>
      </c>
      <c r="M791" s="5" t="s">
        <v>1063</v>
      </c>
      <c r="N791" s="5" t="s">
        <v>1478</v>
      </c>
      <c r="O791" s="147">
        <v>3</v>
      </c>
      <c r="P791" s="15">
        <v>1</v>
      </c>
      <c r="Q791" s="148">
        <f t="shared" si="27"/>
        <v>4</v>
      </c>
      <c r="R7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KOUADIO SYLVERE GRAND-ZATTRY TENNDE MAIHEOUA    YAO VINCENT  0152997145 55 M CONCUBINAGE ENSEIGNANT</v>
      </c>
      <c r="Z791" s="53"/>
      <c r="AA791" s="2"/>
      <c r="AB791" s="48"/>
      <c r="AD791" s="41"/>
      <c r="AG791" s="154"/>
      <c r="AH791" s="18"/>
      <c r="AI791" s="23"/>
      <c r="AJ791" s="4"/>
      <c r="AK791" s="4"/>
      <c r="AL791" s="5"/>
      <c r="AM791" s="5"/>
      <c r="AN791" s="147"/>
      <c r="AO791" s="15"/>
      <c r="AP791" s="148"/>
    </row>
    <row r="792" spans="1:42" ht="16.5" x14ac:dyDescent="0.35">
      <c r="A792" s="53">
        <v>791</v>
      </c>
      <c r="B792" s="2" t="s">
        <v>1436</v>
      </c>
      <c r="C792" s="48" t="s">
        <v>663</v>
      </c>
      <c r="D792" t="s">
        <v>1480</v>
      </c>
      <c r="E792" s="41" t="s">
        <v>1424</v>
      </c>
      <c r="H792" s="154"/>
      <c r="I792" s="18" t="s">
        <v>1066</v>
      </c>
      <c r="J792" s="23" t="s">
        <v>1414</v>
      </c>
      <c r="K792" s="4">
        <v>37</v>
      </c>
      <c r="L792" s="4" t="s">
        <v>9</v>
      </c>
      <c r="M792" s="5" t="s">
        <v>1063</v>
      </c>
      <c r="N792" s="5" t="s">
        <v>972</v>
      </c>
      <c r="O792" s="147">
        <v>2</v>
      </c>
      <c r="P792" s="15">
        <v>1</v>
      </c>
      <c r="Q792" s="148">
        <f t="shared" si="27"/>
        <v>3</v>
      </c>
      <c r="R7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LAGO ELY GRAND-ZATTRY TENNDE MAIHEOUA    YAO VINCENT  0545166569 37 M CONCUBINAGE PLANTEUR</v>
      </c>
      <c r="Z792" s="53"/>
      <c r="AA792" s="2"/>
      <c r="AB792" s="48"/>
      <c r="AD792" s="41"/>
      <c r="AG792" s="154"/>
      <c r="AH792" s="18"/>
      <c r="AI792" s="23"/>
      <c r="AJ792" s="4"/>
      <c r="AK792" s="4"/>
      <c r="AL792" s="5"/>
      <c r="AM792" s="5"/>
      <c r="AN792" s="147"/>
      <c r="AO792" s="15"/>
      <c r="AP792" s="148"/>
    </row>
    <row r="793" spans="1:42" ht="16.5" x14ac:dyDescent="0.35">
      <c r="A793" s="53">
        <v>792</v>
      </c>
      <c r="B793" s="2" t="s">
        <v>1437</v>
      </c>
      <c r="C793" s="48" t="s">
        <v>663</v>
      </c>
      <c r="D793" t="s">
        <v>1480</v>
      </c>
      <c r="E793" s="41" t="s">
        <v>1424</v>
      </c>
      <c r="H793" s="154"/>
      <c r="I793" s="18" t="s">
        <v>1066</v>
      </c>
      <c r="J793" s="23" t="s">
        <v>1464</v>
      </c>
      <c r="K793" s="4">
        <v>38</v>
      </c>
      <c r="L793" s="4" t="s">
        <v>9</v>
      </c>
      <c r="M793" s="5" t="s">
        <v>1063</v>
      </c>
      <c r="N793" s="5" t="s">
        <v>972</v>
      </c>
      <c r="O793" s="147">
        <v>0</v>
      </c>
      <c r="P793" s="15">
        <v>2</v>
      </c>
      <c r="Q793" s="148">
        <f t="shared" si="27"/>
        <v>2</v>
      </c>
      <c r="R7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DABO ZOMADRE HERVE GRAND-ZATTRY TENNDE MAIHEOUA    YAO VINCENT  0565327304 38 M CONCUBINAGE PLANTEUR</v>
      </c>
      <c r="Z793" s="53"/>
      <c r="AA793" s="2"/>
      <c r="AB793" s="48"/>
      <c r="AD793" s="41"/>
      <c r="AG793" s="154"/>
      <c r="AH793" s="18"/>
      <c r="AI793" s="23"/>
      <c r="AJ793" s="4"/>
      <c r="AK793" s="4"/>
      <c r="AL793" s="5"/>
      <c r="AM793" s="5"/>
      <c r="AN793" s="147"/>
      <c r="AO793" s="15"/>
      <c r="AP793" s="148"/>
    </row>
    <row r="794" spans="1:42" ht="16.5" x14ac:dyDescent="0.35">
      <c r="A794" s="53">
        <v>793</v>
      </c>
      <c r="B794" s="2" t="s">
        <v>1438</v>
      </c>
      <c r="C794" s="48" t="s">
        <v>663</v>
      </c>
      <c r="D794" t="s">
        <v>1480</v>
      </c>
      <c r="E794" s="41" t="s">
        <v>1424</v>
      </c>
      <c r="H794" s="154"/>
      <c r="I794" s="18" t="s">
        <v>1066</v>
      </c>
      <c r="J794" s="23" t="s">
        <v>1465</v>
      </c>
      <c r="K794" s="4">
        <v>47</v>
      </c>
      <c r="L794" s="4" t="s">
        <v>9</v>
      </c>
      <c r="M794" s="5" t="s">
        <v>1063</v>
      </c>
      <c r="N794" s="5" t="s">
        <v>972</v>
      </c>
      <c r="O794" s="147">
        <v>2</v>
      </c>
      <c r="P794" s="15">
        <v>1</v>
      </c>
      <c r="Q794" s="148">
        <f t="shared" si="27"/>
        <v>3</v>
      </c>
      <c r="R7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K.FULBERT GRAND-ZATTRY TENNDE MAIHEOUA    YAO VINCENT  0140589529 47 M CONCUBINAGE PLANTEUR</v>
      </c>
      <c r="Z794" s="53"/>
      <c r="AA794" s="2"/>
      <c r="AB794" s="48"/>
      <c r="AD794" s="41"/>
      <c r="AG794" s="154"/>
      <c r="AH794" s="18"/>
      <c r="AI794" s="23"/>
      <c r="AJ794" s="4"/>
      <c r="AK794" s="4"/>
      <c r="AL794" s="5"/>
      <c r="AM794" s="5"/>
      <c r="AN794" s="147"/>
      <c r="AO794" s="15"/>
      <c r="AP794" s="148"/>
    </row>
    <row r="795" spans="1:42" ht="16.5" x14ac:dyDescent="0.35">
      <c r="A795" s="53">
        <v>794</v>
      </c>
      <c r="B795" s="2" t="s">
        <v>1439</v>
      </c>
      <c r="C795" s="48" t="s">
        <v>663</v>
      </c>
      <c r="D795" t="s">
        <v>1480</v>
      </c>
      <c r="E795" s="41" t="s">
        <v>1424</v>
      </c>
      <c r="H795" s="154"/>
      <c r="I795" s="18" t="s">
        <v>1066</v>
      </c>
      <c r="J795" s="23" t="s">
        <v>1466</v>
      </c>
      <c r="K795" s="4">
        <v>40</v>
      </c>
      <c r="L795" s="4" t="s">
        <v>9</v>
      </c>
      <c r="M795" s="5" t="s">
        <v>1063</v>
      </c>
      <c r="N795" s="5" t="s">
        <v>972</v>
      </c>
      <c r="O795" s="147">
        <v>1</v>
      </c>
      <c r="P795" s="15">
        <v>0</v>
      </c>
      <c r="Q795" s="148">
        <f t="shared" si="27"/>
        <v>1</v>
      </c>
      <c r="R7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KACOU K.CHRISTIAN GRAND-ZATTRY TENNDE MAIHEOUA    YAO VINCENT  0708544169 40 M CONCUBINAGE PLANTEUR</v>
      </c>
      <c r="Z795" s="53"/>
      <c r="AA795" s="2"/>
      <c r="AB795" s="48"/>
      <c r="AD795" s="41"/>
      <c r="AG795" s="154"/>
      <c r="AH795" s="18"/>
      <c r="AI795" s="23"/>
      <c r="AJ795" s="4"/>
      <c r="AK795" s="4"/>
      <c r="AL795" s="5"/>
      <c r="AM795" s="5"/>
      <c r="AN795" s="147"/>
      <c r="AO795" s="15"/>
      <c r="AP795" s="148"/>
    </row>
    <row r="796" spans="1:42" ht="16.5" x14ac:dyDescent="0.35">
      <c r="A796" s="53">
        <v>795</v>
      </c>
      <c r="B796" s="2" t="s">
        <v>1440</v>
      </c>
      <c r="C796" s="48" t="s">
        <v>663</v>
      </c>
      <c r="D796" t="s">
        <v>1480</v>
      </c>
      <c r="E796" s="41" t="s">
        <v>1424</v>
      </c>
      <c r="H796" s="154"/>
      <c r="I796" s="18" t="s">
        <v>1066</v>
      </c>
      <c r="J796" s="23" t="s">
        <v>1467</v>
      </c>
      <c r="K796" s="4">
        <v>39</v>
      </c>
      <c r="L796" s="4" t="s">
        <v>9</v>
      </c>
      <c r="M796" s="5" t="s">
        <v>1063</v>
      </c>
      <c r="N796" s="5" t="s">
        <v>972</v>
      </c>
      <c r="O796" s="147">
        <v>2</v>
      </c>
      <c r="P796" s="15">
        <v>1</v>
      </c>
      <c r="Q796" s="148">
        <f t="shared" si="27"/>
        <v>3</v>
      </c>
      <c r="R7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JULIEN GRAND-ZATTRY TENNDE MAIHEOUA    YAO VINCENT  0143434756 39 M CONCUBINAGE PLANTEUR</v>
      </c>
      <c r="Z796" s="53"/>
      <c r="AA796" s="2"/>
      <c r="AB796" s="48"/>
      <c r="AD796" s="41"/>
      <c r="AG796" s="154"/>
      <c r="AH796" s="18"/>
      <c r="AI796" s="23"/>
      <c r="AJ796" s="4"/>
      <c r="AK796" s="4"/>
      <c r="AL796" s="5"/>
      <c r="AM796" s="5"/>
      <c r="AN796" s="147"/>
      <c r="AO796" s="15"/>
      <c r="AP796" s="148"/>
    </row>
    <row r="797" spans="1:42" ht="16.5" x14ac:dyDescent="0.35">
      <c r="A797" s="53">
        <v>796</v>
      </c>
      <c r="B797" s="2" t="s">
        <v>1441</v>
      </c>
      <c r="C797" s="48" t="s">
        <v>663</v>
      </c>
      <c r="D797" t="s">
        <v>1480</v>
      </c>
      <c r="E797" s="41" t="s">
        <v>1424</v>
      </c>
      <c r="H797" s="154"/>
      <c r="I797" s="18" t="s">
        <v>1066</v>
      </c>
      <c r="J797" s="23" t="s">
        <v>1468</v>
      </c>
      <c r="K797" s="4">
        <v>49</v>
      </c>
      <c r="L797" s="4" t="s">
        <v>9</v>
      </c>
      <c r="M797" s="5" t="s">
        <v>1063</v>
      </c>
      <c r="N797" s="5" t="s">
        <v>972</v>
      </c>
      <c r="O797" s="147">
        <v>1</v>
      </c>
      <c r="P797" s="15">
        <v>1</v>
      </c>
      <c r="Q797" s="148">
        <f t="shared" si="27"/>
        <v>2</v>
      </c>
      <c r="R7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G.HERVE STEPHANE GRAND-ZATTRY TENNDE MAIHEOUA    YAO VINCENT  0103322190 49 M CONCUBINAGE PLANTEUR</v>
      </c>
      <c r="Z797" s="53"/>
      <c r="AA797" s="2"/>
      <c r="AB797" s="48"/>
      <c r="AD797" s="41"/>
      <c r="AG797" s="154"/>
      <c r="AH797" s="18"/>
      <c r="AI797" s="23"/>
      <c r="AJ797" s="4"/>
      <c r="AK797" s="4"/>
      <c r="AL797" s="5"/>
      <c r="AM797" s="5"/>
      <c r="AN797" s="147"/>
      <c r="AO797" s="15"/>
      <c r="AP797" s="148"/>
    </row>
    <row r="798" spans="1:42" ht="16.5" x14ac:dyDescent="0.35">
      <c r="A798" s="53">
        <v>797</v>
      </c>
      <c r="B798" s="2" t="s">
        <v>1442</v>
      </c>
      <c r="C798" s="48" t="s">
        <v>663</v>
      </c>
      <c r="D798" t="s">
        <v>1480</v>
      </c>
      <c r="E798" s="41" t="s">
        <v>1424</v>
      </c>
      <c r="H798" s="154"/>
      <c r="I798" s="18" t="s">
        <v>1066</v>
      </c>
      <c r="J798" s="23" t="s">
        <v>1469</v>
      </c>
      <c r="K798" s="4">
        <v>32</v>
      </c>
      <c r="L798" s="4" t="s">
        <v>9</v>
      </c>
      <c r="M798" s="5" t="s">
        <v>1063</v>
      </c>
      <c r="N798" s="5" t="s">
        <v>972</v>
      </c>
      <c r="O798" s="147">
        <v>2</v>
      </c>
      <c r="P798" s="15">
        <v>0</v>
      </c>
      <c r="Q798" s="148">
        <f t="shared" si="27"/>
        <v>2</v>
      </c>
      <c r="R7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GOGOUA GUY DEMEL GRAND-ZATTRY TENNDE MAIHEOUA    YAO VINCENT  0140556295 32 M CONCUBINAGE PLANTEUR</v>
      </c>
      <c r="Z798" s="53"/>
      <c r="AA798" s="2"/>
      <c r="AB798" s="48"/>
      <c r="AD798" s="41"/>
      <c r="AG798" s="154"/>
      <c r="AH798" s="18"/>
      <c r="AI798" s="23"/>
      <c r="AJ798" s="4"/>
      <c r="AK798" s="4"/>
      <c r="AL798" s="5"/>
      <c r="AM798" s="5"/>
      <c r="AN798" s="147"/>
      <c r="AO798" s="15"/>
      <c r="AP798" s="148"/>
    </row>
    <row r="799" spans="1:42" ht="16.5" x14ac:dyDescent="0.35">
      <c r="A799" s="53">
        <v>798</v>
      </c>
      <c r="B799" s="2" t="s">
        <v>1443</v>
      </c>
      <c r="C799" s="48" t="s">
        <v>663</v>
      </c>
      <c r="D799" t="s">
        <v>1480</v>
      </c>
      <c r="E799" s="41" t="s">
        <v>1424</v>
      </c>
      <c r="H799" s="154"/>
      <c r="I799" s="18" t="s">
        <v>1066</v>
      </c>
      <c r="J799" s="23" t="s">
        <v>1470</v>
      </c>
      <c r="K799" s="4">
        <v>50</v>
      </c>
      <c r="L799" s="4" t="s">
        <v>9</v>
      </c>
      <c r="M799" s="5" t="s">
        <v>1063</v>
      </c>
      <c r="N799" s="5" t="s">
        <v>972</v>
      </c>
      <c r="O799" s="147">
        <v>0</v>
      </c>
      <c r="P799" s="15">
        <v>1</v>
      </c>
      <c r="Q799" s="148">
        <f t="shared" si="27"/>
        <v>1</v>
      </c>
      <c r="R7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TOH GRAND-ZATTRY TENNDE MAIHEOUA    YAO VINCENT  0748100307 50 M CONCUBINAGE PLANTEUR</v>
      </c>
      <c r="Z799" s="53"/>
      <c r="AA799" s="2"/>
      <c r="AB799" s="48"/>
      <c r="AD799" s="41"/>
      <c r="AG799" s="154"/>
      <c r="AH799" s="18"/>
      <c r="AI799" s="23"/>
      <c r="AJ799" s="4"/>
      <c r="AK799" s="4"/>
      <c r="AL799" s="5"/>
      <c r="AM799" s="5"/>
      <c r="AN799" s="147"/>
      <c r="AO799" s="15"/>
      <c r="AP799" s="148"/>
    </row>
    <row r="800" spans="1:42" ht="16.5" x14ac:dyDescent="0.35">
      <c r="A800" s="53">
        <v>799</v>
      </c>
      <c r="B800" s="2" t="s">
        <v>1444</v>
      </c>
      <c r="C800" s="48" t="s">
        <v>663</v>
      </c>
      <c r="D800" t="s">
        <v>1480</v>
      </c>
      <c r="E800" s="41" t="s">
        <v>1424</v>
      </c>
      <c r="H800" s="154"/>
      <c r="I800" s="18" t="s">
        <v>1066</v>
      </c>
      <c r="J800" s="23" t="s">
        <v>1403</v>
      </c>
      <c r="K800" s="4">
        <v>49</v>
      </c>
      <c r="L800" s="4" t="s">
        <v>9</v>
      </c>
      <c r="M800" s="5" t="s">
        <v>1063</v>
      </c>
      <c r="N800" s="5" t="s">
        <v>972</v>
      </c>
      <c r="O800" s="147">
        <v>4</v>
      </c>
      <c r="P800" s="15">
        <v>1</v>
      </c>
      <c r="Q800" s="148">
        <f t="shared" si="27"/>
        <v>5</v>
      </c>
      <c r="R8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DOUDOU BOLOU AUGUSTIN GRAND-ZATTRY TENNDE MAIHEOUA    YAO VINCENT  0150228941 49 M CONCUBINAGE PLANTEUR</v>
      </c>
      <c r="Z800" s="53"/>
      <c r="AA800" s="2"/>
      <c r="AB800" s="48"/>
      <c r="AD800" s="41"/>
      <c r="AG800" s="154"/>
      <c r="AH800" s="18"/>
      <c r="AI800" s="23"/>
      <c r="AJ800" s="4"/>
      <c r="AK800" s="4"/>
      <c r="AL800" s="5"/>
      <c r="AM800" s="5"/>
      <c r="AN800" s="147"/>
      <c r="AO800" s="15"/>
      <c r="AP800" s="148"/>
    </row>
    <row r="801" spans="1:42" ht="16.5" x14ac:dyDescent="0.35">
      <c r="A801" s="53">
        <v>800</v>
      </c>
      <c r="B801" s="2" t="s">
        <v>1445</v>
      </c>
      <c r="C801" s="48" t="s">
        <v>663</v>
      </c>
      <c r="D801" t="s">
        <v>1480</v>
      </c>
      <c r="E801" s="41" t="s">
        <v>1424</v>
      </c>
      <c r="H801" s="154"/>
      <c r="I801" s="18" t="s">
        <v>1066</v>
      </c>
      <c r="J801" s="23" t="s">
        <v>1471</v>
      </c>
      <c r="K801" s="4">
        <v>47</v>
      </c>
      <c r="L801" s="4" t="s">
        <v>9</v>
      </c>
      <c r="M801" s="5" t="s">
        <v>1063</v>
      </c>
      <c r="N801" s="5" t="s">
        <v>972</v>
      </c>
      <c r="O801" s="147">
        <v>6</v>
      </c>
      <c r="P801" s="15">
        <v>0</v>
      </c>
      <c r="Q801" s="148">
        <f t="shared" si="27"/>
        <v>6</v>
      </c>
      <c r="R8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TABIA ZADI NICAISE GRAND-ZATTRY TENNDE MAIHEOUA    YAO VINCENT  0140068278 47 M CONCUBINAGE PLANTEUR</v>
      </c>
      <c r="Z801" s="53"/>
      <c r="AA801" s="2"/>
      <c r="AB801" s="48"/>
      <c r="AD801" s="41"/>
      <c r="AG801" s="154"/>
      <c r="AH801" s="18"/>
      <c r="AI801" s="23"/>
      <c r="AJ801" s="4"/>
      <c r="AK801" s="4"/>
      <c r="AL801" s="5"/>
      <c r="AM801" s="5"/>
      <c r="AN801" s="147"/>
      <c r="AO801" s="15"/>
      <c r="AP801" s="148"/>
    </row>
    <row r="802" spans="1:42" ht="16.5" x14ac:dyDescent="0.35">
      <c r="A802" s="53">
        <v>801</v>
      </c>
      <c r="B802" s="2" t="s">
        <v>1446</v>
      </c>
      <c r="C802" s="48" t="s">
        <v>663</v>
      </c>
      <c r="D802" t="s">
        <v>1480</v>
      </c>
      <c r="E802" s="41" t="s">
        <v>1424</v>
      </c>
      <c r="H802" s="154"/>
      <c r="I802" s="18" t="s">
        <v>1066</v>
      </c>
      <c r="J802" s="23" t="s">
        <v>1472</v>
      </c>
      <c r="K802" s="4">
        <v>33</v>
      </c>
      <c r="L802" s="4" t="s">
        <v>9</v>
      </c>
      <c r="M802" s="5" t="s">
        <v>1063</v>
      </c>
      <c r="N802" s="5" t="s">
        <v>1479</v>
      </c>
      <c r="O802" s="147">
        <v>1</v>
      </c>
      <c r="P802" s="15">
        <v>1</v>
      </c>
      <c r="Q802" s="148">
        <f t="shared" si="27"/>
        <v>2</v>
      </c>
      <c r="R8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DIFFI KOUADIO JEAN-LOUIS GRAND-ZATTRY TENNDE MAIHEOUA    YAO VINCENT  0749993501 33 M CONCUBINAGE TRANSPORTEUR TAXI MOTO</v>
      </c>
      <c r="Z802" s="53"/>
      <c r="AA802" s="2"/>
      <c r="AB802" s="48"/>
      <c r="AD802" s="41"/>
      <c r="AG802" s="154"/>
      <c r="AH802" s="18"/>
      <c r="AI802" s="23"/>
      <c r="AJ802" s="4"/>
      <c r="AK802" s="4"/>
      <c r="AL802" s="5"/>
      <c r="AM802" s="5"/>
      <c r="AN802" s="147"/>
      <c r="AO802" s="15"/>
      <c r="AP802" s="148"/>
    </row>
    <row r="803" spans="1:42" ht="16.5" x14ac:dyDescent="0.35">
      <c r="A803" s="53">
        <v>802</v>
      </c>
      <c r="B803" s="2" t="s">
        <v>1447</v>
      </c>
      <c r="C803" s="48" t="s">
        <v>663</v>
      </c>
      <c r="D803" t="s">
        <v>1480</v>
      </c>
      <c r="E803" s="41" t="s">
        <v>1424</v>
      </c>
      <c r="H803" s="154"/>
      <c r="I803" s="18" t="s">
        <v>1066</v>
      </c>
      <c r="J803" s="23" t="s">
        <v>1473</v>
      </c>
      <c r="K803" s="4">
        <v>50</v>
      </c>
      <c r="L803" s="4" t="s">
        <v>9</v>
      </c>
      <c r="M803" s="5" t="s">
        <v>1063</v>
      </c>
      <c r="N803" s="5" t="s">
        <v>972</v>
      </c>
      <c r="O803" s="147">
        <v>2</v>
      </c>
      <c r="P803" s="15">
        <v>3</v>
      </c>
      <c r="Q803" s="148">
        <f t="shared" si="27"/>
        <v>5</v>
      </c>
      <c r="R8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DOUFFI KOUADDIO PIERRE GRAND-ZATTRY TENNDE MAIHEOUA    YAO VINCENT  0576646552 50 M CONCUBINAGE PLANTEUR</v>
      </c>
      <c r="Z803" s="53"/>
      <c r="AA803" s="2"/>
      <c r="AB803" s="48"/>
      <c r="AD803" s="41"/>
      <c r="AG803" s="154"/>
      <c r="AH803" s="18"/>
      <c r="AI803" s="23"/>
      <c r="AJ803" s="4"/>
      <c r="AK803" s="4"/>
      <c r="AL803" s="5"/>
      <c r="AM803" s="5"/>
      <c r="AN803" s="147"/>
      <c r="AO803" s="15"/>
      <c r="AP803" s="148"/>
    </row>
    <row r="804" spans="1:42" ht="16.5" x14ac:dyDescent="0.35">
      <c r="A804" s="53">
        <v>803</v>
      </c>
      <c r="B804" s="2" t="s">
        <v>1448</v>
      </c>
      <c r="C804" s="48" t="s">
        <v>663</v>
      </c>
      <c r="D804" t="s">
        <v>1480</v>
      </c>
      <c r="E804" s="41" t="s">
        <v>1424</v>
      </c>
      <c r="H804" s="154"/>
      <c r="I804" s="18" t="s">
        <v>1066</v>
      </c>
      <c r="J804" s="23" t="s">
        <v>1474</v>
      </c>
      <c r="K804" s="4">
        <v>38</v>
      </c>
      <c r="L804" s="4" t="s">
        <v>9</v>
      </c>
      <c r="M804" s="5" t="s">
        <v>1063</v>
      </c>
      <c r="N804" s="5" t="s">
        <v>972</v>
      </c>
      <c r="O804" s="147">
        <v>2</v>
      </c>
      <c r="P804" s="15">
        <v>2</v>
      </c>
      <c r="Q804" s="148">
        <f t="shared" si="27"/>
        <v>4</v>
      </c>
      <c r="R8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BOZA TABLI THIERRY GRAND-ZATTRY TENNDE MAIHEOUA    YAO VINCENT  0141510802 38 M CONCUBINAGE PLANTEUR</v>
      </c>
      <c r="Z804" s="53"/>
      <c r="AA804" s="2"/>
      <c r="AB804" s="48"/>
      <c r="AD804" s="41"/>
      <c r="AG804" s="154"/>
      <c r="AH804" s="18"/>
      <c r="AI804" s="23"/>
      <c r="AJ804" s="4"/>
      <c r="AK804" s="4"/>
      <c r="AL804" s="5"/>
      <c r="AM804" s="5"/>
      <c r="AN804" s="147"/>
      <c r="AO804" s="15"/>
      <c r="AP804" s="148"/>
    </row>
    <row r="805" spans="1:42" ht="16.5" x14ac:dyDescent="0.35">
      <c r="A805" s="53">
        <v>804</v>
      </c>
      <c r="B805" s="2" t="s">
        <v>1449</v>
      </c>
      <c r="C805" s="48" t="s">
        <v>663</v>
      </c>
      <c r="D805" t="s">
        <v>1480</v>
      </c>
      <c r="E805" s="41" t="s">
        <v>1424</v>
      </c>
      <c r="H805" s="154"/>
      <c r="I805" s="18" t="s">
        <v>1066</v>
      </c>
      <c r="J805" s="23" t="s">
        <v>1475</v>
      </c>
      <c r="K805" s="4">
        <v>36</v>
      </c>
      <c r="L805" s="4" t="s">
        <v>9</v>
      </c>
      <c r="M805" s="5" t="s">
        <v>1063</v>
      </c>
      <c r="N805" s="5" t="s">
        <v>972</v>
      </c>
      <c r="O805" s="147">
        <v>1</v>
      </c>
      <c r="P805" s="15">
        <v>1</v>
      </c>
      <c r="Q805" s="148">
        <f t="shared" si="27"/>
        <v>2</v>
      </c>
      <c r="R8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BLAY MADOU OLIVIER GRAND-ZATTRY TENNDE MAIHEOUA    YAO VINCENT  0152191489 36 M CONCUBINAGE PLANTEUR</v>
      </c>
      <c r="Z805" s="53"/>
      <c r="AA805" s="2"/>
      <c r="AB805" s="48"/>
      <c r="AD805" s="41"/>
      <c r="AG805" s="154"/>
      <c r="AH805" s="18"/>
      <c r="AI805" s="23"/>
      <c r="AJ805" s="4"/>
      <c r="AK805" s="4"/>
      <c r="AL805" s="5"/>
      <c r="AM805" s="5"/>
      <c r="AN805" s="147"/>
      <c r="AO805" s="15"/>
      <c r="AP805" s="148"/>
    </row>
    <row r="806" spans="1:42" ht="16.5" x14ac:dyDescent="0.5">
      <c r="A806" s="53">
        <v>805</v>
      </c>
      <c r="B806" s="2" t="s">
        <v>1450</v>
      </c>
      <c r="C806" s="48" t="s">
        <v>663</v>
      </c>
      <c r="D806" t="s">
        <v>1480</v>
      </c>
      <c r="E806" s="41" t="s">
        <v>1424</v>
      </c>
      <c r="H806" s="154"/>
      <c r="I806" s="18" t="s">
        <v>1066</v>
      </c>
      <c r="J806" s="23" t="s">
        <v>1476</v>
      </c>
      <c r="K806" s="6">
        <v>61</v>
      </c>
      <c r="L806" s="4" t="s">
        <v>2</v>
      </c>
      <c r="M806" s="5" t="s">
        <v>1063</v>
      </c>
      <c r="N806" s="5" t="s">
        <v>1182</v>
      </c>
      <c r="O806" s="149">
        <v>2</v>
      </c>
      <c r="P806" s="149">
        <v>4</v>
      </c>
      <c r="Q806" s="148">
        <f t="shared" si="27"/>
        <v>6</v>
      </c>
      <c r="R8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TRAORE MEITA NADINE GRAND-ZATTRY TENNDE MAIHEOUA    YAO VINCENT  0143530852 61 F CONCUBINAGE MENAGERE</v>
      </c>
      <c r="Z806" s="53"/>
      <c r="AA806" s="2"/>
      <c r="AB806" s="48"/>
      <c r="AD806" s="41"/>
      <c r="AG806" s="154"/>
      <c r="AH806" s="18"/>
      <c r="AI806" s="23"/>
      <c r="AJ806" s="6"/>
      <c r="AK806" s="4"/>
      <c r="AL806" s="5"/>
      <c r="AM806" s="5"/>
      <c r="AN806" s="149"/>
      <c r="AO806" s="149"/>
      <c r="AP806" s="148"/>
    </row>
    <row r="807" spans="1:42" ht="16.5" x14ac:dyDescent="0.35">
      <c r="A807" s="53">
        <v>806</v>
      </c>
      <c r="B807" s="2" t="s">
        <v>1451</v>
      </c>
      <c r="C807" s="48" t="s">
        <v>663</v>
      </c>
      <c r="D807" t="s">
        <v>1480</v>
      </c>
      <c r="E807" s="41" t="s">
        <v>1424</v>
      </c>
      <c r="H807" s="154"/>
      <c r="I807" s="18" t="s">
        <v>1066</v>
      </c>
      <c r="J807" s="24"/>
      <c r="K807" s="8">
        <v>34</v>
      </c>
      <c r="L807" s="4" t="s">
        <v>2</v>
      </c>
      <c r="M807" s="5" t="s">
        <v>1063</v>
      </c>
      <c r="N807" s="8" t="s">
        <v>1182</v>
      </c>
      <c r="O807" s="151">
        <v>2</v>
      </c>
      <c r="P807" s="151">
        <v>2</v>
      </c>
      <c r="Q807" s="148">
        <f t="shared" si="27"/>
        <v>4</v>
      </c>
      <c r="R8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BIAGNE CHRISTELLE GRAND-ZATTRY TENNDE MAIHEOUA    YAO VINCENT   34 F CONCUBINAGE MENAGERE</v>
      </c>
      <c r="Z807" s="53"/>
      <c r="AA807" s="2"/>
      <c r="AB807" s="48"/>
      <c r="AD807" s="41"/>
      <c r="AG807" s="154"/>
      <c r="AH807" s="18"/>
      <c r="AI807" s="24"/>
      <c r="AJ807" s="8"/>
      <c r="AK807" s="4"/>
      <c r="AL807" s="5"/>
      <c r="AM807" s="8"/>
      <c r="AN807" s="151"/>
      <c r="AO807" s="151"/>
      <c r="AP807" s="148"/>
    </row>
    <row r="808" spans="1:42" ht="16.5" x14ac:dyDescent="0.35">
      <c r="A808" s="53">
        <v>807</v>
      </c>
      <c r="B808" s="9" t="s">
        <v>1452</v>
      </c>
      <c r="C808" s="48" t="s">
        <v>663</v>
      </c>
      <c r="D808" t="s">
        <v>1480</v>
      </c>
      <c r="E808" s="41" t="s">
        <v>1424</v>
      </c>
      <c r="H808" s="154"/>
      <c r="I808" s="18" t="s">
        <v>1066</v>
      </c>
      <c r="J808" s="25" t="s">
        <v>1477</v>
      </c>
      <c r="K808" s="11">
        <v>35</v>
      </c>
      <c r="L808" s="178" t="s">
        <v>2</v>
      </c>
      <c r="M808" s="5" t="s">
        <v>1063</v>
      </c>
      <c r="N808" s="11" t="s">
        <v>1182</v>
      </c>
      <c r="O808" s="143">
        <v>0</v>
      </c>
      <c r="P808" s="143">
        <v>4</v>
      </c>
      <c r="Q808" s="148">
        <f t="shared" si="27"/>
        <v>4</v>
      </c>
      <c r="R8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DEDOU DIANE GRAND-ZATTRY TENNDE MAIHEOUA    YAO VINCENT  0140324340 35 F CONCUBINAGE MENAGERE</v>
      </c>
      <c r="Z808" s="53"/>
      <c r="AA808" s="9"/>
      <c r="AB808" s="48"/>
      <c r="AD808" s="41"/>
      <c r="AG808" s="154"/>
      <c r="AH808" s="18"/>
      <c r="AI808" s="25"/>
      <c r="AJ808" s="11"/>
      <c r="AK808" s="178"/>
      <c r="AL808" s="5"/>
      <c r="AM808" s="11"/>
      <c r="AN808" s="143"/>
      <c r="AO808" s="143"/>
      <c r="AP808" s="148"/>
    </row>
    <row r="809" spans="1:42" ht="16.5" x14ac:dyDescent="0.35">
      <c r="A809" s="53">
        <v>808</v>
      </c>
      <c r="B809" s="2" t="s">
        <v>1481</v>
      </c>
      <c r="C809" s="48" t="s">
        <v>663</v>
      </c>
      <c r="D809" t="s">
        <v>1529</v>
      </c>
      <c r="E809" s="41" t="s">
        <v>1530</v>
      </c>
      <c r="H809" s="10"/>
      <c r="I809" s="18" t="s">
        <v>1066</v>
      </c>
      <c r="J809" s="23" t="s">
        <v>1511</v>
      </c>
      <c r="K809" s="4">
        <v>51</v>
      </c>
      <c r="L809" s="4" t="s">
        <v>2</v>
      </c>
      <c r="M809" s="5" t="s">
        <v>1063</v>
      </c>
      <c r="N809" s="5" t="s">
        <v>1182</v>
      </c>
      <c r="O809" s="147">
        <v>3</v>
      </c>
      <c r="P809" s="15">
        <v>1</v>
      </c>
      <c r="Q809" s="148">
        <f>(O809+P809)</f>
        <v>4</v>
      </c>
      <c r="R8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N'DRI AFFOUE JEANNETTE GRAND-ZATTRY ISRAEL KONANKRO    YAO VINCENT  0768578813 51 F CONCUBINAGE MENAGERE</v>
      </c>
      <c r="Z809" s="53"/>
      <c r="AA809" s="2"/>
      <c r="AB809" s="48"/>
      <c r="AD809" s="41"/>
      <c r="AG809" s="10"/>
      <c r="AH809" s="18"/>
      <c r="AI809" s="23"/>
      <c r="AJ809" s="4"/>
      <c r="AK809" s="4"/>
      <c r="AL809" s="5"/>
      <c r="AM809" s="5"/>
      <c r="AN809" s="147"/>
      <c r="AO809" s="15"/>
      <c r="AP809" s="148"/>
    </row>
    <row r="810" spans="1:42" ht="16.5" x14ac:dyDescent="0.35">
      <c r="A810" s="53">
        <v>809</v>
      </c>
      <c r="B810" s="2" t="s">
        <v>1482</v>
      </c>
      <c r="C810" s="48" t="s">
        <v>663</v>
      </c>
      <c r="D810" t="s">
        <v>1529</v>
      </c>
      <c r="E810" s="41" t="s">
        <v>1530</v>
      </c>
      <c r="H810" s="10"/>
      <c r="I810" s="18" t="s">
        <v>1066</v>
      </c>
      <c r="J810" s="23" t="s">
        <v>1512</v>
      </c>
      <c r="K810" s="4"/>
      <c r="L810" s="4" t="s">
        <v>9</v>
      </c>
      <c r="M810" s="5" t="s">
        <v>1063</v>
      </c>
      <c r="N810" s="5" t="s">
        <v>972</v>
      </c>
      <c r="O810" s="147">
        <v>0</v>
      </c>
      <c r="P810" s="15">
        <v>2</v>
      </c>
      <c r="Q810" s="148">
        <f t="shared" ref="Q810:Q838" si="28">(O810+P810)</f>
        <v>2</v>
      </c>
      <c r="R8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KOUAME LAZARE GRAND-ZATTRY ISRAEL KONANKRO    YAO VINCENT  0748537341  M CONCUBINAGE PLANTEUR</v>
      </c>
      <c r="Z810" s="53"/>
      <c r="AA810" s="2"/>
      <c r="AB810" s="48"/>
      <c r="AD810" s="41"/>
      <c r="AG810" s="10"/>
      <c r="AH810" s="18"/>
      <c r="AI810" s="23"/>
      <c r="AJ810" s="4"/>
      <c r="AK810" s="4"/>
      <c r="AL810" s="5"/>
      <c r="AM810" s="5"/>
      <c r="AN810" s="147"/>
      <c r="AO810" s="15"/>
      <c r="AP810" s="148"/>
    </row>
    <row r="811" spans="1:42" ht="16.5" x14ac:dyDescent="0.35">
      <c r="A811" s="53">
        <v>810</v>
      </c>
      <c r="B811" s="2" t="s">
        <v>1483</v>
      </c>
      <c r="C811" s="48" t="s">
        <v>663</v>
      </c>
      <c r="D811" t="s">
        <v>1529</v>
      </c>
      <c r="E811" s="41" t="s">
        <v>1530</v>
      </c>
      <c r="H811" s="154"/>
      <c r="I811" s="18" t="s">
        <v>1066</v>
      </c>
      <c r="J811" s="23" t="s">
        <v>1513</v>
      </c>
      <c r="K811" s="4">
        <v>58</v>
      </c>
      <c r="L811" s="4" t="s">
        <v>2</v>
      </c>
      <c r="M811" s="5"/>
      <c r="N811" s="5" t="s">
        <v>1182</v>
      </c>
      <c r="O811" s="147">
        <v>1</v>
      </c>
      <c r="P811" s="15">
        <v>4</v>
      </c>
      <c r="Q811" s="148">
        <f t="shared" si="28"/>
        <v>5</v>
      </c>
      <c r="R8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M'BRA AMENAN RACHELLE GRAND-ZATTRY ISRAEL KONANKRO    YAO VINCENT  0749191129 58 F  MENAGERE</v>
      </c>
      <c r="Z811" s="53"/>
      <c r="AA811" s="2"/>
      <c r="AB811" s="48"/>
      <c r="AD811" s="41"/>
      <c r="AG811" s="154"/>
      <c r="AH811" s="18"/>
      <c r="AI811" s="23"/>
      <c r="AJ811" s="4"/>
      <c r="AK811" s="4"/>
      <c r="AL811" s="5"/>
      <c r="AM811" s="5"/>
      <c r="AN811" s="147"/>
      <c r="AO811" s="15"/>
      <c r="AP811" s="148"/>
    </row>
    <row r="812" spans="1:42" ht="16.5" x14ac:dyDescent="0.35">
      <c r="A812" s="53">
        <v>811</v>
      </c>
      <c r="B812" s="2" t="s">
        <v>1484</v>
      </c>
      <c r="C812" s="48" t="s">
        <v>663</v>
      </c>
      <c r="D812" t="s">
        <v>1529</v>
      </c>
      <c r="E812" s="41" t="s">
        <v>1530</v>
      </c>
      <c r="H812" s="154"/>
      <c r="I812" s="18" t="s">
        <v>1066</v>
      </c>
      <c r="J812" s="23" t="s">
        <v>1514</v>
      </c>
      <c r="K812" s="4">
        <v>37</v>
      </c>
      <c r="L812" s="4" t="s">
        <v>9</v>
      </c>
      <c r="M812" s="5"/>
      <c r="N812" s="5" t="s">
        <v>972</v>
      </c>
      <c r="O812" s="147">
        <v>1</v>
      </c>
      <c r="P812" s="15">
        <v>3</v>
      </c>
      <c r="Q812" s="148">
        <f t="shared" si="28"/>
        <v>4</v>
      </c>
      <c r="R8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KOUAKOU JEAN BERTRAND GRAND-ZATTRY ISRAEL KONANKRO    YAO VINCENT  0758824102 37 M  PLANTEUR</v>
      </c>
      <c r="Z812" s="53"/>
      <c r="AA812" s="2"/>
      <c r="AB812" s="48"/>
      <c r="AD812" s="41"/>
      <c r="AG812" s="154"/>
      <c r="AH812" s="18"/>
      <c r="AI812" s="23"/>
      <c r="AJ812" s="4"/>
      <c r="AK812" s="4"/>
      <c r="AL812" s="5"/>
      <c r="AM812" s="5"/>
      <c r="AN812" s="147"/>
      <c r="AO812" s="15"/>
      <c r="AP812" s="148"/>
    </row>
    <row r="813" spans="1:42" ht="16.5" x14ac:dyDescent="0.35">
      <c r="A813" s="53">
        <v>812</v>
      </c>
      <c r="B813" s="2" t="s">
        <v>1485</v>
      </c>
      <c r="C813" s="48" t="s">
        <v>663</v>
      </c>
      <c r="D813" t="s">
        <v>1529</v>
      </c>
      <c r="E813" s="41" t="s">
        <v>1530</v>
      </c>
      <c r="H813" s="154"/>
      <c r="I813" s="18" t="s">
        <v>1066</v>
      </c>
      <c r="J813" s="23"/>
      <c r="K813" s="4">
        <v>41</v>
      </c>
      <c r="L813" s="4" t="s">
        <v>2</v>
      </c>
      <c r="M813" s="5"/>
      <c r="N813" s="5" t="s">
        <v>1182</v>
      </c>
      <c r="O813" s="147">
        <v>3</v>
      </c>
      <c r="P813" s="15">
        <v>5</v>
      </c>
      <c r="Q813" s="148">
        <f t="shared" si="28"/>
        <v>8</v>
      </c>
      <c r="R8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N'DRI AFFOUE AMELIE GRAND-ZATTRY ISRAEL KONANKRO    YAO VINCENT   41 F  MENAGERE</v>
      </c>
      <c r="Z813" s="53"/>
      <c r="AA813" s="2"/>
      <c r="AB813" s="48"/>
      <c r="AD813" s="41"/>
      <c r="AG813" s="154"/>
      <c r="AH813" s="18"/>
      <c r="AI813" s="23"/>
      <c r="AJ813" s="4"/>
      <c r="AK813" s="4"/>
      <c r="AL813" s="5"/>
      <c r="AM813" s="5"/>
      <c r="AN813" s="147"/>
      <c r="AO813" s="15"/>
      <c r="AP813" s="148"/>
    </row>
    <row r="814" spans="1:42" ht="16.5" x14ac:dyDescent="0.35">
      <c r="A814" s="53">
        <v>813</v>
      </c>
      <c r="B814" s="2" t="s">
        <v>1486</v>
      </c>
      <c r="C814" s="48" t="s">
        <v>663</v>
      </c>
      <c r="D814" t="s">
        <v>1529</v>
      </c>
      <c r="E814" s="41" t="s">
        <v>1530</v>
      </c>
      <c r="H814" s="154"/>
      <c r="I814" s="18" t="s">
        <v>1066</v>
      </c>
      <c r="J814" s="23" t="s">
        <v>1515</v>
      </c>
      <c r="K814" s="4">
        <v>45</v>
      </c>
      <c r="L814" s="4" t="s">
        <v>2</v>
      </c>
      <c r="M814" s="5"/>
      <c r="N814" s="5" t="s">
        <v>1182</v>
      </c>
      <c r="O814" s="147">
        <v>3</v>
      </c>
      <c r="P814" s="15">
        <v>5</v>
      </c>
      <c r="Q814" s="148">
        <f t="shared" si="28"/>
        <v>8</v>
      </c>
      <c r="R8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TANO AFFOUET SOLANGE GRAND-ZATTRY ISRAEL KONANKRO    YAO VINCENT  0143765255 45 F  MENAGERE</v>
      </c>
      <c r="Z814" s="53"/>
      <c r="AA814" s="2"/>
      <c r="AB814" s="48"/>
      <c r="AD814" s="41"/>
      <c r="AG814" s="154"/>
      <c r="AH814" s="18"/>
      <c r="AI814" s="23"/>
      <c r="AJ814" s="4"/>
      <c r="AK814" s="4"/>
      <c r="AL814" s="5"/>
      <c r="AM814" s="5"/>
      <c r="AN814" s="147"/>
      <c r="AO814" s="15"/>
      <c r="AP814" s="148"/>
    </row>
    <row r="815" spans="1:42" ht="16.5" x14ac:dyDescent="0.35">
      <c r="A815" s="53">
        <v>814</v>
      </c>
      <c r="B815" s="2" t="s">
        <v>1487</v>
      </c>
      <c r="C815" s="48" t="s">
        <v>663</v>
      </c>
      <c r="D815" t="s">
        <v>1529</v>
      </c>
      <c r="E815" s="41" t="s">
        <v>1530</v>
      </c>
      <c r="H815" s="154"/>
      <c r="I815" s="18" t="s">
        <v>1066</v>
      </c>
      <c r="J815" s="23"/>
      <c r="K815" s="4">
        <v>29</v>
      </c>
      <c r="L815" s="4" t="s">
        <v>2</v>
      </c>
      <c r="M815" s="5"/>
      <c r="N815" s="5" t="s">
        <v>1182</v>
      </c>
      <c r="O815" s="147">
        <v>4</v>
      </c>
      <c r="P815" s="15">
        <v>2</v>
      </c>
      <c r="Q815" s="148">
        <f t="shared" si="28"/>
        <v>6</v>
      </c>
      <c r="R8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N'GORAN AHOU NATACHA GRAND-ZATTRY ISRAEL KONANKRO    YAO VINCENT   29 F  MENAGERE</v>
      </c>
      <c r="Z815" s="53"/>
      <c r="AA815" s="2"/>
      <c r="AB815" s="48"/>
      <c r="AD815" s="41"/>
      <c r="AG815" s="154"/>
      <c r="AH815" s="18"/>
      <c r="AI815" s="23"/>
      <c r="AJ815" s="4"/>
      <c r="AK815" s="4"/>
      <c r="AL815" s="5"/>
      <c r="AM815" s="5"/>
      <c r="AN815" s="147"/>
      <c r="AO815" s="15"/>
      <c r="AP815" s="148"/>
    </row>
    <row r="816" spans="1:42" ht="16.5" x14ac:dyDescent="0.35">
      <c r="A816" s="53">
        <v>815</v>
      </c>
      <c r="B816" s="2" t="s">
        <v>1488</v>
      </c>
      <c r="C816" s="48" t="s">
        <v>663</v>
      </c>
      <c r="D816" t="s">
        <v>1529</v>
      </c>
      <c r="E816" s="41" t="s">
        <v>1530</v>
      </c>
      <c r="H816" s="154"/>
      <c r="I816" s="18" t="s">
        <v>1066</v>
      </c>
      <c r="J816" s="23" t="s">
        <v>1516</v>
      </c>
      <c r="K816" s="4">
        <v>25</v>
      </c>
      <c r="L816" s="4" t="s">
        <v>2</v>
      </c>
      <c r="M816" s="5"/>
      <c r="N816" s="5" t="s">
        <v>1182</v>
      </c>
      <c r="O816" s="147">
        <v>2</v>
      </c>
      <c r="P816" s="15">
        <v>1</v>
      </c>
      <c r="Q816" s="148">
        <f>(O816+P816)</f>
        <v>3</v>
      </c>
      <c r="R8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N'DRI MARIETTE GRAND-ZATTRY ISRAEL KONANKRO    YAO VINCENT  0172887250 25 F  MENAGERE</v>
      </c>
      <c r="Z816" s="53"/>
      <c r="AA816" s="2"/>
      <c r="AB816" s="48"/>
      <c r="AD816" s="41"/>
      <c r="AG816" s="154"/>
      <c r="AH816" s="18"/>
      <c r="AI816" s="23"/>
      <c r="AJ816" s="4"/>
      <c r="AK816" s="4"/>
      <c r="AL816" s="5"/>
      <c r="AM816" s="5"/>
      <c r="AN816" s="147"/>
      <c r="AO816" s="15"/>
      <c r="AP816" s="148"/>
    </row>
    <row r="817" spans="1:42" ht="16.5" x14ac:dyDescent="0.35">
      <c r="A817" s="53">
        <v>816</v>
      </c>
      <c r="B817" s="2" t="s">
        <v>1489</v>
      </c>
      <c r="C817" s="48" t="s">
        <v>663</v>
      </c>
      <c r="D817" t="s">
        <v>1529</v>
      </c>
      <c r="E817" s="41" t="s">
        <v>1530</v>
      </c>
      <c r="H817" s="154"/>
      <c r="I817" s="18" t="s">
        <v>1066</v>
      </c>
      <c r="J817" s="23"/>
      <c r="K817" s="4">
        <v>66</v>
      </c>
      <c r="L817" s="4" t="s">
        <v>2</v>
      </c>
      <c r="M817" s="5"/>
      <c r="N817" s="5" t="s">
        <v>1182</v>
      </c>
      <c r="O817" s="147">
        <v>5</v>
      </c>
      <c r="P817" s="15">
        <v>3</v>
      </c>
      <c r="Q817" s="148">
        <f t="shared" si="28"/>
        <v>8</v>
      </c>
      <c r="R8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AHOU AGNES GRAND-ZATTRY ISRAEL KONANKRO    YAO VINCENT   66 F  MENAGERE</v>
      </c>
      <c r="Z817" s="53"/>
      <c r="AA817" s="2"/>
      <c r="AB817" s="48"/>
      <c r="AD817" s="41"/>
      <c r="AG817" s="154"/>
      <c r="AH817" s="18"/>
      <c r="AI817" s="23"/>
      <c r="AJ817" s="4"/>
      <c r="AK817" s="4"/>
      <c r="AL817" s="5"/>
      <c r="AM817" s="5"/>
      <c r="AN817" s="147"/>
      <c r="AO817" s="15"/>
      <c r="AP817" s="148"/>
    </row>
    <row r="818" spans="1:42" ht="16.5" x14ac:dyDescent="0.35">
      <c r="A818" s="53">
        <v>817</v>
      </c>
      <c r="B818" s="2" t="s">
        <v>1490</v>
      </c>
      <c r="C818" s="48" t="s">
        <v>663</v>
      </c>
      <c r="D818" t="s">
        <v>1529</v>
      </c>
      <c r="E818" s="41" t="s">
        <v>1530</v>
      </c>
      <c r="H818" s="154"/>
      <c r="I818" s="18" t="s">
        <v>1066</v>
      </c>
      <c r="J818" s="23" t="s">
        <v>1517</v>
      </c>
      <c r="K818" s="4">
        <v>59</v>
      </c>
      <c r="L818" s="4" t="s">
        <v>2</v>
      </c>
      <c r="M818" s="5"/>
      <c r="N818" s="5" t="s">
        <v>1182</v>
      </c>
      <c r="O818" s="147">
        <v>2</v>
      </c>
      <c r="P818" s="15">
        <v>2</v>
      </c>
      <c r="Q818" s="148">
        <f t="shared" si="28"/>
        <v>4</v>
      </c>
      <c r="R8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KOUADIO N'DRI BERNADETTE GRAND-ZATTRY ISRAEL KONANKRO    YAO VINCENT  0777267540 59 F  MENAGERE</v>
      </c>
      <c r="Z818" s="53"/>
      <c r="AA818" s="2"/>
      <c r="AB818" s="48"/>
      <c r="AD818" s="41"/>
      <c r="AG818" s="154"/>
      <c r="AH818" s="18"/>
      <c r="AI818" s="23"/>
      <c r="AJ818" s="4"/>
      <c r="AK818" s="4"/>
      <c r="AL818" s="5"/>
      <c r="AM818" s="5"/>
      <c r="AN818" s="147"/>
      <c r="AO818" s="15"/>
      <c r="AP818" s="148"/>
    </row>
    <row r="819" spans="1:42" ht="16.5" x14ac:dyDescent="0.35">
      <c r="A819" s="53">
        <v>818</v>
      </c>
      <c r="B819" s="2" t="s">
        <v>1491</v>
      </c>
      <c r="C819" s="48" t="s">
        <v>663</v>
      </c>
      <c r="D819" t="s">
        <v>1529</v>
      </c>
      <c r="E819" s="41" t="s">
        <v>1530</v>
      </c>
      <c r="H819" s="154"/>
      <c r="I819" s="18" t="s">
        <v>1066</v>
      </c>
      <c r="J819" s="23"/>
      <c r="K819" s="4">
        <v>58</v>
      </c>
      <c r="L819" s="4" t="s">
        <v>2</v>
      </c>
      <c r="M819" s="5"/>
      <c r="N819" s="5" t="s">
        <v>1182</v>
      </c>
      <c r="O819" s="147">
        <v>3</v>
      </c>
      <c r="P819" s="15">
        <v>2</v>
      </c>
      <c r="Q819" s="148">
        <f t="shared" si="28"/>
        <v>5</v>
      </c>
      <c r="R8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AMANI ROSE GRAND-ZATTRY ISRAEL KONANKRO    YAO VINCENT   58 F  MENAGERE</v>
      </c>
      <c r="Z819" s="53"/>
      <c r="AA819" s="2"/>
      <c r="AB819" s="48"/>
      <c r="AD819" s="41"/>
      <c r="AG819" s="154"/>
      <c r="AH819" s="18"/>
      <c r="AI819" s="23"/>
      <c r="AJ819" s="4"/>
      <c r="AK819" s="4"/>
      <c r="AL819" s="5"/>
      <c r="AM819" s="5"/>
      <c r="AN819" s="147"/>
      <c r="AO819" s="15"/>
      <c r="AP819" s="148"/>
    </row>
    <row r="820" spans="1:42" ht="16.5" x14ac:dyDescent="0.35">
      <c r="A820" s="53">
        <v>819</v>
      </c>
      <c r="B820" s="2" t="s">
        <v>1492</v>
      </c>
      <c r="C820" s="48" t="s">
        <v>663</v>
      </c>
      <c r="D820" t="s">
        <v>1529</v>
      </c>
      <c r="E820" s="41" t="s">
        <v>1530</v>
      </c>
      <c r="H820" s="154"/>
      <c r="I820" s="18" t="s">
        <v>1066</v>
      </c>
      <c r="J820" s="23"/>
      <c r="K820" s="4"/>
      <c r="L820" s="4" t="s">
        <v>2</v>
      </c>
      <c r="M820" s="5"/>
      <c r="N820" s="5" t="s">
        <v>1182</v>
      </c>
      <c r="O820" s="147">
        <v>2</v>
      </c>
      <c r="P820" s="15">
        <v>8</v>
      </c>
      <c r="Q820" s="148">
        <f t="shared" si="28"/>
        <v>10</v>
      </c>
      <c r="R8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KOUAME AMOIN SUZANNE GRAND-ZATTRY ISRAEL KONANKRO    YAO VINCENT    F  MENAGERE</v>
      </c>
      <c r="Z820" s="53"/>
      <c r="AA820" s="2"/>
      <c r="AB820" s="48"/>
      <c r="AD820" s="41"/>
      <c r="AG820" s="154"/>
      <c r="AH820" s="18"/>
      <c r="AI820" s="23"/>
      <c r="AJ820" s="4"/>
      <c r="AK820" s="4"/>
      <c r="AL820" s="5"/>
      <c r="AM820" s="5"/>
      <c r="AN820" s="147"/>
      <c r="AO820" s="15"/>
      <c r="AP820" s="148"/>
    </row>
    <row r="821" spans="1:42" ht="16.5" x14ac:dyDescent="0.35">
      <c r="A821" s="53">
        <v>820</v>
      </c>
      <c r="B821" s="2" t="s">
        <v>1493</v>
      </c>
      <c r="C821" s="48" t="s">
        <v>663</v>
      </c>
      <c r="D821" t="s">
        <v>1529</v>
      </c>
      <c r="E821" s="41" t="s">
        <v>1530</v>
      </c>
      <c r="H821" s="154"/>
      <c r="I821" s="18" t="s">
        <v>1066</v>
      </c>
      <c r="J821" s="23" t="s">
        <v>1518</v>
      </c>
      <c r="K821" s="4"/>
      <c r="L821" s="4" t="s">
        <v>2</v>
      </c>
      <c r="M821" s="5"/>
      <c r="N821" s="5" t="s">
        <v>1182</v>
      </c>
      <c r="O821" s="147">
        <v>4</v>
      </c>
      <c r="P821" s="15">
        <v>4</v>
      </c>
      <c r="Q821" s="148">
        <f t="shared" si="28"/>
        <v>8</v>
      </c>
      <c r="R8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AKISSI SYLVIE GRAND-ZATTRY ISRAEL KONANKRO    YAO VINCENT  0103186576  F  MENAGERE</v>
      </c>
      <c r="Z821" s="53"/>
      <c r="AA821" s="2"/>
      <c r="AB821" s="48"/>
      <c r="AD821" s="41"/>
      <c r="AG821" s="154"/>
      <c r="AH821" s="18"/>
      <c r="AI821" s="23"/>
      <c r="AJ821" s="4"/>
      <c r="AK821" s="4"/>
      <c r="AL821" s="5"/>
      <c r="AM821" s="5"/>
      <c r="AN821" s="147"/>
      <c r="AO821" s="15"/>
      <c r="AP821" s="148"/>
    </row>
    <row r="822" spans="1:42" ht="16.5" x14ac:dyDescent="0.35">
      <c r="A822" s="53">
        <v>821</v>
      </c>
      <c r="B822" s="2" t="s">
        <v>1494</v>
      </c>
      <c r="C822" s="48" t="s">
        <v>663</v>
      </c>
      <c r="D822" t="s">
        <v>1529</v>
      </c>
      <c r="E822" s="41" t="s">
        <v>1530</v>
      </c>
      <c r="H822" s="154"/>
      <c r="I822" s="18" t="s">
        <v>1066</v>
      </c>
      <c r="J822" s="23" t="s">
        <v>1519</v>
      </c>
      <c r="K822" s="4"/>
      <c r="L822" s="4" t="s">
        <v>2</v>
      </c>
      <c r="M822" s="5"/>
      <c r="N822" s="5" t="s">
        <v>1182</v>
      </c>
      <c r="O822" s="147">
        <v>0</v>
      </c>
      <c r="P822" s="15">
        <v>0</v>
      </c>
      <c r="Q822" s="148">
        <f t="shared" si="28"/>
        <v>0</v>
      </c>
      <c r="R8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ADJOUA JEANNE GRAND-ZATTRY ISRAEL KONANKRO    YAO VINCENT  0700130208  F  MENAGERE</v>
      </c>
      <c r="Z822" s="53"/>
      <c r="AA822" s="2"/>
      <c r="AB822" s="48"/>
      <c r="AD822" s="41"/>
      <c r="AG822" s="154"/>
      <c r="AH822" s="18"/>
      <c r="AI822" s="23"/>
      <c r="AJ822" s="4"/>
      <c r="AK822" s="4"/>
      <c r="AL822" s="5"/>
      <c r="AM822" s="5"/>
      <c r="AN822" s="147"/>
      <c r="AO822" s="15"/>
      <c r="AP822" s="148"/>
    </row>
    <row r="823" spans="1:42" ht="16.5" x14ac:dyDescent="0.35">
      <c r="A823" s="53">
        <v>822</v>
      </c>
      <c r="B823" s="2" t="s">
        <v>1495</v>
      </c>
      <c r="C823" s="48" t="s">
        <v>663</v>
      </c>
      <c r="D823" t="s">
        <v>1529</v>
      </c>
      <c r="E823" s="41" t="s">
        <v>1530</v>
      </c>
      <c r="H823" s="154"/>
      <c r="I823" s="18" t="s">
        <v>1066</v>
      </c>
      <c r="J823" s="23" t="s">
        <v>1520</v>
      </c>
      <c r="K823" s="4"/>
      <c r="L823" s="4" t="s">
        <v>2</v>
      </c>
      <c r="M823" s="5"/>
      <c r="N823" s="5" t="s">
        <v>1182</v>
      </c>
      <c r="O823" s="147">
        <v>1</v>
      </c>
      <c r="P823" s="15">
        <v>1</v>
      </c>
      <c r="Q823" s="148">
        <f t="shared" si="28"/>
        <v>2</v>
      </c>
      <c r="R8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AFFOUET LEONNIE GRAND-ZATTRY ISRAEL KONANKRO    YAO VINCENT  0779427981  F  MENAGERE</v>
      </c>
      <c r="Z823" s="53"/>
      <c r="AA823" s="2"/>
      <c r="AB823" s="48"/>
      <c r="AD823" s="41"/>
      <c r="AG823" s="154"/>
      <c r="AH823" s="18"/>
      <c r="AI823" s="23"/>
      <c r="AJ823" s="4"/>
      <c r="AK823" s="4"/>
      <c r="AL823" s="5"/>
      <c r="AM823" s="5"/>
      <c r="AN823" s="147"/>
      <c r="AO823" s="15"/>
      <c r="AP823" s="148"/>
    </row>
    <row r="824" spans="1:42" ht="16.5" x14ac:dyDescent="0.35">
      <c r="A824" s="53">
        <v>823</v>
      </c>
      <c r="B824" s="2" t="s">
        <v>1496</v>
      </c>
      <c r="C824" s="48" t="s">
        <v>663</v>
      </c>
      <c r="D824" t="s">
        <v>1529</v>
      </c>
      <c r="E824" s="41" t="s">
        <v>1530</v>
      </c>
      <c r="H824" s="154"/>
      <c r="I824" s="18" t="s">
        <v>1066</v>
      </c>
      <c r="J824" s="23" t="s">
        <v>1521</v>
      </c>
      <c r="K824" s="4"/>
      <c r="L824" s="4" t="s">
        <v>2</v>
      </c>
      <c r="M824" s="5"/>
      <c r="N824" s="5" t="s">
        <v>1182</v>
      </c>
      <c r="O824" s="147">
        <v>4</v>
      </c>
      <c r="P824" s="15">
        <v>2</v>
      </c>
      <c r="Q824" s="148">
        <f t="shared" si="28"/>
        <v>6</v>
      </c>
      <c r="R8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AYA CLARISSE GRAND-ZATTRY ISRAEL KONANKRO    YAO VINCENT  0778955389  F  MENAGERE</v>
      </c>
      <c r="Z824" s="53"/>
      <c r="AA824" s="2"/>
      <c r="AB824" s="48"/>
      <c r="AD824" s="41"/>
      <c r="AG824" s="154"/>
      <c r="AH824" s="18"/>
      <c r="AI824" s="23"/>
      <c r="AJ824" s="4"/>
      <c r="AK824" s="4"/>
      <c r="AL824" s="5"/>
      <c r="AM824" s="5"/>
      <c r="AN824" s="147"/>
      <c r="AO824" s="15"/>
      <c r="AP824" s="148"/>
    </row>
    <row r="825" spans="1:42" ht="16.5" x14ac:dyDescent="0.35">
      <c r="A825" s="53">
        <v>824</v>
      </c>
      <c r="B825" s="2" t="s">
        <v>1497</v>
      </c>
      <c r="C825" s="48" t="s">
        <v>663</v>
      </c>
      <c r="D825" t="s">
        <v>1529</v>
      </c>
      <c r="E825" s="41" t="s">
        <v>1530</v>
      </c>
      <c r="H825" s="154"/>
      <c r="I825" s="18" t="s">
        <v>1066</v>
      </c>
      <c r="J825" s="23" t="s">
        <v>1522</v>
      </c>
      <c r="K825" s="4"/>
      <c r="L825" s="4" t="s">
        <v>9</v>
      </c>
      <c r="M825" s="5"/>
      <c r="N825" s="5" t="s">
        <v>972</v>
      </c>
      <c r="O825" s="147">
        <v>1</v>
      </c>
      <c r="P825" s="15">
        <v>2</v>
      </c>
      <c r="Q825" s="148">
        <f t="shared" si="28"/>
        <v>3</v>
      </c>
      <c r="R8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KOFFI YAO THIERRY GRAND-ZATTRY ISRAEL KONANKRO    YAO VINCENT  0701546439  M  PLANTEUR</v>
      </c>
      <c r="Z825" s="53"/>
      <c r="AA825" s="2"/>
      <c r="AB825" s="48"/>
      <c r="AD825" s="41"/>
      <c r="AG825" s="154"/>
      <c r="AH825" s="18"/>
      <c r="AI825" s="23"/>
      <c r="AJ825" s="4"/>
      <c r="AK825" s="4"/>
      <c r="AL825" s="5"/>
      <c r="AM825" s="5"/>
      <c r="AN825" s="147"/>
      <c r="AO825" s="15"/>
      <c r="AP825" s="148"/>
    </row>
    <row r="826" spans="1:42" ht="16.5" x14ac:dyDescent="0.35">
      <c r="A826" s="53">
        <v>825</v>
      </c>
      <c r="B826" s="2" t="s">
        <v>1498</v>
      </c>
      <c r="C826" s="48" t="s">
        <v>663</v>
      </c>
      <c r="D826" t="s">
        <v>1529</v>
      </c>
      <c r="E826" s="41" t="s">
        <v>1530</v>
      </c>
      <c r="H826" s="154"/>
      <c r="I826" s="18" t="s">
        <v>1066</v>
      </c>
      <c r="J826" s="23"/>
      <c r="K826" s="4"/>
      <c r="L826" s="4" t="s">
        <v>2</v>
      </c>
      <c r="M826" s="5"/>
      <c r="N826" s="5" t="s">
        <v>1182</v>
      </c>
      <c r="O826" s="147">
        <v>0</v>
      </c>
      <c r="P826" s="15">
        <v>5</v>
      </c>
      <c r="Q826" s="148">
        <f t="shared" si="28"/>
        <v>5</v>
      </c>
      <c r="R8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AMOIN BRIGITTE GRAND-ZATTRY ISRAEL KONANKRO    YAO VINCENT    F  MENAGERE</v>
      </c>
      <c r="Z826" s="53"/>
      <c r="AA826" s="2"/>
      <c r="AB826" s="48"/>
      <c r="AD826" s="41"/>
      <c r="AG826" s="154"/>
      <c r="AH826" s="18"/>
      <c r="AI826" s="23"/>
      <c r="AJ826" s="4"/>
      <c r="AK826" s="4"/>
      <c r="AL826" s="5"/>
      <c r="AM826" s="5"/>
      <c r="AN826" s="147"/>
      <c r="AO826" s="15"/>
      <c r="AP826" s="148"/>
    </row>
    <row r="827" spans="1:42" ht="16.5" x14ac:dyDescent="0.35">
      <c r="A827" s="53">
        <v>826</v>
      </c>
      <c r="B827" s="2" t="s">
        <v>1499</v>
      </c>
      <c r="C827" s="48" t="s">
        <v>663</v>
      </c>
      <c r="D827" t="s">
        <v>1529</v>
      </c>
      <c r="E827" s="41" t="s">
        <v>1530</v>
      </c>
      <c r="H827" s="154"/>
      <c r="I827" s="18" t="s">
        <v>1066</v>
      </c>
      <c r="J827" s="23" t="s">
        <v>1523</v>
      </c>
      <c r="K827" s="4"/>
      <c r="L827" s="4" t="s">
        <v>9</v>
      </c>
      <c r="M827" s="5"/>
      <c r="N827" s="5" t="s">
        <v>972</v>
      </c>
      <c r="O827" s="147">
        <v>3</v>
      </c>
      <c r="P827" s="15">
        <v>5</v>
      </c>
      <c r="Q827" s="148">
        <f t="shared" si="28"/>
        <v>8</v>
      </c>
      <c r="R8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KOUAKOU YAO SIMON GRAND-ZATTRY ISRAEL KONANKRO    YAO VINCENT  0143667163  M  PLANTEUR</v>
      </c>
      <c r="Z827" s="53"/>
      <c r="AA827" s="2"/>
      <c r="AB827" s="48"/>
      <c r="AD827" s="41"/>
      <c r="AG827" s="154"/>
      <c r="AH827" s="18"/>
      <c r="AI827" s="23"/>
      <c r="AJ827" s="4"/>
      <c r="AK827" s="4"/>
      <c r="AL827" s="5"/>
      <c r="AM827" s="5"/>
      <c r="AN827" s="147"/>
      <c r="AO827" s="15"/>
      <c r="AP827" s="148"/>
    </row>
    <row r="828" spans="1:42" ht="16.5" x14ac:dyDescent="0.35">
      <c r="A828" s="53">
        <v>827</v>
      </c>
      <c r="B828" s="5" t="s">
        <v>1500</v>
      </c>
      <c r="C828" s="48" t="s">
        <v>663</v>
      </c>
      <c r="D828" t="s">
        <v>1529</v>
      </c>
      <c r="E828" s="41" t="s">
        <v>1530</v>
      </c>
      <c r="H828" s="154"/>
      <c r="I828" s="18" t="s">
        <v>1066</v>
      </c>
      <c r="J828" s="23" t="s">
        <v>1524</v>
      </c>
      <c r="K828" s="4"/>
      <c r="L828" s="4" t="s">
        <v>2</v>
      </c>
      <c r="M828" s="5"/>
      <c r="N828" s="5" t="s">
        <v>1182</v>
      </c>
      <c r="O828" s="147">
        <v>5</v>
      </c>
      <c r="P828" s="15">
        <v>5</v>
      </c>
      <c r="Q828" s="148">
        <f t="shared" si="28"/>
        <v>10</v>
      </c>
      <c r="R8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AHOU SOLANGE GRAND-ZATTRY ISRAEL KONANKRO    YAO VINCENT  0758483429  F  MENAGERE</v>
      </c>
      <c r="Z828" s="53"/>
      <c r="AA828" s="5"/>
      <c r="AB828" s="48"/>
      <c r="AD828" s="41"/>
      <c r="AG828" s="154"/>
      <c r="AH828" s="18"/>
      <c r="AI828" s="23"/>
      <c r="AJ828" s="4"/>
      <c r="AK828" s="4"/>
      <c r="AL828" s="5"/>
      <c r="AM828" s="5"/>
      <c r="AN828" s="147"/>
      <c r="AO828" s="15"/>
      <c r="AP828" s="148"/>
    </row>
    <row r="829" spans="1:42" ht="16.5" x14ac:dyDescent="0.35">
      <c r="A829" s="53">
        <v>828</v>
      </c>
      <c r="B829" s="5" t="s">
        <v>1501</v>
      </c>
      <c r="C829" s="48" t="s">
        <v>663</v>
      </c>
      <c r="D829" t="s">
        <v>1529</v>
      </c>
      <c r="E829" s="41" t="s">
        <v>1530</v>
      </c>
      <c r="H829" s="154"/>
      <c r="I829" s="18" t="s">
        <v>1066</v>
      </c>
      <c r="J829" s="23" t="s">
        <v>1525</v>
      </c>
      <c r="K829" s="4">
        <v>33</v>
      </c>
      <c r="L829" s="4" t="s">
        <v>2</v>
      </c>
      <c r="M829" s="5"/>
      <c r="N829" s="5" t="s">
        <v>1182</v>
      </c>
      <c r="O829" s="147">
        <v>0</v>
      </c>
      <c r="P829" s="15">
        <v>2</v>
      </c>
      <c r="Q829" s="148">
        <f t="shared" si="28"/>
        <v>2</v>
      </c>
      <c r="R8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BROU AYA SIDONIE GRAND-ZATTRY ISRAEL KONANKRO    YAO VINCENT  0778979591 33 F  MENAGERE</v>
      </c>
      <c r="Z829" s="53"/>
      <c r="AA829" s="5"/>
      <c r="AB829" s="48"/>
      <c r="AD829" s="41"/>
      <c r="AG829" s="154"/>
      <c r="AH829" s="18"/>
      <c r="AI829" s="23"/>
      <c r="AJ829" s="4"/>
      <c r="AK829" s="4"/>
      <c r="AL829" s="5"/>
      <c r="AM829" s="5"/>
      <c r="AN829" s="147"/>
      <c r="AO829" s="15"/>
      <c r="AP829" s="148"/>
    </row>
    <row r="830" spans="1:42" ht="16.5" x14ac:dyDescent="0.35">
      <c r="A830" s="53">
        <v>829</v>
      </c>
      <c r="B830" s="5" t="s">
        <v>1502</v>
      </c>
      <c r="C830" s="48" t="s">
        <v>663</v>
      </c>
      <c r="D830" t="s">
        <v>1529</v>
      </c>
      <c r="E830" s="41" t="s">
        <v>1530</v>
      </c>
      <c r="H830" s="154"/>
      <c r="I830" s="18" t="s">
        <v>1066</v>
      </c>
      <c r="J830" s="23"/>
      <c r="K830" s="4">
        <v>20</v>
      </c>
      <c r="L830" s="4" t="s">
        <v>2</v>
      </c>
      <c r="M830" s="5"/>
      <c r="N830" s="5" t="s">
        <v>1182</v>
      </c>
      <c r="O830" s="147">
        <v>1</v>
      </c>
      <c r="P830" s="15">
        <v>1</v>
      </c>
      <c r="Q830" s="148">
        <f t="shared" si="28"/>
        <v>2</v>
      </c>
      <c r="R8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AFFOUE EMMA  GRAND-ZATTRY ISRAEL KONANKRO    YAO VINCENT   20 F  MENAGERE</v>
      </c>
      <c r="Z830" s="53"/>
      <c r="AA830" s="5"/>
      <c r="AB830" s="48"/>
      <c r="AD830" s="41"/>
      <c r="AG830" s="154"/>
      <c r="AH830" s="18"/>
      <c r="AI830" s="23"/>
      <c r="AJ830" s="4"/>
      <c r="AK830" s="4"/>
      <c r="AL830" s="5"/>
      <c r="AM830" s="5"/>
      <c r="AN830" s="147"/>
      <c r="AO830" s="15"/>
      <c r="AP830" s="148"/>
    </row>
    <row r="831" spans="1:42" ht="16.5" x14ac:dyDescent="0.35">
      <c r="A831" s="53">
        <v>830</v>
      </c>
      <c r="B831" s="5" t="s">
        <v>1503</v>
      </c>
      <c r="C831" s="48" t="s">
        <v>663</v>
      </c>
      <c r="D831" t="s">
        <v>1529</v>
      </c>
      <c r="E831" s="41" t="s">
        <v>1530</v>
      </c>
      <c r="H831" s="154"/>
      <c r="I831" s="18" t="s">
        <v>1066</v>
      </c>
      <c r="J831" s="23" t="s">
        <v>1526</v>
      </c>
      <c r="K831" s="4">
        <v>26</v>
      </c>
      <c r="L831" s="4" t="s">
        <v>2</v>
      </c>
      <c r="M831" s="5"/>
      <c r="N831" s="5" t="s">
        <v>1182</v>
      </c>
      <c r="O831" s="147">
        <v>0</v>
      </c>
      <c r="P831" s="15">
        <v>2</v>
      </c>
      <c r="Q831" s="148">
        <f t="shared" si="28"/>
        <v>2</v>
      </c>
      <c r="R8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AHOU GHISLAINE GRAND-ZATTRY ISRAEL KONANKRO    YAO VINCENT  0171962764 26 F  MENAGERE</v>
      </c>
      <c r="Z831" s="53"/>
      <c r="AA831" s="5"/>
      <c r="AB831" s="48"/>
      <c r="AD831" s="41"/>
      <c r="AG831" s="154"/>
      <c r="AH831" s="18"/>
      <c r="AI831" s="23"/>
      <c r="AJ831" s="4"/>
      <c r="AK831" s="4"/>
      <c r="AL831" s="5"/>
      <c r="AM831" s="5"/>
      <c r="AN831" s="147"/>
      <c r="AO831" s="15"/>
      <c r="AP831" s="148"/>
    </row>
    <row r="832" spans="1:42" ht="16.5" x14ac:dyDescent="0.35">
      <c r="A832" s="53">
        <v>831</v>
      </c>
      <c r="B832" s="5" t="s">
        <v>1504</v>
      </c>
      <c r="C832" s="48" t="s">
        <v>663</v>
      </c>
      <c r="D832" t="s">
        <v>1529</v>
      </c>
      <c r="E832" s="41" t="s">
        <v>1530</v>
      </c>
      <c r="H832" s="154"/>
      <c r="I832" s="18" t="s">
        <v>1066</v>
      </c>
      <c r="J832" s="23" t="s">
        <v>1527</v>
      </c>
      <c r="K832" s="4"/>
      <c r="L832" s="4" t="s">
        <v>2</v>
      </c>
      <c r="M832" s="5"/>
      <c r="N832" s="5" t="s">
        <v>1182</v>
      </c>
      <c r="O832" s="147">
        <v>3</v>
      </c>
      <c r="P832" s="15">
        <v>4</v>
      </c>
      <c r="Q832" s="148">
        <f t="shared" si="28"/>
        <v>7</v>
      </c>
      <c r="R8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OMOFOU AMENAN SOLANGE GRAND-ZATTRY ISRAEL KONANKRO    YAO VINCENT  0767779617  F  MENAGERE</v>
      </c>
      <c r="Z832" s="53"/>
      <c r="AA832" s="5"/>
      <c r="AB832" s="48"/>
      <c r="AD832" s="41"/>
      <c r="AG832" s="154"/>
      <c r="AH832" s="18"/>
      <c r="AI832" s="23"/>
      <c r="AJ832" s="4"/>
      <c r="AK832" s="4"/>
      <c r="AL832" s="5"/>
      <c r="AM832" s="5"/>
      <c r="AN832" s="147"/>
      <c r="AO832" s="15"/>
      <c r="AP832" s="148"/>
    </row>
    <row r="833" spans="1:42" ht="16.5" x14ac:dyDescent="0.35">
      <c r="A833" s="53">
        <v>832</v>
      </c>
      <c r="B833" s="5" t="s">
        <v>1505</v>
      </c>
      <c r="C833" s="48" t="s">
        <v>663</v>
      </c>
      <c r="D833" t="s">
        <v>1529</v>
      </c>
      <c r="E833" s="41" t="s">
        <v>1530</v>
      </c>
      <c r="H833" s="154"/>
      <c r="I833" s="18" t="s">
        <v>1066</v>
      </c>
      <c r="J833" s="23"/>
      <c r="K833" s="4"/>
      <c r="L833" s="4" t="s">
        <v>2</v>
      </c>
      <c r="M833" s="5"/>
      <c r="N833" s="5" t="s">
        <v>1182</v>
      </c>
      <c r="O833" s="147">
        <v>3</v>
      </c>
      <c r="P833" s="15">
        <v>3</v>
      </c>
      <c r="Q833" s="148">
        <f t="shared" si="28"/>
        <v>6</v>
      </c>
      <c r="R8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ADJOUA ADELE GRAND-ZATTRY ISRAEL KONANKRO    YAO VINCENT    F  MENAGERE</v>
      </c>
      <c r="Z833" s="53"/>
      <c r="AA833" s="5"/>
      <c r="AB833" s="48"/>
      <c r="AD833" s="41"/>
      <c r="AG833" s="154"/>
      <c r="AH833" s="18"/>
      <c r="AI833" s="23"/>
      <c r="AJ833" s="4"/>
      <c r="AK833" s="4"/>
      <c r="AL833" s="5"/>
      <c r="AM833" s="5"/>
      <c r="AN833" s="147"/>
      <c r="AO833" s="15"/>
      <c r="AP833" s="148"/>
    </row>
    <row r="834" spans="1:42" ht="16.5" x14ac:dyDescent="0.35">
      <c r="A834" s="53">
        <v>833</v>
      </c>
      <c r="B834" s="5" t="s">
        <v>1506</v>
      </c>
      <c r="C834" s="48" t="s">
        <v>663</v>
      </c>
      <c r="D834" t="s">
        <v>1529</v>
      </c>
      <c r="E834" s="41" t="s">
        <v>1530</v>
      </c>
      <c r="H834" s="154"/>
      <c r="I834" s="18" t="s">
        <v>1066</v>
      </c>
      <c r="J834" s="23"/>
      <c r="K834" s="4"/>
      <c r="L834" s="4" t="s">
        <v>9</v>
      </c>
      <c r="M834" s="5"/>
      <c r="N834" s="5" t="s">
        <v>972</v>
      </c>
      <c r="O834" s="147">
        <v>1</v>
      </c>
      <c r="P834" s="15">
        <v>0</v>
      </c>
      <c r="Q834" s="148">
        <f t="shared" si="28"/>
        <v>1</v>
      </c>
      <c r="R8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LOUKOU  JEAN JACQUES GRAND-ZATTRY ISRAEL KONANKRO    YAO VINCENT    M  PLANTEUR</v>
      </c>
      <c r="Z834" s="53"/>
      <c r="AA834" s="5"/>
      <c r="AB834" s="48"/>
      <c r="AD834" s="41"/>
      <c r="AG834" s="154"/>
      <c r="AH834" s="18"/>
      <c r="AI834" s="23"/>
      <c r="AJ834" s="4"/>
      <c r="AK834" s="4"/>
      <c r="AL834" s="5"/>
      <c r="AM834" s="5"/>
      <c r="AN834" s="147"/>
      <c r="AO834" s="15"/>
      <c r="AP834" s="148"/>
    </row>
    <row r="835" spans="1:42" ht="16.5" x14ac:dyDescent="0.5">
      <c r="A835" s="53">
        <v>834</v>
      </c>
      <c r="B835" s="5" t="s">
        <v>1507</v>
      </c>
      <c r="C835" s="48" t="s">
        <v>663</v>
      </c>
      <c r="D835" t="s">
        <v>1529</v>
      </c>
      <c r="E835" s="41" t="s">
        <v>1530</v>
      </c>
      <c r="H835" s="154"/>
      <c r="I835" s="18" t="s">
        <v>1066</v>
      </c>
      <c r="J835" s="23" t="s">
        <v>1528</v>
      </c>
      <c r="K835" s="6"/>
      <c r="L835" s="4" t="s">
        <v>9</v>
      </c>
      <c r="M835" s="5"/>
      <c r="N835" s="6" t="s">
        <v>972</v>
      </c>
      <c r="O835" s="149">
        <v>8</v>
      </c>
      <c r="P835" s="149">
        <v>6</v>
      </c>
      <c r="Q835" s="148">
        <f t="shared" si="28"/>
        <v>14</v>
      </c>
      <c r="R8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KOUADIO BEENOIT GRAND-ZATTRY ISRAEL KONANKRO    YAO VINCENT  077866894  M  PLANTEUR</v>
      </c>
      <c r="Z835" s="53"/>
      <c r="AA835" s="5"/>
      <c r="AB835" s="48"/>
      <c r="AD835" s="41"/>
      <c r="AG835" s="154"/>
      <c r="AH835" s="18"/>
      <c r="AI835" s="23"/>
      <c r="AJ835" s="6"/>
      <c r="AK835" s="4"/>
      <c r="AL835" s="5"/>
      <c r="AM835" s="6"/>
      <c r="AN835" s="149"/>
      <c r="AO835" s="149"/>
      <c r="AP835" s="148"/>
    </row>
    <row r="836" spans="1:42" ht="16.5" x14ac:dyDescent="0.35">
      <c r="A836" s="53">
        <v>835</v>
      </c>
      <c r="B836" s="5" t="s">
        <v>1508</v>
      </c>
      <c r="C836" s="48" t="s">
        <v>663</v>
      </c>
      <c r="D836" t="s">
        <v>1529</v>
      </c>
      <c r="E836" s="41" t="s">
        <v>1530</v>
      </c>
      <c r="H836" s="154"/>
      <c r="I836" s="18" t="s">
        <v>1066</v>
      </c>
      <c r="J836" s="24"/>
      <c r="K836" s="8"/>
      <c r="L836" s="4" t="s">
        <v>2</v>
      </c>
      <c r="M836" s="5"/>
      <c r="N836" s="8" t="s">
        <v>1182</v>
      </c>
      <c r="O836" s="151">
        <v>5</v>
      </c>
      <c r="P836" s="151">
        <v>2</v>
      </c>
      <c r="Q836" s="148">
        <f t="shared" si="28"/>
        <v>7</v>
      </c>
      <c r="R8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N'GUESSAN AKISSI HELENE GRAND-ZATTRY ISRAEL KONANKRO    YAO VINCENT    F  MENAGERE</v>
      </c>
      <c r="Z836" s="53"/>
      <c r="AA836" s="5"/>
      <c r="AB836" s="48"/>
      <c r="AD836" s="41"/>
      <c r="AG836" s="154"/>
      <c r="AH836" s="18"/>
      <c r="AI836" s="24"/>
      <c r="AJ836" s="8"/>
      <c r="AK836" s="4"/>
      <c r="AL836" s="5"/>
      <c r="AM836" s="8"/>
      <c r="AN836" s="151"/>
      <c r="AO836" s="151"/>
      <c r="AP836" s="148"/>
    </row>
    <row r="837" spans="1:42" ht="16.5" x14ac:dyDescent="0.35">
      <c r="A837" s="53">
        <v>836</v>
      </c>
      <c r="B837" s="27" t="s">
        <v>1509</v>
      </c>
      <c r="C837" s="48" t="s">
        <v>663</v>
      </c>
      <c r="D837" t="s">
        <v>1529</v>
      </c>
      <c r="E837" s="41" t="s">
        <v>1530</v>
      </c>
      <c r="H837" s="154"/>
      <c r="I837" s="18" t="s">
        <v>1066</v>
      </c>
      <c r="J837" s="25"/>
      <c r="K837" s="11"/>
      <c r="L837" s="178" t="s">
        <v>2</v>
      </c>
      <c r="M837" s="5"/>
      <c r="N837" s="11" t="s">
        <v>1182</v>
      </c>
      <c r="O837" s="143">
        <v>1</v>
      </c>
      <c r="P837" s="143">
        <v>4</v>
      </c>
      <c r="Q837" s="148">
        <f t="shared" si="28"/>
        <v>5</v>
      </c>
      <c r="R8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ADJOUA LOUISE GRAND-ZATTRY ISRAEL KONANKRO    YAO VINCENT    F  MENAGERE</v>
      </c>
      <c r="Z837" s="53"/>
      <c r="AA837" s="27"/>
      <c r="AB837" s="48"/>
      <c r="AD837" s="41"/>
      <c r="AG837" s="154"/>
      <c r="AH837" s="18"/>
      <c r="AI837" s="25"/>
      <c r="AJ837" s="11"/>
      <c r="AK837" s="178"/>
      <c r="AL837" s="5"/>
      <c r="AM837" s="11"/>
      <c r="AN837" s="143"/>
      <c r="AO837" s="143"/>
      <c r="AP837" s="148"/>
    </row>
    <row r="838" spans="1:42" ht="17" thickBot="1" x14ac:dyDescent="0.4">
      <c r="A838" s="53">
        <v>837</v>
      </c>
      <c r="B838" s="12" t="s">
        <v>1510</v>
      </c>
      <c r="C838" s="48" t="s">
        <v>663</v>
      </c>
      <c r="D838" t="s">
        <v>1529</v>
      </c>
      <c r="E838" s="41" t="s">
        <v>1530</v>
      </c>
      <c r="H838" s="154"/>
      <c r="I838" s="18" t="s">
        <v>1066</v>
      </c>
      <c r="J838" s="193"/>
      <c r="K838" s="14"/>
      <c r="L838" s="14" t="s">
        <v>2</v>
      </c>
      <c r="M838" s="5"/>
      <c r="N838" s="14" t="s">
        <v>1182</v>
      </c>
      <c r="O838" s="141">
        <v>3</v>
      </c>
      <c r="P838" s="141">
        <v>2</v>
      </c>
      <c r="Q838" s="148">
        <f t="shared" si="28"/>
        <v>5</v>
      </c>
      <c r="R8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YAO AFFOUE LEONTINE GRAND-ZATTRY ISRAEL KONANKRO    YAO VINCENT    F  MENAGERE</v>
      </c>
      <c r="Z838" s="53"/>
      <c r="AA838" s="12"/>
      <c r="AB838" s="48"/>
      <c r="AD838" s="41"/>
      <c r="AG838" s="154"/>
      <c r="AH838" s="18"/>
      <c r="AI838" s="193"/>
      <c r="AJ838" s="14"/>
      <c r="AK838" s="14"/>
      <c r="AL838" s="5"/>
      <c r="AM838" s="14"/>
      <c r="AN838" s="141"/>
      <c r="AO838" s="141"/>
      <c r="AP838" s="148"/>
    </row>
    <row r="839" spans="1:42" ht="16.5" x14ac:dyDescent="0.35">
      <c r="A839" s="53">
        <v>838</v>
      </c>
      <c r="B839" s="2" t="s">
        <v>1531</v>
      </c>
      <c r="C839" s="48" t="s">
        <v>663</v>
      </c>
      <c r="D839" t="s">
        <v>1589</v>
      </c>
      <c r="E839" t="s">
        <v>1590</v>
      </c>
      <c r="H839" s="10"/>
      <c r="I839" s="18" t="s">
        <v>1066</v>
      </c>
      <c r="J839" s="23" t="s">
        <v>1561</v>
      </c>
      <c r="K839" s="4">
        <v>49</v>
      </c>
      <c r="L839" s="4" t="s">
        <v>2</v>
      </c>
      <c r="M839" s="5" t="s">
        <v>1181</v>
      </c>
      <c r="N839" s="5" t="s">
        <v>1587</v>
      </c>
      <c r="O839" s="147">
        <v>3</v>
      </c>
      <c r="P839" s="15">
        <v>1</v>
      </c>
      <c r="Q839" s="148">
        <f>(O839+P839)</f>
        <v>4</v>
      </c>
      <c r="R8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LOUBOGNON BEATRICE GRAND-ZATTRY ZOMANDRE GBALEVILLE    YAO VINCENT  0152322529 49 F DOTE COMMERCE</v>
      </c>
      <c r="Z839" s="53"/>
      <c r="AA839" s="2"/>
      <c r="AB839" s="48"/>
      <c r="AG839" s="10"/>
      <c r="AH839" s="18"/>
      <c r="AI839" s="23"/>
      <c r="AJ839" s="4"/>
      <c r="AK839" s="4"/>
      <c r="AL839" s="5"/>
      <c r="AM839" s="5"/>
      <c r="AN839" s="147"/>
      <c r="AO839" s="15"/>
      <c r="AP839" s="148"/>
    </row>
    <row r="840" spans="1:42" ht="16.5" x14ac:dyDescent="0.35">
      <c r="A840" s="53">
        <v>839</v>
      </c>
      <c r="B840" s="2" t="s">
        <v>1532</v>
      </c>
      <c r="C840" s="48" t="s">
        <v>663</v>
      </c>
      <c r="D840" t="s">
        <v>1589</v>
      </c>
      <c r="E840" t="s">
        <v>1590</v>
      </c>
      <c r="H840" s="154"/>
      <c r="I840" s="18" t="s">
        <v>1066</v>
      </c>
      <c r="J840" s="23" t="s">
        <v>1562</v>
      </c>
      <c r="K840" s="4">
        <v>43</v>
      </c>
      <c r="L840" s="4" t="s">
        <v>2</v>
      </c>
      <c r="M840" s="5" t="s">
        <v>1180</v>
      </c>
      <c r="N840" s="5" t="s">
        <v>1587</v>
      </c>
      <c r="O840" s="147">
        <v>1</v>
      </c>
      <c r="P840" s="15">
        <v>1</v>
      </c>
      <c r="Q840" s="148">
        <f t="shared" ref="Q840:Q868" si="29">(O840+P840)</f>
        <v>2</v>
      </c>
      <c r="R8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SAHUE MARIE GRAND-ZATTRY ZOMANDRE GBALEVILLE    YAO VINCENT  0143984338 43 F MARIEE COMMERCE</v>
      </c>
      <c r="Z840" s="53"/>
      <c r="AA840" s="2"/>
      <c r="AB840" s="48"/>
      <c r="AG840" s="154"/>
      <c r="AH840" s="18"/>
      <c r="AI840" s="23"/>
      <c r="AJ840" s="4"/>
      <c r="AK840" s="4"/>
      <c r="AL840" s="5"/>
      <c r="AM840" s="5"/>
      <c r="AN840" s="147"/>
      <c r="AO840" s="15"/>
      <c r="AP840" s="148"/>
    </row>
    <row r="841" spans="1:42" ht="16.5" x14ac:dyDescent="0.35">
      <c r="A841" s="53">
        <v>840</v>
      </c>
      <c r="B841" s="2" t="s">
        <v>1533</v>
      </c>
      <c r="C841" s="48" t="s">
        <v>663</v>
      </c>
      <c r="D841" t="s">
        <v>1589</v>
      </c>
      <c r="E841" t="s">
        <v>1590</v>
      </c>
      <c r="H841" s="154"/>
      <c r="I841" s="18" t="s">
        <v>1066</v>
      </c>
      <c r="J841" s="23" t="s">
        <v>1563</v>
      </c>
      <c r="K841" s="4">
        <v>60</v>
      </c>
      <c r="L841" s="4" t="s">
        <v>2</v>
      </c>
      <c r="M841" s="5" t="s">
        <v>1181</v>
      </c>
      <c r="N841" s="5" t="s">
        <v>1587</v>
      </c>
      <c r="O841" s="147">
        <v>4</v>
      </c>
      <c r="P841" s="15">
        <v>1</v>
      </c>
      <c r="Q841" s="148">
        <f t="shared" si="29"/>
        <v>5</v>
      </c>
      <c r="R8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LOGNON BOUKA MARIE GRAND-ZATTRY ZOMANDRE GBALEVILLE    YAO VINCENT  0152625443 60 F DOTE COMMERCE</v>
      </c>
      <c r="Z841" s="53"/>
      <c r="AA841" s="2"/>
      <c r="AB841" s="48"/>
      <c r="AG841" s="154"/>
      <c r="AH841" s="18"/>
      <c r="AI841" s="23"/>
      <c r="AJ841" s="4"/>
      <c r="AK841" s="4"/>
      <c r="AL841" s="5"/>
      <c r="AM841" s="5"/>
      <c r="AN841" s="147"/>
      <c r="AO841" s="15"/>
      <c r="AP841" s="148"/>
    </row>
    <row r="842" spans="1:42" ht="16.5" x14ac:dyDescent="0.35">
      <c r="A842" s="53">
        <v>841</v>
      </c>
      <c r="B842" s="2" t="s">
        <v>1534</v>
      </c>
      <c r="C842" s="48" t="s">
        <v>663</v>
      </c>
      <c r="D842" t="s">
        <v>1589</v>
      </c>
      <c r="E842" t="s">
        <v>1590</v>
      </c>
      <c r="H842" s="154"/>
      <c r="I842" s="18" t="s">
        <v>1066</v>
      </c>
      <c r="J842" s="23" t="s">
        <v>1564</v>
      </c>
      <c r="K842" s="4">
        <v>59</v>
      </c>
      <c r="L842" s="4" t="s">
        <v>2</v>
      </c>
      <c r="M842" s="5" t="s">
        <v>1180</v>
      </c>
      <c r="N842" s="5"/>
      <c r="O842" s="147">
        <v>1</v>
      </c>
      <c r="P842" s="15">
        <v>5</v>
      </c>
      <c r="Q842" s="148">
        <f t="shared" si="29"/>
        <v>6</v>
      </c>
      <c r="R8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LOGBO JACQUELINE GRAND-ZATTRY ZOMANDRE GBALEVILLE    YAO VINCENT  0143445186 59 F MARIEE </v>
      </c>
      <c r="Z842" s="53"/>
      <c r="AA842" s="2"/>
      <c r="AB842" s="48"/>
      <c r="AG842" s="154"/>
      <c r="AH842" s="18"/>
      <c r="AI842" s="23"/>
      <c r="AJ842" s="4"/>
      <c r="AK842" s="4"/>
      <c r="AL842" s="5"/>
      <c r="AM842" s="5"/>
      <c r="AN842" s="147"/>
      <c r="AO842" s="15"/>
      <c r="AP842" s="148"/>
    </row>
    <row r="843" spans="1:42" ht="16.5" x14ac:dyDescent="0.35">
      <c r="A843" s="53">
        <v>842</v>
      </c>
      <c r="B843" s="2" t="s">
        <v>1535</v>
      </c>
      <c r="C843" s="48" t="s">
        <v>663</v>
      </c>
      <c r="D843" t="s">
        <v>1589</v>
      </c>
      <c r="E843" t="s">
        <v>1590</v>
      </c>
      <c r="H843" s="154"/>
      <c r="I843" s="18" t="s">
        <v>1066</v>
      </c>
      <c r="J843" s="23" t="s">
        <v>1565</v>
      </c>
      <c r="K843" s="4">
        <v>42</v>
      </c>
      <c r="L843" s="4" t="s">
        <v>2</v>
      </c>
      <c r="M843" s="3" t="s">
        <v>1181</v>
      </c>
      <c r="N843" s="5"/>
      <c r="O843" s="147">
        <v>0</v>
      </c>
      <c r="P843" s="15">
        <v>1</v>
      </c>
      <c r="Q843" s="148">
        <f t="shared" si="29"/>
        <v>1</v>
      </c>
      <c r="R8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PREGNON LOUISE GRAND-ZATTRY ZOMANDRE GBALEVILLE    YAO VINCENT  0749752465 42 F DOTE </v>
      </c>
      <c r="Z843" s="53"/>
      <c r="AA843" s="2"/>
      <c r="AB843" s="48"/>
      <c r="AG843" s="154"/>
      <c r="AH843" s="18"/>
      <c r="AI843" s="23"/>
      <c r="AJ843" s="4"/>
      <c r="AK843" s="4"/>
      <c r="AL843" s="3"/>
      <c r="AM843" s="5"/>
      <c r="AN843" s="147"/>
      <c r="AO843" s="15"/>
      <c r="AP843" s="148"/>
    </row>
    <row r="844" spans="1:42" ht="16.5" x14ac:dyDescent="0.35">
      <c r="A844" s="53">
        <v>843</v>
      </c>
      <c r="B844" s="2" t="s">
        <v>1536</v>
      </c>
      <c r="C844" s="48" t="s">
        <v>663</v>
      </c>
      <c r="D844" t="s">
        <v>1589</v>
      </c>
      <c r="E844" t="s">
        <v>1590</v>
      </c>
      <c r="H844" s="154"/>
      <c r="I844" s="18" t="s">
        <v>1066</v>
      </c>
      <c r="J844" s="23" t="s">
        <v>1566</v>
      </c>
      <c r="K844" s="4">
        <v>30</v>
      </c>
      <c r="L844" s="4" t="s">
        <v>2</v>
      </c>
      <c r="M844" s="5" t="s">
        <v>1181</v>
      </c>
      <c r="N844" s="5"/>
      <c r="O844" s="147">
        <v>1</v>
      </c>
      <c r="P844" s="15">
        <v>2</v>
      </c>
      <c r="Q844" s="148">
        <f t="shared" si="29"/>
        <v>3</v>
      </c>
      <c r="R8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BIAGNE VIVIANE GRAND-ZATTRY ZOMANDRE GBALEVILLE    YAO VINCENT  0748953407 30 F DOTE </v>
      </c>
      <c r="Z844" s="53"/>
      <c r="AA844" s="2"/>
      <c r="AB844" s="48"/>
      <c r="AG844" s="154"/>
      <c r="AH844" s="18"/>
      <c r="AI844" s="23"/>
      <c r="AJ844" s="4"/>
      <c r="AK844" s="4"/>
      <c r="AL844" s="5"/>
      <c r="AM844" s="5"/>
      <c r="AN844" s="147"/>
      <c r="AO844" s="15"/>
      <c r="AP844" s="148"/>
    </row>
    <row r="845" spans="1:42" ht="16.5" x14ac:dyDescent="0.35">
      <c r="A845" s="53">
        <v>844</v>
      </c>
      <c r="B845" s="2" t="s">
        <v>1537</v>
      </c>
      <c r="C845" s="48" t="s">
        <v>663</v>
      </c>
      <c r="D845" t="s">
        <v>1589</v>
      </c>
      <c r="E845" t="s">
        <v>1590</v>
      </c>
      <c r="H845" s="154"/>
      <c r="I845" s="18" t="s">
        <v>1066</v>
      </c>
      <c r="J845" s="23" t="s">
        <v>1567</v>
      </c>
      <c r="K845" s="4">
        <v>50</v>
      </c>
      <c r="L845" s="4" t="s">
        <v>2</v>
      </c>
      <c r="M845" s="5" t="s">
        <v>1181</v>
      </c>
      <c r="N845" s="5"/>
      <c r="O845" s="147">
        <v>3</v>
      </c>
      <c r="P845" s="15">
        <v>2</v>
      </c>
      <c r="Q845" s="148">
        <f t="shared" si="29"/>
        <v>5</v>
      </c>
      <c r="R8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KORE BERTINE GRAND-ZATTRY ZOMANDRE GBALEVILLE    YAO VINCENT  0150584831 50 F DOTE </v>
      </c>
      <c r="Z845" s="53"/>
      <c r="AA845" s="2"/>
      <c r="AB845" s="48"/>
      <c r="AG845" s="154"/>
      <c r="AH845" s="18"/>
      <c r="AI845" s="23"/>
      <c r="AJ845" s="4"/>
      <c r="AK845" s="4"/>
      <c r="AL845" s="5"/>
      <c r="AM845" s="5"/>
      <c r="AN845" s="147"/>
      <c r="AO845" s="15"/>
      <c r="AP845" s="148"/>
    </row>
    <row r="846" spans="1:42" ht="16.5" x14ac:dyDescent="0.35">
      <c r="A846" s="53">
        <v>845</v>
      </c>
      <c r="B846" s="2" t="s">
        <v>1538</v>
      </c>
      <c r="C846" s="48" t="s">
        <v>663</v>
      </c>
      <c r="D846" t="s">
        <v>1589</v>
      </c>
      <c r="E846" t="s">
        <v>1590</v>
      </c>
      <c r="H846" s="154"/>
      <c r="I846" s="18" t="s">
        <v>1066</v>
      </c>
      <c r="J846" s="23" t="s">
        <v>1568</v>
      </c>
      <c r="K846" s="4">
        <v>47</v>
      </c>
      <c r="L846" s="4" t="s">
        <v>2</v>
      </c>
      <c r="M846" s="5" t="s">
        <v>1180</v>
      </c>
      <c r="N846" s="5" t="s">
        <v>1587</v>
      </c>
      <c r="O846" s="147">
        <v>3</v>
      </c>
      <c r="P846" s="15">
        <v>2</v>
      </c>
      <c r="Q846" s="148">
        <f t="shared" si="29"/>
        <v>5</v>
      </c>
      <c r="R8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LEKPA ODILE GRAND-ZATTRY ZOMANDRE GBALEVILLE    YAO VINCENT  0103443178 47 F MARIEE COMMERCE</v>
      </c>
      <c r="Z846" s="53"/>
      <c r="AA846" s="2"/>
      <c r="AB846" s="48"/>
      <c r="AG846" s="154"/>
      <c r="AH846" s="18"/>
      <c r="AI846" s="23"/>
      <c r="AJ846" s="4"/>
      <c r="AK846" s="4"/>
      <c r="AL846" s="5"/>
      <c r="AM846" s="5"/>
      <c r="AN846" s="147"/>
      <c r="AO846" s="15"/>
      <c r="AP846" s="148"/>
    </row>
    <row r="847" spans="1:42" ht="16.5" x14ac:dyDescent="0.35">
      <c r="A847" s="53">
        <v>846</v>
      </c>
      <c r="B847" s="2" t="s">
        <v>1539</v>
      </c>
      <c r="C847" s="48" t="s">
        <v>663</v>
      </c>
      <c r="D847" t="s">
        <v>1589</v>
      </c>
      <c r="E847" t="s">
        <v>1590</v>
      </c>
      <c r="H847" s="154"/>
      <c r="I847" s="18" t="s">
        <v>1066</v>
      </c>
      <c r="J847" s="23" t="s">
        <v>1569</v>
      </c>
      <c r="K847" s="4">
        <v>53</v>
      </c>
      <c r="L847" s="4" t="s">
        <v>2</v>
      </c>
      <c r="M847" s="5" t="s">
        <v>1180</v>
      </c>
      <c r="N847" s="5"/>
      <c r="O847" s="147">
        <v>3</v>
      </c>
      <c r="P847" s="15">
        <v>2</v>
      </c>
      <c r="Q847" s="148">
        <f t="shared" si="29"/>
        <v>5</v>
      </c>
      <c r="R8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KIMOU BLANDINE GRAND-ZATTRY ZOMANDRE GBALEVILLE    YAO VINCENT  0140009358 53 F MARIEE </v>
      </c>
      <c r="Z847" s="53"/>
      <c r="AA847" s="2"/>
      <c r="AB847" s="48"/>
      <c r="AG847" s="154"/>
      <c r="AH847" s="18"/>
      <c r="AI847" s="23"/>
      <c r="AJ847" s="4"/>
      <c r="AK847" s="4"/>
      <c r="AL847" s="5"/>
      <c r="AM847" s="5"/>
      <c r="AN847" s="147"/>
      <c r="AO847" s="15"/>
      <c r="AP847" s="148"/>
    </row>
    <row r="848" spans="1:42" ht="16.5" x14ac:dyDescent="0.35">
      <c r="A848" s="53">
        <v>847</v>
      </c>
      <c r="B848" s="2" t="s">
        <v>1540</v>
      </c>
      <c r="C848" s="48" t="s">
        <v>663</v>
      </c>
      <c r="D848" t="s">
        <v>1589</v>
      </c>
      <c r="E848" t="s">
        <v>1590</v>
      </c>
      <c r="H848" s="154"/>
      <c r="I848" s="18" t="s">
        <v>1066</v>
      </c>
      <c r="J848" s="23" t="s">
        <v>1570</v>
      </c>
      <c r="K848" s="4">
        <v>37</v>
      </c>
      <c r="L848" s="4" t="s">
        <v>2</v>
      </c>
      <c r="M848" s="5" t="s">
        <v>1181</v>
      </c>
      <c r="N848" s="5"/>
      <c r="O848" s="147">
        <v>0</v>
      </c>
      <c r="P848" s="15">
        <v>3</v>
      </c>
      <c r="Q848" s="148">
        <f t="shared" si="29"/>
        <v>3</v>
      </c>
      <c r="R8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DOBO EMMA GRAND-ZATTRY ZOMANDRE GBALEVILLE    YAO VINCENT  0102513505 37 F DOTE </v>
      </c>
      <c r="Z848" s="53"/>
      <c r="AA848" s="2"/>
      <c r="AB848" s="48"/>
      <c r="AG848" s="154"/>
      <c r="AH848" s="18"/>
      <c r="AI848" s="23"/>
      <c r="AJ848" s="4"/>
      <c r="AK848" s="4"/>
      <c r="AL848" s="5"/>
      <c r="AM848" s="5"/>
      <c r="AN848" s="147"/>
      <c r="AO848" s="15"/>
      <c r="AP848" s="148"/>
    </row>
    <row r="849" spans="1:42" ht="16.5" x14ac:dyDescent="0.35">
      <c r="A849" s="53">
        <v>848</v>
      </c>
      <c r="B849" s="2" t="s">
        <v>1541</v>
      </c>
      <c r="C849" s="48" t="s">
        <v>663</v>
      </c>
      <c r="D849" t="s">
        <v>1589</v>
      </c>
      <c r="E849" t="s">
        <v>1590</v>
      </c>
      <c r="H849" s="154"/>
      <c r="I849" s="18" t="s">
        <v>1066</v>
      </c>
      <c r="J849" s="23" t="s">
        <v>1571</v>
      </c>
      <c r="K849" s="4">
        <v>44</v>
      </c>
      <c r="L849" s="4" t="s">
        <v>2</v>
      </c>
      <c r="M849" s="5" t="s">
        <v>1181</v>
      </c>
      <c r="N849" s="5"/>
      <c r="O849" s="147">
        <v>4</v>
      </c>
      <c r="P849" s="15">
        <v>3</v>
      </c>
      <c r="Q849" s="148">
        <f t="shared" si="29"/>
        <v>7</v>
      </c>
      <c r="R8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YEPE JEANINE GRAND-ZATTRY ZOMANDRE GBALEVILLE    YAO VINCENT  0778342970 44 F DOTE </v>
      </c>
      <c r="Z849" s="53"/>
      <c r="AA849" s="2"/>
      <c r="AB849" s="48"/>
      <c r="AG849" s="154"/>
      <c r="AH849" s="18"/>
      <c r="AI849" s="23"/>
      <c r="AJ849" s="4"/>
      <c r="AK849" s="4"/>
      <c r="AL849" s="5"/>
      <c r="AM849" s="5"/>
      <c r="AN849" s="147"/>
      <c r="AO849" s="15"/>
      <c r="AP849" s="148"/>
    </row>
    <row r="850" spans="1:42" ht="16.5" x14ac:dyDescent="0.35">
      <c r="A850" s="53">
        <v>849</v>
      </c>
      <c r="B850" s="2" t="s">
        <v>1542</v>
      </c>
      <c r="C850" s="48" t="s">
        <v>663</v>
      </c>
      <c r="D850" t="s">
        <v>1589</v>
      </c>
      <c r="E850" t="s">
        <v>1590</v>
      </c>
      <c r="H850" s="154"/>
      <c r="I850" s="18" t="s">
        <v>1066</v>
      </c>
      <c r="J850" s="23" t="s">
        <v>1572</v>
      </c>
      <c r="K850" s="4">
        <v>48</v>
      </c>
      <c r="L850" s="4" t="s">
        <v>9</v>
      </c>
      <c r="M850" s="5" t="s">
        <v>1181</v>
      </c>
      <c r="N850" s="5"/>
      <c r="O850" s="147">
        <v>1</v>
      </c>
      <c r="P850" s="15">
        <v>3</v>
      </c>
      <c r="Q850" s="148">
        <f t="shared" si="29"/>
        <v>4</v>
      </c>
      <c r="R8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TAPE KRIZA THEODORE GRAND-ZATTRY ZOMANDRE GBALEVILLE    YAO VINCENT  0102043546 48 M DOTE </v>
      </c>
      <c r="Z850" s="53"/>
      <c r="AA850" s="2"/>
      <c r="AB850" s="48"/>
      <c r="AG850" s="154"/>
      <c r="AH850" s="18"/>
      <c r="AI850" s="23"/>
      <c r="AJ850" s="4"/>
      <c r="AK850" s="4"/>
      <c r="AL850" s="5"/>
      <c r="AM850" s="5"/>
      <c r="AN850" s="147"/>
      <c r="AO850" s="15"/>
      <c r="AP850" s="148"/>
    </row>
    <row r="851" spans="1:42" ht="16.5" x14ac:dyDescent="0.35">
      <c r="A851" s="53">
        <v>850</v>
      </c>
      <c r="B851" s="2" t="s">
        <v>1543</v>
      </c>
      <c r="C851" s="48" t="s">
        <v>663</v>
      </c>
      <c r="D851" t="s">
        <v>1589</v>
      </c>
      <c r="E851" t="s">
        <v>1590</v>
      </c>
      <c r="H851" s="154"/>
      <c r="I851" s="18" t="s">
        <v>1066</v>
      </c>
      <c r="J851" s="23" t="s">
        <v>1573</v>
      </c>
      <c r="K851" s="4">
        <v>42</v>
      </c>
      <c r="L851" s="4" t="s">
        <v>2</v>
      </c>
      <c r="M851" s="5" t="s">
        <v>1181</v>
      </c>
      <c r="N851" s="5" t="s">
        <v>1587</v>
      </c>
      <c r="O851" s="147">
        <v>4</v>
      </c>
      <c r="P851" s="15">
        <v>3</v>
      </c>
      <c r="Q851" s="148">
        <f t="shared" si="29"/>
        <v>7</v>
      </c>
      <c r="R8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GOGUI DIANA CLARISSE GRAND-ZATTRY ZOMANDRE GBALEVILLE    YAO VINCENT  0171852653 42 F DOTE COMMERCE</v>
      </c>
      <c r="Z851" s="53"/>
      <c r="AA851" s="2"/>
      <c r="AB851" s="48"/>
      <c r="AG851" s="154"/>
      <c r="AH851" s="18"/>
      <c r="AI851" s="23"/>
      <c r="AJ851" s="4"/>
      <c r="AK851" s="4"/>
      <c r="AL851" s="5"/>
      <c r="AM851" s="5"/>
      <c r="AN851" s="147"/>
      <c r="AO851" s="15"/>
      <c r="AP851" s="148"/>
    </row>
    <row r="852" spans="1:42" ht="16.5" x14ac:dyDescent="0.35">
      <c r="A852" s="53">
        <v>851</v>
      </c>
      <c r="B852" s="2" t="s">
        <v>1544</v>
      </c>
      <c r="C852" s="48" t="s">
        <v>663</v>
      </c>
      <c r="D852" t="s">
        <v>1589</v>
      </c>
      <c r="E852" t="s">
        <v>1590</v>
      </c>
      <c r="H852" s="154"/>
      <c r="I852" s="18" t="s">
        <v>1066</v>
      </c>
      <c r="J852" s="23" t="s">
        <v>1574</v>
      </c>
      <c r="K852" s="4">
        <v>42</v>
      </c>
      <c r="L852" s="4" t="s">
        <v>9</v>
      </c>
      <c r="M852" s="5" t="s">
        <v>1181</v>
      </c>
      <c r="N852" s="5" t="s">
        <v>972</v>
      </c>
      <c r="O852" s="147">
        <v>0</v>
      </c>
      <c r="P852" s="15">
        <v>8</v>
      </c>
      <c r="Q852" s="148">
        <f t="shared" si="29"/>
        <v>8</v>
      </c>
      <c r="R8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DOUKORE GNIPLE RODRIGUE GRAND-ZATTRY ZOMANDRE GBALEVILLE    YAO VINCENT  0171704075 42 M DOTE PLANTEUR</v>
      </c>
      <c r="Z852" s="53"/>
      <c r="AA852" s="2"/>
      <c r="AB852" s="48"/>
      <c r="AG852" s="154"/>
      <c r="AH852" s="18"/>
      <c r="AI852" s="23"/>
      <c r="AJ852" s="4"/>
      <c r="AK852" s="4"/>
      <c r="AL852" s="5"/>
      <c r="AM852" s="5"/>
      <c r="AN852" s="147"/>
      <c r="AO852" s="15"/>
      <c r="AP852" s="148"/>
    </row>
    <row r="853" spans="1:42" ht="16.5" x14ac:dyDescent="0.35">
      <c r="A853" s="53">
        <v>852</v>
      </c>
      <c r="B853" s="2" t="s">
        <v>1545</v>
      </c>
      <c r="C853" s="48" t="s">
        <v>663</v>
      </c>
      <c r="D853" t="s">
        <v>1589</v>
      </c>
      <c r="E853" t="s">
        <v>1590</v>
      </c>
      <c r="H853" s="154"/>
      <c r="I853" s="18" t="s">
        <v>1066</v>
      </c>
      <c r="J853" s="23" t="s">
        <v>1575</v>
      </c>
      <c r="K853" s="4">
        <v>56</v>
      </c>
      <c r="L853" s="4" t="s">
        <v>9</v>
      </c>
      <c r="M853" s="5" t="s">
        <v>1181</v>
      </c>
      <c r="N853" s="5" t="s">
        <v>1588</v>
      </c>
      <c r="O853" s="147">
        <v>4</v>
      </c>
      <c r="P853" s="15">
        <v>2</v>
      </c>
      <c r="Q853" s="148">
        <f t="shared" si="29"/>
        <v>6</v>
      </c>
      <c r="R8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DOUKORE BOLOU SAMUEL GRAND-ZATTRY ZOMANDRE GBALEVILLE    YAO VINCENT  0160557843 56 M DOTE ELEVEUR</v>
      </c>
      <c r="Z853" s="53"/>
      <c r="AA853" s="2"/>
      <c r="AB853" s="48"/>
      <c r="AG853" s="154"/>
      <c r="AH853" s="18"/>
      <c r="AI853" s="23"/>
      <c r="AJ853" s="4"/>
      <c r="AK853" s="4"/>
      <c r="AL853" s="5"/>
      <c r="AM853" s="5"/>
      <c r="AN853" s="147"/>
      <c r="AO853" s="15"/>
      <c r="AP853" s="148"/>
    </row>
    <row r="854" spans="1:42" ht="16.5" x14ac:dyDescent="0.35">
      <c r="A854" s="53">
        <v>853</v>
      </c>
      <c r="B854" s="2" t="s">
        <v>1546</v>
      </c>
      <c r="C854" s="48" t="s">
        <v>663</v>
      </c>
      <c r="D854" t="s">
        <v>1589</v>
      </c>
      <c r="E854" t="s">
        <v>1590</v>
      </c>
      <c r="H854" s="154"/>
      <c r="I854" s="18" t="s">
        <v>1066</v>
      </c>
      <c r="J854" s="23" t="s">
        <v>1576</v>
      </c>
      <c r="K854" s="4">
        <v>46</v>
      </c>
      <c r="L854" s="4" t="s">
        <v>9</v>
      </c>
      <c r="M854" s="5" t="s">
        <v>1181</v>
      </c>
      <c r="N854" s="5" t="s">
        <v>972</v>
      </c>
      <c r="O854" s="147">
        <v>3</v>
      </c>
      <c r="P854" s="15">
        <v>4</v>
      </c>
      <c r="Q854" s="148">
        <f t="shared" si="29"/>
        <v>7</v>
      </c>
      <c r="R8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GBOUGNON BITTY YVES GRAND-ZATTRY ZOMANDRE GBALEVILLE    YAO VINCENT  0546108301 46 M DOTE PLANTEUR</v>
      </c>
      <c r="Z854" s="53"/>
      <c r="AA854" s="2"/>
      <c r="AB854" s="48"/>
      <c r="AG854" s="154"/>
      <c r="AH854" s="18"/>
      <c r="AI854" s="23"/>
      <c r="AJ854" s="4"/>
      <c r="AK854" s="4"/>
      <c r="AL854" s="5"/>
      <c r="AM854" s="5"/>
      <c r="AN854" s="147"/>
      <c r="AO854" s="15"/>
      <c r="AP854" s="148"/>
    </row>
    <row r="855" spans="1:42" ht="16.5" x14ac:dyDescent="0.35">
      <c r="A855" s="53">
        <v>854</v>
      </c>
      <c r="B855" s="2" t="s">
        <v>1547</v>
      </c>
      <c r="C855" s="48" t="s">
        <v>663</v>
      </c>
      <c r="D855" t="s">
        <v>1589</v>
      </c>
      <c r="E855" t="s">
        <v>1590</v>
      </c>
      <c r="H855" s="154"/>
      <c r="I855" s="18" t="s">
        <v>1066</v>
      </c>
      <c r="J855" s="23" t="s">
        <v>1577</v>
      </c>
      <c r="K855" s="4">
        <v>53</v>
      </c>
      <c r="L855" s="4" t="s">
        <v>2</v>
      </c>
      <c r="M855" s="5" t="s">
        <v>1181</v>
      </c>
      <c r="N855" s="5"/>
      <c r="O855" s="147">
        <v>4</v>
      </c>
      <c r="P855" s="15">
        <v>2</v>
      </c>
      <c r="Q855" s="148">
        <f t="shared" si="29"/>
        <v>6</v>
      </c>
      <c r="R8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GUEHI SUZANNE GRAND-ZATTRY ZOMANDRE GBALEVILLE    YAO VINCENT  0789749001 53 F DOTE </v>
      </c>
      <c r="Z855" s="53"/>
      <c r="AA855" s="2"/>
      <c r="AB855" s="48"/>
      <c r="AG855" s="154"/>
      <c r="AH855" s="18"/>
      <c r="AI855" s="23"/>
      <c r="AJ855" s="4"/>
      <c r="AK855" s="4"/>
      <c r="AL855" s="5"/>
      <c r="AM855" s="5"/>
      <c r="AN855" s="147"/>
      <c r="AO855" s="15"/>
      <c r="AP855" s="148"/>
    </row>
    <row r="856" spans="1:42" ht="16.5" x14ac:dyDescent="0.35">
      <c r="A856" s="53">
        <v>855</v>
      </c>
      <c r="B856" s="2" t="s">
        <v>1548</v>
      </c>
      <c r="C856" s="48" t="s">
        <v>663</v>
      </c>
      <c r="D856" t="s">
        <v>1589</v>
      </c>
      <c r="E856" t="s">
        <v>1590</v>
      </c>
      <c r="H856" s="154"/>
      <c r="I856" s="18" t="s">
        <v>1066</v>
      </c>
      <c r="J856" s="23"/>
      <c r="K856" s="180">
        <v>88</v>
      </c>
      <c r="L856" s="4" t="s">
        <v>2</v>
      </c>
      <c r="M856" s="5" t="s">
        <v>1181</v>
      </c>
      <c r="N856" s="5"/>
      <c r="O856" s="147">
        <v>2</v>
      </c>
      <c r="P856" s="15">
        <v>7</v>
      </c>
      <c r="Q856" s="148">
        <f t="shared" si="29"/>
        <v>9</v>
      </c>
      <c r="R8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AGUI HELENE GRAND-ZATTRY ZOMANDRE GBALEVILLE    YAO VINCENT   88 F DOTE </v>
      </c>
      <c r="Z856" s="53"/>
      <c r="AA856" s="2"/>
      <c r="AB856" s="48"/>
      <c r="AG856" s="154"/>
      <c r="AH856" s="18"/>
      <c r="AI856" s="23"/>
      <c r="AJ856" s="180"/>
      <c r="AK856" s="4"/>
      <c r="AL856" s="5"/>
      <c r="AM856" s="5"/>
      <c r="AN856" s="147"/>
      <c r="AO856" s="15"/>
      <c r="AP856" s="148"/>
    </row>
    <row r="857" spans="1:42" ht="16.5" x14ac:dyDescent="0.35">
      <c r="A857" s="53">
        <v>856</v>
      </c>
      <c r="B857" s="2" t="s">
        <v>1549</v>
      </c>
      <c r="C857" s="48" t="s">
        <v>663</v>
      </c>
      <c r="D857" t="s">
        <v>1589</v>
      </c>
      <c r="E857" t="s">
        <v>1590</v>
      </c>
      <c r="H857" s="154"/>
      <c r="I857" s="18" t="s">
        <v>1066</v>
      </c>
      <c r="J857" s="23" t="s">
        <v>1578</v>
      </c>
      <c r="K857" s="4">
        <v>45</v>
      </c>
      <c r="L857" s="4" t="s">
        <v>2</v>
      </c>
      <c r="M857" s="5" t="s">
        <v>1181</v>
      </c>
      <c r="N857" s="5" t="s">
        <v>1587</v>
      </c>
      <c r="O857" s="147">
        <v>2</v>
      </c>
      <c r="P857" s="15">
        <v>1</v>
      </c>
      <c r="Q857" s="148">
        <f t="shared" si="29"/>
        <v>3</v>
      </c>
      <c r="R8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DORAN BERTINE GRAND-ZATTRY ZOMANDRE GBALEVILLE    YAO VINCENT  0715801707 45 F DOTE COMMERCE</v>
      </c>
      <c r="Z857" s="53"/>
      <c r="AA857" s="2"/>
      <c r="AB857" s="48"/>
      <c r="AG857" s="154"/>
      <c r="AH857" s="18"/>
      <c r="AI857" s="23"/>
      <c r="AJ857" s="4"/>
      <c r="AK857" s="4"/>
      <c r="AL857" s="5"/>
      <c r="AM857" s="5"/>
      <c r="AN857" s="147"/>
      <c r="AO857" s="15"/>
      <c r="AP857" s="148"/>
    </row>
    <row r="858" spans="1:42" ht="16.5" x14ac:dyDescent="0.35">
      <c r="A858" s="53">
        <v>857</v>
      </c>
      <c r="B858" s="2" t="s">
        <v>1550</v>
      </c>
      <c r="C858" s="48" t="s">
        <v>663</v>
      </c>
      <c r="D858" t="s">
        <v>1589</v>
      </c>
      <c r="E858" t="s">
        <v>1590</v>
      </c>
      <c r="H858" s="154"/>
      <c r="I858" s="18" t="s">
        <v>1066</v>
      </c>
      <c r="J858" s="23" t="s">
        <v>1579</v>
      </c>
      <c r="K858" s="4">
        <v>38</v>
      </c>
      <c r="L858" s="4" t="s">
        <v>2</v>
      </c>
      <c r="M858" s="5" t="s">
        <v>1181</v>
      </c>
      <c r="N858" s="5" t="s">
        <v>1587</v>
      </c>
      <c r="O858" s="147">
        <v>2</v>
      </c>
      <c r="P858" s="15">
        <v>1</v>
      </c>
      <c r="Q858" s="148">
        <f t="shared" si="29"/>
        <v>3</v>
      </c>
      <c r="R8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BAHI MARINA GRAND-ZATTRY ZOMANDRE GBALEVILLE    YAO VINCENT  0143608091 38 F DOTE COMMERCE</v>
      </c>
      <c r="Z858" s="53"/>
      <c r="AA858" s="2"/>
      <c r="AB858" s="48"/>
      <c r="AG858" s="154"/>
      <c r="AH858" s="18"/>
      <c r="AI858" s="23"/>
      <c r="AJ858" s="4"/>
      <c r="AK858" s="4"/>
      <c r="AL858" s="5"/>
      <c r="AM858" s="5"/>
      <c r="AN858" s="147"/>
      <c r="AO858" s="15"/>
      <c r="AP858" s="148"/>
    </row>
    <row r="859" spans="1:42" ht="16.5" x14ac:dyDescent="0.35">
      <c r="A859" s="53">
        <v>858</v>
      </c>
      <c r="B859" s="2" t="s">
        <v>1551</v>
      </c>
      <c r="C859" s="48" t="s">
        <v>663</v>
      </c>
      <c r="D859" t="s">
        <v>1589</v>
      </c>
      <c r="E859" t="s">
        <v>1590</v>
      </c>
      <c r="H859" s="154"/>
      <c r="I859" s="18" t="s">
        <v>1066</v>
      </c>
      <c r="J859" s="23" t="s">
        <v>1580</v>
      </c>
      <c r="K859" s="4">
        <v>35</v>
      </c>
      <c r="L859" s="4" t="s">
        <v>2</v>
      </c>
      <c r="M859" s="5" t="s">
        <v>1181</v>
      </c>
      <c r="N859" s="5"/>
      <c r="O859" s="147">
        <v>3</v>
      </c>
      <c r="P859" s="15">
        <v>3</v>
      </c>
      <c r="Q859" s="148">
        <f t="shared" si="29"/>
        <v>6</v>
      </c>
      <c r="R8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TAPE MAZO SYLVIE GRAND-ZATTRY ZOMANDRE GBALEVILLE    YAO VINCENT  0787809241 35 F DOTE </v>
      </c>
      <c r="Z859" s="53"/>
      <c r="AA859" s="2"/>
      <c r="AB859" s="48"/>
      <c r="AG859" s="154"/>
      <c r="AH859" s="18"/>
      <c r="AI859" s="23"/>
      <c r="AJ859" s="4"/>
      <c r="AK859" s="4"/>
      <c r="AL859" s="5"/>
      <c r="AM859" s="5"/>
      <c r="AN859" s="147"/>
      <c r="AO859" s="15"/>
      <c r="AP859" s="148"/>
    </row>
    <row r="860" spans="1:42" ht="16.5" x14ac:dyDescent="0.35">
      <c r="A860" s="53">
        <v>859</v>
      </c>
      <c r="B860" s="2" t="s">
        <v>1552</v>
      </c>
      <c r="C860" s="48" t="s">
        <v>663</v>
      </c>
      <c r="D860" t="s">
        <v>1589</v>
      </c>
      <c r="E860" t="s">
        <v>1590</v>
      </c>
      <c r="H860" s="154"/>
      <c r="I860" s="18" t="s">
        <v>1066</v>
      </c>
      <c r="J860" s="23"/>
      <c r="K860" s="4">
        <v>50</v>
      </c>
      <c r="L860" s="4" t="s">
        <v>2</v>
      </c>
      <c r="M860" s="5" t="s">
        <v>1181</v>
      </c>
      <c r="N860" s="5"/>
      <c r="O860" s="147">
        <v>5</v>
      </c>
      <c r="P860" s="15">
        <v>5</v>
      </c>
      <c r="Q860" s="148">
        <f t="shared" si="29"/>
        <v>10</v>
      </c>
      <c r="R8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KRIFO JEANNETTE GRAND-ZATTRY ZOMANDRE GBALEVILLE    YAO VINCENT   50 F DOTE </v>
      </c>
      <c r="Z860" s="53"/>
      <c r="AA860" s="2"/>
      <c r="AB860" s="48"/>
      <c r="AG860" s="154"/>
      <c r="AH860" s="18"/>
      <c r="AI860" s="23"/>
      <c r="AJ860" s="4"/>
      <c r="AK860" s="4"/>
      <c r="AL860" s="5"/>
      <c r="AM860" s="5"/>
      <c r="AN860" s="147"/>
      <c r="AO860" s="15"/>
      <c r="AP860" s="148"/>
    </row>
    <row r="861" spans="1:42" ht="16.5" x14ac:dyDescent="0.35">
      <c r="A861" s="53">
        <v>860</v>
      </c>
      <c r="B861" s="2" t="s">
        <v>1553</v>
      </c>
      <c r="C861" s="48" t="s">
        <v>663</v>
      </c>
      <c r="D861" t="s">
        <v>1589</v>
      </c>
      <c r="E861" t="s">
        <v>1590</v>
      </c>
      <c r="H861" s="154"/>
      <c r="I861" s="18" t="s">
        <v>1066</v>
      </c>
      <c r="J861" s="23"/>
      <c r="K861" s="4">
        <v>33</v>
      </c>
      <c r="L861" s="4" t="s">
        <v>2</v>
      </c>
      <c r="M861" s="5" t="s">
        <v>1180</v>
      </c>
      <c r="N861" s="5" t="s">
        <v>1587</v>
      </c>
      <c r="O861" s="147">
        <v>3</v>
      </c>
      <c r="P861" s="15">
        <v>1</v>
      </c>
      <c r="Q861" s="148">
        <f t="shared" si="29"/>
        <v>4</v>
      </c>
      <c r="R8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DOUOBA REINE GRAND-ZATTRY ZOMANDRE GBALEVILLE    YAO VINCENT   33 F MARIEE COMMERCE</v>
      </c>
      <c r="Z861" s="53"/>
      <c r="AA861" s="2"/>
      <c r="AB861" s="48"/>
      <c r="AG861" s="154"/>
      <c r="AH861" s="18"/>
      <c r="AI861" s="23"/>
      <c r="AJ861" s="4"/>
      <c r="AK861" s="4"/>
      <c r="AL861" s="5"/>
      <c r="AM861" s="5"/>
      <c r="AN861" s="147"/>
      <c r="AO861" s="15"/>
      <c r="AP861" s="148"/>
    </row>
    <row r="862" spans="1:42" ht="16.5" x14ac:dyDescent="0.35">
      <c r="A862" s="53">
        <v>861</v>
      </c>
      <c r="B862" s="2" t="s">
        <v>1554</v>
      </c>
      <c r="C862" s="48" t="s">
        <v>663</v>
      </c>
      <c r="D862" t="s">
        <v>1589</v>
      </c>
      <c r="E862" t="s">
        <v>1590</v>
      </c>
      <c r="H862" s="154"/>
      <c r="I862" s="18" t="s">
        <v>1066</v>
      </c>
      <c r="J862" s="23" t="s">
        <v>1581</v>
      </c>
      <c r="K862" s="4">
        <v>49</v>
      </c>
      <c r="L862" s="4" t="s">
        <v>2</v>
      </c>
      <c r="M862" s="5" t="s">
        <v>1181</v>
      </c>
      <c r="N862" s="5"/>
      <c r="O862" s="147">
        <v>3</v>
      </c>
      <c r="P862" s="15">
        <v>3</v>
      </c>
      <c r="Q862" s="148">
        <f t="shared" si="29"/>
        <v>6</v>
      </c>
      <c r="R8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YOKOZOUA BAYERE PASCALINE GRAND-ZATTRY ZOMANDRE GBALEVILLE    YAO VINCENT  0749971999 49 F DOTE </v>
      </c>
      <c r="Z862" s="53"/>
      <c r="AA862" s="2"/>
      <c r="AB862" s="48"/>
      <c r="AG862" s="154"/>
      <c r="AH862" s="18"/>
      <c r="AI862" s="23"/>
      <c r="AJ862" s="4"/>
      <c r="AK862" s="4"/>
      <c r="AL862" s="5"/>
      <c r="AM862" s="5"/>
      <c r="AN862" s="147"/>
      <c r="AO862" s="15"/>
      <c r="AP862" s="148"/>
    </row>
    <row r="863" spans="1:42" ht="16.5" x14ac:dyDescent="0.35">
      <c r="A863" s="53">
        <v>862</v>
      </c>
      <c r="B863" s="2" t="s">
        <v>1555</v>
      </c>
      <c r="C863" s="48" t="s">
        <v>663</v>
      </c>
      <c r="D863" t="s">
        <v>1589</v>
      </c>
      <c r="E863" t="s">
        <v>1590</v>
      </c>
      <c r="H863" s="154"/>
      <c r="I863" s="18" t="s">
        <v>1066</v>
      </c>
      <c r="J863" s="23" t="s">
        <v>1582</v>
      </c>
      <c r="K863" s="4">
        <v>56</v>
      </c>
      <c r="L863" s="4" t="s">
        <v>2</v>
      </c>
      <c r="M863" s="5" t="s">
        <v>1181</v>
      </c>
      <c r="N863" s="5"/>
      <c r="O863" s="147">
        <v>1</v>
      </c>
      <c r="P863" s="15">
        <v>2</v>
      </c>
      <c r="Q863" s="148">
        <f t="shared" si="29"/>
        <v>3</v>
      </c>
      <c r="R8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ZADI SOLE SIMONE GRAND-ZATTRY ZOMANDRE GBALEVILLE    YAO VINCENT  0141355445 56 F DOTE </v>
      </c>
      <c r="Z863" s="53"/>
      <c r="AA863" s="2"/>
      <c r="AB863" s="48"/>
      <c r="AG863" s="154"/>
      <c r="AH863" s="18"/>
      <c r="AI863" s="23"/>
      <c r="AJ863" s="4"/>
      <c r="AK863" s="4"/>
      <c r="AL863" s="5"/>
      <c r="AM863" s="5"/>
      <c r="AN863" s="147"/>
      <c r="AO863" s="15"/>
      <c r="AP863" s="148"/>
    </row>
    <row r="864" spans="1:42" ht="16.5" x14ac:dyDescent="0.35">
      <c r="A864" s="53">
        <v>863</v>
      </c>
      <c r="B864" s="2" t="s">
        <v>1556</v>
      </c>
      <c r="C864" s="48" t="s">
        <v>663</v>
      </c>
      <c r="D864" t="s">
        <v>1589</v>
      </c>
      <c r="E864" t="s">
        <v>1590</v>
      </c>
      <c r="H864" s="154"/>
      <c r="I864" s="18" t="s">
        <v>1066</v>
      </c>
      <c r="J864" s="23" t="s">
        <v>1583</v>
      </c>
      <c r="K864" s="4">
        <v>35</v>
      </c>
      <c r="L864" s="4" t="s">
        <v>2</v>
      </c>
      <c r="M864" s="5" t="s">
        <v>1181</v>
      </c>
      <c r="N864" s="5"/>
      <c r="O864" s="147">
        <v>1</v>
      </c>
      <c r="P864" s="15">
        <v>0</v>
      </c>
      <c r="Q864" s="148">
        <f t="shared" si="29"/>
        <v>1</v>
      </c>
      <c r="R8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KOSSIA DENISE GRAND-ZATTRY ZOMANDRE GBALEVILLE    YAO VINCENT  0748814811 35 F DOTE </v>
      </c>
      <c r="Z864" s="53"/>
      <c r="AA864" s="2"/>
      <c r="AB864" s="48"/>
      <c r="AG864" s="154"/>
      <c r="AH864" s="18"/>
      <c r="AI864" s="23"/>
      <c r="AJ864" s="4"/>
      <c r="AK864" s="4"/>
      <c r="AL864" s="5"/>
      <c r="AM864" s="5"/>
      <c r="AN864" s="147"/>
      <c r="AO864" s="15"/>
      <c r="AP864" s="148"/>
    </row>
    <row r="865" spans="1:42" ht="16.5" x14ac:dyDescent="0.5">
      <c r="A865" s="53">
        <v>864</v>
      </c>
      <c r="B865" s="2" t="s">
        <v>1557</v>
      </c>
      <c r="C865" s="48" t="s">
        <v>663</v>
      </c>
      <c r="D865" t="s">
        <v>1589</v>
      </c>
      <c r="E865" t="s">
        <v>1590</v>
      </c>
      <c r="H865" s="154"/>
      <c r="I865" s="18" t="s">
        <v>1066</v>
      </c>
      <c r="J865" s="23" t="s">
        <v>1584</v>
      </c>
      <c r="K865" s="6">
        <v>30</v>
      </c>
      <c r="L865" s="4" t="s">
        <v>2</v>
      </c>
      <c r="M865" s="6" t="s">
        <v>1181</v>
      </c>
      <c r="N865" s="6" t="s">
        <v>1587</v>
      </c>
      <c r="O865" s="149">
        <v>1</v>
      </c>
      <c r="P865" s="149">
        <v>2</v>
      </c>
      <c r="Q865" s="148">
        <f t="shared" si="29"/>
        <v>3</v>
      </c>
      <c r="R8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GNIZAKA MAZO CHRISTINE GRAND-ZATTRY ZOMANDRE GBALEVILLE    YAO VINCENT  0172878548 30 F DOTE COMMERCE</v>
      </c>
      <c r="Z865" s="53"/>
      <c r="AA865" s="2"/>
      <c r="AB865" s="48"/>
      <c r="AG865" s="154"/>
      <c r="AH865" s="18"/>
      <c r="AI865" s="23"/>
      <c r="AJ865" s="6"/>
      <c r="AK865" s="4"/>
      <c r="AL865" s="6"/>
      <c r="AM865" s="6"/>
      <c r="AN865" s="149"/>
      <c r="AO865" s="149"/>
      <c r="AP865" s="148"/>
    </row>
    <row r="866" spans="1:42" ht="16.5" x14ac:dyDescent="0.35">
      <c r="A866" s="53">
        <v>865</v>
      </c>
      <c r="B866" s="2" t="s">
        <v>1558</v>
      </c>
      <c r="C866" s="48" t="s">
        <v>663</v>
      </c>
      <c r="D866" t="s">
        <v>1589</v>
      </c>
      <c r="E866" t="s">
        <v>1590</v>
      </c>
      <c r="H866" s="154"/>
      <c r="I866" s="18" t="s">
        <v>1066</v>
      </c>
      <c r="J866" s="24" t="s">
        <v>1585</v>
      </c>
      <c r="K866" s="8">
        <v>53</v>
      </c>
      <c r="L866" s="4" t="s">
        <v>2</v>
      </c>
      <c r="M866" s="8" t="s">
        <v>1181</v>
      </c>
      <c r="N866" s="8" t="s">
        <v>1587</v>
      </c>
      <c r="O866" s="151">
        <v>5</v>
      </c>
      <c r="P866" s="151">
        <v>4</v>
      </c>
      <c r="Q866" s="148">
        <f t="shared" si="29"/>
        <v>9</v>
      </c>
      <c r="R8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BOLOU MABO ALEXANDRE GRAND-ZATTRY ZOMANDRE GBALEVILLE    YAO VINCENT  0707227697 53 F DOTE COMMERCE</v>
      </c>
      <c r="Z866" s="53"/>
      <c r="AA866" s="2"/>
      <c r="AB866" s="48"/>
      <c r="AG866" s="154"/>
      <c r="AH866" s="18"/>
      <c r="AI866" s="24"/>
      <c r="AJ866" s="8"/>
      <c r="AK866" s="4"/>
      <c r="AL866" s="8"/>
      <c r="AM866" s="8"/>
      <c r="AN866" s="151"/>
      <c r="AO866" s="151"/>
      <c r="AP866" s="148"/>
    </row>
    <row r="867" spans="1:42" ht="16.5" x14ac:dyDescent="0.35">
      <c r="A867" s="53">
        <v>866</v>
      </c>
      <c r="B867" s="9" t="s">
        <v>1559</v>
      </c>
      <c r="C867" s="48" t="s">
        <v>663</v>
      </c>
      <c r="D867" t="s">
        <v>1589</v>
      </c>
      <c r="E867" t="s">
        <v>1590</v>
      </c>
      <c r="H867" s="154"/>
      <c r="I867" s="18" t="s">
        <v>1066</v>
      </c>
      <c r="J867" s="25" t="s">
        <v>1586</v>
      </c>
      <c r="K867" s="11">
        <v>34</v>
      </c>
      <c r="L867" s="178" t="s">
        <v>2</v>
      </c>
      <c r="M867" s="11" t="s">
        <v>1181</v>
      </c>
      <c r="N867" s="11"/>
      <c r="O867" s="143">
        <v>0</v>
      </c>
      <c r="P867" s="143">
        <v>2</v>
      </c>
      <c r="Q867" s="148">
        <f t="shared" si="29"/>
        <v>2</v>
      </c>
      <c r="R8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YEPE LEOPOLINE GRAND-ZATTRY ZOMANDRE GBALEVILLE    YAO VINCENT  0759119444 34 F DOTE </v>
      </c>
      <c r="Z867" s="53"/>
      <c r="AA867" s="9"/>
      <c r="AB867" s="48"/>
      <c r="AG867" s="154"/>
      <c r="AH867" s="18"/>
      <c r="AI867" s="25"/>
      <c r="AJ867" s="11"/>
      <c r="AK867" s="178"/>
      <c r="AL867" s="11"/>
      <c r="AM867" s="11"/>
      <c r="AN867" s="143"/>
      <c r="AO867" s="143"/>
      <c r="AP867" s="148"/>
    </row>
    <row r="868" spans="1:42" ht="17" thickBot="1" x14ac:dyDescent="0.4">
      <c r="A868" s="53">
        <v>867</v>
      </c>
      <c r="B868" s="9" t="s">
        <v>1560</v>
      </c>
      <c r="C868" s="48" t="s">
        <v>663</v>
      </c>
      <c r="D868" t="s">
        <v>1589</v>
      </c>
      <c r="E868" t="s">
        <v>1590</v>
      </c>
      <c r="H868" s="154"/>
      <c r="I868" s="18" t="s">
        <v>1066</v>
      </c>
      <c r="J868" s="193"/>
      <c r="K868" s="14">
        <v>50</v>
      </c>
      <c r="L868" s="14" t="s">
        <v>2</v>
      </c>
      <c r="M868" s="14" t="s">
        <v>1181</v>
      </c>
      <c r="N868" s="14" t="s">
        <v>1587</v>
      </c>
      <c r="O868" s="141">
        <v>2</v>
      </c>
      <c r="P868" s="141">
        <v>2</v>
      </c>
      <c r="Q868" s="148">
        <f t="shared" si="29"/>
        <v>4</v>
      </c>
      <c r="R8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ANDRIENNE GRAND-ZATTRY ZOMANDRE GBALEVILLE    YAO VINCENT   50 F DOTE COMMERCE</v>
      </c>
      <c r="Z868" s="53"/>
      <c r="AA868" s="9"/>
      <c r="AB868" s="48"/>
      <c r="AG868" s="154"/>
      <c r="AH868" s="18"/>
      <c r="AI868" s="193"/>
      <c r="AJ868" s="14"/>
      <c r="AK868" s="14"/>
      <c r="AL868" s="14"/>
      <c r="AM868" s="14"/>
      <c r="AN868" s="141"/>
      <c r="AO868" s="141"/>
      <c r="AP868" s="148"/>
    </row>
    <row r="869" spans="1:42" ht="16.5" x14ac:dyDescent="0.35">
      <c r="A869" s="53">
        <v>868</v>
      </c>
      <c r="B869" s="2" t="s">
        <v>1591</v>
      </c>
      <c r="C869" s="48" t="s">
        <v>663</v>
      </c>
      <c r="D869" t="s">
        <v>1637</v>
      </c>
      <c r="E869" t="s">
        <v>1590</v>
      </c>
      <c r="H869" s="10"/>
      <c r="I869" s="18" t="s">
        <v>1066</v>
      </c>
      <c r="J869" s="23" t="s">
        <v>1621</v>
      </c>
      <c r="K869" s="4">
        <v>50</v>
      </c>
      <c r="L869" s="4" t="s">
        <v>2</v>
      </c>
      <c r="M869" s="5" t="s">
        <v>1181</v>
      </c>
      <c r="N869" s="5"/>
      <c r="O869" s="147">
        <v>2</v>
      </c>
      <c r="P869" s="15">
        <v>4</v>
      </c>
      <c r="Q869" s="148">
        <f>(O869+P869)</f>
        <v>6</v>
      </c>
      <c r="R8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ZAKO ZOUA MARIE GRAND-ZATTRY  WANEZI GBALEVILLE    YAO VINCENT  0153049584 50 F DOTE </v>
      </c>
      <c r="Z869" s="53"/>
      <c r="AA869" s="2"/>
      <c r="AB869" s="48"/>
      <c r="AG869" s="10"/>
      <c r="AH869" s="18"/>
      <c r="AI869" s="23"/>
      <c r="AJ869" s="4"/>
      <c r="AK869" s="4"/>
      <c r="AL869" s="5"/>
      <c r="AM869" s="5"/>
      <c r="AN869" s="147"/>
      <c r="AO869" s="15"/>
      <c r="AP869" s="148"/>
    </row>
    <row r="870" spans="1:42" ht="16.5" x14ac:dyDescent="0.35">
      <c r="A870" s="53">
        <v>869</v>
      </c>
      <c r="B870" s="2" t="s">
        <v>1592</v>
      </c>
      <c r="C870" s="48" t="s">
        <v>663</v>
      </c>
      <c r="D870" t="s">
        <v>1637</v>
      </c>
      <c r="E870" t="s">
        <v>1590</v>
      </c>
      <c r="H870" s="154"/>
      <c r="I870" s="18" t="s">
        <v>1066</v>
      </c>
      <c r="J870" s="23" t="s">
        <v>1622</v>
      </c>
      <c r="K870" s="4">
        <v>49</v>
      </c>
      <c r="L870" s="4" t="s">
        <v>2</v>
      </c>
      <c r="M870" s="5" t="s">
        <v>1180</v>
      </c>
      <c r="N870" s="5" t="s">
        <v>1587</v>
      </c>
      <c r="O870" s="147">
        <v>0</v>
      </c>
      <c r="P870" s="15">
        <v>2</v>
      </c>
      <c r="Q870" s="148">
        <f t="shared" ref="Q870:Q898" si="30">(O870+P870)</f>
        <v>2</v>
      </c>
      <c r="R8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 GOYENA CAROLINE GRAND-ZATTRY  WANEZI GBALEVILLE    YAO VINCENT  0170737093 49 F MARIEE COMMERCE</v>
      </c>
      <c r="Z870" s="53"/>
      <c r="AA870" s="2"/>
      <c r="AB870" s="48"/>
      <c r="AG870" s="154"/>
      <c r="AH870" s="18"/>
      <c r="AI870" s="23"/>
      <c r="AJ870" s="4"/>
      <c r="AK870" s="4"/>
      <c r="AL870" s="5"/>
      <c r="AM870" s="5"/>
      <c r="AN870" s="147"/>
      <c r="AO870" s="15"/>
      <c r="AP870" s="148"/>
    </row>
    <row r="871" spans="1:42" ht="16.5" x14ac:dyDescent="0.35">
      <c r="A871" s="53">
        <v>870</v>
      </c>
      <c r="B871" s="2" t="s">
        <v>1593</v>
      </c>
      <c r="C871" s="48" t="s">
        <v>663</v>
      </c>
      <c r="D871" t="s">
        <v>1637</v>
      </c>
      <c r="E871" t="s">
        <v>1590</v>
      </c>
      <c r="H871" s="154"/>
      <c r="I871" s="18" t="s">
        <v>1066</v>
      </c>
      <c r="J871" s="23" t="s">
        <v>1623</v>
      </c>
      <c r="K871" s="4">
        <v>53</v>
      </c>
      <c r="L871" s="4" t="s">
        <v>2</v>
      </c>
      <c r="M871" s="5" t="s">
        <v>1181</v>
      </c>
      <c r="N871" s="5"/>
      <c r="O871" s="147">
        <v>2</v>
      </c>
      <c r="P871" s="15">
        <v>6</v>
      </c>
      <c r="Q871" s="148">
        <f t="shared" si="30"/>
        <v>8</v>
      </c>
      <c r="R8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DOUANE JEANNE GRAND-ZATTRY  WANEZI GBALEVILLE    YAO VINCENT  0153044221 53 F DOTE </v>
      </c>
      <c r="Z871" s="53"/>
      <c r="AA871" s="2"/>
      <c r="AB871" s="48"/>
      <c r="AG871" s="154"/>
      <c r="AH871" s="18"/>
      <c r="AI871" s="23"/>
      <c r="AJ871" s="4"/>
      <c r="AK871" s="4"/>
      <c r="AL871" s="5"/>
      <c r="AM871" s="5"/>
      <c r="AN871" s="147"/>
      <c r="AO871" s="15"/>
      <c r="AP871" s="148"/>
    </row>
    <row r="872" spans="1:42" ht="16.5" x14ac:dyDescent="0.35">
      <c r="A872" s="53">
        <v>871</v>
      </c>
      <c r="B872" s="2" t="s">
        <v>1594</v>
      </c>
      <c r="C872" s="48" t="s">
        <v>663</v>
      </c>
      <c r="D872" t="s">
        <v>1637</v>
      </c>
      <c r="E872" t="s">
        <v>1590</v>
      </c>
      <c r="H872" s="154"/>
      <c r="I872" s="18" t="s">
        <v>1066</v>
      </c>
      <c r="J872" s="23" t="s">
        <v>1624</v>
      </c>
      <c r="K872" s="4">
        <v>44</v>
      </c>
      <c r="L872" s="4" t="s">
        <v>2</v>
      </c>
      <c r="M872" s="5" t="s">
        <v>1181</v>
      </c>
      <c r="N872" s="5" t="s">
        <v>1587</v>
      </c>
      <c r="O872" s="147">
        <v>2</v>
      </c>
      <c r="P872" s="15">
        <v>3</v>
      </c>
      <c r="Q872" s="148">
        <f t="shared" si="30"/>
        <v>5</v>
      </c>
      <c r="R8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DALLY AKUEHIGBA ANASTHASIE GRAND-ZATTRY  WANEZI GBALEVILLE    YAO VINCENT  0709936627 44 F DOTE COMMERCE</v>
      </c>
      <c r="Z872" s="53"/>
      <c r="AA872" s="2"/>
      <c r="AB872" s="48"/>
      <c r="AG872" s="154"/>
      <c r="AH872" s="18"/>
      <c r="AI872" s="23"/>
      <c r="AJ872" s="4"/>
      <c r="AK872" s="4"/>
      <c r="AL872" s="5"/>
      <c r="AM872" s="5"/>
      <c r="AN872" s="147"/>
      <c r="AO872" s="15"/>
      <c r="AP872" s="148"/>
    </row>
    <row r="873" spans="1:42" ht="16.5" x14ac:dyDescent="0.35">
      <c r="A873" s="53">
        <v>872</v>
      </c>
      <c r="B873" s="2" t="s">
        <v>1595</v>
      </c>
      <c r="C873" s="48" t="s">
        <v>663</v>
      </c>
      <c r="D873" t="s">
        <v>1637</v>
      </c>
      <c r="E873" t="s">
        <v>1590</v>
      </c>
      <c r="H873" s="154"/>
      <c r="I873" s="18" t="s">
        <v>1066</v>
      </c>
      <c r="J873" s="23" t="s">
        <v>1625</v>
      </c>
      <c r="K873" s="4">
        <v>57</v>
      </c>
      <c r="L873" s="4" t="s">
        <v>2</v>
      </c>
      <c r="M873" s="3" t="s">
        <v>1180</v>
      </c>
      <c r="N873" s="5"/>
      <c r="O873" s="147">
        <v>1</v>
      </c>
      <c r="P873" s="15">
        <v>7</v>
      </c>
      <c r="Q873" s="148">
        <f t="shared" si="30"/>
        <v>8</v>
      </c>
      <c r="R8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LEGBROLO JULIETTE GRAND-ZATTRY  WANEZI GBALEVILLE    YAO VINCENT  0103937207 57 F MARIEE </v>
      </c>
      <c r="Z873" s="53"/>
      <c r="AA873" s="2"/>
      <c r="AB873" s="48"/>
      <c r="AG873" s="154"/>
      <c r="AH873" s="18"/>
      <c r="AI873" s="23"/>
      <c r="AJ873" s="4"/>
      <c r="AK873" s="4"/>
      <c r="AL873" s="3"/>
      <c r="AM873" s="5"/>
      <c r="AN873" s="147"/>
      <c r="AO873" s="15"/>
      <c r="AP873" s="148"/>
    </row>
    <row r="874" spans="1:42" ht="16.5" x14ac:dyDescent="0.35">
      <c r="A874" s="53">
        <v>873</v>
      </c>
      <c r="B874" s="2" t="s">
        <v>1596</v>
      </c>
      <c r="C874" s="48" t="s">
        <v>663</v>
      </c>
      <c r="D874" t="s">
        <v>1637</v>
      </c>
      <c r="E874" t="s">
        <v>1590</v>
      </c>
      <c r="H874" s="154"/>
      <c r="I874" s="18" t="s">
        <v>1066</v>
      </c>
      <c r="J874" s="23"/>
      <c r="K874" s="4">
        <v>50</v>
      </c>
      <c r="L874" s="4" t="s">
        <v>2</v>
      </c>
      <c r="M874" s="5" t="s">
        <v>1181</v>
      </c>
      <c r="N874" s="5" t="s">
        <v>1587</v>
      </c>
      <c r="O874" s="147">
        <v>2</v>
      </c>
      <c r="P874" s="15">
        <v>2</v>
      </c>
      <c r="Q874" s="148">
        <f t="shared" si="30"/>
        <v>4</v>
      </c>
      <c r="R8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DJAGBA ADRIENNE GRAND-ZATTRY  WANEZI GBALEVILLE    YAO VINCENT   50 F DOTE COMMERCE</v>
      </c>
      <c r="Z874" s="53"/>
      <c r="AA874" s="2"/>
      <c r="AB874" s="48"/>
      <c r="AG874" s="154"/>
      <c r="AH874" s="18"/>
      <c r="AI874" s="23"/>
      <c r="AJ874" s="4"/>
      <c r="AK874" s="4"/>
      <c r="AL874" s="5"/>
      <c r="AM874" s="5"/>
      <c r="AN874" s="147"/>
      <c r="AO874" s="15"/>
      <c r="AP874" s="148"/>
    </row>
    <row r="875" spans="1:42" ht="16.5" x14ac:dyDescent="0.35">
      <c r="A875" s="53">
        <v>874</v>
      </c>
      <c r="B875" s="2" t="s">
        <v>1597</v>
      </c>
      <c r="C875" s="48" t="s">
        <v>663</v>
      </c>
      <c r="D875" t="s">
        <v>1637</v>
      </c>
      <c r="E875" t="s">
        <v>1590</v>
      </c>
      <c r="H875" s="154"/>
      <c r="I875" s="18" t="s">
        <v>1066</v>
      </c>
      <c r="J875" s="23" t="s">
        <v>1626</v>
      </c>
      <c r="K875" s="4">
        <v>37</v>
      </c>
      <c r="L875" s="4" t="s">
        <v>2</v>
      </c>
      <c r="M875" s="5" t="s">
        <v>1181</v>
      </c>
      <c r="N875" s="5"/>
      <c r="O875" s="147">
        <v>2</v>
      </c>
      <c r="P875" s="15">
        <v>5</v>
      </c>
      <c r="Q875" s="148">
        <f t="shared" si="30"/>
        <v>7</v>
      </c>
      <c r="R8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KAPOHO DJAGBA NADEGE GRAND-ZATTRY  WANEZI GBALEVILLE    YAO VINCENT  0140200527 37 F DOTE </v>
      </c>
      <c r="Z875" s="53"/>
      <c r="AA875" s="2"/>
      <c r="AB875" s="48"/>
      <c r="AG875" s="154"/>
      <c r="AH875" s="18"/>
      <c r="AI875" s="23"/>
      <c r="AJ875" s="4"/>
      <c r="AK875" s="4"/>
      <c r="AL875" s="5"/>
      <c r="AM875" s="5"/>
      <c r="AN875" s="147"/>
      <c r="AO875" s="15"/>
      <c r="AP875" s="148"/>
    </row>
    <row r="876" spans="1:42" ht="16.5" x14ac:dyDescent="0.35">
      <c r="A876" s="53">
        <v>875</v>
      </c>
      <c r="B876" s="2" t="s">
        <v>1598</v>
      </c>
      <c r="C876" s="48" t="s">
        <v>663</v>
      </c>
      <c r="D876" t="s">
        <v>1637</v>
      </c>
      <c r="E876" t="s">
        <v>1590</v>
      </c>
      <c r="H876" s="154"/>
      <c r="I876" s="18" t="s">
        <v>1066</v>
      </c>
      <c r="J876" s="23"/>
      <c r="K876" s="4">
        <v>48</v>
      </c>
      <c r="L876" s="4" t="s">
        <v>2</v>
      </c>
      <c r="M876" s="5" t="s">
        <v>1181</v>
      </c>
      <c r="N876" s="5"/>
      <c r="O876" s="147">
        <v>2</v>
      </c>
      <c r="P876" s="15">
        <v>3</v>
      </c>
      <c r="Q876" s="148">
        <f t="shared" si="30"/>
        <v>5</v>
      </c>
      <c r="R8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YOUKOURIKE DONE CLARICE GRAND-ZATTRY  WANEZI GBALEVILLE    YAO VINCENT   48 F DOTE </v>
      </c>
      <c r="Z876" s="53"/>
      <c r="AA876" s="2"/>
      <c r="AB876" s="48"/>
      <c r="AG876" s="154"/>
      <c r="AH876" s="18"/>
      <c r="AI876" s="23"/>
      <c r="AJ876" s="4"/>
      <c r="AK876" s="4"/>
      <c r="AL876" s="5"/>
      <c r="AM876" s="5"/>
      <c r="AN876" s="147"/>
      <c r="AO876" s="15"/>
      <c r="AP876" s="148"/>
    </row>
    <row r="877" spans="1:42" ht="16.5" x14ac:dyDescent="0.35">
      <c r="A877" s="53">
        <v>876</v>
      </c>
      <c r="B877" s="2" t="s">
        <v>1599</v>
      </c>
      <c r="C877" s="48" t="s">
        <v>663</v>
      </c>
      <c r="D877" t="s">
        <v>1637</v>
      </c>
      <c r="E877" t="s">
        <v>1590</v>
      </c>
      <c r="H877" s="154"/>
      <c r="I877" s="18" t="s">
        <v>1066</v>
      </c>
      <c r="J877" s="23"/>
      <c r="K877" s="4">
        <v>48</v>
      </c>
      <c r="L877" s="4" t="s">
        <v>2</v>
      </c>
      <c r="M877" s="5" t="s">
        <v>1181</v>
      </c>
      <c r="N877" s="5"/>
      <c r="O877" s="147">
        <v>3</v>
      </c>
      <c r="P877" s="15">
        <v>4</v>
      </c>
      <c r="Q877" s="148">
        <f t="shared" si="30"/>
        <v>7</v>
      </c>
      <c r="R8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GBEUGRE DJAGBA AGNES GRAND-ZATTRY  WANEZI GBALEVILLE    YAO VINCENT   48 F DOTE </v>
      </c>
      <c r="Z877" s="53"/>
      <c r="AA877" s="2"/>
      <c r="AB877" s="48"/>
      <c r="AG877" s="154"/>
      <c r="AH877" s="18"/>
      <c r="AI877" s="23"/>
      <c r="AJ877" s="4"/>
      <c r="AK877" s="4"/>
      <c r="AL877" s="5"/>
      <c r="AM877" s="5"/>
      <c r="AN877" s="147"/>
      <c r="AO877" s="15"/>
      <c r="AP877" s="148"/>
    </row>
    <row r="878" spans="1:42" ht="16.5" x14ac:dyDescent="0.35">
      <c r="A878" s="53">
        <v>877</v>
      </c>
      <c r="B878" s="2" t="s">
        <v>1600</v>
      </c>
      <c r="C878" s="48" t="s">
        <v>663</v>
      </c>
      <c r="D878" t="s">
        <v>1637</v>
      </c>
      <c r="E878" t="s">
        <v>1590</v>
      </c>
      <c r="H878" s="154"/>
      <c r="I878" s="18" t="s">
        <v>1066</v>
      </c>
      <c r="J878" s="23" t="s">
        <v>1627</v>
      </c>
      <c r="K878" s="4">
        <v>56</v>
      </c>
      <c r="L878" s="4" t="s">
        <v>9</v>
      </c>
      <c r="M878" s="5" t="s">
        <v>1181</v>
      </c>
      <c r="N878" s="5" t="s">
        <v>972</v>
      </c>
      <c r="O878" s="147">
        <v>2</v>
      </c>
      <c r="P878" s="15">
        <v>5</v>
      </c>
      <c r="Q878" s="148">
        <f t="shared" si="30"/>
        <v>7</v>
      </c>
      <c r="R8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PREGNON GOURAYO RAPHAEL GRAND-ZATTRY  WANEZI GBALEVILLE    YAO VINCENT  0151274797 56 M DOTE PLANTEUR</v>
      </c>
      <c r="Z878" s="53"/>
      <c r="AA878" s="2"/>
      <c r="AB878" s="48"/>
      <c r="AG878" s="154"/>
      <c r="AH878" s="18"/>
      <c r="AI878" s="23"/>
      <c r="AJ878" s="4"/>
      <c r="AK878" s="4"/>
      <c r="AL878" s="5"/>
      <c r="AM878" s="5"/>
      <c r="AN878" s="147"/>
      <c r="AO878" s="15"/>
      <c r="AP878" s="148"/>
    </row>
    <row r="879" spans="1:42" ht="16.5" x14ac:dyDescent="0.35">
      <c r="A879" s="53">
        <v>878</v>
      </c>
      <c r="B879" s="2" t="s">
        <v>1601</v>
      </c>
      <c r="C879" s="48" t="s">
        <v>663</v>
      </c>
      <c r="D879" t="s">
        <v>1637</v>
      </c>
      <c r="E879" t="s">
        <v>1590</v>
      </c>
      <c r="H879" s="154"/>
      <c r="I879" s="18" t="s">
        <v>1066</v>
      </c>
      <c r="J879" s="23" t="s">
        <v>1628</v>
      </c>
      <c r="K879" s="4">
        <v>58</v>
      </c>
      <c r="L879" s="4" t="s">
        <v>2</v>
      </c>
      <c r="M879" s="5" t="s">
        <v>1181</v>
      </c>
      <c r="N879" s="5"/>
      <c r="O879" s="147">
        <v>3</v>
      </c>
      <c r="P879" s="15">
        <v>2</v>
      </c>
      <c r="Q879" s="148">
        <f t="shared" si="30"/>
        <v>5</v>
      </c>
      <c r="R8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GNAZEGBO LIKAGNELE JOSEPH GRAND-ZATTRY  WANEZI GBALEVILLE    YAO VINCENT  0171611450 58 F DOTE </v>
      </c>
      <c r="Z879" s="53"/>
      <c r="AA879" s="2"/>
      <c r="AB879" s="48"/>
      <c r="AG879" s="154"/>
      <c r="AH879" s="18"/>
      <c r="AI879" s="23"/>
      <c r="AJ879" s="4"/>
      <c r="AK879" s="4"/>
      <c r="AL879" s="5"/>
      <c r="AM879" s="5"/>
      <c r="AN879" s="147"/>
      <c r="AO879" s="15"/>
      <c r="AP879" s="148"/>
    </row>
    <row r="880" spans="1:42" ht="16.5" x14ac:dyDescent="0.35">
      <c r="A880" s="53">
        <v>879</v>
      </c>
      <c r="B880" s="2" t="s">
        <v>1602</v>
      </c>
      <c r="C880" s="48" t="s">
        <v>663</v>
      </c>
      <c r="D880" t="s">
        <v>1637</v>
      </c>
      <c r="E880" t="s">
        <v>1590</v>
      </c>
      <c r="H880" s="154"/>
      <c r="I880" s="18" t="s">
        <v>1066</v>
      </c>
      <c r="J880" s="23"/>
      <c r="K880" s="4">
        <v>51</v>
      </c>
      <c r="L880" s="4" t="s">
        <v>2</v>
      </c>
      <c r="M880" s="5" t="s">
        <v>1181</v>
      </c>
      <c r="N880" s="5"/>
      <c r="O880" s="147">
        <v>2</v>
      </c>
      <c r="P880" s="15">
        <v>5</v>
      </c>
      <c r="Q880" s="148">
        <f t="shared" si="30"/>
        <v>7</v>
      </c>
      <c r="R8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DAGROU AKRO GRAND-ZATTRY  WANEZI GBALEVILLE    YAO VINCENT   51 F DOTE </v>
      </c>
      <c r="Z880" s="53"/>
      <c r="AA880" s="2"/>
      <c r="AB880" s="48"/>
      <c r="AG880" s="154"/>
      <c r="AH880" s="18"/>
      <c r="AI880" s="23"/>
      <c r="AJ880" s="4"/>
      <c r="AK880" s="4"/>
      <c r="AL880" s="5"/>
      <c r="AM880" s="5"/>
      <c r="AN880" s="147"/>
      <c r="AO880" s="15"/>
      <c r="AP880" s="148"/>
    </row>
    <row r="881" spans="1:42" ht="16.5" x14ac:dyDescent="0.35">
      <c r="A881" s="53">
        <v>880</v>
      </c>
      <c r="B881" s="2" t="s">
        <v>1603</v>
      </c>
      <c r="C881" s="48" t="s">
        <v>663</v>
      </c>
      <c r="D881" t="s">
        <v>1637</v>
      </c>
      <c r="E881" t="s">
        <v>1590</v>
      </c>
      <c r="H881" s="154"/>
      <c r="I881" s="18" t="s">
        <v>1066</v>
      </c>
      <c r="J881" s="23" t="s">
        <v>1629</v>
      </c>
      <c r="K881" s="4">
        <v>47</v>
      </c>
      <c r="L881" s="4" t="s">
        <v>9</v>
      </c>
      <c r="M881" s="5" t="s">
        <v>1181</v>
      </c>
      <c r="N881" s="5"/>
      <c r="O881" s="147">
        <v>0</v>
      </c>
      <c r="P881" s="15">
        <v>0</v>
      </c>
      <c r="Q881" s="148">
        <f t="shared" si="30"/>
        <v>0</v>
      </c>
      <c r="R8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GBOAGBRE BROH EMILE GRAND-ZATTRY  WANEZI GBALEVILLE    YAO VINCENT  0173425265 47 M DOTE </v>
      </c>
      <c r="Z881" s="53"/>
      <c r="AA881" s="2"/>
      <c r="AB881" s="48"/>
      <c r="AG881" s="154"/>
      <c r="AH881" s="18"/>
      <c r="AI881" s="23"/>
      <c r="AJ881" s="4"/>
      <c r="AK881" s="4"/>
      <c r="AL881" s="5"/>
      <c r="AM881" s="5"/>
      <c r="AN881" s="147"/>
      <c r="AO881" s="15"/>
      <c r="AP881" s="148"/>
    </row>
    <row r="882" spans="1:42" ht="16.5" x14ac:dyDescent="0.35">
      <c r="A882" s="53">
        <v>881</v>
      </c>
      <c r="B882" s="2" t="s">
        <v>1604</v>
      </c>
      <c r="C882" s="48" t="s">
        <v>663</v>
      </c>
      <c r="D882" t="s">
        <v>1637</v>
      </c>
      <c r="E882" t="s">
        <v>1590</v>
      </c>
      <c r="H882" s="154"/>
      <c r="I882" s="18" t="s">
        <v>1066</v>
      </c>
      <c r="J882" s="23"/>
      <c r="K882" s="4">
        <v>35</v>
      </c>
      <c r="L882" s="4" t="s">
        <v>2</v>
      </c>
      <c r="M882" s="5" t="s">
        <v>1181</v>
      </c>
      <c r="N882" s="5"/>
      <c r="O882" s="147">
        <v>0</v>
      </c>
      <c r="P882" s="15">
        <v>0</v>
      </c>
      <c r="Q882" s="148">
        <f t="shared" si="30"/>
        <v>0</v>
      </c>
      <c r="R8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DEGBRE YOHOU ANGE CLAUDIA GRAND-ZATTRY  WANEZI GBALEVILLE    YAO VINCENT   35 F DOTE </v>
      </c>
      <c r="Z882" s="53"/>
      <c r="AA882" s="2"/>
      <c r="AB882" s="48"/>
      <c r="AG882" s="154"/>
      <c r="AH882" s="18"/>
      <c r="AI882" s="23"/>
      <c r="AJ882" s="4"/>
      <c r="AK882" s="4"/>
      <c r="AL882" s="5"/>
      <c r="AM882" s="5"/>
      <c r="AN882" s="147"/>
      <c r="AO882" s="15"/>
      <c r="AP882" s="148"/>
    </row>
    <row r="883" spans="1:42" ht="16.5" x14ac:dyDescent="0.35">
      <c r="A883" s="53">
        <v>882</v>
      </c>
      <c r="B883" s="2" t="s">
        <v>1605</v>
      </c>
      <c r="C883" s="48" t="s">
        <v>663</v>
      </c>
      <c r="D883" t="s">
        <v>1637</v>
      </c>
      <c r="E883" t="s">
        <v>1590</v>
      </c>
      <c r="H883" s="154"/>
      <c r="I883" s="18" t="s">
        <v>1066</v>
      </c>
      <c r="J883" s="23"/>
      <c r="K883" s="4">
        <v>35</v>
      </c>
      <c r="L883" s="4" t="s">
        <v>2</v>
      </c>
      <c r="M883" s="5" t="s">
        <v>1181</v>
      </c>
      <c r="N883" s="5"/>
      <c r="O883" s="147">
        <v>4</v>
      </c>
      <c r="P883" s="15">
        <v>2</v>
      </c>
      <c r="Q883" s="148">
        <f t="shared" si="30"/>
        <v>6</v>
      </c>
      <c r="R8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SIBAHI ANGE DANIELLE GRAND-ZATTRY  WANEZI GBALEVILLE    YAO VINCENT   35 F DOTE </v>
      </c>
      <c r="Z883" s="53"/>
      <c r="AA883" s="2"/>
      <c r="AB883" s="48"/>
      <c r="AG883" s="154"/>
      <c r="AH883" s="18"/>
      <c r="AI883" s="23"/>
      <c r="AJ883" s="4"/>
      <c r="AK883" s="4"/>
      <c r="AL883" s="5"/>
      <c r="AM883" s="5"/>
      <c r="AN883" s="147"/>
      <c r="AO883" s="15"/>
      <c r="AP883" s="148"/>
    </row>
    <row r="884" spans="1:42" ht="16.5" x14ac:dyDescent="0.35">
      <c r="A884" s="53">
        <v>883</v>
      </c>
      <c r="B884" s="2" t="s">
        <v>1606</v>
      </c>
      <c r="C884" s="48" t="s">
        <v>663</v>
      </c>
      <c r="D884" t="s">
        <v>1637</v>
      </c>
      <c r="E884" t="s">
        <v>1590</v>
      </c>
      <c r="H884" s="154"/>
      <c r="I884" s="18" t="s">
        <v>1066</v>
      </c>
      <c r="J884" s="23" t="s">
        <v>1630</v>
      </c>
      <c r="K884" s="4">
        <v>46</v>
      </c>
      <c r="L884" s="4" t="s">
        <v>9</v>
      </c>
      <c r="M884" s="5" t="s">
        <v>1181</v>
      </c>
      <c r="N884" s="5" t="s">
        <v>1588</v>
      </c>
      <c r="O884" s="147">
        <v>3</v>
      </c>
      <c r="P884" s="15">
        <v>2</v>
      </c>
      <c r="Q884" s="148">
        <f t="shared" si="30"/>
        <v>5</v>
      </c>
      <c r="R8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GBOKO MEUGUI HERVE GRAND-ZATTRY  WANEZI GBALEVILLE    YAO VINCENT  0171090021 46 M DOTE ELEVEUR</v>
      </c>
      <c r="Z884" s="53"/>
      <c r="AA884" s="2"/>
      <c r="AB884" s="48"/>
      <c r="AG884" s="154"/>
      <c r="AH884" s="18"/>
      <c r="AI884" s="23"/>
      <c r="AJ884" s="4"/>
      <c r="AK884" s="4"/>
      <c r="AL884" s="5"/>
      <c r="AM884" s="5"/>
      <c r="AN884" s="147"/>
      <c r="AO884" s="15"/>
      <c r="AP884" s="148"/>
    </row>
    <row r="885" spans="1:42" ht="16.5" x14ac:dyDescent="0.35">
      <c r="A885" s="53">
        <v>884</v>
      </c>
      <c r="B885" s="2" t="s">
        <v>1607</v>
      </c>
      <c r="C885" s="48" t="s">
        <v>663</v>
      </c>
      <c r="D885" t="s">
        <v>1637</v>
      </c>
      <c r="E885" t="s">
        <v>1590</v>
      </c>
      <c r="H885" s="154"/>
      <c r="I885" s="18" t="s">
        <v>1066</v>
      </c>
      <c r="J885" s="23" t="s">
        <v>1631</v>
      </c>
      <c r="K885" s="4">
        <v>42</v>
      </c>
      <c r="L885" s="4" t="s">
        <v>2</v>
      </c>
      <c r="M885" s="5" t="s">
        <v>1181</v>
      </c>
      <c r="N885" s="5"/>
      <c r="O885" s="147">
        <v>4</v>
      </c>
      <c r="P885" s="15">
        <v>2</v>
      </c>
      <c r="Q885" s="148">
        <f t="shared" si="30"/>
        <v>6</v>
      </c>
      <c r="R8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ZEGBEU KROYE JEANNE GRAND-ZATTRY  WANEZI GBALEVILLE    YAO VINCENT  0140215290 42 F DOTE </v>
      </c>
      <c r="Z885" s="53"/>
      <c r="AA885" s="2"/>
      <c r="AB885" s="48"/>
      <c r="AG885" s="154"/>
      <c r="AH885" s="18"/>
      <c r="AI885" s="23"/>
      <c r="AJ885" s="4"/>
      <c r="AK885" s="4"/>
      <c r="AL885" s="5"/>
      <c r="AM885" s="5"/>
      <c r="AN885" s="147"/>
      <c r="AO885" s="15"/>
      <c r="AP885" s="148"/>
    </row>
    <row r="886" spans="1:42" ht="16.5" x14ac:dyDescent="0.35">
      <c r="A886" s="53">
        <v>885</v>
      </c>
      <c r="B886" s="2" t="s">
        <v>1608</v>
      </c>
      <c r="C886" s="48" t="s">
        <v>663</v>
      </c>
      <c r="D886" t="s">
        <v>1637</v>
      </c>
      <c r="E886" t="s">
        <v>1590</v>
      </c>
      <c r="H886" s="154"/>
      <c r="I886" s="18" t="s">
        <v>1066</v>
      </c>
      <c r="J886" s="23" t="s">
        <v>1632</v>
      </c>
      <c r="K886" s="4">
        <v>57</v>
      </c>
      <c r="L886" s="4" t="s">
        <v>2</v>
      </c>
      <c r="M886" s="5" t="s">
        <v>1181</v>
      </c>
      <c r="N886" s="5"/>
      <c r="O886" s="147">
        <v>2</v>
      </c>
      <c r="P886" s="15">
        <v>3</v>
      </c>
      <c r="Q886" s="148">
        <f t="shared" si="30"/>
        <v>5</v>
      </c>
      <c r="R8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GUIGUI BOUKA GERMAINE GRAND-ZATTRY  WANEZI GBALEVILLE    YAO VINCENT  0709135100 57 F DOTE </v>
      </c>
      <c r="Z886" s="53"/>
      <c r="AA886" s="2"/>
      <c r="AB886" s="48"/>
      <c r="AG886" s="154"/>
      <c r="AH886" s="18"/>
      <c r="AI886" s="23"/>
      <c r="AJ886" s="4"/>
      <c r="AK886" s="4"/>
      <c r="AL886" s="5"/>
      <c r="AM886" s="5"/>
      <c r="AN886" s="147"/>
      <c r="AO886" s="15"/>
      <c r="AP886" s="148"/>
    </row>
    <row r="887" spans="1:42" ht="16.5" x14ac:dyDescent="0.35">
      <c r="A887" s="53">
        <v>886</v>
      </c>
      <c r="B887" s="2" t="s">
        <v>1609</v>
      </c>
      <c r="C887" s="48" t="s">
        <v>663</v>
      </c>
      <c r="D887" t="s">
        <v>1637</v>
      </c>
      <c r="E887" t="s">
        <v>1590</v>
      </c>
      <c r="H887" s="154"/>
      <c r="I887" s="18" t="s">
        <v>1066</v>
      </c>
      <c r="J887" s="23"/>
      <c r="K887" s="4">
        <v>46</v>
      </c>
      <c r="L887" s="4" t="s">
        <v>2</v>
      </c>
      <c r="M887" s="5" t="s">
        <v>1181</v>
      </c>
      <c r="N887" s="5"/>
      <c r="O887" s="147">
        <v>1</v>
      </c>
      <c r="P887" s="15">
        <v>2</v>
      </c>
      <c r="Q887" s="148">
        <f t="shared" si="30"/>
        <v>3</v>
      </c>
      <c r="R8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OUPO SYLVIE  GRAND-ZATTRY  WANEZI GBALEVILLE    YAO VINCENT   46 F DOTE </v>
      </c>
      <c r="Z887" s="53"/>
      <c r="AA887" s="2"/>
      <c r="AB887" s="48"/>
      <c r="AG887" s="154"/>
      <c r="AH887" s="18"/>
      <c r="AI887" s="23"/>
      <c r="AJ887" s="4"/>
      <c r="AK887" s="4"/>
      <c r="AL887" s="5"/>
      <c r="AM887" s="5"/>
      <c r="AN887" s="147"/>
      <c r="AO887" s="15"/>
      <c r="AP887" s="148"/>
    </row>
    <row r="888" spans="1:42" ht="16.5" x14ac:dyDescent="0.35">
      <c r="A888" s="53">
        <v>887</v>
      </c>
      <c r="B888" s="2" t="s">
        <v>1610</v>
      </c>
      <c r="C888" s="48" t="s">
        <v>663</v>
      </c>
      <c r="D888" t="s">
        <v>1637</v>
      </c>
      <c r="E888" t="s">
        <v>1590</v>
      </c>
      <c r="H888" s="154"/>
      <c r="I888" s="18" t="s">
        <v>1066</v>
      </c>
      <c r="J888" s="23"/>
      <c r="K888" s="4">
        <v>38</v>
      </c>
      <c r="L888" s="4" t="s">
        <v>2</v>
      </c>
      <c r="M888" s="5" t="s">
        <v>1181</v>
      </c>
      <c r="N888" s="5"/>
      <c r="O888" s="147">
        <v>2</v>
      </c>
      <c r="P888" s="15">
        <v>7</v>
      </c>
      <c r="Q888" s="148">
        <f t="shared" si="30"/>
        <v>9</v>
      </c>
      <c r="R8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GOBO AGBANEGO ALINE GRAND-ZATTRY  WANEZI GBALEVILLE    YAO VINCENT   38 F DOTE </v>
      </c>
      <c r="Z888" s="53"/>
      <c r="AA888" s="2"/>
      <c r="AB888" s="48"/>
      <c r="AG888" s="154"/>
      <c r="AH888" s="18"/>
      <c r="AI888" s="23"/>
      <c r="AJ888" s="4"/>
      <c r="AK888" s="4"/>
      <c r="AL888" s="5"/>
      <c r="AM888" s="5"/>
      <c r="AN888" s="147"/>
      <c r="AO888" s="15"/>
      <c r="AP888" s="148"/>
    </row>
    <row r="889" spans="1:42" ht="16.5" x14ac:dyDescent="0.35">
      <c r="A889" s="53">
        <v>888</v>
      </c>
      <c r="B889" s="2" t="s">
        <v>1611</v>
      </c>
      <c r="C889" s="48" t="s">
        <v>663</v>
      </c>
      <c r="D889" t="s">
        <v>1637</v>
      </c>
      <c r="E889" t="s">
        <v>1590</v>
      </c>
      <c r="H889" s="154"/>
      <c r="I889" s="18" t="s">
        <v>1066</v>
      </c>
      <c r="J889" s="23"/>
      <c r="K889" s="4"/>
      <c r="L889" s="4" t="s">
        <v>2</v>
      </c>
      <c r="M889" s="5" t="s">
        <v>1181</v>
      </c>
      <c r="N889" s="5"/>
      <c r="O889" s="147">
        <v>0</v>
      </c>
      <c r="P889" s="15">
        <v>2</v>
      </c>
      <c r="Q889" s="148">
        <f t="shared" si="30"/>
        <v>2</v>
      </c>
      <c r="R8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TAPE COLOZALO NATACHA GRAND-ZATTRY  WANEZI GBALEVILLE    YAO VINCENT    F DOTE </v>
      </c>
      <c r="Z889" s="53"/>
      <c r="AA889" s="2"/>
      <c r="AB889" s="48"/>
      <c r="AG889" s="154"/>
      <c r="AH889" s="18"/>
      <c r="AI889" s="23"/>
      <c r="AJ889" s="4"/>
      <c r="AK889" s="4"/>
      <c r="AL889" s="5"/>
      <c r="AM889" s="5"/>
      <c r="AN889" s="147"/>
      <c r="AO889" s="15"/>
      <c r="AP889" s="148"/>
    </row>
    <row r="890" spans="1:42" ht="16.5" x14ac:dyDescent="0.35">
      <c r="A890" s="53">
        <v>889</v>
      </c>
      <c r="B890" s="2" t="s">
        <v>1612</v>
      </c>
      <c r="C890" s="48" t="s">
        <v>663</v>
      </c>
      <c r="D890" t="s">
        <v>1637</v>
      </c>
      <c r="E890" t="s">
        <v>1590</v>
      </c>
      <c r="H890" s="154"/>
      <c r="I890" s="18" t="s">
        <v>1066</v>
      </c>
      <c r="J890" s="23" t="s">
        <v>1633</v>
      </c>
      <c r="K890" s="4">
        <v>59</v>
      </c>
      <c r="L890" s="4" t="s">
        <v>9</v>
      </c>
      <c r="M890" s="5" t="s">
        <v>1181</v>
      </c>
      <c r="N890" s="5" t="s">
        <v>972</v>
      </c>
      <c r="O890" s="147">
        <v>2</v>
      </c>
      <c r="P890" s="15">
        <v>7</v>
      </c>
      <c r="Q890" s="148">
        <f t="shared" si="30"/>
        <v>9</v>
      </c>
      <c r="R8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LOGBO SERI LEON GRAND-ZATTRY  WANEZI GBALEVILLE    YAO VINCENT  0748487178 59 M DOTE PLANTEUR</v>
      </c>
      <c r="Z890" s="53"/>
      <c r="AA890" s="2"/>
      <c r="AB890" s="48"/>
      <c r="AG890" s="154"/>
      <c r="AH890" s="18"/>
      <c r="AI890" s="23"/>
      <c r="AJ890" s="4"/>
      <c r="AK890" s="4"/>
      <c r="AL890" s="5"/>
      <c r="AM890" s="5"/>
      <c r="AN890" s="147"/>
      <c r="AO890" s="15"/>
      <c r="AP890" s="148"/>
    </row>
    <row r="891" spans="1:42" ht="16.5" x14ac:dyDescent="0.35">
      <c r="A891" s="53">
        <v>890</v>
      </c>
      <c r="B891" s="2" t="s">
        <v>1613</v>
      </c>
      <c r="C891" s="48" t="s">
        <v>663</v>
      </c>
      <c r="D891" t="s">
        <v>1637</v>
      </c>
      <c r="E891" t="s">
        <v>1590</v>
      </c>
      <c r="H891" s="154"/>
      <c r="I891" s="18" t="s">
        <v>1066</v>
      </c>
      <c r="J891" s="23"/>
      <c r="K891" s="4">
        <v>42</v>
      </c>
      <c r="L891" s="4" t="s">
        <v>2</v>
      </c>
      <c r="M891" s="5" t="s">
        <v>1181</v>
      </c>
      <c r="N891" s="5"/>
      <c r="O891" s="147">
        <v>3</v>
      </c>
      <c r="P891" s="15">
        <v>4</v>
      </c>
      <c r="Q891" s="148">
        <f t="shared" si="30"/>
        <v>7</v>
      </c>
      <c r="R8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MADJARA AICHA GRAND-ZATTRY  WANEZI GBALEVILLE    YAO VINCENT   42 F DOTE </v>
      </c>
      <c r="Z891" s="53"/>
      <c r="AA891" s="2"/>
      <c r="AB891" s="48"/>
      <c r="AG891" s="154"/>
      <c r="AH891" s="18"/>
      <c r="AI891" s="23"/>
      <c r="AJ891" s="4"/>
      <c r="AK891" s="4"/>
      <c r="AL891" s="5"/>
      <c r="AM891" s="5"/>
      <c r="AN891" s="147"/>
      <c r="AO891" s="15"/>
      <c r="AP891" s="148"/>
    </row>
    <row r="892" spans="1:42" ht="16.5" x14ac:dyDescent="0.35">
      <c r="A892" s="53">
        <v>891</v>
      </c>
      <c r="B892" s="2" t="s">
        <v>1614</v>
      </c>
      <c r="C892" s="48" t="s">
        <v>663</v>
      </c>
      <c r="D892" t="s">
        <v>1637</v>
      </c>
      <c r="E892" t="s">
        <v>1590</v>
      </c>
      <c r="H892" s="154"/>
      <c r="I892" s="18" t="s">
        <v>1066</v>
      </c>
      <c r="J892" s="23"/>
      <c r="K892" s="4">
        <v>41</v>
      </c>
      <c r="L892" s="4" t="s">
        <v>2</v>
      </c>
      <c r="M892" s="5" t="s">
        <v>1181</v>
      </c>
      <c r="N892" s="5"/>
      <c r="O892" s="147">
        <v>3</v>
      </c>
      <c r="P892" s="15">
        <v>2</v>
      </c>
      <c r="Q892" s="148">
        <f t="shared" si="30"/>
        <v>5</v>
      </c>
      <c r="R8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LOGBO ZEKESSA VICTORINE GRAND-ZATTRY  WANEZI GBALEVILLE    YAO VINCENT   41 F DOTE </v>
      </c>
      <c r="Z892" s="53"/>
      <c r="AA892" s="2"/>
      <c r="AB892" s="48"/>
      <c r="AG892" s="154"/>
      <c r="AH892" s="18"/>
      <c r="AI892" s="23"/>
      <c r="AJ892" s="4"/>
      <c r="AK892" s="4"/>
      <c r="AL892" s="5"/>
      <c r="AM892" s="5"/>
      <c r="AN892" s="147"/>
      <c r="AO892" s="15"/>
      <c r="AP892" s="148"/>
    </row>
    <row r="893" spans="1:42" ht="16.5" x14ac:dyDescent="0.35">
      <c r="A893" s="53">
        <v>892</v>
      </c>
      <c r="B893" s="2" t="s">
        <v>1615</v>
      </c>
      <c r="C893" s="48" t="s">
        <v>663</v>
      </c>
      <c r="D893" t="s">
        <v>1637</v>
      </c>
      <c r="E893" t="s">
        <v>1590</v>
      </c>
      <c r="H893" s="154"/>
      <c r="I893" s="18" t="s">
        <v>1066</v>
      </c>
      <c r="J893" s="23"/>
      <c r="K893" s="4">
        <v>39</v>
      </c>
      <c r="L893" s="4" t="s">
        <v>2</v>
      </c>
      <c r="M893" s="5" t="s">
        <v>1181</v>
      </c>
      <c r="N893" s="5"/>
      <c r="O893" s="147">
        <v>2</v>
      </c>
      <c r="P893" s="15">
        <v>4</v>
      </c>
      <c r="Q893" s="148">
        <f t="shared" si="30"/>
        <v>6</v>
      </c>
      <c r="R8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WANDA NADEGE GRAND-ZATTRY  WANEZI GBALEVILLE    YAO VINCENT   39 F DOTE </v>
      </c>
      <c r="Z893" s="53"/>
      <c r="AA893" s="2"/>
      <c r="AB893" s="48"/>
      <c r="AG893" s="154"/>
      <c r="AH893" s="18"/>
      <c r="AI893" s="23"/>
      <c r="AJ893" s="4"/>
      <c r="AK893" s="4"/>
      <c r="AL893" s="5"/>
      <c r="AM893" s="5"/>
      <c r="AN893" s="147"/>
      <c r="AO893" s="15"/>
      <c r="AP893" s="148"/>
    </row>
    <row r="894" spans="1:42" ht="16.5" x14ac:dyDescent="0.35">
      <c r="A894" s="53">
        <v>893</v>
      </c>
      <c r="B894" s="2" t="s">
        <v>1616</v>
      </c>
      <c r="C894" s="48" t="s">
        <v>663</v>
      </c>
      <c r="D894" t="s">
        <v>1637</v>
      </c>
      <c r="E894" t="s">
        <v>1590</v>
      </c>
      <c r="H894" s="154"/>
      <c r="I894" s="18" t="s">
        <v>1066</v>
      </c>
      <c r="J894" s="23" t="s">
        <v>1634</v>
      </c>
      <c r="K894" s="4">
        <v>75</v>
      </c>
      <c r="L894" s="4" t="s">
        <v>9</v>
      </c>
      <c r="M894" s="5" t="s">
        <v>1180</v>
      </c>
      <c r="N894" s="5" t="s">
        <v>972</v>
      </c>
      <c r="O894" s="147">
        <v>6</v>
      </c>
      <c r="P894" s="15">
        <v>9</v>
      </c>
      <c r="Q894" s="148">
        <f t="shared" si="30"/>
        <v>15</v>
      </c>
      <c r="R8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BADA BERNARD GRAND-ZATTRY  WANEZI GBALEVILLE    YAO VINCENT  0709890297 75 M MARIEE PLANTEUR</v>
      </c>
      <c r="Z894" s="53"/>
      <c r="AA894" s="2"/>
      <c r="AB894" s="48"/>
      <c r="AG894" s="154"/>
      <c r="AH894" s="18"/>
      <c r="AI894" s="23"/>
      <c r="AJ894" s="4"/>
      <c r="AK894" s="4"/>
      <c r="AL894" s="5"/>
      <c r="AM894" s="5"/>
      <c r="AN894" s="147"/>
      <c r="AO894" s="15"/>
      <c r="AP894" s="148"/>
    </row>
    <row r="895" spans="1:42" ht="16.5" x14ac:dyDescent="0.5">
      <c r="A895" s="53">
        <v>894</v>
      </c>
      <c r="B895" s="2" t="s">
        <v>1617</v>
      </c>
      <c r="C895" s="48" t="s">
        <v>663</v>
      </c>
      <c r="D895" t="s">
        <v>1637</v>
      </c>
      <c r="E895" t="s">
        <v>1590</v>
      </c>
      <c r="H895" s="154"/>
      <c r="I895" s="18" t="s">
        <v>1066</v>
      </c>
      <c r="J895" s="23" t="s">
        <v>1635</v>
      </c>
      <c r="K895" s="6">
        <v>59</v>
      </c>
      <c r="L895" s="4" t="s">
        <v>2</v>
      </c>
      <c r="M895" s="6" t="s">
        <v>1181</v>
      </c>
      <c r="N895" s="6"/>
      <c r="O895" s="149">
        <v>1</v>
      </c>
      <c r="P895" s="149">
        <v>0</v>
      </c>
      <c r="Q895" s="148">
        <f t="shared" si="30"/>
        <v>1</v>
      </c>
      <c r="R8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LOGBO BOUKA ODETTE GRAND-ZATTRY  WANEZI GBALEVILLE    YAO VINCENT  0140103326 59 F DOTE </v>
      </c>
      <c r="Z895" s="53"/>
      <c r="AA895" s="2"/>
      <c r="AB895" s="48"/>
      <c r="AG895" s="154"/>
      <c r="AH895" s="18"/>
      <c r="AI895" s="23"/>
      <c r="AJ895" s="6"/>
      <c r="AK895" s="4"/>
      <c r="AL895" s="6"/>
      <c r="AM895" s="6"/>
      <c r="AN895" s="149"/>
      <c r="AO895" s="149"/>
      <c r="AP895" s="148"/>
    </row>
    <row r="896" spans="1:42" ht="16.5" x14ac:dyDescent="0.35">
      <c r="A896" s="53">
        <v>895</v>
      </c>
      <c r="B896" s="2" t="s">
        <v>1618</v>
      </c>
      <c r="C896" s="48" t="s">
        <v>663</v>
      </c>
      <c r="D896" t="s">
        <v>1637</v>
      </c>
      <c r="E896" t="s">
        <v>1590</v>
      </c>
      <c r="H896" s="154"/>
      <c r="I896" s="18" t="s">
        <v>1066</v>
      </c>
      <c r="J896" s="24"/>
      <c r="K896" s="8">
        <v>38</v>
      </c>
      <c r="L896" s="4" t="s">
        <v>2</v>
      </c>
      <c r="M896" s="8" t="s">
        <v>1181</v>
      </c>
      <c r="N896" s="8"/>
      <c r="O896" s="151">
        <v>4</v>
      </c>
      <c r="P896" s="151">
        <v>3</v>
      </c>
      <c r="Q896" s="148">
        <f t="shared" si="30"/>
        <v>7</v>
      </c>
      <c r="R8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OUPOH GOBOKI JOSEPHINE GRAND-ZATTRY  WANEZI GBALEVILLE    YAO VINCENT   38 F DOTE </v>
      </c>
      <c r="Z896" s="53"/>
      <c r="AA896" s="2"/>
      <c r="AB896" s="48"/>
      <c r="AG896" s="154"/>
      <c r="AH896" s="18"/>
      <c r="AI896" s="24"/>
      <c r="AJ896" s="8"/>
      <c r="AK896" s="4"/>
      <c r="AL896" s="8"/>
      <c r="AM896" s="8"/>
      <c r="AN896" s="151"/>
      <c r="AO896" s="151"/>
      <c r="AP896" s="148"/>
    </row>
    <row r="897" spans="1:42" ht="16.5" x14ac:dyDescent="0.35">
      <c r="A897" s="53">
        <v>896</v>
      </c>
      <c r="B897" s="9" t="s">
        <v>1619</v>
      </c>
      <c r="C897" s="48" t="s">
        <v>663</v>
      </c>
      <c r="D897" t="s">
        <v>1637</v>
      </c>
      <c r="E897" t="s">
        <v>1590</v>
      </c>
      <c r="H897" s="154"/>
      <c r="I897" s="18" t="s">
        <v>1066</v>
      </c>
      <c r="J897" s="25" t="s">
        <v>1636</v>
      </c>
      <c r="K897" s="11">
        <v>47</v>
      </c>
      <c r="L897" s="178" t="s">
        <v>9</v>
      </c>
      <c r="M897" s="11" t="s">
        <v>1181</v>
      </c>
      <c r="N897" s="11"/>
      <c r="O897" s="143">
        <v>2</v>
      </c>
      <c r="P897" s="143">
        <v>3</v>
      </c>
      <c r="Q897" s="148">
        <f t="shared" si="30"/>
        <v>5</v>
      </c>
      <c r="R8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MATIO GABA INNOCENT GRAND-ZATTRY  WANEZI GBALEVILLE    YAO VINCENT  0748892144 47 M DOTE </v>
      </c>
      <c r="Z897" s="53"/>
      <c r="AA897" s="9"/>
      <c r="AB897" s="48"/>
      <c r="AG897" s="154"/>
      <c r="AH897" s="18"/>
      <c r="AI897" s="25"/>
      <c r="AJ897" s="11"/>
      <c r="AK897" s="178"/>
      <c r="AL897" s="11"/>
      <c r="AM897" s="11"/>
      <c r="AN897" s="143"/>
      <c r="AO897" s="143"/>
      <c r="AP897" s="148"/>
    </row>
    <row r="898" spans="1:42" ht="17" thickBot="1" x14ac:dyDescent="0.4">
      <c r="A898" s="53">
        <v>897</v>
      </c>
      <c r="B898" s="9" t="s">
        <v>1620</v>
      </c>
      <c r="C898" s="48" t="s">
        <v>663</v>
      </c>
      <c r="D898" t="s">
        <v>1637</v>
      </c>
      <c r="E898" t="s">
        <v>1590</v>
      </c>
      <c r="H898" s="154"/>
      <c r="I898" s="18" t="s">
        <v>1066</v>
      </c>
      <c r="J898" s="193"/>
      <c r="K898" s="14">
        <v>42</v>
      </c>
      <c r="L898" s="14" t="s">
        <v>2</v>
      </c>
      <c r="M898" s="14" t="s">
        <v>1181</v>
      </c>
      <c r="N898" s="14"/>
      <c r="O898" s="141">
        <v>4</v>
      </c>
      <c r="P898" s="141">
        <v>2</v>
      </c>
      <c r="Q898" s="148">
        <f t="shared" si="30"/>
        <v>6</v>
      </c>
      <c r="R8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DOBO SOLANGE GRAND-ZATTRY  WANEZI GBALEVILLE    YAO VINCENT   42 F DOTE </v>
      </c>
      <c r="Z898" s="53"/>
      <c r="AA898" s="9"/>
      <c r="AB898" s="48"/>
      <c r="AG898" s="154"/>
      <c r="AH898" s="18"/>
      <c r="AI898" s="193"/>
      <c r="AJ898" s="14"/>
      <c r="AK898" s="14"/>
      <c r="AL898" s="14"/>
      <c r="AM898" s="14"/>
      <c r="AN898" s="141"/>
      <c r="AO898" s="141"/>
      <c r="AP898" s="148"/>
    </row>
    <row r="899" spans="1:42" ht="16.5" x14ac:dyDescent="0.35">
      <c r="A899" s="53">
        <v>898</v>
      </c>
      <c r="B899" s="2" t="s">
        <v>1638</v>
      </c>
      <c r="C899" s="48" t="s">
        <v>663</v>
      </c>
      <c r="D899" t="s">
        <v>1679</v>
      </c>
      <c r="E899" t="s">
        <v>1590</v>
      </c>
      <c r="H899" s="10"/>
      <c r="I899" s="18" t="s">
        <v>1066</v>
      </c>
      <c r="J899" s="23" t="s">
        <v>1668</v>
      </c>
      <c r="K899" s="4">
        <v>49</v>
      </c>
      <c r="L899" s="4" t="s">
        <v>2</v>
      </c>
      <c r="M899" s="5" t="s">
        <v>1181</v>
      </c>
      <c r="N899" s="5" t="s">
        <v>1676</v>
      </c>
      <c r="O899" s="147">
        <v>2</v>
      </c>
      <c r="P899" s="15">
        <v>5</v>
      </c>
      <c r="Q899" s="148">
        <f>(O899+P899)</f>
        <v>7</v>
      </c>
      <c r="R8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BOSSA CATHERIENNE GRAND-ZATTRY BENKADI GBALEVILLE    YAO VINCENT  0748126645 49 F DOTE RESTAURATION</v>
      </c>
      <c r="Z899" s="53"/>
      <c r="AA899" s="2"/>
      <c r="AB899" s="48"/>
      <c r="AG899" s="10"/>
      <c r="AH899" s="18"/>
      <c r="AI899" s="23"/>
      <c r="AJ899" s="4"/>
      <c r="AK899" s="4"/>
      <c r="AL899" s="5"/>
      <c r="AM899" s="5"/>
      <c r="AN899" s="147"/>
      <c r="AO899" s="15"/>
      <c r="AP899" s="148"/>
    </row>
    <row r="900" spans="1:42" ht="16.5" x14ac:dyDescent="0.35">
      <c r="A900" s="53">
        <v>899</v>
      </c>
      <c r="B900" s="2" t="s">
        <v>1639</v>
      </c>
      <c r="C900" s="48" t="s">
        <v>663</v>
      </c>
      <c r="D900" t="s">
        <v>1679</v>
      </c>
      <c r="E900" t="s">
        <v>1590</v>
      </c>
      <c r="H900" s="154"/>
      <c r="I900" s="18" t="s">
        <v>1066</v>
      </c>
      <c r="J900" s="23" t="s">
        <v>1669</v>
      </c>
      <c r="K900" s="4">
        <v>23</v>
      </c>
      <c r="L900" s="4" t="s">
        <v>2</v>
      </c>
      <c r="M900" s="5" t="s">
        <v>1181</v>
      </c>
      <c r="N900" s="5"/>
      <c r="O900" s="147">
        <v>0</v>
      </c>
      <c r="P900" s="15">
        <v>1</v>
      </c>
      <c r="Q900" s="148">
        <f t="shared" ref="Q900:Q928" si="31">(O900+P900)</f>
        <v>1</v>
      </c>
      <c r="R9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ASSETA GRAND-ZATTRY BENKADI GBALEVILLE    YAO VINCENT  0768631586 23 F DOTE </v>
      </c>
      <c r="Z900" s="53"/>
      <c r="AA900" s="2"/>
      <c r="AB900" s="48"/>
      <c r="AG900" s="154"/>
      <c r="AH900" s="18"/>
      <c r="AI900" s="23"/>
      <c r="AJ900" s="4"/>
      <c r="AK900" s="4"/>
      <c r="AL900" s="5"/>
      <c r="AM900" s="5"/>
      <c r="AN900" s="147"/>
      <c r="AO900" s="15"/>
      <c r="AP900" s="148"/>
    </row>
    <row r="901" spans="1:42" ht="16.5" x14ac:dyDescent="0.35">
      <c r="A901" s="53">
        <v>900</v>
      </c>
      <c r="B901" s="2" t="s">
        <v>1640</v>
      </c>
      <c r="C901" s="48" t="s">
        <v>663</v>
      </c>
      <c r="D901" t="s">
        <v>1679</v>
      </c>
      <c r="E901" t="s">
        <v>1590</v>
      </c>
      <c r="H901" s="154"/>
      <c r="I901" s="18" t="s">
        <v>1066</v>
      </c>
      <c r="J901" s="23" t="s">
        <v>1670</v>
      </c>
      <c r="K901" s="4">
        <v>35</v>
      </c>
      <c r="L901" s="4" t="s">
        <v>2</v>
      </c>
      <c r="M901" s="5" t="s">
        <v>1181</v>
      </c>
      <c r="N901" s="5"/>
      <c r="O901" s="147">
        <v>5</v>
      </c>
      <c r="P901" s="15">
        <v>3</v>
      </c>
      <c r="Q901" s="148">
        <f t="shared" si="31"/>
        <v>8</v>
      </c>
      <c r="R9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DOUMBIA BALAKISSA GRAND-ZATTRY BENKADI GBALEVILLE    YAO VINCENT  0172755278 35 F DOTE </v>
      </c>
      <c r="Z901" s="53"/>
      <c r="AA901" s="2"/>
      <c r="AB901" s="48"/>
      <c r="AG901" s="154"/>
      <c r="AH901" s="18"/>
      <c r="AI901" s="23"/>
      <c r="AJ901" s="4"/>
      <c r="AK901" s="4"/>
      <c r="AL901" s="5"/>
      <c r="AM901" s="5"/>
      <c r="AN901" s="147"/>
      <c r="AO901" s="15"/>
      <c r="AP901" s="148"/>
    </row>
    <row r="902" spans="1:42" ht="16.5" x14ac:dyDescent="0.35">
      <c r="A902" s="53">
        <v>901</v>
      </c>
      <c r="B902" s="2" t="s">
        <v>1641</v>
      </c>
      <c r="C902" s="48" t="s">
        <v>663</v>
      </c>
      <c r="D902" t="s">
        <v>1679</v>
      </c>
      <c r="E902" t="s">
        <v>1590</v>
      </c>
      <c r="H902" s="154"/>
      <c r="I902" s="18" t="s">
        <v>1066</v>
      </c>
      <c r="J902" s="23"/>
      <c r="K902" s="4">
        <v>40</v>
      </c>
      <c r="L902" s="4" t="s">
        <v>2</v>
      </c>
      <c r="M902" s="5" t="s">
        <v>1181</v>
      </c>
      <c r="N902" s="5"/>
      <c r="O902" s="147">
        <v>4</v>
      </c>
      <c r="P902" s="15">
        <v>3</v>
      </c>
      <c r="Q902" s="148">
        <f t="shared" si="31"/>
        <v>7</v>
      </c>
      <c r="R9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KIEBRE ASSETOU GRAND-ZATTRY BENKADI GBALEVILLE    YAO VINCENT   40 F DOTE </v>
      </c>
      <c r="Z902" s="53"/>
      <c r="AA902" s="2"/>
      <c r="AB902" s="48"/>
      <c r="AG902" s="154"/>
      <c r="AH902" s="18"/>
      <c r="AI902" s="23"/>
      <c r="AJ902" s="4"/>
      <c r="AK902" s="4"/>
      <c r="AL902" s="5"/>
      <c r="AM902" s="5"/>
      <c r="AN902" s="147"/>
      <c r="AO902" s="15"/>
      <c r="AP902" s="148"/>
    </row>
    <row r="903" spans="1:42" ht="16.5" x14ac:dyDescent="0.35">
      <c r="A903" s="53">
        <v>902</v>
      </c>
      <c r="B903" s="2" t="s">
        <v>1642</v>
      </c>
      <c r="C903" s="48" t="s">
        <v>663</v>
      </c>
      <c r="D903" t="s">
        <v>1679</v>
      </c>
      <c r="E903" t="s">
        <v>1590</v>
      </c>
      <c r="H903" s="154"/>
      <c r="I903" s="18" t="s">
        <v>1066</v>
      </c>
      <c r="J903" s="23"/>
      <c r="K903" s="4">
        <v>41</v>
      </c>
      <c r="L903" s="4" t="s">
        <v>2</v>
      </c>
      <c r="M903" s="3" t="s">
        <v>1181</v>
      </c>
      <c r="N903" s="5"/>
      <c r="O903" s="147">
        <v>3</v>
      </c>
      <c r="P903" s="15">
        <v>3</v>
      </c>
      <c r="Q903" s="148">
        <f t="shared" si="31"/>
        <v>6</v>
      </c>
      <c r="R9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AWA GRAND-ZATTRY BENKADI GBALEVILLE    YAO VINCENT   41 F DOTE </v>
      </c>
      <c r="Z903" s="53"/>
      <c r="AA903" s="2"/>
      <c r="AB903" s="48"/>
      <c r="AG903" s="154"/>
      <c r="AH903" s="18"/>
      <c r="AI903" s="23"/>
      <c r="AJ903" s="4"/>
      <c r="AK903" s="4"/>
      <c r="AL903" s="3"/>
      <c r="AM903" s="5"/>
      <c r="AN903" s="147"/>
      <c r="AO903" s="15"/>
      <c r="AP903" s="148"/>
    </row>
    <row r="904" spans="1:42" ht="16.5" x14ac:dyDescent="0.35">
      <c r="A904" s="53">
        <v>903</v>
      </c>
      <c r="B904" s="2" t="s">
        <v>1643</v>
      </c>
      <c r="C904" s="48" t="s">
        <v>663</v>
      </c>
      <c r="D904" t="s">
        <v>1679</v>
      </c>
      <c r="E904" t="s">
        <v>1590</v>
      </c>
      <c r="H904" s="154"/>
      <c r="I904" s="18" t="s">
        <v>1066</v>
      </c>
      <c r="J904" s="23"/>
      <c r="K904" s="4">
        <v>30</v>
      </c>
      <c r="L904" s="4" t="s">
        <v>2</v>
      </c>
      <c r="M904" s="5" t="s">
        <v>1181</v>
      </c>
      <c r="N904" s="5"/>
      <c r="O904" s="147">
        <v>1</v>
      </c>
      <c r="P904" s="15">
        <v>0</v>
      </c>
      <c r="Q904" s="148">
        <f t="shared" si="31"/>
        <v>1</v>
      </c>
      <c r="R9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FATOU BELEM GRAND-ZATTRY BENKADI GBALEVILLE    YAO VINCENT   30 F DOTE </v>
      </c>
      <c r="Z904" s="53"/>
      <c r="AA904" s="2"/>
      <c r="AB904" s="48"/>
      <c r="AG904" s="154"/>
      <c r="AH904" s="18"/>
      <c r="AI904" s="23"/>
      <c r="AJ904" s="4"/>
      <c r="AK904" s="4"/>
      <c r="AL904" s="5"/>
      <c r="AM904" s="5"/>
      <c r="AN904" s="147"/>
      <c r="AO904" s="15"/>
      <c r="AP904" s="148"/>
    </row>
    <row r="905" spans="1:42" ht="16.5" x14ac:dyDescent="0.35">
      <c r="A905" s="53">
        <v>904</v>
      </c>
      <c r="B905" s="2" t="s">
        <v>1644</v>
      </c>
      <c r="C905" s="48" t="s">
        <v>663</v>
      </c>
      <c r="D905" t="s">
        <v>1679</v>
      </c>
      <c r="E905" t="s">
        <v>1590</v>
      </c>
      <c r="H905" s="154"/>
      <c r="I905" s="18" t="s">
        <v>1066</v>
      </c>
      <c r="J905" s="23" t="s">
        <v>1671</v>
      </c>
      <c r="K905" s="4">
        <v>50</v>
      </c>
      <c r="L905" s="4" t="s">
        <v>9</v>
      </c>
      <c r="M905" s="5" t="s">
        <v>1095</v>
      </c>
      <c r="N905" s="5" t="s">
        <v>1587</v>
      </c>
      <c r="O905" s="147">
        <v>5</v>
      </c>
      <c r="P905" s="15">
        <v>2</v>
      </c>
      <c r="Q905" s="148">
        <f t="shared" si="31"/>
        <v>7</v>
      </c>
      <c r="R9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BAKA ISAAC GRAND-ZATTRY BENKADI GBALEVILLE    YAO VINCENT  0777467815 50 M MARIE COMMERCE</v>
      </c>
      <c r="Z905" s="53"/>
      <c r="AA905" s="2"/>
      <c r="AB905" s="48"/>
      <c r="AG905" s="154"/>
      <c r="AH905" s="18"/>
      <c r="AI905" s="23"/>
      <c r="AJ905" s="4"/>
      <c r="AK905" s="4"/>
      <c r="AL905" s="5"/>
      <c r="AM905" s="5"/>
      <c r="AN905" s="147"/>
      <c r="AO905" s="15"/>
      <c r="AP905" s="148"/>
    </row>
    <row r="906" spans="1:42" ht="16.5" x14ac:dyDescent="0.35">
      <c r="A906" s="53">
        <v>905</v>
      </c>
      <c r="B906" s="2" t="s">
        <v>1645</v>
      </c>
      <c r="C906" s="48" t="s">
        <v>663</v>
      </c>
      <c r="D906" t="s">
        <v>1679</v>
      </c>
      <c r="E906" t="s">
        <v>1590</v>
      </c>
      <c r="H906" s="154"/>
      <c r="I906" s="18" t="s">
        <v>1066</v>
      </c>
      <c r="J906" s="23" t="s">
        <v>1672</v>
      </c>
      <c r="K906" s="4">
        <v>42</v>
      </c>
      <c r="L906" s="4" t="s">
        <v>2</v>
      </c>
      <c r="M906" s="5" t="s">
        <v>1181</v>
      </c>
      <c r="N906" s="5"/>
      <c r="O906" s="147">
        <v>2</v>
      </c>
      <c r="P906" s="15">
        <v>8</v>
      </c>
      <c r="Q906" s="148">
        <f t="shared" si="31"/>
        <v>10</v>
      </c>
      <c r="R9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KAMGOE SALIMATA GRAND-ZATTRY BENKADI GBALEVILLE    YAO VINCENT  0150174466 42 F DOTE </v>
      </c>
      <c r="Z906" s="53"/>
      <c r="AA906" s="2"/>
      <c r="AB906" s="48"/>
      <c r="AG906" s="154"/>
      <c r="AH906" s="18"/>
      <c r="AI906" s="23"/>
      <c r="AJ906" s="4"/>
      <c r="AK906" s="4"/>
      <c r="AL906" s="5"/>
      <c r="AM906" s="5"/>
      <c r="AN906" s="147"/>
      <c r="AO906" s="15"/>
      <c r="AP906" s="148"/>
    </row>
    <row r="907" spans="1:42" ht="16.5" x14ac:dyDescent="0.35">
      <c r="A907" s="53">
        <v>906</v>
      </c>
      <c r="B907" s="2" t="s">
        <v>1646</v>
      </c>
      <c r="C907" s="48" t="s">
        <v>663</v>
      </c>
      <c r="D907" t="s">
        <v>1679</v>
      </c>
      <c r="E907" t="s">
        <v>1590</v>
      </c>
      <c r="H907" s="154"/>
      <c r="I907" s="18" t="s">
        <v>1066</v>
      </c>
      <c r="J907" s="23"/>
      <c r="K907" s="4">
        <v>30</v>
      </c>
      <c r="L907" s="4" t="s">
        <v>2</v>
      </c>
      <c r="M907" s="5" t="s">
        <v>1181</v>
      </c>
      <c r="N907" s="5"/>
      <c r="O907" s="147">
        <v>3</v>
      </c>
      <c r="P907" s="15">
        <v>3</v>
      </c>
      <c r="Q907" s="148">
        <f t="shared" si="31"/>
        <v>6</v>
      </c>
      <c r="R9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ASSETOU KABORE GRAND-ZATTRY BENKADI GBALEVILLE    YAO VINCENT   30 F DOTE </v>
      </c>
      <c r="Z907" s="53"/>
      <c r="AA907" s="2"/>
      <c r="AB907" s="48"/>
      <c r="AG907" s="154"/>
      <c r="AH907" s="18"/>
      <c r="AI907" s="23"/>
      <c r="AJ907" s="4"/>
      <c r="AK907" s="4"/>
      <c r="AL907" s="5"/>
      <c r="AM907" s="5"/>
      <c r="AN907" s="147"/>
      <c r="AO907" s="15"/>
      <c r="AP907" s="148"/>
    </row>
    <row r="908" spans="1:42" ht="16.5" x14ac:dyDescent="0.35">
      <c r="A908" s="53">
        <v>907</v>
      </c>
      <c r="B908" s="2" t="s">
        <v>1647</v>
      </c>
      <c r="C908" s="48" t="s">
        <v>663</v>
      </c>
      <c r="D908" t="s">
        <v>1679</v>
      </c>
      <c r="E908" t="s">
        <v>1590</v>
      </c>
      <c r="H908" s="154"/>
      <c r="I908" s="18" t="s">
        <v>1066</v>
      </c>
      <c r="J908" s="23"/>
      <c r="K908" s="4">
        <v>45</v>
      </c>
      <c r="L908" s="4" t="s">
        <v>2</v>
      </c>
      <c r="M908" s="5" t="s">
        <v>1181</v>
      </c>
      <c r="N908" s="5"/>
      <c r="O908" s="147">
        <v>2</v>
      </c>
      <c r="P908" s="15">
        <v>4</v>
      </c>
      <c r="Q908" s="148">
        <f t="shared" si="31"/>
        <v>6</v>
      </c>
      <c r="R9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NEBIE BALAKISSA GRAND-ZATTRY BENKADI GBALEVILLE    YAO VINCENT   45 F DOTE </v>
      </c>
      <c r="Z908" s="53"/>
      <c r="AA908" s="2"/>
      <c r="AB908" s="48"/>
      <c r="AG908" s="154"/>
      <c r="AH908" s="18"/>
      <c r="AI908" s="23"/>
      <c r="AJ908" s="4"/>
      <c r="AK908" s="4"/>
      <c r="AL908" s="5"/>
      <c r="AM908" s="5"/>
      <c r="AN908" s="147"/>
      <c r="AO908" s="15"/>
      <c r="AP908" s="148"/>
    </row>
    <row r="909" spans="1:42" ht="16.5" x14ac:dyDescent="0.35">
      <c r="A909" s="53">
        <v>908</v>
      </c>
      <c r="B909" s="2" t="s">
        <v>1648</v>
      </c>
      <c r="C909" s="48" t="s">
        <v>663</v>
      </c>
      <c r="D909" t="s">
        <v>1679</v>
      </c>
      <c r="E909" t="s">
        <v>1590</v>
      </c>
      <c r="H909" s="154"/>
      <c r="I909" s="18" t="s">
        <v>1066</v>
      </c>
      <c r="J909" s="23"/>
      <c r="K909" s="4">
        <v>37</v>
      </c>
      <c r="L909" s="4" t="s">
        <v>2</v>
      </c>
      <c r="M909" s="5" t="s">
        <v>1181</v>
      </c>
      <c r="N909" s="5"/>
      <c r="O909" s="147">
        <v>2</v>
      </c>
      <c r="P909" s="15">
        <v>1</v>
      </c>
      <c r="Q909" s="148">
        <f t="shared" si="31"/>
        <v>3</v>
      </c>
      <c r="R9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GALEMAIN SALIMATA GRAND-ZATTRY BENKADI GBALEVILLE    YAO VINCENT   37 F DOTE </v>
      </c>
      <c r="Z909" s="53"/>
      <c r="AA909" s="2"/>
      <c r="AB909" s="48"/>
      <c r="AG909" s="154"/>
      <c r="AH909" s="18"/>
      <c r="AI909" s="23"/>
      <c r="AJ909" s="4"/>
      <c r="AK909" s="4"/>
      <c r="AL909" s="5"/>
      <c r="AM909" s="5"/>
      <c r="AN909" s="147"/>
      <c r="AO909" s="15"/>
      <c r="AP909" s="148"/>
    </row>
    <row r="910" spans="1:42" ht="16.5" x14ac:dyDescent="0.35">
      <c r="A910" s="53">
        <v>909</v>
      </c>
      <c r="B910" s="2" t="s">
        <v>1649</v>
      </c>
      <c r="C910" s="48" t="s">
        <v>663</v>
      </c>
      <c r="D910" t="s">
        <v>1679</v>
      </c>
      <c r="E910" t="s">
        <v>1590</v>
      </c>
      <c r="H910" s="154"/>
      <c r="I910" s="18" t="s">
        <v>1066</v>
      </c>
      <c r="J910" s="23"/>
      <c r="K910" s="4">
        <v>39</v>
      </c>
      <c r="L910" s="4" t="s">
        <v>2</v>
      </c>
      <c r="M910" s="5" t="s">
        <v>1181</v>
      </c>
      <c r="N910" s="5"/>
      <c r="O910" s="147">
        <v>3</v>
      </c>
      <c r="P910" s="15">
        <v>4</v>
      </c>
      <c r="Q910" s="148">
        <f t="shared" si="31"/>
        <v>7</v>
      </c>
      <c r="R9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BELEM MARIAM GRAND-ZATTRY BENKADI GBALEVILLE    YAO VINCENT   39 F DOTE </v>
      </c>
      <c r="Z910" s="53"/>
      <c r="AA910" s="2"/>
      <c r="AB910" s="48"/>
      <c r="AG910" s="154"/>
      <c r="AH910" s="18"/>
      <c r="AI910" s="23"/>
      <c r="AJ910" s="4"/>
      <c r="AK910" s="4"/>
      <c r="AL910" s="5"/>
      <c r="AM910" s="5"/>
      <c r="AN910" s="147"/>
      <c r="AO910" s="15"/>
      <c r="AP910" s="148"/>
    </row>
    <row r="911" spans="1:42" ht="16.5" x14ac:dyDescent="0.35">
      <c r="A911" s="53">
        <v>910</v>
      </c>
      <c r="B911" s="2" t="s">
        <v>1650</v>
      </c>
      <c r="C911" s="48" t="s">
        <v>663</v>
      </c>
      <c r="D911" t="s">
        <v>1679</v>
      </c>
      <c r="E911" t="s">
        <v>1590</v>
      </c>
      <c r="H911" s="154"/>
      <c r="I911" s="18" t="s">
        <v>1066</v>
      </c>
      <c r="J911" s="23"/>
      <c r="K911" s="4">
        <v>27</v>
      </c>
      <c r="L911" s="4" t="s">
        <v>2</v>
      </c>
      <c r="M911" s="5" t="s">
        <v>1181</v>
      </c>
      <c r="N911" s="5"/>
      <c r="O911" s="147">
        <v>2</v>
      </c>
      <c r="P911" s="15">
        <v>1</v>
      </c>
      <c r="Q911" s="148">
        <f t="shared" si="31"/>
        <v>3</v>
      </c>
      <c r="R9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DJENABA GRAND-ZATTRY BENKADI GBALEVILLE    YAO VINCENT   27 F DOTE </v>
      </c>
      <c r="Z911" s="53"/>
      <c r="AA911" s="2"/>
      <c r="AB911" s="48"/>
      <c r="AG911" s="154"/>
      <c r="AH911" s="18"/>
      <c r="AI911" s="23"/>
      <c r="AJ911" s="4"/>
      <c r="AK911" s="4"/>
      <c r="AL911" s="5"/>
      <c r="AM911" s="5"/>
      <c r="AN911" s="147"/>
      <c r="AO911" s="15"/>
      <c r="AP911" s="148"/>
    </row>
    <row r="912" spans="1:42" ht="16.5" x14ac:dyDescent="0.35">
      <c r="A912" s="53">
        <v>911</v>
      </c>
      <c r="B912" s="2" t="s">
        <v>1651</v>
      </c>
      <c r="C912" s="48" t="s">
        <v>663</v>
      </c>
      <c r="D912" t="s">
        <v>1679</v>
      </c>
      <c r="E912" t="s">
        <v>1590</v>
      </c>
      <c r="H912" s="154"/>
      <c r="I912" s="18" t="s">
        <v>1066</v>
      </c>
      <c r="J912" s="23"/>
      <c r="K912" s="4">
        <v>26</v>
      </c>
      <c r="L912" s="4" t="s">
        <v>2</v>
      </c>
      <c r="M912" s="5" t="s">
        <v>1181</v>
      </c>
      <c r="N912" s="5"/>
      <c r="O912" s="147">
        <v>1</v>
      </c>
      <c r="P912" s="15">
        <v>1</v>
      </c>
      <c r="Q912" s="148">
        <f t="shared" si="31"/>
        <v>2</v>
      </c>
      <c r="R9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DICKO ADJARATOU GRAND-ZATTRY BENKADI GBALEVILLE    YAO VINCENT   26 F DOTE </v>
      </c>
      <c r="Z912" s="53"/>
      <c r="AA912" s="2"/>
      <c r="AB912" s="48"/>
      <c r="AG912" s="154"/>
      <c r="AH912" s="18"/>
      <c r="AI912" s="23"/>
      <c r="AJ912" s="4"/>
      <c r="AK912" s="4"/>
      <c r="AL912" s="5"/>
      <c r="AM912" s="5"/>
      <c r="AN912" s="147"/>
      <c r="AO912" s="15"/>
      <c r="AP912" s="148"/>
    </row>
    <row r="913" spans="1:42" ht="16.5" x14ac:dyDescent="0.35">
      <c r="A913" s="53">
        <v>912</v>
      </c>
      <c r="B913" s="2" t="s">
        <v>1652</v>
      </c>
      <c r="C913" s="48" t="s">
        <v>663</v>
      </c>
      <c r="D913" t="s">
        <v>1679</v>
      </c>
      <c r="E913" t="s">
        <v>1590</v>
      </c>
      <c r="H913" s="154"/>
      <c r="I913" s="18" t="s">
        <v>1066</v>
      </c>
      <c r="J913" s="23"/>
      <c r="K913" s="4">
        <v>31</v>
      </c>
      <c r="L913" s="4" t="s">
        <v>2</v>
      </c>
      <c r="M913" s="5" t="s">
        <v>1181</v>
      </c>
      <c r="N913" s="5"/>
      <c r="O913" s="147">
        <v>0</v>
      </c>
      <c r="P913" s="15">
        <v>2</v>
      </c>
      <c r="Q913" s="148">
        <f t="shared" si="31"/>
        <v>2</v>
      </c>
      <c r="R9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BELEM FATOU GRAND-ZATTRY BENKADI GBALEVILLE    YAO VINCENT   31 F DOTE </v>
      </c>
      <c r="Z913" s="53"/>
      <c r="AA913" s="2"/>
      <c r="AB913" s="48"/>
      <c r="AG913" s="154"/>
      <c r="AH913" s="18"/>
      <c r="AI913" s="23"/>
      <c r="AJ913" s="4"/>
      <c r="AK913" s="4"/>
      <c r="AL913" s="5"/>
      <c r="AM913" s="5"/>
      <c r="AN913" s="147"/>
      <c r="AO913" s="15"/>
      <c r="AP913" s="148"/>
    </row>
    <row r="914" spans="1:42" ht="16.5" x14ac:dyDescent="0.35">
      <c r="A914" s="53">
        <v>913</v>
      </c>
      <c r="B914" s="2" t="s">
        <v>1653</v>
      </c>
      <c r="C914" s="48" t="s">
        <v>663</v>
      </c>
      <c r="D914" t="s">
        <v>1679</v>
      </c>
      <c r="E914" t="s">
        <v>1590</v>
      </c>
      <c r="H914" s="154"/>
      <c r="I914" s="18" t="s">
        <v>1066</v>
      </c>
      <c r="J914" s="23"/>
      <c r="K914" s="4">
        <v>44</v>
      </c>
      <c r="L914" s="4" t="s">
        <v>2</v>
      </c>
      <c r="M914" s="5" t="s">
        <v>1181</v>
      </c>
      <c r="N914" s="5"/>
      <c r="O914" s="147">
        <v>1</v>
      </c>
      <c r="P914" s="15">
        <v>1</v>
      </c>
      <c r="Q914" s="148">
        <f t="shared" si="31"/>
        <v>2</v>
      </c>
      <c r="R9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BADINI RAMATA GRAND-ZATTRY BENKADI GBALEVILLE    YAO VINCENT   44 F DOTE </v>
      </c>
      <c r="Z914" s="53"/>
      <c r="AA914" s="2"/>
      <c r="AB914" s="48"/>
      <c r="AG914" s="154"/>
      <c r="AH914" s="18"/>
      <c r="AI914" s="23"/>
      <c r="AJ914" s="4"/>
      <c r="AK914" s="4"/>
      <c r="AL914" s="5"/>
      <c r="AM914" s="5"/>
      <c r="AN914" s="147"/>
      <c r="AO914" s="15"/>
      <c r="AP914" s="148"/>
    </row>
    <row r="915" spans="1:42" ht="16.5" x14ac:dyDescent="0.35">
      <c r="A915" s="53">
        <v>914</v>
      </c>
      <c r="B915" s="2" t="s">
        <v>1654</v>
      </c>
      <c r="C915" s="48" t="s">
        <v>663</v>
      </c>
      <c r="D915" t="s">
        <v>1679</v>
      </c>
      <c r="E915" t="s">
        <v>1590</v>
      </c>
      <c r="H915" s="154"/>
      <c r="I915" s="18" t="s">
        <v>1066</v>
      </c>
      <c r="J915" s="23"/>
      <c r="K915" s="4">
        <v>33</v>
      </c>
      <c r="L915" s="4" t="s">
        <v>2</v>
      </c>
      <c r="M915" s="5" t="s">
        <v>1181</v>
      </c>
      <c r="N915" s="5"/>
      <c r="O915" s="147">
        <v>0</v>
      </c>
      <c r="P915" s="15">
        <v>1</v>
      </c>
      <c r="Q915" s="148">
        <f t="shared" si="31"/>
        <v>1</v>
      </c>
      <c r="R9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ADJARATA OUEDRAOGO GRAND-ZATTRY BENKADI GBALEVILLE    YAO VINCENT   33 F DOTE </v>
      </c>
      <c r="Z915" s="53"/>
      <c r="AA915" s="2"/>
      <c r="AB915" s="48"/>
      <c r="AG915" s="154"/>
      <c r="AH915" s="18"/>
      <c r="AI915" s="23"/>
      <c r="AJ915" s="4"/>
      <c r="AK915" s="4"/>
      <c r="AL915" s="5"/>
      <c r="AM915" s="5"/>
      <c r="AN915" s="147"/>
      <c r="AO915" s="15"/>
      <c r="AP915" s="148"/>
    </row>
    <row r="916" spans="1:42" ht="16.5" x14ac:dyDescent="0.35">
      <c r="A916" s="53">
        <v>915</v>
      </c>
      <c r="B916" s="2" t="s">
        <v>1655</v>
      </c>
      <c r="C916" s="48" t="s">
        <v>663</v>
      </c>
      <c r="D916" t="s">
        <v>1679</v>
      </c>
      <c r="E916" t="s">
        <v>1590</v>
      </c>
      <c r="H916" s="154"/>
      <c r="I916" s="18" t="s">
        <v>1066</v>
      </c>
      <c r="J916" s="23" t="s">
        <v>1673</v>
      </c>
      <c r="K916" s="4">
        <v>42</v>
      </c>
      <c r="L916" s="4" t="s">
        <v>2</v>
      </c>
      <c r="M916" s="5" t="s">
        <v>1181</v>
      </c>
      <c r="N916" s="5" t="s">
        <v>1677</v>
      </c>
      <c r="O916" s="147">
        <v>2</v>
      </c>
      <c r="P916" s="15">
        <v>1</v>
      </c>
      <c r="Q916" s="148">
        <f t="shared" si="31"/>
        <v>3</v>
      </c>
      <c r="R9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KADY SAWADOGO GRAND-ZATTRY BENKADI GBALEVILLE    YAO VINCENT  0757357680 42 F DOTE COUTURE</v>
      </c>
      <c r="Z916" s="53"/>
      <c r="AA916" s="2"/>
      <c r="AB916" s="48"/>
      <c r="AG916" s="154"/>
      <c r="AH916" s="18"/>
      <c r="AI916" s="23"/>
      <c r="AJ916" s="4"/>
      <c r="AK916" s="4"/>
      <c r="AL916" s="5"/>
      <c r="AM916" s="5"/>
      <c r="AN916" s="147"/>
      <c r="AO916" s="15"/>
      <c r="AP916" s="148"/>
    </row>
    <row r="917" spans="1:42" ht="16.5" x14ac:dyDescent="0.35">
      <c r="A917" s="53">
        <v>916</v>
      </c>
      <c r="B917" s="2" t="s">
        <v>1656</v>
      </c>
      <c r="C917" s="48" t="s">
        <v>663</v>
      </c>
      <c r="D917" t="s">
        <v>1679</v>
      </c>
      <c r="E917" t="s">
        <v>1590</v>
      </c>
      <c r="H917" s="154"/>
      <c r="I917" s="18" t="s">
        <v>1066</v>
      </c>
      <c r="J917" s="23"/>
      <c r="K917" s="4">
        <v>40</v>
      </c>
      <c r="L917" s="4" t="s">
        <v>2</v>
      </c>
      <c r="M917" s="5" t="s">
        <v>1181</v>
      </c>
      <c r="N917" s="5" t="s">
        <v>1676</v>
      </c>
      <c r="O917" s="147">
        <v>1</v>
      </c>
      <c r="P917" s="15">
        <v>1</v>
      </c>
      <c r="Q917" s="148">
        <f t="shared" si="31"/>
        <v>2</v>
      </c>
      <c r="R9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GROGUE CHANTAL GRAND-ZATTRY BENKADI GBALEVILLE    YAO VINCENT   40 F DOTE RESTAURATION</v>
      </c>
      <c r="Z917" s="53"/>
      <c r="AA917" s="2"/>
      <c r="AB917" s="48"/>
      <c r="AG917" s="154"/>
      <c r="AH917" s="18"/>
      <c r="AI917" s="23"/>
      <c r="AJ917" s="4"/>
      <c r="AK917" s="4"/>
      <c r="AL917" s="5"/>
      <c r="AM917" s="5"/>
      <c r="AN917" s="147"/>
      <c r="AO917" s="15"/>
      <c r="AP917" s="148"/>
    </row>
    <row r="918" spans="1:42" ht="16.5" x14ac:dyDescent="0.35">
      <c r="A918" s="53">
        <v>917</v>
      </c>
      <c r="B918" s="2" t="s">
        <v>1657</v>
      </c>
      <c r="C918" s="48" t="s">
        <v>663</v>
      </c>
      <c r="D918" t="s">
        <v>1679</v>
      </c>
      <c r="E918" t="s">
        <v>1590</v>
      </c>
      <c r="H918" s="154"/>
      <c r="I918" s="18" t="s">
        <v>1066</v>
      </c>
      <c r="J918" s="23"/>
      <c r="K918" s="4">
        <v>38</v>
      </c>
      <c r="L918" s="4" t="s">
        <v>2</v>
      </c>
      <c r="M918" s="5" t="s">
        <v>1181</v>
      </c>
      <c r="N918" s="5" t="s">
        <v>1587</v>
      </c>
      <c r="O918" s="147">
        <v>3</v>
      </c>
      <c r="P918" s="15">
        <v>4</v>
      </c>
      <c r="Q918" s="148">
        <f t="shared" si="31"/>
        <v>7</v>
      </c>
      <c r="R9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BOSSO LEOCADIE GRAND-ZATTRY BENKADI GBALEVILLE    YAO VINCENT   38 F DOTE COMMERCE</v>
      </c>
      <c r="Z918" s="53"/>
      <c r="AA918" s="2"/>
      <c r="AB918" s="48"/>
      <c r="AG918" s="154"/>
      <c r="AH918" s="18"/>
      <c r="AI918" s="23"/>
      <c r="AJ918" s="4"/>
      <c r="AK918" s="4"/>
      <c r="AL918" s="5"/>
      <c r="AM918" s="5"/>
      <c r="AN918" s="147"/>
      <c r="AO918" s="15"/>
      <c r="AP918" s="148"/>
    </row>
    <row r="919" spans="1:42" ht="16.5" x14ac:dyDescent="0.35">
      <c r="A919" s="53">
        <v>918</v>
      </c>
      <c r="B919" s="2" t="s">
        <v>1658</v>
      </c>
      <c r="C919" s="48" t="s">
        <v>663</v>
      </c>
      <c r="D919" t="s">
        <v>1679</v>
      </c>
      <c r="E919" t="s">
        <v>1590</v>
      </c>
      <c r="H919" s="154"/>
      <c r="I919" s="18" t="s">
        <v>1066</v>
      </c>
      <c r="J919" s="23"/>
      <c r="K919" s="4">
        <v>37</v>
      </c>
      <c r="L919" s="4" t="s">
        <v>2</v>
      </c>
      <c r="M919" s="5" t="s">
        <v>1181</v>
      </c>
      <c r="N919" s="5" t="s">
        <v>1676</v>
      </c>
      <c r="O919" s="147">
        <v>2</v>
      </c>
      <c r="P919" s="15">
        <v>6</v>
      </c>
      <c r="Q919" s="148">
        <f t="shared" si="31"/>
        <v>8</v>
      </c>
      <c r="R9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JUSTINE AKPADONOU GRAND-ZATTRY BENKADI GBALEVILLE    YAO VINCENT   37 F DOTE RESTAURATION</v>
      </c>
      <c r="Z919" s="53"/>
      <c r="AA919" s="2"/>
      <c r="AB919" s="48"/>
      <c r="AG919" s="154"/>
      <c r="AH919" s="18"/>
      <c r="AI919" s="23"/>
      <c r="AJ919" s="4"/>
      <c r="AK919" s="4"/>
      <c r="AL919" s="5"/>
      <c r="AM919" s="5"/>
      <c r="AN919" s="147"/>
      <c r="AO919" s="15"/>
      <c r="AP919" s="148"/>
    </row>
    <row r="920" spans="1:42" ht="16.5" x14ac:dyDescent="0.35">
      <c r="A920" s="53">
        <v>919</v>
      </c>
      <c r="B920" s="2" t="s">
        <v>1659</v>
      </c>
      <c r="C920" s="48" t="s">
        <v>663</v>
      </c>
      <c r="D920" t="s">
        <v>1679</v>
      </c>
      <c r="E920" t="s">
        <v>1590</v>
      </c>
      <c r="H920" s="154"/>
      <c r="I920" s="18" t="s">
        <v>1066</v>
      </c>
      <c r="J920" s="23"/>
      <c r="K920" s="4">
        <v>50</v>
      </c>
      <c r="L920" s="4" t="s">
        <v>9</v>
      </c>
      <c r="M920" s="5" t="s">
        <v>1181</v>
      </c>
      <c r="N920" s="5" t="s">
        <v>1678</v>
      </c>
      <c r="O920" s="147">
        <v>2</v>
      </c>
      <c r="P920" s="15">
        <v>6</v>
      </c>
      <c r="Q920" s="148">
        <f t="shared" si="31"/>
        <v>8</v>
      </c>
      <c r="R9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GBISSI CYPRIEN GRAND-ZATTRY BENKADI GBALEVILLE    YAO VINCENT   50 M DOTE COMMECRCE</v>
      </c>
      <c r="Z920" s="53"/>
      <c r="AA920" s="2"/>
      <c r="AB920" s="48"/>
      <c r="AG920" s="154"/>
      <c r="AH920" s="18"/>
      <c r="AI920" s="23"/>
      <c r="AJ920" s="4"/>
      <c r="AK920" s="4"/>
      <c r="AL920" s="5"/>
      <c r="AM920" s="5"/>
      <c r="AN920" s="147"/>
      <c r="AO920" s="15"/>
      <c r="AP920" s="148"/>
    </row>
    <row r="921" spans="1:42" ht="16.5" x14ac:dyDescent="0.35">
      <c r="A921" s="53">
        <v>920</v>
      </c>
      <c r="B921" s="2" t="s">
        <v>1660</v>
      </c>
      <c r="C921" s="48" t="s">
        <v>663</v>
      </c>
      <c r="D921" t="s">
        <v>1679</v>
      </c>
      <c r="E921" t="s">
        <v>1590</v>
      </c>
      <c r="H921" s="154"/>
      <c r="I921" s="18" t="s">
        <v>1066</v>
      </c>
      <c r="J921" s="23"/>
      <c r="K921" s="4">
        <v>60</v>
      </c>
      <c r="L921" s="4" t="s">
        <v>2</v>
      </c>
      <c r="M921" s="5" t="s">
        <v>1181</v>
      </c>
      <c r="N921" s="5"/>
      <c r="O921" s="147">
        <v>5</v>
      </c>
      <c r="P921" s="15">
        <v>1</v>
      </c>
      <c r="Q921" s="148">
        <f t="shared" si="31"/>
        <v>6</v>
      </c>
      <c r="R9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MARTINE GRAND-ZATTRY BENKADI GBALEVILLE    YAO VINCENT   60 F DOTE </v>
      </c>
      <c r="Z921" s="53"/>
      <c r="AA921" s="2"/>
      <c r="AB921" s="48"/>
      <c r="AG921" s="154"/>
      <c r="AH921" s="18"/>
      <c r="AI921" s="23"/>
      <c r="AJ921" s="4"/>
      <c r="AK921" s="4"/>
      <c r="AL921" s="5"/>
      <c r="AM921" s="5"/>
      <c r="AN921" s="147"/>
      <c r="AO921" s="15"/>
      <c r="AP921" s="148"/>
    </row>
    <row r="922" spans="1:42" ht="16.5" x14ac:dyDescent="0.35">
      <c r="A922" s="53">
        <v>921</v>
      </c>
      <c r="B922" s="2" t="s">
        <v>1661</v>
      </c>
      <c r="C922" s="48" t="s">
        <v>663</v>
      </c>
      <c r="D922" t="s">
        <v>1679</v>
      </c>
      <c r="E922" t="s">
        <v>1590</v>
      </c>
      <c r="H922" s="154"/>
      <c r="I922" s="18" t="s">
        <v>1066</v>
      </c>
      <c r="J922" s="23"/>
      <c r="K922" s="4">
        <v>64</v>
      </c>
      <c r="L922" s="4" t="s">
        <v>2</v>
      </c>
      <c r="M922" s="5" t="s">
        <v>1181</v>
      </c>
      <c r="N922" s="5"/>
      <c r="O922" s="147">
        <v>4</v>
      </c>
      <c r="P922" s="15">
        <v>5</v>
      </c>
      <c r="Q922" s="148">
        <f t="shared" si="31"/>
        <v>9</v>
      </c>
      <c r="R9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JEANNE GRAND-ZATTRY BENKADI GBALEVILLE    YAO VINCENT   64 F DOTE </v>
      </c>
      <c r="Z922" s="53"/>
      <c r="AA922" s="2"/>
      <c r="AB922" s="48"/>
      <c r="AG922" s="154"/>
      <c r="AH922" s="18"/>
      <c r="AI922" s="23"/>
      <c r="AJ922" s="4"/>
      <c r="AK922" s="4"/>
      <c r="AL922" s="5"/>
      <c r="AM922" s="5"/>
      <c r="AN922" s="147"/>
      <c r="AO922" s="15"/>
      <c r="AP922" s="148"/>
    </row>
    <row r="923" spans="1:42" ht="16.5" x14ac:dyDescent="0.35">
      <c r="A923" s="53">
        <v>922</v>
      </c>
      <c r="B923" s="2" t="s">
        <v>1662</v>
      </c>
      <c r="C923" s="48" t="s">
        <v>663</v>
      </c>
      <c r="D923" t="s">
        <v>1679</v>
      </c>
      <c r="E923" t="s">
        <v>1590</v>
      </c>
      <c r="H923" s="154"/>
      <c r="I923" s="18" t="s">
        <v>1066</v>
      </c>
      <c r="J923" s="23"/>
      <c r="K923" s="4">
        <v>48</v>
      </c>
      <c r="L923" s="4" t="s">
        <v>2</v>
      </c>
      <c r="M923" s="5" t="s">
        <v>1181</v>
      </c>
      <c r="N923" s="5"/>
      <c r="O923" s="147">
        <v>0</v>
      </c>
      <c r="P923" s="15">
        <v>2</v>
      </c>
      <c r="Q923" s="148">
        <f t="shared" si="31"/>
        <v>2</v>
      </c>
      <c r="R9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SAKINATA GRAND-ZATTRY BENKADI GBALEVILLE    YAO VINCENT   48 F DOTE </v>
      </c>
      <c r="Z923" s="53"/>
      <c r="AA923" s="2"/>
      <c r="AB923" s="48"/>
      <c r="AG923" s="154"/>
      <c r="AH923" s="18"/>
      <c r="AI923" s="23"/>
      <c r="AJ923" s="4"/>
      <c r="AK923" s="4"/>
      <c r="AL923" s="5"/>
      <c r="AM923" s="5"/>
      <c r="AN923" s="147"/>
      <c r="AO923" s="15"/>
      <c r="AP923" s="148"/>
    </row>
    <row r="924" spans="1:42" ht="16.5" x14ac:dyDescent="0.35">
      <c r="A924" s="53">
        <v>923</v>
      </c>
      <c r="B924" s="2" t="s">
        <v>1663</v>
      </c>
      <c r="C924" s="48" t="s">
        <v>663</v>
      </c>
      <c r="D924" t="s">
        <v>1679</v>
      </c>
      <c r="E924" t="s">
        <v>1590</v>
      </c>
      <c r="H924" s="154"/>
      <c r="I924" s="18" t="s">
        <v>1066</v>
      </c>
      <c r="J924" s="23"/>
      <c r="K924" s="4">
        <v>25</v>
      </c>
      <c r="L924" s="4" t="s">
        <v>2</v>
      </c>
      <c r="M924" s="5" t="s">
        <v>1181</v>
      </c>
      <c r="N924" s="5"/>
      <c r="O924" s="147">
        <v>3</v>
      </c>
      <c r="P924" s="15">
        <v>1</v>
      </c>
      <c r="Q924" s="148">
        <f t="shared" si="31"/>
        <v>4</v>
      </c>
      <c r="R9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KINDA BALAKISSA GRAND-ZATTRY BENKADI GBALEVILLE    YAO VINCENT   25 F DOTE </v>
      </c>
      <c r="Z924" s="53"/>
      <c r="AA924" s="2"/>
      <c r="AB924" s="48"/>
      <c r="AG924" s="154"/>
      <c r="AH924" s="18"/>
      <c r="AI924" s="23"/>
      <c r="AJ924" s="4"/>
      <c r="AK924" s="4"/>
      <c r="AL924" s="5"/>
      <c r="AM924" s="5"/>
      <c r="AN924" s="147"/>
      <c r="AO924" s="15"/>
      <c r="AP924" s="148"/>
    </row>
    <row r="925" spans="1:42" ht="16.5" x14ac:dyDescent="0.5">
      <c r="A925" s="53">
        <v>924</v>
      </c>
      <c r="B925" s="2" t="s">
        <v>1664</v>
      </c>
      <c r="C925" s="48" t="s">
        <v>663</v>
      </c>
      <c r="D925" t="s">
        <v>1679</v>
      </c>
      <c r="E925" t="s">
        <v>1590</v>
      </c>
      <c r="H925" s="154"/>
      <c r="I925" s="18" t="s">
        <v>1066</v>
      </c>
      <c r="J925" s="23" t="s">
        <v>1674</v>
      </c>
      <c r="K925" s="6">
        <v>30</v>
      </c>
      <c r="L925" s="4" t="s">
        <v>2</v>
      </c>
      <c r="M925" s="6" t="s">
        <v>1181</v>
      </c>
      <c r="N925" s="6" t="s">
        <v>1587</v>
      </c>
      <c r="O925" s="149">
        <v>3</v>
      </c>
      <c r="P925" s="149">
        <v>0</v>
      </c>
      <c r="Q925" s="148">
        <f t="shared" si="31"/>
        <v>3</v>
      </c>
      <c r="R9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DOUMBIA ASSETA GRAND-ZATTRY BENKADI GBALEVILLE    YAO VINCENT  0151432650 30 F DOTE COMMERCE</v>
      </c>
      <c r="Z925" s="53"/>
      <c r="AA925" s="2"/>
      <c r="AB925" s="48"/>
      <c r="AG925" s="154"/>
      <c r="AH925" s="18"/>
      <c r="AI925" s="23"/>
      <c r="AJ925" s="6"/>
      <c r="AK925" s="4"/>
      <c r="AL925" s="6"/>
      <c r="AM925" s="6"/>
      <c r="AN925" s="149"/>
      <c r="AO925" s="149"/>
      <c r="AP925" s="148"/>
    </row>
    <row r="926" spans="1:42" ht="16.5" x14ac:dyDescent="0.35">
      <c r="A926" s="53">
        <v>925</v>
      </c>
      <c r="B926" s="2" t="s">
        <v>1665</v>
      </c>
      <c r="C926" s="48" t="s">
        <v>663</v>
      </c>
      <c r="D926" t="s">
        <v>1679</v>
      </c>
      <c r="E926" t="s">
        <v>1590</v>
      </c>
      <c r="H926" s="154"/>
      <c r="I926" s="18" t="s">
        <v>1066</v>
      </c>
      <c r="J926" s="24" t="s">
        <v>1675</v>
      </c>
      <c r="K926" s="8">
        <v>29</v>
      </c>
      <c r="L926" s="4" t="s">
        <v>2</v>
      </c>
      <c r="M926" s="8" t="s">
        <v>1181</v>
      </c>
      <c r="N926" s="8" t="s">
        <v>1587</v>
      </c>
      <c r="O926" s="151">
        <v>2</v>
      </c>
      <c r="P926" s="151">
        <v>1</v>
      </c>
      <c r="Q926" s="148">
        <f t="shared" si="31"/>
        <v>3</v>
      </c>
      <c r="R9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DOUMBIA AWA GRAND-ZATTRY BENKADI GBALEVILLE    YAO VINCENT  070850064 29 F DOTE COMMERCE</v>
      </c>
      <c r="Z926" s="53"/>
      <c r="AA926" s="2"/>
      <c r="AB926" s="48"/>
      <c r="AG926" s="154"/>
      <c r="AH926" s="18"/>
      <c r="AI926" s="24"/>
      <c r="AJ926" s="8"/>
      <c r="AK926" s="4"/>
      <c r="AL926" s="8"/>
      <c r="AM926" s="8"/>
      <c r="AN926" s="151"/>
      <c r="AO926" s="151"/>
      <c r="AP926" s="148"/>
    </row>
    <row r="927" spans="1:42" ht="16.5" x14ac:dyDescent="0.35">
      <c r="A927" s="53">
        <v>926</v>
      </c>
      <c r="B927" s="9" t="s">
        <v>1666</v>
      </c>
      <c r="C927" s="48" t="s">
        <v>663</v>
      </c>
      <c r="D927" t="s">
        <v>1679</v>
      </c>
      <c r="E927" t="s">
        <v>1590</v>
      </c>
      <c r="H927" s="154"/>
      <c r="I927" s="18" t="s">
        <v>1066</v>
      </c>
      <c r="J927" s="25"/>
      <c r="K927" s="11">
        <v>27</v>
      </c>
      <c r="L927" s="178" t="s">
        <v>2</v>
      </c>
      <c r="M927" s="11" t="s">
        <v>1181</v>
      </c>
      <c r="N927" s="11"/>
      <c r="O927" s="143">
        <v>0</v>
      </c>
      <c r="P927" s="143">
        <v>1</v>
      </c>
      <c r="Q927" s="148">
        <f t="shared" si="31"/>
        <v>1</v>
      </c>
      <c r="R9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OUEDRAOGO BALAKISSA GRAND-ZATTRY BENKADI GBALEVILLE    YAO VINCENT   27 F DOTE </v>
      </c>
      <c r="Z927" s="53"/>
      <c r="AA927" s="9"/>
      <c r="AB927" s="48"/>
      <c r="AG927" s="154"/>
      <c r="AH927" s="18"/>
      <c r="AI927" s="25"/>
      <c r="AJ927" s="11"/>
      <c r="AK927" s="178"/>
      <c r="AL927" s="11"/>
      <c r="AM927" s="11"/>
      <c r="AN927" s="143"/>
      <c r="AO927" s="143"/>
      <c r="AP927" s="148"/>
    </row>
    <row r="928" spans="1:42" ht="17" thickBot="1" x14ac:dyDescent="0.55000000000000004">
      <c r="A928" s="53">
        <v>927</v>
      </c>
      <c r="B928" s="9" t="s">
        <v>1667</v>
      </c>
      <c r="C928" s="48" t="s">
        <v>663</v>
      </c>
      <c r="D928" t="s">
        <v>1679</v>
      </c>
      <c r="E928" t="s">
        <v>1590</v>
      </c>
      <c r="H928" s="154"/>
      <c r="I928" s="18" t="s">
        <v>1066</v>
      </c>
      <c r="J928" s="193"/>
      <c r="K928" s="14">
        <v>42</v>
      </c>
      <c r="L928" s="181" t="s">
        <v>2</v>
      </c>
      <c r="M928" s="14" t="s">
        <v>1181</v>
      </c>
      <c r="N928" s="14"/>
      <c r="O928" s="141">
        <v>3</v>
      </c>
      <c r="P928" s="141">
        <v>2</v>
      </c>
      <c r="Q928" s="148">
        <f t="shared" si="31"/>
        <v>5</v>
      </c>
      <c r="R9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BADINI BINTOU GRAND-ZATTRY BENKADI GBALEVILLE    YAO VINCENT   42 F DOTE </v>
      </c>
      <c r="Z928" s="53"/>
      <c r="AA928" s="9"/>
      <c r="AB928" s="48"/>
      <c r="AG928" s="154"/>
      <c r="AH928" s="18"/>
      <c r="AI928" s="193"/>
      <c r="AJ928" s="14"/>
      <c r="AK928" s="181"/>
      <c r="AL928" s="14"/>
      <c r="AM928" s="14"/>
      <c r="AN928" s="141"/>
      <c r="AO928" s="141"/>
      <c r="AP928" s="148"/>
    </row>
    <row r="929" spans="1:42" ht="16.5" x14ac:dyDescent="0.35">
      <c r="A929" s="53">
        <v>928</v>
      </c>
      <c r="B929" s="2" t="s">
        <v>1680</v>
      </c>
      <c r="C929" s="48" t="s">
        <v>663</v>
      </c>
      <c r="D929" t="s">
        <v>1306</v>
      </c>
      <c r="E929" t="s">
        <v>1738</v>
      </c>
      <c r="H929" s="10"/>
      <c r="I929" s="18" t="s">
        <v>1066</v>
      </c>
      <c r="J929" s="23" t="s">
        <v>1708</v>
      </c>
      <c r="K929" s="4">
        <v>35</v>
      </c>
      <c r="L929" s="4" t="s">
        <v>2</v>
      </c>
      <c r="M929" s="5" t="s">
        <v>1181</v>
      </c>
      <c r="N929" s="5" t="s">
        <v>1182</v>
      </c>
      <c r="O929" s="147">
        <v>3</v>
      </c>
      <c r="P929" s="15">
        <v>5</v>
      </c>
      <c r="Q929" s="148">
        <f>(O929+P929)</f>
        <v>8</v>
      </c>
      <c r="R9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DABRE MARIAM GRAND-ZATTRY RELEWENDE ROA    YAO VINCENT  0747928851 35 F DOTE MENAGERE</v>
      </c>
      <c r="Z929" s="53"/>
      <c r="AA929" s="2"/>
      <c r="AB929" s="48"/>
      <c r="AG929" s="10"/>
      <c r="AH929" s="18"/>
      <c r="AI929" s="23"/>
      <c r="AJ929" s="4"/>
      <c r="AK929" s="4"/>
      <c r="AL929" s="5"/>
      <c r="AM929" s="5"/>
      <c r="AN929" s="147"/>
      <c r="AO929" s="15"/>
      <c r="AP929" s="148"/>
    </row>
    <row r="930" spans="1:42" ht="16.5" x14ac:dyDescent="0.35">
      <c r="A930" s="53">
        <v>929</v>
      </c>
      <c r="B930" s="2" t="s">
        <v>1681</v>
      </c>
      <c r="C930" s="48" t="s">
        <v>663</v>
      </c>
      <c r="D930" t="s">
        <v>1306</v>
      </c>
      <c r="E930" t="s">
        <v>1738</v>
      </c>
      <c r="H930" s="154"/>
      <c r="I930" s="18" t="s">
        <v>1066</v>
      </c>
      <c r="J930" s="23" t="s">
        <v>1709</v>
      </c>
      <c r="K930" s="4">
        <v>40</v>
      </c>
      <c r="L930" s="4" t="s">
        <v>2</v>
      </c>
      <c r="M930" s="5" t="s">
        <v>1181</v>
      </c>
      <c r="N930" s="5" t="s">
        <v>1182</v>
      </c>
      <c r="O930" s="147">
        <v>2</v>
      </c>
      <c r="P930" s="15">
        <v>3</v>
      </c>
      <c r="Q930" s="148">
        <f t="shared" ref="Q930:Q958" si="32">(O930+P930)</f>
        <v>5</v>
      </c>
      <c r="R9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KONE FATI GRAND-ZATTRY RELEWENDE ROA    YAO VINCENT  0769089402 40 F DOTE MENAGERE</v>
      </c>
      <c r="Z930" s="53"/>
      <c r="AA930" s="2"/>
      <c r="AB930" s="48"/>
      <c r="AG930" s="154"/>
      <c r="AH930" s="18"/>
      <c r="AI930" s="23"/>
      <c r="AJ930" s="4"/>
      <c r="AK930" s="4"/>
      <c r="AL930" s="5"/>
      <c r="AM930" s="5"/>
      <c r="AN930" s="147"/>
      <c r="AO930" s="15"/>
      <c r="AP930" s="148"/>
    </row>
    <row r="931" spans="1:42" ht="16.5" x14ac:dyDescent="0.35">
      <c r="A931" s="53">
        <v>930</v>
      </c>
      <c r="B931" s="2" t="s">
        <v>1682</v>
      </c>
      <c r="C931" s="48" t="s">
        <v>663</v>
      </c>
      <c r="D931" t="s">
        <v>1306</v>
      </c>
      <c r="E931" t="s">
        <v>1738</v>
      </c>
      <c r="H931" s="154"/>
      <c r="I931" s="18" t="s">
        <v>1066</v>
      </c>
      <c r="J931" s="23" t="s">
        <v>1710</v>
      </c>
      <c r="K931" s="4">
        <v>22</v>
      </c>
      <c r="L931" s="4" t="s">
        <v>2</v>
      </c>
      <c r="M931" s="5" t="s">
        <v>1181</v>
      </c>
      <c r="N931" s="5" t="s">
        <v>1182</v>
      </c>
      <c r="O931" s="147">
        <v>2</v>
      </c>
      <c r="P931" s="15">
        <v>2</v>
      </c>
      <c r="Q931" s="148">
        <f t="shared" si="32"/>
        <v>4</v>
      </c>
      <c r="R9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MANDE MAIMOUNA GRAND-ZATTRY RELEWENDE ROA    YAO VINCENT  0768250630 22 F DOTE MENAGERE</v>
      </c>
      <c r="Z931" s="53"/>
      <c r="AA931" s="2"/>
      <c r="AB931" s="48"/>
      <c r="AG931" s="154"/>
      <c r="AH931" s="18"/>
      <c r="AI931" s="23"/>
      <c r="AJ931" s="4"/>
      <c r="AK931" s="4"/>
      <c r="AL931" s="5"/>
      <c r="AM931" s="5"/>
      <c r="AN931" s="147"/>
      <c r="AO931" s="15"/>
      <c r="AP931" s="148"/>
    </row>
    <row r="932" spans="1:42" ht="16.5" x14ac:dyDescent="0.35">
      <c r="A932" s="53">
        <v>931</v>
      </c>
      <c r="B932" s="2" t="s">
        <v>1683</v>
      </c>
      <c r="C932" s="48" t="s">
        <v>663</v>
      </c>
      <c r="D932" t="s">
        <v>1306</v>
      </c>
      <c r="E932" t="s">
        <v>1738</v>
      </c>
      <c r="H932" s="154"/>
      <c r="I932" s="18" t="s">
        <v>1066</v>
      </c>
      <c r="J932" s="23" t="s">
        <v>1711</v>
      </c>
      <c r="K932" s="4">
        <v>40</v>
      </c>
      <c r="L932" s="4" t="s">
        <v>2</v>
      </c>
      <c r="M932" s="5" t="s">
        <v>1181</v>
      </c>
      <c r="N932" s="5" t="s">
        <v>1182</v>
      </c>
      <c r="O932" s="147">
        <v>2</v>
      </c>
      <c r="P932" s="15">
        <v>1</v>
      </c>
      <c r="Q932" s="148">
        <f t="shared" si="32"/>
        <v>3</v>
      </c>
      <c r="R9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TRAORE LIBATA GRAND-ZATTRY RELEWENDE ROA    YAO VINCENT  0779384177 40 F DOTE MENAGERE</v>
      </c>
      <c r="Z932" s="53"/>
      <c r="AA932" s="2"/>
      <c r="AB932" s="48"/>
      <c r="AG932" s="154"/>
      <c r="AH932" s="18"/>
      <c r="AI932" s="23"/>
      <c r="AJ932" s="4"/>
      <c r="AK932" s="4"/>
      <c r="AL932" s="5"/>
      <c r="AM932" s="5"/>
      <c r="AN932" s="147"/>
      <c r="AO932" s="15"/>
      <c r="AP932" s="148"/>
    </row>
    <row r="933" spans="1:42" ht="16.5" x14ac:dyDescent="0.35">
      <c r="A933" s="53">
        <v>932</v>
      </c>
      <c r="B933" s="2" t="s">
        <v>1684</v>
      </c>
      <c r="C933" s="48" t="s">
        <v>663</v>
      </c>
      <c r="D933" t="s">
        <v>1306</v>
      </c>
      <c r="E933" t="s">
        <v>1738</v>
      </c>
      <c r="H933" s="154"/>
      <c r="I933" s="18" t="s">
        <v>1066</v>
      </c>
      <c r="J933" s="23" t="s">
        <v>1712</v>
      </c>
      <c r="K933" s="4">
        <v>55</v>
      </c>
      <c r="L933" s="4" t="s">
        <v>2</v>
      </c>
      <c r="M933" s="3" t="s">
        <v>1181</v>
      </c>
      <c r="N933" s="5" t="s">
        <v>1182</v>
      </c>
      <c r="O933" s="147">
        <v>2</v>
      </c>
      <c r="P933" s="15">
        <v>2</v>
      </c>
      <c r="Q933" s="148">
        <f t="shared" si="32"/>
        <v>4</v>
      </c>
      <c r="R9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TIMTO AMINATA GRAND-ZATTRY RELEWENDE ROA    YAO VINCENT  0788809929 55 F DOTE MENAGERE</v>
      </c>
      <c r="Z933" s="53"/>
      <c r="AA933" s="2"/>
      <c r="AB933" s="48"/>
      <c r="AG933" s="154"/>
      <c r="AH933" s="18"/>
      <c r="AI933" s="23"/>
      <c r="AJ933" s="4"/>
      <c r="AK933" s="4"/>
      <c r="AL933" s="3"/>
      <c r="AM933" s="5"/>
      <c r="AN933" s="147"/>
      <c r="AO933" s="15"/>
      <c r="AP933" s="148"/>
    </row>
    <row r="934" spans="1:42" ht="16.5" x14ac:dyDescent="0.35">
      <c r="A934" s="53">
        <v>933</v>
      </c>
      <c r="B934" s="2" t="s">
        <v>1685</v>
      </c>
      <c r="C934" s="48" t="s">
        <v>663</v>
      </c>
      <c r="D934" t="s">
        <v>1306</v>
      </c>
      <c r="E934" t="s">
        <v>1738</v>
      </c>
      <c r="H934" s="154"/>
      <c r="I934" s="18" t="s">
        <v>1066</v>
      </c>
      <c r="J934" s="23" t="s">
        <v>1713</v>
      </c>
      <c r="K934" s="4">
        <v>30</v>
      </c>
      <c r="L934" s="4" t="s">
        <v>2</v>
      </c>
      <c r="M934" s="5" t="s">
        <v>1181</v>
      </c>
      <c r="N934" s="5" t="s">
        <v>1182</v>
      </c>
      <c r="O934" s="147">
        <v>2</v>
      </c>
      <c r="P934" s="15">
        <v>5</v>
      </c>
      <c r="Q934" s="148">
        <f t="shared" si="32"/>
        <v>7</v>
      </c>
      <c r="R9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 ALZATA GRAND-ZATTRY RELEWENDE ROA    YAO VINCENT  0799381674 30 F DOTE MENAGERE</v>
      </c>
      <c r="Z934" s="53"/>
      <c r="AA934" s="2"/>
      <c r="AB934" s="48"/>
      <c r="AG934" s="154"/>
      <c r="AH934" s="18"/>
      <c r="AI934" s="23"/>
      <c r="AJ934" s="4"/>
      <c r="AK934" s="4"/>
      <c r="AL934" s="5"/>
      <c r="AM934" s="5"/>
      <c r="AN934" s="147"/>
      <c r="AO934" s="15"/>
      <c r="AP934" s="148"/>
    </row>
    <row r="935" spans="1:42" ht="16.5" x14ac:dyDescent="0.35">
      <c r="A935" s="53">
        <v>934</v>
      </c>
      <c r="B935" s="2" t="s">
        <v>1686</v>
      </c>
      <c r="C935" s="48" t="s">
        <v>663</v>
      </c>
      <c r="D935" t="s">
        <v>1306</v>
      </c>
      <c r="E935" t="s">
        <v>1738</v>
      </c>
      <c r="H935" s="154"/>
      <c r="I935" s="18" t="s">
        <v>1066</v>
      </c>
      <c r="J935" s="23" t="s">
        <v>1714</v>
      </c>
      <c r="K935" s="4">
        <v>20</v>
      </c>
      <c r="L935" s="4" t="s">
        <v>2</v>
      </c>
      <c r="M935" s="5" t="s">
        <v>1181</v>
      </c>
      <c r="N935" s="5" t="s">
        <v>1182</v>
      </c>
      <c r="O935" s="147">
        <v>0</v>
      </c>
      <c r="P935" s="15">
        <v>1</v>
      </c>
      <c r="Q935" s="148">
        <f t="shared" si="32"/>
        <v>1</v>
      </c>
      <c r="R9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FATIMATA GRAND-ZATTRY RELEWENDE ROA    YAO VINCENT  0778187079 20 F DOTE MENAGERE</v>
      </c>
      <c r="Z935" s="53"/>
      <c r="AA935" s="2"/>
      <c r="AB935" s="48"/>
      <c r="AG935" s="154"/>
      <c r="AH935" s="18"/>
      <c r="AI935" s="23"/>
      <c r="AJ935" s="4"/>
      <c r="AK935" s="4"/>
      <c r="AL935" s="5"/>
      <c r="AM935" s="5"/>
      <c r="AN935" s="147"/>
      <c r="AO935" s="15"/>
      <c r="AP935" s="148"/>
    </row>
    <row r="936" spans="1:42" ht="16.5" x14ac:dyDescent="0.35">
      <c r="A936" s="53">
        <v>935</v>
      </c>
      <c r="B936" s="2" t="s">
        <v>1687</v>
      </c>
      <c r="C936" s="48" t="s">
        <v>663</v>
      </c>
      <c r="D936" t="s">
        <v>1306</v>
      </c>
      <c r="E936" t="s">
        <v>1738</v>
      </c>
      <c r="H936" s="154"/>
      <c r="I936" s="18" t="s">
        <v>1066</v>
      </c>
      <c r="J936" s="23" t="s">
        <v>1715</v>
      </c>
      <c r="K936" s="4">
        <v>32</v>
      </c>
      <c r="L936" s="4" t="s">
        <v>2</v>
      </c>
      <c r="M936" s="5" t="s">
        <v>1181</v>
      </c>
      <c r="N936" s="5" t="s">
        <v>1182</v>
      </c>
      <c r="O936" s="147">
        <v>0</v>
      </c>
      <c r="P936" s="15">
        <v>1</v>
      </c>
      <c r="Q936" s="148">
        <f t="shared" si="32"/>
        <v>1</v>
      </c>
      <c r="R9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SANKARA RASSIRATOU GRAND-ZATTRY RELEWENDE ROA    YAO VINCENT  0788066835 32 F DOTE MENAGERE</v>
      </c>
      <c r="Z936" s="53"/>
      <c r="AA936" s="2"/>
      <c r="AB936" s="48"/>
      <c r="AG936" s="154"/>
      <c r="AH936" s="18"/>
      <c r="AI936" s="23"/>
      <c r="AJ936" s="4"/>
      <c r="AK936" s="4"/>
      <c r="AL936" s="5"/>
      <c r="AM936" s="5"/>
      <c r="AN936" s="147"/>
      <c r="AO936" s="15"/>
      <c r="AP936" s="148"/>
    </row>
    <row r="937" spans="1:42" ht="16.5" x14ac:dyDescent="0.35">
      <c r="A937" s="53">
        <v>936</v>
      </c>
      <c r="B937" s="2" t="s">
        <v>1688</v>
      </c>
      <c r="C937" s="48" t="s">
        <v>663</v>
      </c>
      <c r="D937" t="s">
        <v>1306</v>
      </c>
      <c r="E937" t="s">
        <v>1738</v>
      </c>
      <c r="H937" s="154"/>
      <c r="I937" s="18" t="s">
        <v>1066</v>
      </c>
      <c r="J937" s="23" t="s">
        <v>1716</v>
      </c>
      <c r="K937" s="4">
        <v>50</v>
      </c>
      <c r="L937" s="4" t="s">
        <v>2</v>
      </c>
      <c r="M937" s="5" t="s">
        <v>1181</v>
      </c>
      <c r="N937" s="5" t="s">
        <v>1182</v>
      </c>
      <c r="O937" s="147">
        <v>3</v>
      </c>
      <c r="P937" s="15">
        <v>4</v>
      </c>
      <c r="Q937" s="148">
        <f t="shared" si="32"/>
        <v>7</v>
      </c>
      <c r="R9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SAWADOGO FATIMATA GRAND-ZATTRY RELEWENDE ROA    YAO VINCENT  0778673242 50 F DOTE MENAGERE</v>
      </c>
      <c r="Z937" s="53"/>
      <c r="AA937" s="2"/>
      <c r="AB937" s="48"/>
      <c r="AG937" s="154"/>
      <c r="AH937" s="18"/>
      <c r="AI937" s="23"/>
      <c r="AJ937" s="4"/>
      <c r="AK937" s="4"/>
      <c r="AL937" s="5"/>
      <c r="AM937" s="5"/>
      <c r="AN937" s="147"/>
      <c r="AO937" s="15"/>
      <c r="AP937" s="148"/>
    </row>
    <row r="938" spans="1:42" ht="16.5" x14ac:dyDescent="0.35">
      <c r="A938" s="53">
        <v>937</v>
      </c>
      <c r="B938" s="2" t="s">
        <v>1689</v>
      </c>
      <c r="C938" s="48" t="s">
        <v>663</v>
      </c>
      <c r="D938" t="s">
        <v>1306</v>
      </c>
      <c r="E938" t="s">
        <v>1738</v>
      </c>
      <c r="H938" s="154"/>
      <c r="I938" s="18" t="s">
        <v>1066</v>
      </c>
      <c r="J938" s="23" t="s">
        <v>1717</v>
      </c>
      <c r="K938" s="4"/>
      <c r="L938" s="4" t="s">
        <v>2</v>
      </c>
      <c r="M938" s="5" t="s">
        <v>1181</v>
      </c>
      <c r="N938" s="5" t="s">
        <v>1182</v>
      </c>
      <c r="O938" s="147">
        <v>1</v>
      </c>
      <c r="P938" s="15">
        <v>0</v>
      </c>
      <c r="Q938" s="148">
        <f t="shared" si="32"/>
        <v>1</v>
      </c>
      <c r="R9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SAWADOGO AWA GRAND-ZATTRY RELEWENDE ROA    YAO VINCENT  0777454865  F DOTE MENAGERE</v>
      </c>
      <c r="Z938" s="53"/>
      <c r="AA938" s="2"/>
      <c r="AB938" s="48"/>
      <c r="AG938" s="154"/>
      <c r="AH938" s="18"/>
      <c r="AI938" s="23"/>
      <c r="AJ938" s="4"/>
      <c r="AK938" s="4"/>
      <c r="AL938" s="5"/>
      <c r="AM938" s="5"/>
      <c r="AN938" s="147"/>
      <c r="AO938" s="15"/>
      <c r="AP938" s="148"/>
    </row>
    <row r="939" spans="1:42" ht="16.5" x14ac:dyDescent="0.35">
      <c r="A939" s="53">
        <v>938</v>
      </c>
      <c r="B939" s="2" t="s">
        <v>1690</v>
      </c>
      <c r="C939" s="48" t="s">
        <v>663</v>
      </c>
      <c r="D939" t="s">
        <v>1306</v>
      </c>
      <c r="E939" t="s">
        <v>1738</v>
      </c>
      <c r="H939" s="154"/>
      <c r="I939" s="18" t="s">
        <v>1066</v>
      </c>
      <c r="J939" s="23" t="s">
        <v>1718</v>
      </c>
      <c r="K939" s="4">
        <v>30</v>
      </c>
      <c r="L939" s="4" t="s">
        <v>2</v>
      </c>
      <c r="M939" s="5" t="s">
        <v>1181</v>
      </c>
      <c r="N939" s="5" t="s">
        <v>1182</v>
      </c>
      <c r="O939" s="147">
        <v>4</v>
      </c>
      <c r="P939" s="15">
        <v>1</v>
      </c>
      <c r="Q939" s="148">
        <f t="shared" si="32"/>
        <v>5</v>
      </c>
      <c r="R9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NAGABILA ALIMA GRAND-ZATTRY RELEWENDE ROA    YAO VINCENT  0748047024 30 F DOTE MENAGERE</v>
      </c>
      <c r="Z939" s="53"/>
      <c r="AA939" s="2"/>
      <c r="AB939" s="48"/>
      <c r="AG939" s="154"/>
      <c r="AH939" s="18"/>
      <c r="AI939" s="23"/>
      <c r="AJ939" s="4"/>
      <c r="AK939" s="4"/>
      <c r="AL939" s="5"/>
      <c r="AM939" s="5"/>
      <c r="AN939" s="147"/>
      <c r="AO939" s="15"/>
      <c r="AP939" s="148"/>
    </row>
    <row r="940" spans="1:42" ht="16.5" x14ac:dyDescent="0.35">
      <c r="A940" s="53">
        <v>939</v>
      </c>
      <c r="B940" s="2" t="s">
        <v>1691</v>
      </c>
      <c r="C940" s="48" t="s">
        <v>663</v>
      </c>
      <c r="D940" t="s">
        <v>1306</v>
      </c>
      <c r="E940" t="s">
        <v>1738</v>
      </c>
      <c r="H940" s="154"/>
      <c r="I940" s="18" t="s">
        <v>1066</v>
      </c>
      <c r="J940" s="23" t="s">
        <v>1719</v>
      </c>
      <c r="K940" s="4">
        <v>30</v>
      </c>
      <c r="L940" s="4" t="s">
        <v>2</v>
      </c>
      <c r="M940" s="5" t="s">
        <v>1181</v>
      </c>
      <c r="N940" s="5" t="s">
        <v>1182</v>
      </c>
      <c r="O940" s="147">
        <v>5</v>
      </c>
      <c r="P940" s="15">
        <v>2</v>
      </c>
      <c r="Q940" s="148">
        <f t="shared" si="32"/>
        <v>7</v>
      </c>
      <c r="R9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SANKARA ALIMA GRAND-ZATTRY RELEWENDE ROA    YAO VINCENT  0749842305 30 F DOTE MENAGERE</v>
      </c>
      <c r="Z940" s="53"/>
      <c r="AA940" s="2"/>
      <c r="AB940" s="48"/>
      <c r="AG940" s="154"/>
      <c r="AH940" s="18"/>
      <c r="AI940" s="23"/>
      <c r="AJ940" s="4"/>
      <c r="AK940" s="4"/>
      <c r="AL940" s="5"/>
      <c r="AM940" s="5"/>
      <c r="AN940" s="147"/>
      <c r="AO940" s="15"/>
      <c r="AP940" s="148"/>
    </row>
    <row r="941" spans="1:42" ht="16.5" x14ac:dyDescent="0.35">
      <c r="A941" s="53">
        <v>940</v>
      </c>
      <c r="B941" s="2" t="s">
        <v>1692</v>
      </c>
      <c r="C941" s="48" t="s">
        <v>663</v>
      </c>
      <c r="D941" t="s">
        <v>1306</v>
      </c>
      <c r="E941" t="s">
        <v>1738</v>
      </c>
      <c r="H941" s="154"/>
      <c r="I941" s="18" t="s">
        <v>1066</v>
      </c>
      <c r="J941" s="23" t="s">
        <v>1720</v>
      </c>
      <c r="K941" s="4">
        <v>25</v>
      </c>
      <c r="L941" s="4" t="s">
        <v>2</v>
      </c>
      <c r="M941" s="5" t="s">
        <v>1181</v>
      </c>
      <c r="N941" s="5" t="s">
        <v>1182</v>
      </c>
      <c r="O941" s="147">
        <v>4</v>
      </c>
      <c r="P941" s="15">
        <v>1</v>
      </c>
      <c r="Q941" s="148">
        <f t="shared" si="32"/>
        <v>5</v>
      </c>
      <c r="R9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NAKANABO ADJARATOU GRAND-ZATTRY RELEWENDE ROA    YAO VINCENT  0700129880 25 F DOTE MENAGERE</v>
      </c>
      <c r="Z941" s="53"/>
      <c r="AA941" s="2"/>
      <c r="AB941" s="48"/>
      <c r="AG941" s="154"/>
      <c r="AH941" s="18"/>
      <c r="AI941" s="23"/>
      <c r="AJ941" s="4"/>
      <c r="AK941" s="4"/>
      <c r="AL941" s="5"/>
      <c r="AM941" s="5"/>
      <c r="AN941" s="147"/>
      <c r="AO941" s="15"/>
      <c r="AP941" s="148"/>
    </row>
    <row r="942" spans="1:42" ht="16.5" x14ac:dyDescent="0.35">
      <c r="A942" s="53">
        <v>941</v>
      </c>
      <c r="B942" s="2" t="s">
        <v>1693</v>
      </c>
      <c r="C942" s="48" t="s">
        <v>663</v>
      </c>
      <c r="D942" t="s">
        <v>1306</v>
      </c>
      <c r="E942" t="s">
        <v>1738</v>
      </c>
      <c r="H942" s="154"/>
      <c r="I942" s="18" t="s">
        <v>1066</v>
      </c>
      <c r="J942" s="23" t="s">
        <v>1721</v>
      </c>
      <c r="K942" s="4">
        <v>24</v>
      </c>
      <c r="L942" s="4" t="s">
        <v>2</v>
      </c>
      <c r="M942" s="5" t="s">
        <v>1181</v>
      </c>
      <c r="N942" s="5" t="s">
        <v>1182</v>
      </c>
      <c r="O942" s="147">
        <v>1</v>
      </c>
      <c r="P942" s="15">
        <v>1</v>
      </c>
      <c r="Q942" s="148">
        <f t="shared" si="32"/>
        <v>2</v>
      </c>
      <c r="R9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SAWADOGO RISNATA GRAND-ZATTRY RELEWENDE ROA    YAO VINCENT  0799013784 24 F DOTE MENAGERE</v>
      </c>
      <c r="Z942" s="53"/>
      <c r="AA942" s="2"/>
      <c r="AB942" s="48"/>
      <c r="AG942" s="154"/>
      <c r="AH942" s="18"/>
      <c r="AI942" s="23"/>
      <c r="AJ942" s="4"/>
      <c r="AK942" s="4"/>
      <c r="AL942" s="5"/>
      <c r="AM942" s="5"/>
      <c r="AN942" s="147"/>
      <c r="AO942" s="15"/>
      <c r="AP942" s="148"/>
    </row>
    <row r="943" spans="1:42" ht="16.5" x14ac:dyDescent="0.35">
      <c r="A943" s="53">
        <v>942</v>
      </c>
      <c r="B943" s="2" t="s">
        <v>1694</v>
      </c>
      <c r="C943" s="48" t="s">
        <v>663</v>
      </c>
      <c r="D943" t="s">
        <v>1306</v>
      </c>
      <c r="E943" t="s">
        <v>1738</v>
      </c>
      <c r="H943" s="154"/>
      <c r="I943" s="18" t="s">
        <v>1066</v>
      </c>
      <c r="J943" s="23" t="s">
        <v>1722</v>
      </c>
      <c r="K943" s="4">
        <v>24</v>
      </c>
      <c r="L943" s="4" t="s">
        <v>2</v>
      </c>
      <c r="M943" s="5" t="s">
        <v>1181</v>
      </c>
      <c r="N943" s="5" t="s">
        <v>1182</v>
      </c>
      <c r="O943" s="147">
        <v>4</v>
      </c>
      <c r="P943" s="15">
        <v>0</v>
      </c>
      <c r="Q943" s="148">
        <f t="shared" si="32"/>
        <v>4</v>
      </c>
      <c r="R9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GONDE ADJARA GRAND-ZATTRY RELEWENDE ROA    YAO VINCENT  0747502637 24 F DOTE MENAGERE</v>
      </c>
      <c r="Z943" s="53"/>
      <c r="AA943" s="2"/>
      <c r="AB943" s="48"/>
      <c r="AG943" s="154"/>
      <c r="AH943" s="18"/>
      <c r="AI943" s="23"/>
      <c r="AJ943" s="4"/>
      <c r="AK943" s="4"/>
      <c r="AL943" s="5"/>
      <c r="AM943" s="5"/>
      <c r="AN943" s="147"/>
      <c r="AO943" s="15"/>
      <c r="AP943" s="148"/>
    </row>
    <row r="944" spans="1:42" ht="16.5" x14ac:dyDescent="0.35">
      <c r="A944" s="53">
        <v>943</v>
      </c>
      <c r="B944" s="2" t="s">
        <v>1695</v>
      </c>
      <c r="C944" s="48" t="s">
        <v>663</v>
      </c>
      <c r="D944" t="s">
        <v>1306</v>
      </c>
      <c r="E944" t="s">
        <v>1738</v>
      </c>
      <c r="H944" s="154"/>
      <c r="I944" s="18" t="s">
        <v>1066</v>
      </c>
      <c r="J944" s="23" t="s">
        <v>1723</v>
      </c>
      <c r="K944" s="4">
        <v>39</v>
      </c>
      <c r="L944" s="4" t="s">
        <v>2</v>
      </c>
      <c r="M944" s="5" t="s">
        <v>1181</v>
      </c>
      <c r="N944" s="5" t="s">
        <v>1182</v>
      </c>
      <c r="O944" s="147">
        <v>3</v>
      </c>
      <c r="P944" s="15">
        <v>4</v>
      </c>
      <c r="Q944" s="148">
        <f t="shared" si="32"/>
        <v>7</v>
      </c>
      <c r="R9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SAWADOGO MARIAM GRAND-ZATTRY RELEWENDE ROA    YAO VINCENT  0556264223 39 F DOTE MENAGERE</v>
      </c>
      <c r="Z944" s="53"/>
      <c r="AA944" s="2"/>
      <c r="AB944" s="48"/>
      <c r="AG944" s="154"/>
      <c r="AH944" s="18"/>
      <c r="AI944" s="23"/>
      <c r="AJ944" s="4"/>
      <c r="AK944" s="4"/>
      <c r="AL944" s="5"/>
      <c r="AM944" s="5"/>
      <c r="AN944" s="147"/>
      <c r="AO944" s="15"/>
      <c r="AP944" s="148"/>
    </row>
    <row r="945" spans="1:42" ht="16.5" x14ac:dyDescent="0.35">
      <c r="A945" s="53">
        <v>944</v>
      </c>
      <c r="B945" s="2" t="s">
        <v>1696</v>
      </c>
      <c r="C945" s="48" t="s">
        <v>663</v>
      </c>
      <c r="D945" t="s">
        <v>1306</v>
      </c>
      <c r="E945" t="s">
        <v>1738</v>
      </c>
      <c r="H945" s="154"/>
      <c r="I945" s="18" t="s">
        <v>1066</v>
      </c>
      <c r="J945" s="23" t="s">
        <v>1724</v>
      </c>
      <c r="K945" s="4">
        <v>30</v>
      </c>
      <c r="L945" s="4" t="s">
        <v>2</v>
      </c>
      <c r="M945" s="5" t="s">
        <v>1181</v>
      </c>
      <c r="N945" s="5" t="s">
        <v>1182</v>
      </c>
      <c r="O945" s="147">
        <v>6</v>
      </c>
      <c r="P945" s="15">
        <v>3</v>
      </c>
      <c r="Q945" s="148">
        <f t="shared" si="32"/>
        <v>9</v>
      </c>
      <c r="R9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SALIMATA GRAND-ZATTRY RELEWENDE ROA    YAO VINCENT  0759038667 30 F DOTE MENAGERE</v>
      </c>
      <c r="Z945" s="53"/>
      <c r="AA945" s="2"/>
      <c r="AB945" s="48"/>
      <c r="AG945" s="154"/>
      <c r="AH945" s="18"/>
      <c r="AI945" s="23"/>
      <c r="AJ945" s="4"/>
      <c r="AK945" s="4"/>
      <c r="AL945" s="5"/>
      <c r="AM945" s="5"/>
      <c r="AN945" s="147"/>
      <c r="AO945" s="15"/>
      <c r="AP945" s="148"/>
    </row>
    <row r="946" spans="1:42" ht="16.5" x14ac:dyDescent="0.35">
      <c r="A946" s="53">
        <v>945</v>
      </c>
      <c r="B946" s="2" t="s">
        <v>1697</v>
      </c>
      <c r="C946" s="48" t="s">
        <v>663</v>
      </c>
      <c r="D946" t="s">
        <v>1306</v>
      </c>
      <c r="E946" t="s">
        <v>1738</v>
      </c>
      <c r="H946" s="154"/>
      <c r="I946" s="18" t="s">
        <v>1066</v>
      </c>
      <c r="J946" s="23" t="s">
        <v>1725</v>
      </c>
      <c r="K946" s="4">
        <v>25</v>
      </c>
      <c r="L946" s="4" t="s">
        <v>2</v>
      </c>
      <c r="M946" s="5" t="s">
        <v>1181</v>
      </c>
      <c r="N946" s="5" t="s">
        <v>1182</v>
      </c>
      <c r="O946" s="147">
        <v>0</v>
      </c>
      <c r="P946" s="15">
        <v>0</v>
      </c>
      <c r="Q946" s="148">
        <f t="shared" si="32"/>
        <v>0</v>
      </c>
      <c r="R9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KARAMBIRI THERESE GRAND-ZATTRY RELEWENDE ROA    YAO VINCENT  0779309104 25 F DOTE MENAGERE</v>
      </c>
      <c r="Z946" s="53"/>
      <c r="AA946" s="2"/>
      <c r="AB946" s="48"/>
      <c r="AG946" s="154"/>
      <c r="AH946" s="18"/>
      <c r="AI946" s="23"/>
      <c r="AJ946" s="4"/>
      <c r="AK946" s="4"/>
      <c r="AL946" s="5"/>
      <c r="AM946" s="5"/>
      <c r="AN946" s="147"/>
      <c r="AO946" s="15"/>
      <c r="AP946" s="148"/>
    </row>
    <row r="947" spans="1:42" ht="16.5" x14ac:dyDescent="0.35">
      <c r="A947" s="53">
        <v>946</v>
      </c>
      <c r="B947" s="2" t="s">
        <v>1698</v>
      </c>
      <c r="C947" s="48" t="s">
        <v>663</v>
      </c>
      <c r="D947" t="s">
        <v>1306</v>
      </c>
      <c r="E947" t="s">
        <v>1738</v>
      </c>
      <c r="H947" s="154"/>
      <c r="I947" s="18" t="s">
        <v>1066</v>
      </c>
      <c r="J947" s="23" t="s">
        <v>1726</v>
      </c>
      <c r="K947" s="4">
        <v>20</v>
      </c>
      <c r="L947" s="4" t="s">
        <v>2</v>
      </c>
      <c r="M947" s="5" t="s">
        <v>1181</v>
      </c>
      <c r="N947" s="5" t="s">
        <v>1182</v>
      </c>
      <c r="O947" s="147">
        <v>0</v>
      </c>
      <c r="P947" s="15">
        <v>0</v>
      </c>
      <c r="Q947" s="148">
        <f t="shared" si="32"/>
        <v>0</v>
      </c>
      <c r="R9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SAWADOGO MAMOUNATA GRAND-ZATTRY RELEWENDE ROA    YAO VINCENT  0749452454 20 F DOTE MENAGERE</v>
      </c>
      <c r="Z947" s="53"/>
      <c r="AA947" s="2"/>
      <c r="AB947" s="48"/>
      <c r="AG947" s="154"/>
      <c r="AH947" s="18"/>
      <c r="AI947" s="23"/>
      <c r="AJ947" s="4"/>
      <c r="AK947" s="4"/>
      <c r="AL947" s="5"/>
      <c r="AM947" s="5"/>
      <c r="AN947" s="147"/>
      <c r="AO947" s="15"/>
      <c r="AP947" s="148"/>
    </row>
    <row r="948" spans="1:42" ht="16.5" x14ac:dyDescent="0.35">
      <c r="A948" s="53">
        <v>947</v>
      </c>
      <c r="B948" s="2" t="s">
        <v>1642</v>
      </c>
      <c r="C948" s="48" t="s">
        <v>663</v>
      </c>
      <c r="D948" t="s">
        <v>1306</v>
      </c>
      <c r="E948" t="s">
        <v>1738</v>
      </c>
      <c r="H948" s="154"/>
      <c r="I948" s="18" t="s">
        <v>1066</v>
      </c>
      <c r="J948" s="23" t="s">
        <v>1727</v>
      </c>
      <c r="K948" s="4">
        <v>30</v>
      </c>
      <c r="L948" s="4" t="s">
        <v>2</v>
      </c>
      <c r="M948" s="5" t="s">
        <v>1181</v>
      </c>
      <c r="N948" s="5" t="s">
        <v>1182</v>
      </c>
      <c r="O948" s="147">
        <v>3</v>
      </c>
      <c r="P948" s="15">
        <v>3</v>
      </c>
      <c r="Q948" s="148">
        <f t="shared" si="32"/>
        <v>6</v>
      </c>
      <c r="R9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AWA GRAND-ZATTRY RELEWENDE ROA    YAO VINCENT  0759006040 30 F DOTE MENAGERE</v>
      </c>
      <c r="Z948" s="53"/>
      <c r="AA948" s="2"/>
      <c r="AB948" s="48"/>
      <c r="AG948" s="154"/>
      <c r="AH948" s="18"/>
      <c r="AI948" s="23"/>
      <c r="AJ948" s="4"/>
      <c r="AK948" s="4"/>
      <c r="AL948" s="5"/>
      <c r="AM948" s="5"/>
      <c r="AN948" s="147"/>
      <c r="AO948" s="15"/>
      <c r="AP948" s="148"/>
    </row>
    <row r="949" spans="1:42" ht="16.5" x14ac:dyDescent="0.35">
      <c r="A949" s="53">
        <v>948</v>
      </c>
      <c r="B949" s="2" t="s">
        <v>1688</v>
      </c>
      <c r="C949" s="48" t="s">
        <v>663</v>
      </c>
      <c r="D949" t="s">
        <v>1306</v>
      </c>
      <c r="E949" t="s">
        <v>1738</v>
      </c>
      <c r="H949" s="154"/>
      <c r="I949" s="18" t="s">
        <v>1066</v>
      </c>
      <c r="J949" s="23" t="s">
        <v>1728</v>
      </c>
      <c r="K949" s="4">
        <v>26</v>
      </c>
      <c r="L949" s="4" t="s">
        <v>2</v>
      </c>
      <c r="M949" s="5" t="s">
        <v>1181</v>
      </c>
      <c r="N949" s="5" t="s">
        <v>1182</v>
      </c>
      <c r="O949" s="147">
        <v>0</v>
      </c>
      <c r="P949" s="15">
        <v>3</v>
      </c>
      <c r="Q949" s="148">
        <f t="shared" si="32"/>
        <v>3</v>
      </c>
      <c r="R9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SAWADOGO FATIMATA GRAND-ZATTRY RELEWENDE ROA    YAO VINCENT  0747512168 26 F DOTE MENAGERE</v>
      </c>
      <c r="Z949" s="53"/>
      <c r="AA949" s="2"/>
      <c r="AB949" s="48"/>
      <c r="AG949" s="154"/>
      <c r="AH949" s="18"/>
      <c r="AI949" s="23"/>
      <c r="AJ949" s="4"/>
      <c r="AK949" s="4"/>
      <c r="AL949" s="5"/>
      <c r="AM949" s="5"/>
      <c r="AN949" s="147"/>
      <c r="AO949" s="15"/>
      <c r="AP949" s="148"/>
    </row>
    <row r="950" spans="1:42" ht="16.5" x14ac:dyDescent="0.35">
      <c r="A950" s="53">
        <v>949</v>
      </c>
      <c r="B950" s="2" t="s">
        <v>1699</v>
      </c>
      <c r="C950" s="48" t="s">
        <v>663</v>
      </c>
      <c r="D950" t="s">
        <v>1306</v>
      </c>
      <c r="E950" t="s">
        <v>1738</v>
      </c>
      <c r="H950" s="154"/>
      <c r="I950" s="18" t="s">
        <v>1066</v>
      </c>
      <c r="J950" s="23" t="s">
        <v>1729</v>
      </c>
      <c r="K950" s="4">
        <v>52</v>
      </c>
      <c r="L950" s="4" t="s">
        <v>2</v>
      </c>
      <c r="M950" s="5" t="s">
        <v>1181</v>
      </c>
      <c r="N950" s="5" t="s">
        <v>1182</v>
      </c>
      <c r="O950" s="147">
        <v>2</v>
      </c>
      <c r="P950" s="15">
        <v>3</v>
      </c>
      <c r="Q950" s="148">
        <f t="shared" si="32"/>
        <v>5</v>
      </c>
      <c r="R9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GONDE ALZATA GRAND-ZATTRY RELEWENDE ROA    YAO VINCENT  0748583565 52 F DOTE MENAGERE</v>
      </c>
      <c r="Z950" s="53"/>
      <c r="AA950" s="2"/>
      <c r="AB950" s="48"/>
      <c r="AG950" s="154"/>
      <c r="AH950" s="18"/>
      <c r="AI950" s="23"/>
      <c r="AJ950" s="4"/>
      <c r="AK950" s="4"/>
      <c r="AL950" s="5"/>
      <c r="AM950" s="5"/>
      <c r="AN950" s="147"/>
      <c r="AO950" s="15"/>
      <c r="AP950" s="148"/>
    </row>
    <row r="951" spans="1:42" ht="16.5" x14ac:dyDescent="0.35">
      <c r="A951" s="53">
        <v>950</v>
      </c>
      <c r="B951" s="2" t="s">
        <v>1700</v>
      </c>
      <c r="C951" s="48" t="s">
        <v>663</v>
      </c>
      <c r="D951" t="s">
        <v>1306</v>
      </c>
      <c r="E951" t="s">
        <v>1738</v>
      </c>
      <c r="H951" s="154"/>
      <c r="I951" s="18" t="s">
        <v>1066</v>
      </c>
      <c r="J951" s="23" t="s">
        <v>1730</v>
      </c>
      <c r="K951" s="4">
        <v>30</v>
      </c>
      <c r="L951" s="4" t="s">
        <v>2</v>
      </c>
      <c r="M951" s="5" t="s">
        <v>1181</v>
      </c>
      <c r="N951" s="5" t="s">
        <v>1182</v>
      </c>
      <c r="O951" s="147">
        <v>4</v>
      </c>
      <c r="P951" s="15">
        <v>2</v>
      </c>
      <c r="Q951" s="148">
        <f t="shared" si="32"/>
        <v>6</v>
      </c>
      <c r="R9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GUIRA RAMATA GRAND-ZATTRY RELEWENDE ROA    YAO VINCENT  0748026086 30 F DOTE MENAGERE</v>
      </c>
      <c r="Z951" s="53"/>
      <c r="AA951" s="2"/>
      <c r="AB951" s="48"/>
      <c r="AG951" s="154"/>
      <c r="AH951" s="18"/>
      <c r="AI951" s="23"/>
      <c r="AJ951" s="4"/>
      <c r="AK951" s="4"/>
      <c r="AL951" s="5"/>
      <c r="AM951" s="5"/>
      <c r="AN951" s="147"/>
      <c r="AO951" s="15"/>
      <c r="AP951" s="148"/>
    </row>
    <row r="952" spans="1:42" ht="16.5" x14ac:dyDescent="0.5">
      <c r="A952" s="53">
        <v>951</v>
      </c>
      <c r="B952" s="2" t="s">
        <v>1701</v>
      </c>
      <c r="C952" s="48" t="s">
        <v>663</v>
      </c>
      <c r="D952" t="s">
        <v>1306</v>
      </c>
      <c r="E952" t="s">
        <v>1738</v>
      </c>
      <c r="H952" s="154"/>
      <c r="I952" s="18" t="s">
        <v>1066</v>
      </c>
      <c r="J952" s="23" t="s">
        <v>1731</v>
      </c>
      <c r="K952" s="6">
        <v>29</v>
      </c>
      <c r="L952" s="4" t="s">
        <v>2</v>
      </c>
      <c r="M952" s="6" t="s">
        <v>1181</v>
      </c>
      <c r="N952" s="6" t="s">
        <v>1182</v>
      </c>
      <c r="O952" s="149">
        <v>2</v>
      </c>
      <c r="P952" s="149">
        <v>2</v>
      </c>
      <c r="Q952" s="148">
        <f t="shared" si="32"/>
        <v>4</v>
      </c>
      <c r="R9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MARIAM GRAND-ZATTRY RELEWENDE ROA    YAO VINCENT  0795154245 29 F DOTE MENAGERE</v>
      </c>
      <c r="Z952" s="53"/>
      <c r="AA952" s="2"/>
      <c r="AB952" s="48"/>
      <c r="AG952" s="154"/>
      <c r="AH952" s="18"/>
      <c r="AI952" s="23"/>
      <c r="AJ952" s="6"/>
      <c r="AK952" s="4"/>
      <c r="AL952" s="6"/>
      <c r="AM952" s="6"/>
      <c r="AN952" s="149"/>
      <c r="AO952" s="149"/>
      <c r="AP952" s="148"/>
    </row>
    <row r="953" spans="1:42" ht="16.5" x14ac:dyDescent="0.35">
      <c r="A953" s="53">
        <v>952</v>
      </c>
      <c r="B953" s="2" t="s">
        <v>1702</v>
      </c>
      <c r="C953" s="48" t="s">
        <v>663</v>
      </c>
      <c r="D953" t="s">
        <v>1306</v>
      </c>
      <c r="E953" t="s">
        <v>1738</v>
      </c>
      <c r="H953" s="154"/>
      <c r="I953" s="18" t="s">
        <v>1066</v>
      </c>
      <c r="J953" s="24" t="s">
        <v>1732</v>
      </c>
      <c r="K953" s="8">
        <v>30</v>
      </c>
      <c r="L953" s="4" t="s">
        <v>2</v>
      </c>
      <c r="M953" s="8" t="s">
        <v>1181</v>
      </c>
      <c r="N953" s="8" t="s">
        <v>1182</v>
      </c>
      <c r="O953" s="151">
        <v>3</v>
      </c>
      <c r="P953" s="151">
        <v>5</v>
      </c>
      <c r="Q953" s="148">
        <f t="shared" si="32"/>
        <v>8</v>
      </c>
      <c r="R9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DERA ALZATA GRAND-ZATTRY RELEWENDE ROA    YAO VINCENT  0758113537 30 F DOTE MENAGERE</v>
      </c>
      <c r="Z953" s="53"/>
      <c r="AA953" s="2"/>
      <c r="AB953" s="48"/>
      <c r="AG953" s="154"/>
      <c r="AH953" s="18"/>
      <c r="AI953" s="24"/>
      <c r="AJ953" s="8"/>
      <c r="AK953" s="4"/>
      <c r="AL953" s="8"/>
      <c r="AM953" s="8"/>
      <c r="AN953" s="151"/>
      <c r="AO953" s="151"/>
      <c r="AP953" s="148"/>
    </row>
    <row r="954" spans="1:42" ht="16.5" x14ac:dyDescent="0.35">
      <c r="A954" s="53">
        <v>953</v>
      </c>
      <c r="B954" s="9" t="s">
        <v>1703</v>
      </c>
      <c r="C954" s="48" t="s">
        <v>663</v>
      </c>
      <c r="D954" t="s">
        <v>1306</v>
      </c>
      <c r="E954" t="s">
        <v>1738</v>
      </c>
      <c r="H954" s="154"/>
      <c r="I954" s="18" t="s">
        <v>1066</v>
      </c>
      <c r="J954" s="25" t="s">
        <v>1733</v>
      </c>
      <c r="K954" s="11">
        <v>30</v>
      </c>
      <c r="L954" s="178" t="s">
        <v>2</v>
      </c>
      <c r="M954" s="11" t="s">
        <v>1181</v>
      </c>
      <c r="N954" s="11" t="s">
        <v>1182</v>
      </c>
      <c r="O954" s="143">
        <v>2</v>
      </c>
      <c r="P954" s="143">
        <v>3</v>
      </c>
      <c r="Q954" s="148">
        <f t="shared" si="32"/>
        <v>5</v>
      </c>
      <c r="R9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DIALLO KADIDIATOU GRAND-ZATTRY RELEWENDE ROA    YAO VINCENT  0564262266 30 F DOTE MENAGERE</v>
      </c>
      <c r="Z954" s="53"/>
      <c r="AA954" s="9"/>
      <c r="AB954" s="48"/>
      <c r="AG954" s="154"/>
      <c r="AH954" s="18"/>
      <c r="AI954" s="25"/>
      <c r="AJ954" s="11"/>
      <c r="AK954" s="178"/>
      <c r="AL954" s="11"/>
      <c r="AM954" s="11"/>
      <c r="AN954" s="143"/>
      <c r="AO954" s="143"/>
      <c r="AP954" s="148"/>
    </row>
    <row r="955" spans="1:42" ht="16.5" x14ac:dyDescent="0.35">
      <c r="A955" s="53">
        <v>954</v>
      </c>
      <c r="B955" s="9" t="s">
        <v>1704</v>
      </c>
      <c r="C955" s="48" t="s">
        <v>663</v>
      </c>
      <c r="D955" t="s">
        <v>1306</v>
      </c>
      <c r="E955" t="s">
        <v>1738</v>
      </c>
      <c r="H955" s="154"/>
      <c r="I955" s="18" t="s">
        <v>1066</v>
      </c>
      <c r="J955" s="25" t="s">
        <v>1734</v>
      </c>
      <c r="K955" s="11">
        <v>30</v>
      </c>
      <c r="L955" s="178" t="s">
        <v>2</v>
      </c>
      <c r="M955" s="11" t="s">
        <v>1181</v>
      </c>
      <c r="N955" s="11" t="s">
        <v>1182</v>
      </c>
      <c r="O955" s="143">
        <v>1</v>
      </c>
      <c r="P955" s="143">
        <v>2</v>
      </c>
      <c r="Q955" s="148">
        <f t="shared" si="32"/>
        <v>3</v>
      </c>
      <c r="R9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RAMATOU GRAND-ZATTRY RELEWENDE ROA    YAO VINCENT  0173426539 30 F DOTE MENAGERE</v>
      </c>
      <c r="Z955" s="53"/>
      <c r="AA955" s="9"/>
      <c r="AB955" s="48"/>
      <c r="AG955" s="154"/>
      <c r="AH955" s="18"/>
      <c r="AI955" s="25"/>
      <c r="AJ955" s="11"/>
      <c r="AK955" s="178"/>
      <c r="AL955" s="11"/>
      <c r="AM955" s="11"/>
      <c r="AN955" s="143"/>
      <c r="AO955" s="143"/>
      <c r="AP955" s="148"/>
    </row>
    <row r="956" spans="1:42" ht="16.5" x14ac:dyDescent="0.35">
      <c r="A956" s="53">
        <v>955</v>
      </c>
      <c r="B956" s="9" t="s">
        <v>1705</v>
      </c>
      <c r="C956" s="48" t="s">
        <v>663</v>
      </c>
      <c r="D956" t="s">
        <v>1306</v>
      </c>
      <c r="E956" t="s">
        <v>1738</v>
      </c>
      <c r="H956" s="154"/>
      <c r="I956" s="18" t="s">
        <v>1066</v>
      </c>
      <c r="J956" s="25" t="s">
        <v>1735</v>
      </c>
      <c r="K956" s="11">
        <v>30</v>
      </c>
      <c r="L956" s="178" t="s">
        <v>2</v>
      </c>
      <c r="M956" s="11" t="s">
        <v>1181</v>
      </c>
      <c r="N956" s="11" t="s">
        <v>1182</v>
      </c>
      <c r="O956" s="143">
        <v>2</v>
      </c>
      <c r="P956" s="143">
        <v>3</v>
      </c>
      <c r="Q956" s="148">
        <f t="shared" si="32"/>
        <v>5</v>
      </c>
      <c r="R9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OUEDRAOGO ALIMATA GRAND-ZATTRY RELEWENDE ROA    YAO VINCENT  0789104425 30 F DOTE MENAGERE</v>
      </c>
      <c r="Z956" s="53"/>
      <c r="AA956" s="9"/>
      <c r="AB956" s="48"/>
      <c r="AG956" s="154"/>
      <c r="AH956" s="18"/>
      <c r="AI956" s="25"/>
      <c r="AJ956" s="11"/>
      <c r="AK956" s="178"/>
      <c r="AL956" s="11"/>
      <c r="AM956" s="11"/>
      <c r="AN956" s="143"/>
      <c r="AO956" s="143"/>
      <c r="AP956" s="148"/>
    </row>
    <row r="957" spans="1:42" ht="16.5" x14ac:dyDescent="0.35">
      <c r="A957" s="53">
        <v>956</v>
      </c>
      <c r="B957" s="9" t="s">
        <v>1706</v>
      </c>
      <c r="C957" s="48" t="s">
        <v>663</v>
      </c>
      <c r="D957" t="s">
        <v>1306</v>
      </c>
      <c r="E957" t="s">
        <v>1738</v>
      </c>
      <c r="H957" s="154"/>
      <c r="I957" s="18" t="s">
        <v>1066</v>
      </c>
      <c r="J957" s="25" t="s">
        <v>1736</v>
      </c>
      <c r="K957" s="11">
        <v>27</v>
      </c>
      <c r="L957" s="178" t="s">
        <v>2</v>
      </c>
      <c r="M957" s="11" t="s">
        <v>1181</v>
      </c>
      <c r="N957" s="11" t="s">
        <v>1182</v>
      </c>
      <c r="O957" s="143">
        <v>2</v>
      </c>
      <c r="P957" s="143">
        <v>2</v>
      </c>
      <c r="Q957" s="148">
        <f t="shared" si="32"/>
        <v>4</v>
      </c>
      <c r="R9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KONE ADJARATOU GRAND-ZATTRY RELEWENDE ROA    YAO VINCENT  05464222 27 F DOTE MENAGERE</v>
      </c>
      <c r="Z957" s="53"/>
      <c r="AA957" s="9"/>
      <c r="AB957" s="48"/>
      <c r="AG957" s="154"/>
      <c r="AH957" s="18"/>
      <c r="AI957" s="25"/>
      <c r="AJ957" s="11"/>
      <c r="AK957" s="178"/>
      <c r="AL957" s="11"/>
      <c r="AM957" s="11"/>
      <c r="AN957" s="143"/>
      <c r="AO957" s="143"/>
      <c r="AP957" s="148"/>
    </row>
    <row r="958" spans="1:42" ht="17" thickBot="1" x14ac:dyDescent="0.4">
      <c r="A958" s="53">
        <v>957</v>
      </c>
      <c r="B958" s="9" t="s">
        <v>1707</v>
      </c>
      <c r="C958" s="48" t="s">
        <v>663</v>
      </c>
      <c r="D958" t="s">
        <v>1306</v>
      </c>
      <c r="E958" t="s">
        <v>1738</v>
      </c>
      <c r="H958" s="154"/>
      <c r="I958" s="18" t="s">
        <v>1066</v>
      </c>
      <c r="J958" s="193" t="s">
        <v>1737</v>
      </c>
      <c r="K958" s="14">
        <v>32</v>
      </c>
      <c r="L958" s="14" t="s">
        <v>2</v>
      </c>
      <c r="M958" s="14" t="s">
        <v>1181</v>
      </c>
      <c r="N958" s="14" t="s">
        <v>1182</v>
      </c>
      <c r="O958" s="141">
        <v>2</v>
      </c>
      <c r="P958" s="141">
        <v>2</v>
      </c>
      <c r="Q958" s="148">
        <f t="shared" si="32"/>
        <v>4</v>
      </c>
      <c r="R9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GNOMOU HELENE GRAND-ZATTRY RELEWENDE ROA    YAO VINCENT  0747477414 32 F DOTE MENAGERE</v>
      </c>
      <c r="Z958" s="53"/>
      <c r="AA958" s="9"/>
      <c r="AB958" s="48"/>
      <c r="AG958" s="154"/>
      <c r="AH958" s="18"/>
      <c r="AI958" s="193"/>
      <c r="AJ958" s="14"/>
      <c r="AK958" s="14"/>
      <c r="AL958" s="14"/>
      <c r="AM958" s="14"/>
      <c r="AN958" s="141"/>
      <c r="AO958" s="141"/>
      <c r="AP958" s="148"/>
    </row>
    <row r="959" spans="1:42" ht="16.5" x14ac:dyDescent="0.35">
      <c r="A959" s="53">
        <v>958</v>
      </c>
      <c r="B959" s="2" t="s">
        <v>1739</v>
      </c>
      <c r="C959" s="48" t="s">
        <v>663</v>
      </c>
      <c r="D959" t="s">
        <v>1796</v>
      </c>
      <c r="E959" t="s">
        <v>1738</v>
      </c>
      <c r="H959" s="10"/>
      <c r="I959" s="18" t="s">
        <v>1066</v>
      </c>
      <c r="J959" s="23" t="s">
        <v>1769</v>
      </c>
      <c r="K959" s="4">
        <v>50</v>
      </c>
      <c r="L959" s="4" t="s">
        <v>9</v>
      </c>
      <c r="M959" s="5" t="s">
        <v>1063</v>
      </c>
      <c r="N959" s="5" t="s">
        <v>972</v>
      </c>
      <c r="O959" s="147">
        <v>5</v>
      </c>
      <c r="P959" s="15">
        <v>1</v>
      </c>
      <c r="Q959" s="148">
        <f>(O959+P959)</f>
        <v>6</v>
      </c>
      <c r="R9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ZADY NIAZEGBO BENJAMIN GRAND-ZATTRY DJORO ROA    YAO VINCENT  0555017433 50 M CONCUBINAGE PLANTEUR</v>
      </c>
      <c r="Z959" s="53"/>
      <c r="AA959" s="2"/>
      <c r="AB959" s="48"/>
      <c r="AG959" s="10"/>
      <c r="AH959" s="18"/>
      <c r="AI959" s="23"/>
      <c r="AJ959" s="4"/>
      <c r="AK959" s="4"/>
      <c r="AL959" s="5"/>
      <c r="AM959" s="5"/>
      <c r="AN959" s="147"/>
      <c r="AO959" s="15"/>
      <c r="AP959" s="148"/>
    </row>
    <row r="960" spans="1:42" ht="16.5" x14ac:dyDescent="0.35">
      <c r="A960" s="53">
        <v>959</v>
      </c>
      <c r="B960" s="2" t="s">
        <v>1740</v>
      </c>
      <c r="C960" s="48" t="s">
        <v>663</v>
      </c>
      <c r="D960" t="s">
        <v>1796</v>
      </c>
      <c r="E960" t="s">
        <v>1738</v>
      </c>
      <c r="H960" s="154"/>
      <c r="I960" s="18" t="s">
        <v>1066</v>
      </c>
      <c r="J960" s="23"/>
      <c r="K960" s="4">
        <v>36</v>
      </c>
      <c r="L960" s="4" t="s">
        <v>2</v>
      </c>
      <c r="M960" s="5" t="s">
        <v>1063</v>
      </c>
      <c r="N960" s="5" t="s">
        <v>1182</v>
      </c>
      <c r="O960" s="147">
        <v>1</v>
      </c>
      <c r="P960" s="15">
        <v>0</v>
      </c>
      <c r="Q960" s="148">
        <f t="shared" ref="Q960:Q988" si="33">(O960+P960)</f>
        <v>1</v>
      </c>
      <c r="R9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DALEBA MARIE PAULE GRAND-ZATTRY DJORO ROA    YAO VINCENT   36 F CONCUBINAGE MENAGERE</v>
      </c>
      <c r="Z960" s="53"/>
      <c r="AA960" s="2"/>
      <c r="AB960" s="48"/>
      <c r="AG960" s="154"/>
      <c r="AH960" s="18"/>
      <c r="AI960" s="23"/>
      <c r="AJ960" s="4"/>
      <c r="AK960" s="4"/>
      <c r="AL960" s="5"/>
      <c r="AM960" s="5"/>
      <c r="AN960" s="147"/>
      <c r="AO960" s="15"/>
      <c r="AP960" s="148"/>
    </row>
    <row r="961" spans="1:42" ht="16.5" x14ac:dyDescent="0.35">
      <c r="A961" s="53">
        <v>960</v>
      </c>
      <c r="B961" s="2" t="s">
        <v>1741</v>
      </c>
      <c r="C961" s="48" t="s">
        <v>663</v>
      </c>
      <c r="D961" t="s">
        <v>1796</v>
      </c>
      <c r="E961" t="s">
        <v>1738</v>
      </c>
      <c r="H961" s="154"/>
      <c r="I961" s="18" t="s">
        <v>1066</v>
      </c>
      <c r="J961" s="23" t="s">
        <v>1770</v>
      </c>
      <c r="K961" s="4"/>
      <c r="L961" s="4" t="s">
        <v>2</v>
      </c>
      <c r="M961" s="5" t="s">
        <v>1181</v>
      </c>
      <c r="N961" s="5" t="s">
        <v>1587</v>
      </c>
      <c r="O961" s="147">
        <v>2</v>
      </c>
      <c r="P961" s="15">
        <v>3</v>
      </c>
      <c r="Q961" s="148">
        <f t="shared" si="33"/>
        <v>5</v>
      </c>
      <c r="R9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GOSSE GNALY YVONNE GRAND-ZATTRY DJORO ROA    YAO VINCENT  0758120287  F DOTE COMMERCE</v>
      </c>
      <c r="Z961" s="53"/>
      <c r="AA961" s="2"/>
      <c r="AB961" s="48"/>
      <c r="AG961" s="154"/>
      <c r="AH961" s="18"/>
      <c r="AI961" s="23"/>
      <c r="AJ961" s="4"/>
      <c r="AK961" s="4"/>
      <c r="AL961" s="5"/>
      <c r="AM961" s="5"/>
      <c r="AN961" s="147"/>
      <c r="AO961" s="15"/>
      <c r="AP961" s="148"/>
    </row>
    <row r="962" spans="1:42" ht="16.5" x14ac:dyDescent="0.35">
      <c r="A962" s="53">
        <v>961</v>
      </c>
      <c r="B962" s="2" t="s">
        <v>1742</v>
      </c>
      <c r="C962" s="48" t="s">
        <v>663</v>
      </c>
      <c r="D962" t="s">
        <v>1796</v>
      </c>
      <c r="E962" t="s">
        <v>1738</v>
      </c>
      <c r="H962" s="154"/>
      <c r="I962" s="18" t="s">
        <v>1066</v>
      </c>
      <c r="J962" s="23" t="s">
        <v>1771</v>
      </c>
      <c r="K962" s="4">
        <v>50</v>
      </c>
      <c r="L962" s="4" t="s">
        <v>2</v>
      </c>
      <c r="M962" s="5" t="s">
        <v>1063</v>
      </c>
      <c r="N962" s="5" t="s">
        <v>1587</v>
      </c>
      <c r="O962" s="147">
        <v>1</v>
      </c>
      <c r="P962" s="15">
        <v>1</v>
      </c>
      <c r="Q962" s="148">
        <f t="shared" si="33"/>
        <v>2</v>
      </c>
      <c r="R9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YLAZALE VERONIQUE GRAND-ZATTRY DJORO ROA    YAO VINCENT  0778540467 50 F CONCUBINAGE COMMERCE</v>
      </c>
      <c r="Z962" s="53"/>
      <c r="AA962" s="2"/>
      <c r="AB962" s="48"/>
      <c r="AG962" s="154"/>
      <c r="AH962" s="18"/>
      <c r="AI962" s="23"/>
      <c r="AJ962" s="4"/>
      <c r="AK962" s="4"/>
      <c r="AL962" s="5"/>
      <c r="AM962" s="5"/>
      <c r="AN962" s="147"/>
      <c r="AO962" s="15"/>
      <c r="AP962" s="148"/>
    </row>
    <row r="963" spans="1:42" ht="16.5" x14ac:dyDescent="0.35">
      <c r="A963" s="53">
        <v>962</v>
      </c>
      <c r="B963" s="2" t="s">
        <v>1743</v>
      </c>
      <c r="C963" s="48" t="s">
        <v>663</v>
      </c>
      <c r="D963" t="s">
        <v>1796</v>
      </c>
      <c r="E963" t="s">
        <v>1738</v>
      </c>
      <c r="H963" s="154"/>
      <c r="I963" s="18" t="s">
        <v>1066</v>
      </c>
      <c r="J963" s="23" t="s">
        <v>1772</v>
      </c>
      <c r="K963" s="4"/>
      <c r="L963" s="4" t="s">
        <v>2</v>
      </c>
      <c r="M963" s="3" t="s">
        <v>1063</v>
      </c>
      <c r="N963" s="5" t="s">
        <v>1587</v>
      </c>
      <c r="O963" s="147">
        <v>4</v>
      </c>
      <c r="P963" s="15">
        <v>1</v>
      </c>
      <c r="Q963" s="148">
        <f t="shared" si="33"/>
        <v>5</v>
      </c>
      <c r="R9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NADINE CHRISTIANE GRAND-ZATTRY DJORO ROA    YAO VINCENT  0777121251  F CONCUBINAGE COMMERCE</v>
      </c>
      <c r="Z963" s="53"/>
      <c r="AA963" s="2"/>
      <c r="AB963" s="48"/>
      <c r="AG963" s="154"/>
      <c r="AH963" s="18"/>
      <c r="AI963" s="23"/>
      <c r="AJ963" s="4"/>
      <c r="AK963" s="4"/>
      <c r="AL963" s="3"/>
      <c r="AM963" s="5"/>
      <c r="AN963" s="147"/>
      <c r="AO963" s="15"/>
      <c r="AP963" s="148"/>
    </row>
    <row r="964" spans="1:42" ht="16.5" x14ac:dyDescent="0.35">
      <c r="A964" s="53">
        <v>963</v>
      </c>
      <c r="B964" s="2" t="s">
        <v>1744</v>
      </c>
      <c r="C964" s="48" t="s">
        <v>663</v>
      </c>
      <c r="D964" t="s">
        <v>1796</v>
      </c>
      <c r="E964" t="s">
        <v>1738</v>
      </c>
      <c r="H964" s="154"/>
      <c r="I964" s="18" t="s">
        <v>1066</v>
      </c>
      <c r="J964" s="23" t="s">
        <v>1773</v>
      </c>
      <c r="K964" s="4">
        <v>41</v>
      </c>
      <c r="L964" s="4" t="s">
        <v>9</v>
      </c>
      <c r="M964" s="5" t="s">
        <v>1063</v>
      </c>
      <c r="N964" s="5" t="s">
        <v>972</v>
      </c>
      <c r="O964" s="147">
        <v>2</v>
      </c>
      <c r="P964" s="15">
        <v>2</v>
      </c>
      <c r="Q964" s="148">
        <f t="shared" si="33"/>
        <v>4</v>
      </c>
      <c r="R9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BEDEL GRAND-ZATTRY DJORO ROA    YAO VINCENT  0759889355 41 M CONCUBINAGE PLANTEUR</v>
      </c>
      <c r="Z964" s="53"/>
      <c r="AA964" s="2"/>
      <c r="AB964" s="48"/>
      <c r="AG964" s="154"/>
      <c r="AH964" s="18"/>
      <c r="AI964" s="23"/>
      <c r="AJ964" s="4"/>
      <c r="AK964" s="4"/>
      <c r="AL964" s="5"/>
      <c r="AM964" s="5"/>
      <c r="AN964" s="147"/>
      <c r="AO964" s="15"/>
      <c r="AP964" s="148"/>
    </row>
    <row r="965" spans="1:42" ht="16.5" x14ac:dyDescent="0.35">
      <c r="A965" s="53">
        <v>964</v>
      </c>
      <c r="B965" s="2" t="s">
        <v>1745</v>
      </c>
      <c r="C965" s="48" t="s">
        <v>663</v>
      </c>
      <c r="D965" t="s">
        <v>1796</v>
      </c>
      <c r="E965" t="s">
        <v>1738</v>
      </c>
      <c r="H965" s="154"/>
      <c r="I965" s="18" t="s">
        <v>1066</v>
      </c>
      <c r="J965" s="23" t="s">
        <v>1774</v>
      </c>
      <c r="K965" s="4">
        <v>41</v>
      </c>
      <c r="L965" s="4" t="s">
        <v>9</v>
      </c>
      <c r="M965" s="5" t="s">
        <v>1095</v>
      </c>
      <c r="N965" s="5" t="s">
        <v>972</v>
      </c>
      <c r="O965" s="147">
        <v>1</v>
      </c>
      <c r="P965" s="15">
        <v>3</v>
      </c>
      <c r="Q965" s="148">
        <f t="shared" si="33"/>
        <v>4</v>
      </c>
      <c r="R9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BLE SAMUEL GRAND-ZATTRY DJORO ROA    YAO VINCENT  0576859837 41 M MARIE PLANTEUR</v>
      </c>
      <c r="Z965" s="53"/>
      <c r="AA965" s="2"/>
      <c r="AB965" s="48"/>
      <c r="AG965" s="154"/>
      <c r="AH965" s="18"/>
      <c r="AI965" s="23"/>
      <c r="AJ965" s="4"/>
      <c r="AK965" s="4"/>
      <c r="AL965" s="5"/>
      <c r="AM965" s="5"/>
      <c r="AN965" s="147"/>
      <c r="AO965" s="15"/>
      <c r="AP965" s="148"/>
    </row>
    <row r="966" spans="1:42" ht="16.5" x14ac:dyDescent="0.35">
      <c r="A966" s="53">
        <v>965</v>
      </c>
      <c r="B966" s="2" t="s">
        <v>1746</v>
      </c>
      <c r="C966" s="48" t="s">
        <v>663</v>
      </c>
      <c r="D966" t="s">
        <v>1796</v>
      </c>
      <c r="E966" t="s">
        <v>1738</v>
      </c>
      <c r="H966" s="154"/>
      <c r="I966" s="18" t="s">
        <v>1066</v>
      </c>
      <c r="J966" s="23" t="s">
        <v>1775</v>
      </c>
      <c r="K966" s="4">
        <v>44</v>
      </c>
      <c r="L966" s="4" t="s">
        <v>9</v>
      </c>
      <c r="M966" s="5" t="s">
        <v>1181</v>
      </c>
      <c r="N966" s="5" t="s">
        <v>972</v>
      </c>
      <c r="O966" s="147">
        <v>2</v>
      </c>
      <c r="P966" s="15">
        <v>3</v>
      </c>
      <c r="Q966" s="148">
        <f t="shared" si="33"/>
        <v>5</v>
      </c>
      <c r="R9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BISSOUMA SERI DAVID GRAND-ZATTRY DJORO ROA    YAO VINCENT  0788904884 44 M DOTE PLANTEUR</v>
      </c>
      <c r="Z966" s="53"/>
      <c r="AA966" s="2"/>
      <c r="AB966" s="48"/>
      <c r="AG966" s="154"/>
      <c r="AH966" s="18"/>
      <c r="AI966" s="23"/>
      <c r="AJ966" s="4"/>
      <c r="AK966" s="4"/>
      <c r="AL966" s="5"/>
      <c r="AM966" s="5"/>
      <c r="AN966" s="147"/>
      <c r="AO966" s="15"/>
      <c r="AP966" s="148"/>
    </row>
    <row r="967" spans="1:42" ht="16.5" x14ac:dyDescent="0.35">
      <c r="A967" s="53">
        <v>966</v>
      </c>
      <c r="B967" s="2" t="s">
        <v>1747</v>
      </c>
      <c r="C967" s="48" t="s">
        <v>663</v>
      </c>
      <c r="D967" t="s">
        <v>1796</v>
      </c>
      <c r="E967" t="s">
        <v>1738</v>
      </c>
      <c r="H967" s="154"/>
      <c r="I967" s="18" t="s">
        <v>1066</v>
      </c>
      <c r="J967" s="23" t="s">
        <v>1776</v>
      </c>
      <c r="K967" s="4">
        <v>36</v>
      </c>
      <c r="L967" s="4" t="s">
        <v>9</v>
      </c>
      <c r="M967" s="5" t="s">
        <v>1181</v>
      </c>
      <c r="N967" s="5" t="s">
        <v>972</v>
      </c>
      <c r="O967" s="147">
        <v>0</v>
      </c>
      <c r="P967" s="15">
        <v>0</v>
      </c>
      <c r="Q967" s="148">
        <f t="shared" si="33"/>
        <v>0</v>
      </c>
      <c r="R9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KOUEBO ZOKOU CLEMENT GRAND-ZATTRY DJORO ROA    YAO VINCENT  0748070316 36 M DOTE PLANTEUR</v>
      </c>
      <c r="Z967" s="53"/>
      <c r="AA967" s="2"/>
      <c r="AB967" s="48"/>
      <c r="AG967" s="154"/>
      <c r="AH967" s="18"/>
      <c r="AI967" s="23"/>
      <c r="AJ967" s="4"/>
      <c r="AK967" s="4"/>
      <c r="AL967" s="5"/>
      <c r="AM967" s="5"/>
      <c r="AN967" s="147"/>
      <c r="AO967" s="15"/>
      <c r="AP967" s="148"/>
    </row>
    <row r="968" spans="1:42" ht="16.5" x14ac:dyDescent="0.35">
      <c r="A968" s="53">
        <v>967</v>
      </c>
      <c r="B968" s="2" t="s">
        <v>1748</v>
      </c>
      <c r="C968" s="48" t="s">
        <v>663</v>
      </c>
      <c r="D968" t="s">
        <v>1796</v>
      </c>
      <c r="E968" t="s">
        <v>1738</v>
      </c>
      <c r="H968" s="154"/>
      <c r="I968" s="18" t="s">
        <v>1066</v>
      </c>
      <c r="J968" s="23" t="s">
        <v>1777</v>
      </c>
      <c r="K968" s="4">
        <v>35</v>
      </c>
      <c r="L968" s="4" t="s">
        <v>2</v>
      </c>
      <c r="M968" s="5" t="s">
        <v>1095</v>
      </c>
      <c r="N968" s="5" t="s">
        <v>1182</v>
      </c>
      <c r="O968" s="147">
        <v>1</v>
      </c>
      <c r="P968" s="15">
        <v>3</v>
      </c>
      <c r="Q968" s="148">
        <f t="shared" si="33"/>
        <v>4</v>
      </c>
      <c r="R9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GNAPOH HONORINE GRAND-ZATTRY DJORO ROA    YAO VINCENT  0575105071 35 F MARIE MENAGERE</v>
      </c>
      <c r="Z968" s="53"/>
      <c r="AA968" s="2"/>
      <c r="AB968" s="48"/>
      <c r="AG968" s="154"/>
      <c r="AH968" s="18"/>
      <c r="AI968" s="23"/>
      <c r="AJ968" s="4"/>
      <c r="AK968" s="4"/>
      <c r="AL968" s="5"/>
      <c r="AM968" s="5"/>
      <c r="AN968" s="147"/>
      <c r="AO968" s="15"/>
      <c r="AP968" s="148"/>
    </row>
    <row r="969" spans="1:42" ht="16.5" x14ac:dyDescent="0.35">
      <c r="A969" s="53">
        <v>968</v>
      </c>
      <c r="B969" s="2" t="s">
        <v>1749</v>
      </c>
      <c r="C969" s="48" t="s">
        <v>663</v>
      </c>
      <c r="D969" t="s">
        <v>1796</v>
      </c>
      <c r="E969" t="s">
        <v>1738</v>
      </c>
      <c r="H969" s="154"/>
      <c r="I969" s="18" t="s">
        <v>1066</v>
      </c>
      <c r="J969" s="23"/>
      <c r="K969" s="4">
        <v>33</v>
      </c>
      <c r="L969" s="4" t="s">
        <v>2</v>
      </c>
      <c r="M969" s="5" t="s">
        <v>1181</v>
      </c>
      <c r="N969" s="5" t="s">
        <v>1587</v>
      </c>
      <c r="O969" s="147">
        <v>4</v>
      </c>
      <c r="P969" s="15">
        <v>2</v>
      </c>
      <c r="Q969" s="148">
        <f t="shared" si="33"/>
        <v>6</v>
      </c>
      <c r="R9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ZADY CYNTHIA GRAND-ZATTRY DJORO ROA    YAO VINCENT   33 F DOTE COMMERCE</v>
      </c>
      <c r="Z969" s="53"/>
      <c r="AA969" s="2"/>
      <c r="AB969" s="48"/>
      <c r="AG969" s="154"/>
      <c r="AH969" s="18"/>
      <c r="AI969" s="23"/>
      <c r="AJ969" s="4"/>
      <c r="AK969" s="4"/>
      <c r="AL969" s="5"/>
      <c r="AM969" s="5"/>
      <c r="AN969" s="147"/>
      <c r="AO969" s="15"/>
      <c r="AP969" s="148"/>
    </row>
    <row r="970" spans="1:42" ht="16.5" x14ac:dyDescent="0.35">
      <c r="A970" s="53">
        <v>969</v>
      </c>
      <c r="B970" s="2" t="s">
        <v>1750</v>
      </c>
      <c r="C970" s="48" t="s">
        <v>663</v>
      </c>
      <c r="D970" t="s">
        <v>1796</v>
      </c>
      <c r="E970" t="s">
        <v>1738</v>
      </c>
      <c r="H970" s="154"/>
      <c r="I970" s="18" t="s">
        <v>1066</v>
      </c>
      <c r="J970" s="23" t="s">
        <v>1778</v>
      </c>
      <c r="K970" s="4">
        <v>29</v>
      </c>
      <c r="L970" s="4" t="s">
        <v>2</v>
      </c>
      <c r="M970" s="5" t="s">
        <v>1181</v>
      </c>
      <c r="N970" s="5" t="s">
        <v>1182</v>
      </c>
      <c r="O970" s="147">
        <v>4</v>
      </c>
      <c r="P970" s="15">
        <v>2</v>
      </c>
      <c r="Q970" s="148">
        <f t="shared" si="33"/>
        <v>6</v>
      </c>
      <c r="R9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TAKORE SYLVIE GRAND-ZATTRY DJORO ROA    YAO VINCENT  0799574795 29 F DOTE MENAGERE</v>
      </c>
      <c r="Z970" s="53"/>
      <c r="AA970" s="2"/>
      <c r="AB970" s="48"/>
      <c r="AG970" s="154"/>
      <c r="AH970" s="18"/>
      <c r="AI970" s="23"/>
      <c r="AJ970" s="4"/>
      <c r="AK970" s="4"/>
      <c r="AL970" s="5"/>
      <c r="AM970" s="5"/>
      <c r="AN970" s="147"/>
      <c r="AO970" s="15"/>
      <c r="AP970" s="148"/>
    </row>
    <row r="971" spans="1:42" ht="16.5" x14ac:dyDescent="0.35">
      <c r="A971" s="53">
        <v>970</v>
      </c>
      <c r="B971" s="2" t="s">
        <v>1751</v>
      </c>
      <c r="C971" s="48" t="s">
        <v>663</v>
      </c>
      <c r="D971" t="s">
        <v>1796</v>
      </c>
      <c r="E971" t="s">
        <v>1738</v>
      </c>
      <c r="H971" s="154"/>
      <c r="I971" s="18" t="s">
        <v>1066</v>
      </c>
      <c r="J971" s="23" t="s">
        <v>1779</v>
      </c>
      <c r="K971" s="4">
        <v>49</v>
      </c>
      <c r="L971" s="4" t="s">
        <v>9</v>
      </c>
      <c r="M971" s="5" t="s">
        <v>1181</v>
      </c>
      <c r="N971" s="5" t="s">
        <v>972</v>
      </c>
      <c r="O971" s="147">
        <v>5</v>
      </c>
      <c r="P971" s="15">
        <v>4</v>
      </c>
      <c r="Q971" s="148">
        <f t="shared" si="33"/>
        <v>9</v>
      </c>
      <c r="R9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GBOTTO GOGOUA FERNAND GRAND-ZATTRY DJORO ROA    YAO VINCENT  0748048771 49 M DOTE PLANTEUR</v>
      </c>
      <c r="Z971" s="53"/>
      <c r="AA971" s="2"/>
      <c r="AB971" s="48"/>
      <c r="AG971" s="154"/>
      <c r="AH971" s="18"/>
      <c r="AI971" s="23"/>
      <c r="AJ971" s="4"/>
      <c r="AK971" s="4"/>
      <c r="AL971" s="5"/>
      <c r="AM971" s="5"/>
      <c r="AN971" s="147"/>
      <c r="AO971" s="15"/>
      <c r="AP971" s="148"/>
    </row>
    <row r="972" spans="1:42" ht="16.5" x14ac:dyDescent="0.35">
      <c r="A972" s="53">
        <v>971</v>
      </c>
      <c r="B972" s="2" t="s">
        <v>1752</v>
      </c>
      <c r="C972" s="48" t="s">
        <v>663</v>
      </c>
      <c r="D972" t="s">
        <v>1796</v>
      </c>
      <c r="E972" t="s">
        <v>1738</v>
      </c>
      <c r="H972" s="154"/>
      <c r="I972" s="18" t="s">
        <v>1066</v>
      </c>
      <c r="J972" s="23" t="s">
        <v>1780</v>
      </c>
      <c r="K972" s="4">
        <v>33</v>
      </c>
      <c r="L972" s="4" t="s">
        <v>2</v>
      </c>
      <c r="M972" s="5" t="s">
        <v>1063</v>
      </c>
      <c r="N972" s="5" t="s">
        <v>1182</v>
      </c>
      <c r="O972" s="147">
        <v>2</v>
      </c>
      <c r="P972" s="15">
        <v>3</v>
      </c>
      <c r="Q972" s="148">
        <f t="shared" si="33"/>
        <v>5</v>
      </c>
      <c r="R9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GOGOUADE NATHALIE GRAND-ZATTRY DJORO ROA    YAO VINCENT  0779546104 33 F CONCUBINAGE MENAGERE</v>
      </c>
      <c r="Z972" s="53"/>
      <c r="AA972" s="2"/>
      <c r="AB972" s="48"/>
      <c r="AG972" s="154"/>
      <c r="AH972" s="18"/>
      <c r="AI972" s="23"/>
      <c r="AJ972" s="4"/>
      <c r="AK972" s="4"/>
      <c r="AL972" s="5"/>
      <c r="AM972" s="5"/>
      <c r="AN972" s="147"/>
      <c r="AO972" s="15"/>
      <c r="AP972" s="148"/>
    </row>
    <row r="973" spans="1:42" ht="16.5" x14ac:dyDescent="0.35">
      <c r="A973" s="53">
        <v>972</v>
      </c>
      <c r="B973" s="2" t="s">
        <v>1753</v>
      </c>
      <c r="C973" s="48" t="s">
        <v>663</v>
      </c>
      <c r="D973" t="s">
        <v>1796</v>
      </c>
      <c r="E973" t="s">
        <v>1738</v>
      </c>
      <c r="H973" s="154"/>
      <c r="I973" s="18" t="s">
        <v>1066</v>
      </c>
      <c r="J973" s="23" t="s">
        <v>1781</v>
      </c>
      <c r="K973" s="4">
        <v>37</v>
      </c>
      <c r="L973" s="4" t="s">
        <v>2</v>
      </c>
      <c r="M973" s="5" t="s">
        <v>1181</v>
      </c>
      <c r="N973" s="5" t="s">
        <v>1587</v>
      </c>
      <c r="O973" s="147">
        <v>1</v>
      </c>
      <c r="P973" s="15">
        <v>3</v>
      </c>
      <c r="Q973" s="148">
        <f t="shared" si="33"/>
        <v>4</v>
      </c>
      <c r="R9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GNIZAKO PELAGIE GRAND-ZATTRY DJORO ROA    YAO VINCENT  0574737495 37 F DOTE COMMERCE</v>
      </c>
      <c r="Z973" s="53"/>
      <c r="AA973" s="2"/>
      <c r="AB973" s="48"/>
      <c r="AG973" s="154"/>
      <c r="AH973" s="18"/>
      <c r="AI973" s="23"/>
      <c r="AJ973" s="4"/>
      <c r="AK973" s="4"/>
      <c r="AL973" s="5"/>
      <c r="AM973" s="5"/>
      <c r="AN973" s="147"/>
      <c r="AO973" s="15"/>
      <c r="AP973" s="148"/>
    </row>
    <row r="974" spans="1:42" ht="16.5" x14ac:dyDescent="0.35">
      <c r="A974" s="53">
        <v>973</v>
      </c>
      <c r="B974" s="2" t="s">
        <v>1754</v>
      </c>
      <c r="C974" s="48" t="s">
        <v>663</v>
      </c>
      <c r="D974" t="s">
        <v>1796</v>
      </c>
      <c r="E974" t="s">
        <v>1738</v>
      </c>
      <c r="H974" s="154"/>
      <c r="I974" s="18" t="s">
        <v>1066</v>
      </c>
      <c r="J974" s="23" t="s">
        <v>1782</v>
      </c>
      <c r="K974" s="4">
        <v>40</v>
      </c>
      <c r="L974" s="4" t="s">
        <v>9</v>
      </c>
      <c r="M974" s="5" t="s">
        <v>969</v>
      </c>
      <c r="N974" s="5" t="s">
        <v>1793</v>
      </c>
      <c r="O974" s="147">
        <v>2</v>
      </c>
      <c r="P974" s="15">
        <v>2</v>
      </c>
      <c r="Q974" s="148">
        <f t="shared" si="33"/>
        <v>4</v>
      </c>
      <c r="R9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KIPRE JEAN CLAUDE GRAND-ZATTRY DJORO ROA    YAO VINCENT  0585824435 40 M CELIBATAIRE ELEVAGE</v>
      </c>
      <c r="Z974" s="53"/>
      <c r="AA974" s="2"/>
      <c r="AB974" s="48"/>
      <c r="AG974" s="154"/>
      <c r="AH974" s="18"/>
      <c r="AI974" s="23"/>
      <c r="AJ974" s="4"/>
      <c r="AK974" s="4"/>
      <c r="AL974" s="5"/>
      <c r="AM974" s="5"/>
      <c r="AN974" s="147"/>
      <c r="AO974" s="15"/>
      <c r="AP974" s="148"/>
    </row>
    <row r="975" spans="1:42" ht="16.5" x14ac:dyDescent="0.35">
      <c r="A975" s="53">
        <v>974</v>
      </c>
      <c r="B975" s="2" t="s">
        <v>1755</v>
      </c>
      <c r="C975" s="48" t="s">
        <v>663</v>
      </c>
      <c r="D975" t="s">
        <v>1796</v>
      </c>
      <c r="E975" t="s">
        <v>1738</v>
      </c>
      <c r="H975" s="154"/>
      <c r="I975" s="18" t="s">
        <v>1066</v>
      </c>
      <c r="J975" s="23" t="s">
        <v>1783</v>
      </c>
      <c r="K975" s="4">
        <v>55</v>
      </c>
      <c r="L975" s="4" t="s">
        <v>2</v>
      </c>
      <c r="M975" s="5" t="s">
        <v>1181</v>
      </c>
      <c r="N975" s="5" t="s">
        <v>1182</v>
      </c>
      <c r="O975" s="147">
        <v>3</v>
      </c>
      <c r="P975" s="15">
        <v>3</v>
      </c>
      <c r="Q975" s="148">
        <f t="shared" si="33"/>
        <v>6</v>
      </c>
      <c r="R9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GNAKO AYEKPEU CHANTAL GRAND-ZATTRY DJORO ROA    YAO VINCENT  0777796986 55 F DOTE MENAGERE</v>
      </c>
      <c r="Z975" s="53"/>
      <c r="AA975" s="2"/>
      <c r="AB975" s="48"/>
      <c r="AG975" s="154"/>
      <c r="AH975" s="18"/>
      <c r="AI975" s="23"/>
      <c r="AJ975" s="4"/>
      <c r="AK975" s="4"/>
      <c r="AL975" s="5"/>
      <c r="AM975" s="5"/>
      <c r="AN975" s="147"/>
      <c r="AO975" s="15"/>
      <c r="AP975" s="148"/>
    </row>
    <row r="976" spans="1:42" ht="16.5" x14ac:dyDescent="0.35">
      <c r="A976" s="53">
        <v>975</v>
      </c>
      <c r="B976" s="2" t="s">
        <v>1756</v>
      </c>
      <c r="C976" s="48" t="s">
        <v>663</v>
      </c>
      <c r="D976" t="s">
        <v>1796</v>
      </c>
      <c r="E976" t="s">
        <v>1738</v>
      </c>
      <c r="H976" s="154"/>
      <c r="I976" s="18" t="s">
        <v>1066</v>
      </c>
      <c r="J976" s="23" t="s">
        <v>1725</v>
      </c>
      <c r="K976" s="4">
        <v>50</v>
      </c>
      <c r="L976" s="4" t="s">
        <v>2</v>
      </c>
      <c r="M976" s="5" t="s">
        <v>1181</v>
      </c>
      <c r="N976" s="5" t="s">
        <v>1794</v>
      </c>
      <c r="O976" s="147">
        <v>6</v>
      </c>
      <c r="P976" s="15">
        <v>2</v>
      </c>
      <c r="Q976" s="148">
        <f t="shared" si="33"/>
        <v>8</v>
      </c>
      <c r="R9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DOUANE ZAKEHI BERTINE GRAND-ZATTRY DJORO ROA    YAO VINCENT  0779309104 50 F DOTE CULTIVATRICE</v>
      </c>
      <c r="Z976" s="53"/>
      <c r="AA976" s="2"/>
      <c r="AB976" s="48"/>
      <c r="AG976" s="154"/>
      <c r="AH976" s="18"/>
      <c r="AI976" s="23"/>
      <c r="AJ976" s="4"/>
      <c r="AK976" s="4"/>
      <c r="AL976" s="5"/>
      <c r="AM976" s="5"/>
      <c r="AN976" s="147"/>
      <c r="AO976" s="15"/>
      <c r="AP976" s="148"/>
    </row>
    <row r="977" spans="1:42" ht="16.5" x14ac:dyDescent="0.35">
      <c r="A977" s="53">
        <v>976</v>
      </c>
      <c r="B977" s="2" t="s">
        <v>1757</v>
      </c>
      <c r="C977" s="48" t="s">
        <v>663</v>
      </c>
      <c r="D977" t="s">
        <v>1796</v>
      </c>
      <c r="E977" t="s">
        <v>1738</v>
      </c>
      <c r="H977" s="154"/>
      <c r="I977" s="18" t="s">
        <v>1066</v>
      </c>
      <c r="J977" s="23" t="s">
        <v>1784</v>
      </c>
      <c r="K977" s="4">
        <v>43</v>
      </c>
      <c r="L977" s="4" t="s">
        <v>2</v>
      </c>
      <c r="M977" s="5" t="s">
        <v>1181</v>
      </c>
      <c r="N977" s="5" t="s">
        <v>1587</v>
      </c>
      <c r="O977" s="147">
        <v>6</v>
      </c>
      <c r="P977" s="15">
        <v>2</v>
      </c>
      <c r="Q977" s="148">
        <f t="shared" si="33"/>
        <v>8</v>
      </c>
      <c r="R9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TAPE YOLANDE GRAND-ZATTRY DJORO ROA    YAO VINCENT  0748888365 43 F DOTE COMMERCE</v>
      </c>
      <c r="Z977" s="53"/>
      <c r="AA977" s="2"/>
      <c r="AB977" s="48"/>
      <c r="AG977" s="154"/>
      <c r="AH977" s="18"/>
      <c r="AI977" s="23"/>
      <c r="AJ977" s="4"/>
      <c r="AK977" s="4"/>
      <c r="AL977" s="5"/>
      <c r="AM977" s="5"/>
      <c r="AN977" s="147"/>
      <c r="AO977" s="15"/>
      <c r="AP977" s="148"/>
    </row>
    <row r="978" spans="1:42" ht="16.5" x14ac:dyDescent="0.35">
      <c r="A978" s="53">
        <v>977</v>
      </c>
      <c r="B978" s="2" t="s">
        <v>1758</v>
      </c>
      <c r="C978" s="48" t="s">
        <v>663</v>
      </c>
      <c r="D978" t="s">
        <v>1796</v>
      </c>
      <c r="E978" t="s">
        <v>1738</v>
      </c>
      <c r="H978" s="154"/>
      <c r="I978" s="18" t="s">
        <v>1066</v>
      </c>
      <c r="J978" s="23" t="s">
        <v>1785</v>
      </c>
      <c r="K978" s="4">
        <v>49</v>
      </c>
      <c r="L978" s="4" t="s">
        <v>2</v>
      </c>
      <c r="M978" s="5" t="s">
        <v>1181</v>
      </c>
      <c r="N978" s="5" t="s">
        <v>1587</v>
      </c>
      <c r="O978" s="147">
        <v>3</v>
      </c>
      <c r="P978" s="15">
        <v>5</v>
      </c>
      <c r="Q978" s="148">
        <f t="shared" si="33"/>
        <v>8</v>
      </c>
      <c r="R9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KENO AGNES GRAND-ZATTRY DJORO ROA    YAO VINCENT  0704196295 49 F DOTE COMMERCE</v>
      </c>
      <c r="Z978" s="53"/>
      <c r="AA978" s="2"/>
      <c r="AB978" s="48"/>
      <c r="AG978" s="154"/>
      <c r="AH978" s="18"/>
      <c r="AI978" s="23"/>
      <c r="AJ978" s="4"/>
      <c r="AK978" s="4"/>
      <c r="AL978" s="5"/>
      <c r="AM978" s="5"/>
      <c r="AN978" s="147"/>
      <c r="AO978" s="15"/>
      <c r="AP978" s="148"/>
    </row>
    <row r="979" spans="1:42" ht="16.5" x14ac:dyDescent="0.35">
      <c r="A979" s="53">
        <v>978</v>
      </c>
      <c r="B979" s="2" t="s">
        <v>1759</v>
      </c>
      <c r="C979" s="48" t="s">
        <v>663</v>
      </c>
      <c r="D979" t="s">
        <v>1796</v>
      </c>
      <c r="E979" t="s">
        <v>1738</v>
      </c>
      <c r="H979" s="154"/>
      <c r="I979" s="18" t="s">
        <v>1066</v>
      </c>
      <c r="J979" s="23" t="s">
        <v>1786</v>
      </c>
      <c r="K979" s="4">
        <v>50</v>
      </c>
      <c r="L979" s="4" t="s">
        <v>2</v>
      </c>
      <c r="M979" s="5" t="s">
        <v>1181</v>
      </c>
      <c r="N979" s="5" t="s">
        <v>972</v>
      </c>
      <c r="O979" s="147">
        <v>4</v>
      </c>
      <c r="P979" s="15">
        <v>3</v>
      </c>
      <c r="Q979" s="148">
        <f t="shared" si="33"/>
        <v>7</v>
      </c>
      <c r="R9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ZOBO PATRICIA GRAND-ZATTRY DJORO ROA    YAO VINCENT  0707093963 50 F DOTE PLANTEUR</v>
      </c>
      <c r="Z979" s="53"/>
      <c r="AA979" s="2"/>
      <c r="AB979" s="48"/>
      <c r="AG979" s="154"/>
      <c r="AH979" s="18"/>
      <c r="AI979" s="23"/>
      <c r="AJ979" s="4"/>
      <c r="AK979" s="4"/>
      <c r="AL979" s="5"/>
      <c r="AM979" s="5"/>
      <c r="AN979" s="147"/>
      <c r="AO979" s="15"/>
      <c r="AP979" s="148"/>
    </row>
    <row r="980" spans="1:42" ht="16.5" x14ac:dyDescent="0.35">
      <c r="A980" s="53">
        <v>979</v>
      </c>
      <c r="B980" s="2" t="s">
        <v>1760</v>
      </c>
      <c r="C980" s="48" t="s">
        <v>663</v>
      </c>
      <c r="D980" t="s">
        <v>1796</v>
      </c>
      <c r="E980" t="s">
        <v>1738</v>
      </c>
      <c r="H980" s="154"/>
      <c r="I980" s="18" t="s">
        <v>1066</v>
      </c>
      <c r="J980" s="23" t="s">
        <v>1787</v>
      </c>
      <c r="K980" s="4">
        <v>59</v>
      </c>
      <c r="L980" s="4" t="s">
        <v>9</v>
      </c>
      <c r="M980" s="5" t="s">
        <v>969</v>
      </c>
      <c r="N980" s="5" t="s">
        <v>972</v>
      </c>
      <c r="O980" s="147">
        <v>1</v>
      </c>
      <c r="P980" s="15">
        <v>5</v>
      </c>
      <c r="Q980" s="148">
        <f t="shared" si="33"/>
        <v>6</v>
      </c>
      <c r="R9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ZABOUO ISIDORE GRAND-ZATTRY DJORO ROA    YAO VINCENT  0749469015 59 M CELIBATAIRE PLANTEUR</v>
      </c>
      <c r="Z980" s="53"/>
      <c r="AA980" s="2"/>
      <c r="AB980" s="48"/>
      <c r="AG980" s="154"/>
      <c r="AH980" s="18"/>
      <c r="AI980" s="23"/>
      <c r="AJ980" s="4"/>
      <c r="AK980" s="4"/>
      <c r="AL980" s="5"/>
      <c r="AM980" s="5"/>
      <c r="AN980" s="147"/>
      <c r="AO980" s="15"/>
      <c r="AP980" s="148"/>
    </row>
    <row r="981" spans="1:42" ht="16.5" x14ac:dyDescent="0.35">
      <c r="A981" s="53">
        <v>980</v>
      </c>
      <c r="B981" s="2" t="s">
        <v>1761</v>
      </c>
      <c r="C981" s="48" t="s">
        <v>663</v>
      </c>
      <c r="D981" t="s">
        <v>1796</v>
      </c>
      <c r="E981" t="s">
        <v>1738</v>
      </c>
      <c r="H981" s="154"/>
      <c r="I981" s="18" t="s">
        <v>1066</v>
      </c>
      <c r="J981" s="23" t="s">
        <v>1788</v>
      </c>
      <c r="K981" s="4">
        <v>36</v>
      </c>
      <c r="L981" s="4" t="s">
        <v>2</v>
      </c>
      <c r="M981" s="5" t="s">
        <v>1063</v>
      </c>
      <c r="N981" s="5" t="s">
        <v>1182</v>
      </c>
      <c r="O981" s="147">
        <v>2</v>
      </c>
      <c r="P981" s="15">
        <v>3</v>
      </c>
      <c r="Q981" s="148">
        <f t="shared" si="33"/>
        <v>5</v>
      </c>
      <c r="R9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BAWA ASSA CHRISTELLE GRAND-ZATTRY DJORO ROA    YAO VINCENT  0778766223 36 F CONCUBINAGE MENAGERE</v>
      </c>
      <c r="Z981" s="53"/>
      <c r="AA981" s="2"/>
      <c r="AB981" s="48"/>
      <c r="AG981" s="154"/>
      <c r="AH981" s="18"/>
      <c r="AI981" s="23"/>
      <c r="AJ981" s="4"/>
      <c r="AK981" s="4"/>
      <c r="AL981" s="5"/>
      <c r="AM981" s="5"/>
      <c r="AN981" s="147"/>
      <c r="AO981" s="15"/>
      <c r="AP981" s="148"/>
    </row>
    <row r="982" spans="1:42" ht="16.5" x14ac:dyDescent="0.5">
      <c r="A982" s="53">
        <v>981</v>
      </c>
      <c r="B982" s="2" t="s">
        <v>1762</v>
      </c>
      <c r="C982" s="48" t="s">
        <v>663</v>
      </c>
      <c r="D982" t="s">
        <v>1796</v>
      </c>
      <c r="E982" t="s">
        <v>1738</v>
      </c>
      <c r="H982" s="154"/>
      <c r="I982" s="18" t="s">
        <v>1066</v>
      </c>
      <c r="J982" s="23"/>
      <c r="K982" s="6">
        <v>55</v>
      </c>
      <c r="L982" s="4" t="s">
        <v>2</v>
      </c>
      <c r="M982" s="6" t="s">
        <v>1181</v>
      </c>
      <c r="N982" s="6" t="s">
        <v>1587</v>
      </c>
      <c r="O982" s="149">
        <v>7</v>
      </c>
      <c r="P982" s="149">
        <v>0</v>
      </c>
      <c r="Q982" s="148">
        <f t="shared" si="33"/>
        <v>7</v>
      </c>
      <c r="R9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LOUE AYEKPEU THERESE GRAND-ZATTRY DJORO ROA    YAO VINCENT   55 F DOTE COMMERCE</v>
      </c>
      <c r="Z982" s="53"/>
      <c r="AA982" s="2"/>
      <c r="AB982" s="48"/>
      <c r="AG982" s="154"/>
      <c r="AH982" s="18"/>
      <c r="AI982" s="23"/>
      <c r="AJ982" s="6"/>
      <c r="AK982" s="4"/>
      <c r="AL982" s="6"/>
      <c r="AM982" s="6"/>
      <c r="AN982" s="149"/>
      <c r="AO982" s="149"/>
      <c r="AP982" s="148"/>
    </row>
    <row r="983" spans="1:42" ht="16.5" x14ac:dyDescent="0.35">
      <c r="A983" s="53">
        <v>982</v>
      </c>
      <c r="B983" s="2" t="s">
        <v>1763</v>
      </c>
      <c r="C983" s="48" t="s">
        <v>663</v>
      </c>
      <c r="D983" t="s">
        <v>1796</v>
      </c>
      <c r="E983" t="s">
        <v>1738</v>
      </c>
      <c r="H983" s="154"/>
      <c r="I983" s="18" t="s">
        <v>1066</v>
      </c>
      <c r="J983" s="24"/>
      <c r="K983" s="8">
        <v>54</v>
      </c>
      <c r="L983" s="4" t="s">
        <v>2</v>
      </c>
      <c r="M983" s="8" t="s">
        <v>1181</v>
      </c>
      <c r="N983" s="8" t="s">
        <v>1587</v>
      </c>
      <c r="O983" s="151">
        <v>3</v>
      </c>
      <c r="P983" s="151">
        <v>6</v>
      </c>
      <c r="Q983" s="148">
        <f t="shared" si="33"/>
        <v>9</v>
      </c>
      <c r="R9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LOGBO ZAKEHI AIMEE GRAND-ZATTRY DJORO ROA    YAO VINCENT   54 F DOTE COMMERCE</v>
      </c>
      <c r="Z983" s="53"/>
      <c r="AA983" s="2"/>
      <c r="AB983" s="48"/>
      <c r="AG983" s="154"/>
      <c r="AH983" s="18"/>
      <c r="AI983" s="24"/>
      <c r="AJ983" s="8"/>
      <c r="AK983" s="4"/>
      <c r="AL983" s="8"/>
      <c r="AM983" s="8"/>
      <c r="AN983" s="151"/>
      <c r="AO983" s="151"/>
      <c r="AP983" s="148"/>
    </row>
    <row r="984" spans="1:42" ht="16.5" x14ac:dyDescent="0.35">
      <c r="A984" s="53">
        <v>983</v>
      </c>
      <c r="B984" s="9" t="s">
        <v>1764</v>
      </c>
      <c r="C984" s="48" t="s">
        <v>663</v>
      </c>
      <c r="D984" t="s">
        <v>1796</v>
      </c>
      <c r="E984" t="s">
        <v>1738</v>
      </c>
      <c r="H984" s="154"/>
      <c r="I984" s="18" t="s">
        <v>1066</v>
      </c>
      <c r="J984" s="25" t="s">
        <v>1789</v>
      </c>
      <c r="K984" s="11"/>
      <c r="L984" s="178" t="s">
        <v>2</v>
      </c>
      <c r="M984" s="11" t="s">
        <v>1181</v>
      </c>
      <c r="N984" s="11" t="s">
        <v>1182</v>
      </c>
      <c r="O984" s="143">
        <v>6</v>
      </c>
      <c r="P984" s="143">
        <v>2</v>
      </c>
      <c r="Q984" s="148">
        <f t="shared" si="33"/>
        <v>8</v>
      </c>
      <c r="R9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MAMBO SOUA CLARISSE GRAND-ZATTRY DJORO ROA    YAO VINCENT  0787835129  F DOTE MENAGERE</v>
      </c>
      <c r="Z984" s="53"/>
      <c r="AA984" s="9"/>
      <c r="AB984" s="48"/>
      <c r="AG984" s="154"/>
      <c r="AH984" s="18"/>
      <c r="AI984" s="25"/>
      <c r="AJ984" s="11"/>
      <c r="AK984" s="178"/>
      <c r="AL984" s="11"/>
      <c r="AM984" s="11"/>
      <c r="AN984" s="143"/>
      <c r="AO984" s="143"/>
      <c r="AP984" s="148"/>
    </row>
    <row r="985" spans="1:42" ht="16.5" x14ac:dyDescent="0.35">
      <c r="A985" s="53">
        <v>984</v>
      </c>
      <c r="B985" s="9" t="s">
        <v>1765</v>
      </c>
      <c r="C985" s="48" t="s">
        <v>663</v>
      </c>
      <c r="D985" t="s">
        <v>1796</v>
      </c>
      <c r="E985" t="s">
        <v>1738</v>
      </c>
      <c r="H985" s="154"/>
      <c r="I985" s="18" t="s">
        <v>1066</v>
      </c>
      <c r="J985" s="25" t="s">
        <v>1790</v>
      </c>
      <c r="K985" s="11">
        <v>49</v>
      </c>
      <c r="L985" s="178" t="s">
        <v>2</v>
      </c>
      <c r="M985" s="11" t="s">
        <v>1181</v>
      </c>
      <c r="N985" s="11" t="s">
        <v>972</v>
      </c>
      <c r="O985" s="143">
        <v>4</v>
      </c>
      <c r="P985" s="143">
        <v>6</v>
      </c>
      <c r="Q985" s="148">
        <f t="shared" si="33"/>
        <v>10</v>
      </c>
      <c r="R9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ZADI JOEL GRAND-ZATTRY DJORO ROA    YAO VINCENT  0749973258 49 F DOTE PLANTEUR</v>
      </c>
      <c r="Z985" s="53"/>
      <c r="AA985" s="9"/>
      <c r="AB985" s="48"/>
      <c r="AG985" s="154"/>
      <c r="AH985" s="18"/>
      <c r="AI985" s="25"/>
      <c r="AJ985" s="11"/>
      <c r="AK985" s="178"/>
      <c r="AL985" s="11"/>
      <c r="AM985" s="11"/>
      <c r="AN985" s="143"/>
      <c r="AO985" s="143"/>
      <c r="AP985" s="148"/>
    </row>
    <row r="986" spans="1:42" ht="16.5" x14ac:dyDescent="0.35">
      <c r="A986" s="53">
        <v>985</v>
      </c>
      <c r="B986" s="9" t="s">
        <v>1766</v>
      </c>
      <c r="C986" s="48" t="s">
        <v>663</v>
      </c>
      <c r="D986" t="s">
        <v>1796</v>
      </c>
      <c r="E986" t="s">
        <v>1738</v>
      </c>
      <c r="H986" s="154"/>
      <c r="I986" s="18" t="s">
        <v>1066</v>
      </c>
      <c r="J986" s="25"/>
      <c r="K986" s="11">
        <v>42</v>
      </c>
      <c r="L986" s="178" t="s">
        <v>2</v>
      </c>
      <c r="M986" s="11" t="s">
        <v>1181</v>
      </c>
      <c r="N986" s="11" t="s">
        <v>1795</v>
      </c>
      <c r="O986" s="143">
        <v>2</v>
      </c>
      <c r="P986" s="143">
        <v>0</v>
      </c>
      <c r="Q986" s="148">
        <f t="shared" si="33"/>
        <v>2</v>
      </c>
      <c r="R9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BOUAZO EBA ROSE GRAND-ZATTRY DJORO ROA    YAO VINCENT   42 F DOTE COIFFEUSE</v>
      </c>
      <c r="Z986" s="53"/>
      <c r="AA986" s="9"/>
      <c r="AB986" s="48"/>
      <c r="AG986" s="154"/>
      <c r="AH986" s="18"/>
      <c r="AI986" s="25"/>
      <c r="AJ986" s="11"/>
      <c r="AK986" s="178"/>
      <c r="AL986" s="11"/>
      <c r="AM986" s="11"/>
      <c r="AN986" s="143"/>
      <c r="AO986" s="143"/>
      <c r="AP986" s="148"/>
    </row>
    <row r="987" spans="1:42" ht="16.5" x14ac:dyDescent="0.35">
      <c r="A987" s="53">
        <v>986</v>
      </c>
      <c r="B987" s="9" t="s">
        <v>1767</v>
      </c>
      <c r="C987" s="48" t="s">
        <v>663</v>
      </c>
      <c r="D987" t="s">
        <v>1796</v>
      </c>
      <c r="E987" t="s">
        <v>1738</v>
      </c>
      <c r="H987" s="154"/>
      <c r="I987" s="18" t="s">
        <v>1066</v>
      </c>
      <c r="J987" s="25" t="s">
        <v>1791</v>
      </c>
      <c r="K987" s="11">
        <v>47</v>
      </c>
      <c r="L987" s="178" t="s">
        <v>2</v>
      </c>
      <c r="M987" s="11" t="s">
        <v>1063</v>
      </c>
      <c r="N987" s="11" t="s">
        <v>1587</v>
      </c>
      <c r="O987" s="143">
        <v>1</v>
      </c>
      <c r="P987" s="143">
        <v>2</v>
      </c>
      <c r="Q987" s="148">
        <f t="shared" si="33"/>
        <v>3</v>
      </c>
      <c r="R9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GLA CHANTALE GRAND-ZATTRY DJORO ROA    YAO VINCENT  0777215276 47 F CONCUBINAGE COMMERCE</v>
      </c>
      <c r="Z987" s="53"/>
      <c r="AA987" s="9"/>
      <c r="AB987" s="48"/>
      <c r="AG987" s="154"/>
      <c r="AH987" s="18"/>
      <c r="AI987" s="25"/>
      <c r="AJ987" s="11"/>
      <c r="AK987" s="178"/>
      <c r="AL987" s="11"/>
      <c r="AM987" s="11"/>
      <c r="AN987" s="143"/>
      <c r="AO987" s="143"/>
      <c r="AP987" s="148"/>
    </row>
    <row r="988" spans="1:42" ht="17" thickBot="1" x14ac:dyDescent="0.4">
      <c r="A988" s="53">
        <v>987</v>
      </c>
      <c r="B988" s="9" t="s">
        <v>1768</v>
      </c>
      <c r="C988" s="48" t="s">
        <v>663</v>
      </c>
      <c r="D988" t="s">
        <v>1796</v>
      </c>
      <c r="E988" t="s">
        <v>1738</v>
      </c>
      <c r="H988" s="154"/>
      <c r="I988" s="18" t="s">
        <v>1066</v>
      </c>
      <c r="J988" s="193" t="s">
        <v>1792</v>
      </c>
      <c r="K988" s="14">
        <v>62</v>
      </c>
      <c r="L988" s="14" t="s">
        <v>2</v>
      </c>
      <c r="M988" s="14" t="s">
        <v>1181</v>
      </c>
      <c r="N988" s="14" t="s">
        <v>1182</v>
      </c>
      <c r="O988" s="141">
        <v>2</v>
      </c>
      <c r="P988" s="141">
        <v>5</v>
      </c>
      <c r="Q988" s="148">
        <f t="shared" si="33"/>
        <v>7</v>
      </c>
      <c r="R9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GBAHI MARCELINE GRAND-ZATTRY DJORO ROA    YAO VINCENT  0749672161 62 F DOTE MENAGERE</v>
      </c>
      <c r="Z988" s="53"/>
      <c r="AA988" s="9"/>
      <c r="AB988" s="48"/>
      <c r="AG988" s="154"/>
      <c r="AH988" s="18"/>
      <c r="AI988" s="193"/>
      <c r="AJ988" s="14"/>
      <c r="AK988" s="14"/>
      <c r="AL988" s="14"/>
      <c r="AM988" s="14"/>
      <c r="AN988" s="141"/>
      <c r="AO988" s="141"/>
      <c r="AP988" s="148"/>
    </row>
    <row r="989" spans="1:42" ht="16.5" x14ac:dyDescent="0.35">
      <c r="A989" s="53">
        <v>988</v>
      </c>
      <c r="B989" s="2" t="s">
        <v>1797</v>
      </c>
      <c r="C989" s="48" t="s">
        <v>663</v>
      </c>
      <c r="D989" t="s">
        <v>1854</v>
      </c>
      <c r="E989" t="s">
        <v>1738</v>
      </c>
      <c r="H989" s="10"/>
      <c r="I989" s="18" t="s">
        <v>1066</v>
      </c>
      <c r="J989" s="23" t="s">
        <v>1827</v>
      </c>
      <c r="K989" s="4">
        <v>45</v>
      </c>
      <c r="L989" s="4" t="s">
        <v>2</v>
      </c>
      <c r="M989" s="5" t="s">
        <v>1063</v>
      </c>
      <c r="N989" s="5" t="s">
        <v>1795</v>
      </c>
      <c r="O989" s="147">
        <v>1</v>
      </c>
      <c r="P989" s="15">
        <v>3</v>
      </c>
      <c r="Q989" s="148">
        <f>(O989+P989)</f>
        <v>4</v>
      </c>
      <c r="R9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KONAN ADJOUA MARIE SOLANGE GRAND-ZATTRY LEHIRI ROA    YAO VINCENT  0707495228 45 F CONCUBINAGE COIFFEUSE</v>
      </c>
      <c r="Z989" s="53"/>
      <c r="AA989" s="2"/>
      <c r="AB989" s="48"/>
      <c r="AG989" s="10"/>
      <c r="AH989" s="18"/>
      <c r="AI989" s="23"/>
      <c r="AJ989" s="4"/>
      <c r="AK989" s="4"/>
      <c r="AL989" s="5"/>
      <c r="AM989" s="5"/>
      <c r="AN989" s="147"/>
      <c r="AO989" s="15"/>
      <c r="AP989" s="148"/>
    </row>
    <row r="990" spans="1:42" ht="16.5" x14ac:dyDescent="0.35">
      <c r="A990" s="53">
        <v>989</v>
      </c>
      <c r="B990" s="2" t="s">
        <v>1798</v>
      </c>
      <c r="C990" s="48" t="s">
        <v>663</v>
      </c>
      <c r="D990" t="s">
        <v>1854</v>
      </c>
      <c r="E990" t="s">
        <v>1738</v>
      </c>
      <c r="H990" s="154"/>
      <c r="I990" s="18" t="s">
        <v>1066</v>
      </c>
      <c r="J990" s="23"/>
      <c r="K990" s="4"/>
      <c r="L990" s="4" t="s">
        <v>2</v>
      </c>
      <c r="M990" s="5" t="s">
        <v>1063</v>
      </c>
      <c r="N990" s="5" t="s">
        <v>1182</v>
      </c>
      <c r="O990" s="147">
        <v>2</v>
      </c>
      <c r="P990" s="15">
        <v>1</v>
      </c>
      <c r="Q990" s="148">
        <f t="shared" ref="Q990:Q1018" si="34">(O990+P990)</f>
        <v>3</v>
      </c>
      <c r="R9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BIDI LIKAGNENE EOLITTE GRAND-ZATTRY LEHIRI ROA    YAO VINCENT    F CONCUBINAGE MENAGERE</v>
      </c>
      <c r="Z990" s="53"/>
      <c r="AA990" s="2"/>
      <c r="AB990" s="48"/>
      <c r="AG990" s="154"/>
      <c r="AH990" s="18"/>
      <c r="AI990" s="23"/>
      <c r="AJ990" s="4"/>
      <c r="AK990" s="4"/>
      <c r="AL990" s="5"/>
      <c r="AM990" s="5"/>
      <c r="AN990" s="147"/>
      <c r="AO990" s="15"/>
      <c r="AP990" s="148"/>
    </row>
    <row r="991" spans="1:42" ht="16.5" x14ac:dyDescent="0.35">
      <c r="A991" s="53">
        <v>990</v>
      </c>
      <c r="B991" s="2" t="s">
        <v>1799</v>
      </c>
      <c r="C991" s="48" t="s">
        <v>663</v>
      </c>
      <c r="D991" t="s">
        <v>1854</v>
      </c>
      <c r="E991" t="s">
        <v>1738</v>
      </c>
      <c r="H991" s="154"/>
      <c r="I991" s="18" t="s">
        <v>1066</v>
      </c>
      <c r="J991" s="23" t="s">
        <v>1828</v>
      </c>
      <c r="K991" s="4">
        <v>51</v>
      </c>
      <c r="L991" s="4" t="s">
        <v>2</v>
      </c>
      <c r="M991" s="5" t="s">
        <v>1063</v>
      </c>
      <c r="N991" s="5" t="s">
        <v>1587</v>
      </c>
      <c r="O991" s="147">
        <v>3</v>
      </c>
      <c r="P991" s="15">
        <v>7</v>
      </c>
      <c r="Q991" s="148">
        <f t="shared" si="34"/>
        <v>10</v>
      </c>
      <c r="R9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DOUKOURE OURAPA GRAND-ZATTRY LEHIRI ROA    YAO VINCENT  0749913450 51 F CONCUBINAGE COMMERCE</v>
      </c>
      <c r="Z991" s="53"/>
      <c r="AA991" s="2"/>
      <c r="AB991" s="48"/>
      <c r="AG991" s="154"/>
      <c r="AH991" s="18"/>
      <c r="AI991" s="23"/>
      <c r="AJ991" s="4"/>
      <c r="AK991" s="4"/>
      <c r="AL991" s="5"/>
      <c r="AM991" s="5"/>
      <c r="AN991" s="147"/>
      <c r="AO991" s="15"/>
      <c r="AP991" s="148"/>
    </row>
    <row r="992" spans="1:42" ht="16.5" x14ac:dyDescent="0.35">
      <c r="A992" s="53">
        <v>991</v>
      </c>
      <c r="B992" s="2" t="s">
        <v>1800</v>
      </c>
      <c r="C992" s="48" t="s">
        <v>663</v>
      </c>
      <c r="D992" t="s">
        <v>1854</v>
      </c>
      <c r="E992" t="s">
        <v>1738</v>
      </c>
      <c r="H992" s="154"/>
      <c r="I992" s="18" t="s">
        <v>1066</v>
      </c>
      <c r="J992" s="23" t="s">
        <v>1829</v>
      </c>
      <c r="K992" s="4">
        <v>56</v>
      </c>
      <c r="L992" s="4" t="s">
        <v>2</v>
      </c>
      <c r="M992" s="5" t="s">
        <v>969</v>
      </c>
      <c r="N992" s="5" t="s">
        <v>1182</v>
      </c>
      <c r="O992" s="147">
        <v>1</v>
      </c>
      <c r="P992" s="15">
        <v>1</v>
      </c>
      <c r="Q992" s="148">
        <f t="shared" si="34"/>
        <v>2</v>
      </c>
      <c r="R9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BAHI ZOHONAN CECILE GRAND-ZATTRY LEHIRI ROA    YAO VINCENT  0708960354 56 F CELIBATAIRE MENAGERE</v>
      </c>
      <c r="Z992" s="53"/>
      <c r="AA992" s="2"/>
      <c r="AB992" s="48"/>
      <c r="AG992" s="154"/>
      <c r="AH992" s="18"/>
      <c r="AI992" s="23"/>
      <c r="AJ992" s="4"/>
      <c r="AK992" s="4"/>
      <c r="AL992" s="5"/>
      <c r="AM992" s="5"/>
      <c r="AN992" s="147"/>
      <c r="AO992" s="15"/>
      <c r="AP992" s="148"/>
    </row>
    <row r="993" spans="1:42" ht="16.5" x14ac:dyDescent="0.35">
      <c r="A993" s="53">
        <v>992</v>
      </c>
      <c r="B993" s="2" t="s">
        <v>1801</v>
      </c>
      <c r="C993" s="48" t="s">
        <v>663</v>
      </c>
      <c r="D993" t="s">
        <v>1854</v>
      </c>
      <c r="E993" t="s">
        <v>1738</v>
      </c>
      <c r="H993" s="154"/>
      <c r="I993" s="18" t="s">
        <v>1066</v>
      </c>
      <c r="J993" s="23" t="s">
        <v>1830</v>
      </c>
      <c r="K993" s="4">
        <v>40</v>
      </c>
      <c r="L993" s="4" t="s">
        <v>2</v>
      </c>
      <c r="M993" s="3" t="s">
        <v>1063</v>
      </c>
      <c r="N993" s="5" t="s">
        <v>1853</v>
      </c>
      <c r="O993" s="147">
        <v>4</v>
      </c>
      <c r="P993" s="15">
        <v>2</v>
      </c>
      <c r="Q993" s="148">
        <f t="shared" si="34"/>
        <v>6</v>
      </c>
      <c r="R9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SERI TINA GRAND-ZATTRY LEHIRI ROA    YAO VINCENT  0172804225 40 F CONCUBINAGE TRAISSEUSE</v>
      </c>
      <c r="Z993" s="53"/>
      <c r="AA993" s="2"/>
      <c r="AB993" s="48"/>
      <c r="AG993" s="154"/>
      <c r="AH993" s="18"/>
      <c r="AI993" s="23"/>
      <c r="AJ993" s="4"/>
      <c r="AK993" s="4"/>
      <c r="AL993" s="3"/>
      <c r="AM993" s="5"/>
      <c r="AN993" s="147"/>
      <c r="AO993" s="15"/>
      <c r="AP993" s="148"/>
    </row>
    <row r="994" spans="1:42" ht="16.5" x14ac:dyDescent="0.35">
      <c r="A994" s="53">
        <v>993</v>
      </c>
      <c r="B994" s="2" t="s">
        <v>1802</v>
      </c>
      <c r="C994" s="48" t="s">
        <v>663</v>
      </c>
      <c r="D994" t="s">
        <v>1854</v>
      </c>
      <c r="E994" t="s">
        <v>1738</v>
      </c>
      <c r="H994" s="154"/>
      <c r="I994" s="18" t="s">
        <v>1066</v>
      </c>
      <c r="J994" s="23" t="s">
        <v>1831</v>
      </c>
      <c r="K994" s="4"/>
      <c r="L994" s="4" t="s">
        <v>2</v>
      </c>
      <c r="M994" s="5" t="s">
        <v>1095</v>
      </c>
      <c r="N994" s="5" t="s">
        <v>1587</v>
      </c>
      <c r="O994" s="147">
        <v>0</v>
      </c>
      <c r="P994" s="15">
        <v>0</v>
      </c>
      <c r="Q994" s="148">
        <f t="shared" si="34"/>
        <v>0</v>
      </c>
      <c r="R9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Mme NIOBLE Née BLE WASSIA GRAND-ZATTRY LEHIRI ROA    YAO VINCENT  0708933874  F MARIE COMMERCE</v>
      </c>
      <c r="Z994" s="53"/>
      <c r="AA994" s="2"/>
      <c r="AB994" s="48"/>
      <c r="AG994" s="154"/>
      <c r="AH994" s="18"/>
      <c r="AI994" s="23"/>
      <c r="AJ994" s="4"/>
      <c r="AK994" s="4"/>
      <c r="AL994" s="5"/>
      <c r="AM994" s="5"/>
      <c r="AN994" s="147"/>
      <c r="AO994" s="15"/>
      <c r="AP994" s="148"/>
    </row>
    <row r="995" spans="1:42" ht="16.5" x14ac:dyDescent="0.35">
      <c r="A995" s="53">
        <v>994</v>
      </c>
      <c r="B995" s="2" t="s">
        <v>1803</v>
      </c>
      <c r="C995" s="48" t="s">
        <v>663</v>
      </c>
      <c r="D995" t="s">
        <v>1854</v>
      </c>
      <c r="E995" t="s">
        <v>1738</v>
      </c>
      <c r="H995" s="154"/>
      <c r="I995" s="18" t="s">
        <v>1066</v>
      </c>
      <c r="J995" s="23" t="s">
        <v>1832</v>
      </c>
      <c r="K995" s="4">
        <v>52</v>
      </c>
      <c r="L995" s="4" t="s">
        <v>2</v>
      </c>
      <c r="M995" s="5" t="s">
        <v>1063</v>
      </c>
      <c r="N995" s="5" t="s">
        <v>1587</v>
      </c>
      <c r="O995" s="147">
        <v>3</v>
      </c>
      <c r="P995" s="15">
        <v>1</v>
      </c>
      <c r="Q995" s="148">
        <f t="shared" si="34"/>
        <v>4</v>
      </c>
      <c r="R9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ZIADOU GERMAINE GRAND-ZATTRY LEHIRI ROA    YAO VINCENT  0708910372 52 F CONCUBINAGE COMMERCE</v>
      </c>
      <c r="Z995" s="53"/>
      <c r="AA995" s="2"/>
      <c r="AB995" s="48"/>
      <c r="AG995" s="154"/>
      <c r="AH995" s="18"/>
      <c r="AI995" s="23"/>
      <c r="AJ995" s="4"/>
      <c r="AK995" s="4"/>
      <c r="AL995" s="5"/>
      <c r="AM995" s="5"/>
      <c r="AN995" s="147"/>
      <c r="AO995" s="15"/>
      <c r="AP995" s="148"/>
    </row>
    <row r="996" spans="1:42" ht="16.5" x14ac:dyDescent="0.35">
      <c r="A996" s="53">
        <v>995</v>
      </c>
      <c r="B996" s="2" t="s">
        <v>1804</v>
      </c>
      <c r="C996" s="48" t="s">
        <v>663</v>
      </c>
      <c r="D996" t="s">
        <v>1854</v>
      </c>
      <c r="E996" t="s">
        <v>1738</v>
      </c>
      <c r="H996" s="154"/>
      <c r="I996" s="18" t="s">
        <v>1066</v>
      </c>
      <c r="J996" s="23" t="s">
        <v>1833</v>
      </c>
      <c r="K996" s="4">
        <v>52</v>
      </c>
      <c r="L996" s="4" t="s">
        <v>2</v>
      </c>
      <c r="M996" s="5" t="s">
        <v>1181</v>
      </c>
      <c r="N996" s="5" t="s">
        <v>1587</v>
      </c>
      <c r="O996" s="147">
        <v>1</v>
      </c>
      <c r="P996" s="15">
        <v>0</v>
      </c>
      <c r="Q996" s="148">
        <f t="shared" si="34"/>
        <v>1</v>
      </c>
      <c r="R9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KOUASSA DJAHUE MARTINE GRAND-ZATTRY LEHIRI ROA    YAO VINCENT  0173827773 52 F DOTE COMMERCE</v>
      </c>
      <c r="Z996" s="53"/>
      <c r="AA996" s="2"/>
      <c r="AB996" s="48"/>
      <c r="AG996" s="154"/>
      <c r="AH996" s="18"/>
      <c r="AI996" s="23"/>
      <c r="AJ996" s="4"/>
      <c r="AK996" s="4"/>
      <c r="AL996" s="5"/>
      <c r="AM996" s="5"/>
      <c r="AN996" s="147"/>
      <c r="AO996" s="15"/>
      <c r="AP996" s="148"/>
    </row>
    <row r="997" spans="1:42" ht="16.5" x14ac:dyDescent="0.35">
      <c r="A997" s="53">
        <v>996</v>
      </c>
      <c r="B997" s="2" t="s">
        <v>1805</v>
      </c>
      <c r="C997" s="48" t="s">
        <v>663</v>
      </c>
      <c r="D997" t="s">
        <v>1854</v>
      </c>
      <c r="E997" t="s">
        <v>1738</v>
      </c>
      <c r="H997" s="154"/>
      <c r="I997" s="18" t="s">
        <v>1066</v>
      </c>
      <c r="J997" s="23" t="s">
        <v>1834</v>
      </c>
      <c r="K997" s="4"/>
      <c r="L997" s="4" t="s">
        <v>2</v>
      </c>
      <c r="M997" s="5" t="s">
        <v>1063</v>
      </c>
      <c r="N997" s="5" t="s">
        <v>1677</v>
      </c>
      <c r="O997" s="147">
        <v>2</v>
      </c>
      <c r="P997" s="15">
        <v>2</v>
      </c>
      <c r="Q997" s="148">
        <f t="shared" si="34"/>
        <v>4</v>
      </c>
      <c r="R9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GOGOUA AKELE JULIE GRAND-ZATTRY LEHIRI ROA    YAO VINCENT  0565112725  F CONCUBINAGE COUTURE</v>
      </c>
      <c r="Z997" s="53"/>
      <c r="AA997" s="2"/>
      <c r="AB997" s="48"/>
      <c r="AG997" s="154"/>
      <c r="AH997" s="18"/>
      <c r="AI997" s="23"/>
      <c r="AJ997" s="4"/>
      <c r="AK997" s="4"/>
      <c r="AL997" s="5"/>
      <c r="AM997" s="5"/>
      <c r="AN997" s="147"/>
      <c r="AO997" s="15"/>
      <c r="AP997" s="148"/>
    </row>
    <row r="998" spans="1:42" ht="16.5" x14ac:dyDescent="0.35">
      <c r="A998" s="53">
        <v>997</v>
      </c>
      <c r="B998" s="2" t="s">
        <v>1806</v>
      </c>
      <c r="C998" s="48" t="s">
        <v>663</v>
      </c>
      <c r="D998" t="s">
        <v>1854</v>
      </c>
      <c r="E998" t="s">
        <v>1738</v>
      </c>
      <c r="H998" s="154"/>
      <c r="I998" s="18" t="s">
        <v>1066</v>
      </c>
      <c r="J998" s="23" t="s">
        <v>1835</v>
      </c>
      <c r="K998" s="4">
        <v>55</v>
      </c>
      <c r="L998" s="4" t="s">
        <v>2</v>
      </c>
      <c r="M998" s="5" t="s">
        <v>1063</v>
      </c>
      <c r="N998" s="5" t="s">
        <v>1182</v>
      </c>
      <c r="O998" s="147">
        <v>2</v>
      </c>
      <c r="P998" s="15">
        <v>5</v>
      </c>
      <c r="Q998" s="148">
        <f t="shared" si="34"/>
        <v>7</v>
      </c>
      <c r="R9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LIGNON CATHERINE GRAND-ZATTRY LEHIRI ROA    YAO VINCENT  0103933350 55 F CONCUBINAGE MENAGERE</v>
      </c>
      <c r="Z998" s="53"/>
      <c r="AA998" s="2"/>
      <c r="AB998" s="48"/>
      <c r="AG998" s="154"/>
      <c r="AH998" s="18"/>
      <c r="AI998" s="23"/>
      <c r="AJ998" s="4"/>
      <c r="AK998" s="4"/>
      <c r="AL998" s="5"/>
      <c r="AM998" s="5"/>
      <c r="AN998" s="147"/>
      <c r="AO998" s="15"/>
      <c r="AP998" s="148"/>
    </row>
    <row r="999" spans="1:42" ht="16.5" x14ac:dyDescent="0.35">
      <c r="A999" s="53">
        <v>998</v>
      </c>
      <c r="B999" s="2" t="s">
        <v>1807</v>
      </c>
      <c r="C999" s="48" t="s">
        <v>663</v>
      </c>
      <c r="D999" t="s">
        <v>1854</v>
      </c>
      <c r="E999" t="s">
        <v>1738</v>
      </c>
      <c r="H999" s="154"/>
      <c r="I999" s="18" t="s">
        <v>1066</v>
      </c>
      <c r="J999" s="23" t="s">
        <v>1836</v>
      </c>
      <c r="K999" s="4">
        <v>46</v>
      </c>
      <c r="L999" s="4" t="s">
        <v>2</v>
      </c>
      <c r="M999" s="5" t="s">
        <v>1063</v>
      </c>
      <c r="N999" s="5" t="s">
        <v>1182</v>
      </c>
      <c r="O999" s="147">
        <v>3</v>
      </c>
      <c r="P999" s="15">
        <v>2</v>
      </c>
      <c r="Q999" s="148">
        <f t="shared" si="34"/>
        <v>5</v>
      </c>
      <c r="R99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DIGBEU DJEME SYLVIE GRAND-ZATTRY LEHIRI ROA    YAO VINCENT  05762028414 46 F CONCUBINAGE MENAGERE</v>
      </c>
      <c r="Z999" s="53"/>
      <c r="AA999" s="2"/>
      <c r="AB999" s="48"/>
      <c r="AG999" s="154"/>
      <c r="AH999" s="18"/>
      <c r="AI999" s="23"/>
      <c r="AJ999" s="4"/>
      <c r="AK999" s="4"/>
      <c r="AL999" s="5"/>
      <c r="AM999" s="5"/>
      <c r="AN999" s="147"/>
      <c r="AO999" s="15"/>
      <c r="AP999" s="148"/>
    </row>
    <row r="1000" spans="1:42" ht="16.5" x14ac:dyDescent="0.35">
      <c r="A1000" s="53">
        <v>999</v>
      </c>
      <c r="B1000" s="2" t="s">
        <v>1808</v>
      </c>
      <c r="C1000" s="48" t="s">
        <v>663</v>
      </c>
      <c r="D1000" t="s">
        <v>1854</v>
      </c>
      <c r="E1000" t="s">
        <v>1738</v>
      </c>
      <c r="H1000" s="154"/>
      <c r="I1000" s="18" t="s">
        <v>1066</v>
      </c>
      <c r="J1000" s="23" t="s">
        <v>1837</v>
      </c>
      <c r="K1000" s="4"/>
      <c r="L1000" s="4" t="s">
        <v>2</v>
      </c>
      <c r="M1000" s="5" t="s">
        <v>1852</v>
      </c>
      <c r="N1000" s="5" t="s">
        <v>1182</v>
      </c>
      <c r="O1000" s="147">
        <v>0</v>
      </c>
      <c r="P1000" s="15">
        <v>0</v>
      </c>
      <c r="Q1000" s="148">
        <f t="shared" si="34"/>
        <v>0</v>
      </c>
      <c r="R100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DIGBEU WASSI THERESE GRAND-ZATTRY LEHIRI ROA    YAO VINCENT  0789118804  F VEUVE MENAGERE</v>
      </c>
      <c r="Z1000" s="53"/>
      <c r="AA1000" s="2"/>
      <c r="AB1000" s="48"/>
      <c r="AG1000" s="154"/>
      <c r="AH1000" s="18"/>
      <c r="AI1000" s="23"/>
      <c r="AJ1000" s="4"/>
      <c r="AK1000" s="4"/>
      <c r="AL1000" s="5"/>
      <c r="AM1000" s="5"/>
      <c r="AN1000" s="147"/>
      <c r="AO1000" s="15"/>
      <c r="AP1000" s="148"/>
    </row>
    <row r="1001" spans="1:42" ht="16.5" x14ac:dyDescent="0.35">
      <c r="A1001" s="53">
        <v>1000</v>
      </c>
      <c r="B1001" s="2" t="s">
        <v>1809</v>
      </c>
      <c r="C1001" s="48" t="s">
        <v>663</v>
      </c>
      <c r="D1001" t="s">
        <v>1854</v>
      </c>
      <c r="E1001" t="s">
        <v>1738</v>
      </c>
      <c r="H1001" s="154"/>
      <c r="I1001" s="18" t="s">
        <v>1066</v>
      </c>
      <c r="J1001" s="23" t="s">
        <v>1838</v>
      </c>
      <c r="K1001" s="4">
        <v>53</v>
      </c>
      <c r="L1001" s="4" t="s">
        <v>2</v>
      </c>
      <c r="M1001" s="5" t="s">
        <v>1063</v>
      </c>
      <c r="N1001" s="5" t="s">
        <v>1182</v>
      </c>
      <c r="O1001" s="147">
        <v>1</v>
      </c>
      <c r="P1001" s="15">
        <v>2</v>
      </c>
      <c r="Q1001" s="148">
        <f t="shared" si="34"/>
        <v>3</v>
      </c>
      <c r="R100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KAZA ZOHONON HORTENSE GRAND-ZATTRY LEHIRI ROA    YAO VINCENT  0707089458 53 F CONCUBINAGE MENAGERE</v>
      </c>
      <c r="Z1001" s="53"/>
      <c r="AA1001" s="2"/>
      <c r="AB1001" s="48"/>
      <c r="AG1001" s="154"/>
      <c r="AH1001" s="18"/>
      <c r="AI1001" s="23"/>
      <c r="AJ1001" s="4"/>
      <c r="AK1001" s="4"/>
      <c r="AL1001" s="5"/>
      <c r="AM1001" s="5"/>
      <c r="AN1001" s="147"/>
      <c r="AO1001" s="15"/>
      <c r="AP1001" s="148"/>
    </row>
    <row r="1002" spans="1:42" ht="16.5" x14ac:dyDescent="0.35">
      <c r="A1002" s="53">
        <v>1001</v>
      </c>
      <c r="B1002" s="2" t="s">
        <v>1810</v>
      </c>
      <c r="C1002" s="48" t="s">
        <v>663</v>
      </c>
      <c r="D1002" t="s">
        <v>1854</v>
      </c>
      <c r="E1002" t="s">
        <v>1738</v>
      </c>
      <c r="H1002" s="154"/>
      <c r="I1002" s="18" t="s">
        <v>1066</v>
      </c>
      <c r="J1002" s="23" t="s">
        <v>1839</v>
      </c>
      <c r="K1002" s="4">
        <v>46</v>
      </c>
      <c r="L1002" s="4" t="s">
        <v>2</v>
      </c>
      <c r="M1002" s="5" t="s">
        <v>969</v>
      </c>
      <c r="N1002" s="5" t="s">
        <v>1182</v>
      </c>
      <c r="O1002" s="147">
        <v>4</v>
      </c>
      <c r="P1002" s="15">
        <v>2</v>
      </c>
      <c r="Q1002" s="148">
        <f t="shared" si="34"/>
        <v>6</v>
      </c>
      <c r="R100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TETIALY NICOLE GRAND-ZATTRY LEHIRI ROA    YAO VINCENT  0554299910 46 F CELIBATAIRE MENAGERE</v>
      </c>
      <c r="Z1002" s="53"/>
      <c r="AA1002" s="2"/>
      <c r="AB1002" s="48"/>
      <c r="AG1002" s="154"/>
      <c r="AH1002" s="18"/>
      <c r="AI1002" s="23"/>
      <c r="AJ1002" s="4"/>
      <c r="AK1002" s="4"/>
      <c r="AL1002" s="5"/>
      <c r="AM1002" s="5"/>
      <c r="AN1002" s="147"/>
      <c r="AO1002" s="15"/>
      <c r="AP1002" s="148"/>
    </row>
    <row r="1003" spans="1:42" ht="16.5" x14ac:dyDescent="0.35">
      <c r="A1003" s="53">
        <v>1002</v>
      </c>
      <c r="B1003" s="2" t="s">
        <v>1811</v>
      </c>
      <c r="C1003" s="48" t="s">
        <v>663</v>
      </c>
      <c r="D1003" t="s">
        <v>1854</v>
      </c>
      <c r="E1003" t="s">
        <v>1738</v>
      </c>
      <c r="H1003" s="154"/>
      <c r="I1003" s="18" t="s">
        <v>1066</v>
      </c>
      <c r="J1003" s="23" t="s">
        <v>1840</v>
      </c>
      <c r="K1003" s="4">
        <v>64</v>
      </c>
      <c r="L1003" s="4" t="s">
        <v>2</v>
      </c>
      <c r="M1003" s="5" t="s">
        <v>1852</v>
      </c>
      <c r="N1003" s="5" t="s">
        <v>1182</v>
      </c>
      <c r="O1003" s="147">
        <v>2</v>
      </c>
      <c r="P1003" s="15">
        <v>4</v>
      </c>
      <c r="Q1003" s="148">
        <f t="shared" si="34"/>
        <v>6</v>
      </c>
      <c r="R100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DJOLOHONON JEANNETTE GRAND-ZATTRY LEHIRI ROA    YAO VINCENT  0788115391 64 F VEUVE MENAGERE</v>
      </c>
      <c r="Z1003" s="53"/>
      <c r="AA1003" s="2"/>
      <c r="AB1003" s="48"/>
      <c r="AG1003" s="154"/>
      <c r="AH1003" s="18"/>
      <c r="AI1003" s="23"/>
      <c r="AJ1003" s="4"/>
      <c r="AK1003" s="4"/>
      <c r="AL1003" s="5"/>
      <c r="AM1003" s="5"/>
      <c r="AN1003" s="147"/>
      <c r="AO1003" s="15"/>
      <c r="AP1003" s="148"/>
    </row>
    <row r="1004" spans="1:42" ht="16.5" x14ac:dyDescent="0.35">
      <c r="A1004" s="53">
        <v>1003</v>
      </c>
      <c r="B1004" s="2" t="s">
        <v>1812</v>
      </c>
      <c r="C1004" s="48" t="s">
        <v>663</v>
      </c>
      <c r="D1004" t="s">
        <v>1854</v>
      </c>
      <c r="E1004" t="s">
        <v>1738</v>
      </c>
      <c r="H1004" s="154"/>
      <c r="I1004" s="18" t="s">
        <v>1066</v>
      </c>
      <c r="J1004" s="23" t="s">
        <v>1841</v>
      </c>
      <c r="K1004" s="4">
        <v>55</v>
      </c>
      <c r="L1004" s="4" t="s">
        <v>2</v>
      </c>
      <c r="M1004" s="5" t="s">
        <v>1181</v>
      </c>
      <c r="N1004" s="5" t="s">
        <v>1182</v>
      </c>
      <c r="O1004" s="147">
        <v>4</v>
      </c>
      <c r="P1004" s="15">
        <v>3</v>
      </c>
      <c r="Q1004" s="148">
        <f t="shared" si="34"/>
        <v>7</v>
      </c>
      <c r="R100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GOGOUA JULIENNE GRAND-ZATTRY LEHIRI ROA    YAO VINCENT  0758918425 55 F DOTE MENAGERE</v>
      </c>
      <c r="Z1004" s="53"/>
      <c r="AA1004" s="2"/>
      <c r="AB1004" s="48"/>
      <c r="AG1004" s="154"/>
      <c r="AH1004" s="18"/>
      <c r="AI1004" s="23"/>
      <c r="AJ1004" s="4"/>
      <c r="AK1004" s="4"/>
      <c r="AL1004" s="5"/>
      <c r="AM1004" s="5"/>
      <c r="AN1004" s="147"/>
      <c r="AO1004" s="15"/>
      <c r="AP1004" s="148"/>
    </row>
    <row r="1005" spans="1:42" ht="16.5" x14ac:dyDescent="0.35">
      <c r="A1005" s="53">
        <v>1004</v>
      </c>
      <c r="B1005" s="2" t="s">
        <v>1813</v>
      </c>
      <c r="C1005" s="48" t="s">
        <v>663</v>
      </c>
      <c r="D1005" t="s">
        <v>1854</v>
      </c>
      <c r="E1005" t="s">
        <v>1738</v>
      </c>
      <c r="H1005" s="154"/>
      <c r="I1005" s="18" t="s">
        <v>1066</v>
      </c>
      <c r="J1005" s="23" t="s">
        <v>1842</v>
      </c>
      <c r="K1005" s="4">
        <v>44</v>
      </c>
      <c r="L1005" s="4" t="s">
        <v>2</v>
      </c>
      <c r="M1005" s="5" t="s">
        <v>1063</v>
      </c>
      <c r="N1005" s="5" t="s">
        <v>1587</v>
      </c>
      <c r="O1005" s="147">
        <v>3</v>
      </c>
      <c r="P1005" s="15">
        <v>3</v>
      </c>
      <c r="Q1005" s="148">
        <f t="shared" si="34"/>
        <v>6</v>
      </c>
      <c r="R100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BLA BOUKA LYDIE GRAND-ZATTRY LEHIRI ROA    YAO VINCENT  0777564193 44 F CONCUBINAGE COMMERCE</v>
      </c>
      <c r="Z1005" s="53"/>
      <c r="AA1005" s="2"/>
      <c r="AB1005" s="48"/>
      <c r="AG1005" s="154"/>
      <c r="AH1005" s="18"/>
      <c r="AI1005" s="23"/>
      <c r="AJ1005" s="4"/>
      <c r="AK1005" s="4"/>
      <c r="AL1005" s="5"/>
      <c r="AM1005" s="5"/>
      <c r="AN1005" s="147"/>
      <c r="AO1005" s="15"/>
      <c r="AP1005" s="148"/>
    </row>
    <row r="1006" spans="1:42" ht="16.5" x14ac:dyDescent="0.35">
      <c r="A1006" s="53">
        <v>1005</v>
      </c>
      <c r="B1006" s="2" t="s">
        <v>1814</v>
      </c>
      <c r="C1006" s="48" t="s">
        <v>663</v>
      </c>
      <c r="D1006" t="s">
        <v>1854</v>
      </c>
      <c r="E1006" t="s">
        <v>1738</v>
      </c>
      <c r="H1006" s="154"/>
      <c r="I1006" s="18" t="s">
        <v>1066</v>
      </c>
      <c r="J1006" s="23" t="s">
        <v>1843</v>
      </c>
      <c r="K1006" s="4">
        <v>40</v>
      </c>
      <c r="L1006" s="4" t="s">
        <v>2</v>
      </c>
      <c r="M1006" s="5" t="s">
        <v>1181</v>
      </c>
      <c r="N1006" s="5" t="s">
        <v>1587</v>
      </c>
      <c r="O1006" s="147">
        <v>3</v>
      </c>
      <c r="P1006" s="15">
        <v>2</v>
      </c>
      <c r="Q1006" s="148">
        <f t="shared" si="34"/>
        <v>5</v>
      </c>
      <c r="R100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GNOLOU GALO RACHELLE GRAND-ZATTRY LEHIRI ROA    YAO VINCENT  0797326394 40 F DOTE COMMERCE</v>
      </c>
      <c r="Z1006" s="53"/>
      <c r="AA1006" s="2"/>
      <c r="AB1006" s="48"/>
      <c r="AG1006" s="154"/>
      <c r="AH1006" s="18"/>
      <c r="AI1006" s="23"/>
      <c r="AJ1006" s="4"/>
      <c r="AK1006" s="4"/>
      <c r="AL1006" s="5"/>
      <c r="AM1006" s="5"/>
      <c r="AN1006" s="147"/>
      <c r="AO1006" s="15"/>
      <c r="AP1006" s="148"/>
    </row>
    <row r="1007" spans="1:42" ht="16.5" x14ac:dyDescent="0.35">
      <c r="A1007" s="53">
        <v>1006</v>
      </c>
      <c r="B1007" s="2" t="s">
        <v>1815</v>
      </c>
      <c r="C1007" s="48" t="s">
        <v>663</v>
      </c>
      <c r="D1007" t="s">
        <v>1854</v>
      </c>
      <c r="E1007" t="s">
        <v>1738</v>
      </c>
      <c r="H1007" s="154"/>
      <c r="I1007" s="18" t="s">
        <v>1066</v>
      </c>
      <c r="J1007" s="23" t="s">
        <v>1844</v>
      </c>
      <c r="K1007" s="4">
        <v>52</v>
      </c>
      <c r="L1007" s="4" t="s">
        <v>9</v>
      </c>
      <c r="M1007" s="5" t="s">
        <v>1063</v>
      </c>
      <c r="N1007" s="5" t="s">
        <v>972</v>
      </c>
      <c r="O1007" s="147">
        <v>1</v>
      </c>
      <c r="P1007" s="15">
        <v>3</v>
      </c>
      <c r="Q1007" s="148">
        <f t="shared" si="34"/>
        <v>4</v>
      </c>
      <c r="R100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NIOBLE TIBURCE GRAND-ZATTRY LEHIRI ROA    YAO VINCENT  0749452745 52 M CONCUBINAGE PLANTEUR</v>
      </c>
      <c r="Z1007" s="53"/>
      <c r="AA1007" s="2"/>
      <c r="AB1007" s="48"/>
      <c r="AG1007" s="154"/>
      <c r="AH1007" s="18"/>
      <c r="AI1007" s="23"/>
      <c r="AJ1007" s="4"/>
      <c r="AK1007" s="4"/>
      <c r="AL1007" s="5"/>
      <c r="AM1007" s="5"/>
      <c r="AN1007" s="147"/>
      <c r="AO1007" s="15"/>
      <c r="AP1007" s="148"/>
    </row>
    <row r="1008" spans="1:42" ht="16.5" x14ac:dyDescent="0.35">
      <c r="A1008" s="53">
        <v>1007</v>
      </c>
      <c r="B1008" s="2" t="s">
        <v>1816</v>
      </c>
      <c r="C1008" s="48" t="s">
        <v>663</v>
      </c>
      <c r="D1008" t="s">
        <v>1854</v>
      </c>
      <c r="E1008" t="s">
        <v>1738</v>
      </c>
      <c r="H1008" s="154"/>
      <c r="I1008" s="18" t="s">
        <v>1066</v>
      </c>
      <c r="J1008" s="23" t="s">
        <v>1845</v>
      </c>
      <c r="K1008" s="4">
        <v>55</v>
      </c>
      <c r="L1008" s="4" t="s">
        <v>9</v>
      </c>
      <c r="M1008" s="5" t="s">
        <v>1063</v>
      </c>
      <c r="N1008" s="5" t="s">
        <v>972</v>
      </c>
      <c r="O1008" s="147">
        <v>0</v>
      </c>
      <c r="P1008" s="15">
        <v>0</v>
      </c>
      <c r="Q1008" s="148">
        <f t="shared" si="34"/>
        <v>0</v>
      </c>
      <c r="R100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NIOBLE MAURICE GRAND-ZATTRY LEHIRI ROA    YAO VINCENT  055537649 55 M CONCUBINAGE PLANTEUR</v>
      </c>
      <c r="Z1008" s="53"/>
      <c r="AA1008" s="2"/>
      <c r="AB1008" s="48"/>
      <c r="AG1008" s="154"/>
      <c r="AH1008" s="18"/>
      <c r="AI1008" s="23"/>
      <c r="AJ1008" s="4"/>
      <c r="AK1008" s="4"/>
      <c r="AL1008" s="5"/>
      <c r="AM1008" s="5"/>
      <c r="AN1008" s="147"/>
      <c r="AO1008" s="15"/>
      <c r="AP1008" s="148"/>
    </row>
    <row r="1009" spans="1:42" ht="16.5" x14ac:dyDescent="0.35">
      <c r="A1009" s="53">
        <v>1008</v>
      </c>
      <c r="B1009" s="2" t="s">
        <v>1817</v>
      </c>
      <c r="C1009" s="48" t="s">
        <v>663</v>
      </c>
      <c r="D1009" t="s">
        <v>1854</v>
      </c>
      <c r="E1009" t="s">
        <v>1738</v>
      </c>
      <c r="H1009" s="154"/>
      <c r="I1009" s="18" t="s">
        <v>1066</v>
      </c>
      <c r="J1009" s="23"/>
      <c r="K1009" s="4">
        <v>42</v>
      </c>
      <c r="L1009" s="4" t="s">
        <v>2</v>
      </c>
      <c r="M1009" s="5" t="s">
        <v>1063</v>
      </c>
      <c r="N1009" s="5" t="s">
        <v>1182</v>
      </c>
      <c r="O1009" s="147">
        <v>3</v>
      </c>
      <c r="P1009" s="15">
        <v>3</v>
      </c>
      <c r="Q1009" s="148">
        <f t="shared" si="34"/>
        <v>6</v>
      </c>
      <c r="R100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ZOUZOUA SAHOUA PATRICIA GRAND-ZATTRY LEHIRI ROA    YAO VINCENT   42 F CONCUBINAGE MENAGERE</v>
      </c>
      <c r="Z1009" s="53"/>
      <c r="AA1009" s="2"/>
      <c r="AB1009" s="48"/>
      <c r="AG1009" s="154"/>
      <c r="AH1009" s="18"/>
      <c r="AI1009" s="23"/>
      <c r="AJ1009" s="4"/>
      <c r="AK1009" s="4"/>
      <c r="AL1009" s="5"/>
      <c r="AM1009" s="5"/>
      <c r="AN1009" s="147"/>
      <c r="AO1009" s="15"/>
      <c r="AP1009" s="148"/>
    </row>
    <row r="1010" spans="1:42" ht="16.5" x14ac:dyDescent="0.35">
      <c r="A1010" s="53">
        <v>1009</v>
      </c>
      <c r="B1010" s="2" t="s">
        <v>1818</v>
      </c>
      <c r="C1010" s="48" t="s">
        <v>663</v>
      </c>
      <c r="D1010" t="s">
        <v>1854</v>
      </c>
      <c r="E1010" t="s">
        <v>1738</v>
      </c>
      <c r="H1010" s="154"/>
      <c r="I1010" s="18" t="s">
        <v>1066</v>
      </c>
      <c r="J1010" s="23"/>
      <c r="K1010" s="4">
        <v>26</v>
      </c>
      <c r="L1010" s="4" t="s">
        <v>2</v>
      </c>
      <c r="M1010" s="5" t="s">
        <v>1063</v>
      </c>
      <c r="N1010" s="5" t="s">
        <v>1182</v>
      </c>
      <c r="O1010" s="147">
        <v>1</v>
      </c>
      <c r="P1010" s="15">
        <v>2</v>
      </c>
      <c r="Q1010" s="148">
        <f t="shared" si="34"/>
        <v>3</v>
      </c>
      <c r="R101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TAPE RITA GRAND-ZATTRY LEHIRI ROA    YAO VINCENT   26 F CONCUBINAGE MENAGERE</v>
      </c>
      <c r="Z1010" s="53"/>
      <c r="AA1010" s="2"/>
      <c r="AB1010" s="48"/>
      <c r="AG1010" s="154"/>
      <c r="AH1010" s="18"/>
      <c r="AI1010" s="23"/>
      <c r="AJ1010" s="4"/>
      <c r="AK1010" s="4"/>
      <c r="AL1010" s="5"/>
      <c r="AM1010" s="5"/>
      <c r="AN1010" s="147"/>
      <c r="AO1010" s="15"/>
      <c r="AP1010" s="148"/>
    </row>
    <row r="1011" spans="1:42" ht="16.5" x14ac:dyDescent="0.35">
      <c r="A1011" s="53">
        <v>1010</v>
      </c>
      <c r="B1011" s="2" t="s">
        <v>1819</v>
      </c>
      <c r="C1011" s="48" t="s">
        <v>663</v>
      </c>
      <c r="D1011" t="s">
        <v>1854</v>
      </c>
      <c r="E1011" t="s">
        <v>1738</v>
      </c>
      <c r="H1011" s="154"/>
      <c r="I1011" s="18" t="s">
        <v>1066</v>
      </c>
      <c r="J1011" s="23"/>
      <c r="K1011" s="4">
        <v>25</v>
      </c>
      <c r="L1011" s="4" t="s">
        <v>2</v>
      </c>
      <c r="M1011" s="5" t="s">
        <v>1095</v>
      </c>
      <c r="N1011" s="5" t="s">
        <v>1677</v>
      </c>
      <c r="O1011" s="147">
        <v>1</v>
      </c>
      <c r="P1011" s="15">
        <v>0</v>
      </c>
      <c r="Q1011" s="148">
        <f t="shared" si="34"/>
        <v>1</v>
      </c>
      <c r="R101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TIA SANDRINE GRAND-ZATTRY LEHIRI ROA    YAO VINCENT   25 F MARIE COUTURE</v>
      </c>
      <c r="Z1011" s="53"/>
      <c r="AA1011" s="2"/>
      <c r="AB1011" s="48"/>
      <c r="AG1011" s="154"/>
      <c r="AH1011" s="18"/>
      <c r="AI1011" s="23"/>
      <c r="AJ1011" s="4"/>
      <c r="AK1011" s="4"/>
      <c r="AL1011" s="5"/>
      <c r="AM1011" s="5"/>
      <c r="AN1011" s="147"/>
      <c r="AO1011" s="15"/>
      <c r="AP1011" s="148"/>
    </row>
    <row r="1012" spans="1:42" ht="16.5" x14ac:dyDescent="0.5">
      <c r="A1012" s="53">
        <v>1011</v>
      </c>
      <c r="B1012" s="2" t="s">
        <v>1820</v>
      </c>
      <c r="C1012" s="48" t="s">
        <v>663</v>
      </c>
      <c r="D1012" t="s">
        <v>1854</v>
      </c>
      <c r="E1012" t="s">
        <v>1738</v>
      </c>
      <c r="H1012" s="154"/>
      <c r="I1012" s="18" t="s">
        <v>1066</v>
      </c>
      <c r="J1012" s="23" t="s">
        <v>1846</v>
      </c>
      <c r="K1012" s="6">
        <v>44</v>
      </c>
      <c r="L1012" s="4" t="s">
        <v>2</v>
      </c>
      <c r="M1012" s="6" t="s">
        <v>1063</v>
      </c>
      <c r="N1012" s="6" t="s">
        <v>1587</v>
      </c>
      <c r="O1012" s="149">
        <v>2</v>
      </c>
      <c r="P1012" s="149">
        <v>3</v>
      </c>
      <c r="Q1012" s="148">
        <f t="shared" si="34"/>
        <v>5</v>
      </c>
      <c r="R101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GBOGOU ZADIHONON BRIGITTE GRAND-ZATTRY LEHIRI ROA    YAO VINCENT  0595665492 44 F CONCUBINAGE COMMERCE</v>
      </c>
      <c r="Z1012" s="53"/>
      <c r="AA1012" s="2"/>
      <c r="AB1012" s="48"/>
      <c r="AG1012" s="154"/>
      <c r="AH1012" s="18"/>
      <c r="AI1012" s="23"/>
      <c r="AJ1012" s="6"/>
      <c r="AK1012" s="4"/>
      <c r="AL1012" s="6"/>
      <c r="AM1012" s="6"/>
      <c r="AN1012" s="149"/>
      <c r="AO1012" s="149"/>
      <c r="AP1012" s="148"/>
    </row>
    <row r="1013" spans="1:42" ht="16.5" x14ac:dyDescent="0.35">
      <c r="A1013" s="53">
        <v>1012</v>
      </c>
      <c r="B1013" s="2" t="s">
        <v>1821</v>
      </c>
      <c r="C1013" s="48" t="s">
        <v>663</v>
      </c>
      <c r="D1013" t="s">
        <v>1854</v>
      </c>
      <c r="E1013" t="s">
        <v>1738</v>
      </c>
      <c r="H1013" s="154"/>
      <c r="I1013" s="18" t="s">
        <v>1066</v>
      </c>
      <c r="J1013" s="24" t="s">
        <v>1847</v>
      </c>
      <c r="K1013" s="8">
        <v>55</v>
      </c>
      <c r="L1013" s="4" t="s">
        <v>9</v>
      </c>
      <c r="M1013" s="8" t="s">
        <v>1063</v>
      </c>
      <c r="N1013" s="8" t="s">
        <v>972</v>
      </c>
      <c r="O1013" s="151">
        <v>8</v>
      </c>
      <c r="P1013" s="151">
        <v>7</v>
      </c>
      <c r="Q1013" s="148">
        <f t="shared" si="34"/>
        <v>15</v>
      </c>
      <c r="R101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NIABLE HENRY GRAND-ZATTRY LEHIRI ROA    YAO VINCENT  0709554618 55 M CONCUBINAGE PLANTEUR</v>
      </c>
      <c r="Z1013" s="53"/>
      <c r="AA1013" s="2"/>
      <c r="AB1013" s="48"/>
      <c r="AG1013" s="154"/>
      <c r="AH1013" s="18"/>
      <c r="AI1013" s="24"/>
      <c r="AJ1013" s="8"/>
      <c r="AK1013" s="4"/>
      <c r="AL1013" s="8"/>
      <c r="AM1013" s="8"/>
      <c r="AN1013" s="151"/>
      <c r="AO1013" s="151"/>
      <c r="AP1013" s="148"/>
    </row>
    <row r="1014" spans="1:42" ht="16.5" x14ac:dyDescent="0.35">
      <c r="A1014" s="53">
        <v>1013</v>
      </c>
      <c r="B1014" s="9" t="s">
        <v>1822</v>
      </c>
      <c r="C1014" s="48" t="s">
        <v>663</v>
      </c>
      <c r="D1014" t="s">
        <v>1854</v>
      </c>
      <c r="E1014" t="s">
        <v>1738</v>
      </c>
      <c r="H1014" s="154"/>
      <c r="I1014" s="18" t="s">
        <v>1066</v>
      </c>
      <c r="J1014" s="25" t="s">
        <v>1848</v>
      </c>
      <c r="K1014" s="11">
        <v>26</v>
      </c>
      <c r="L1014" s="178" t="s">
        <v>2</v>
      </c>
      <c r="M1014" s="11" t="s">
        <v>1063</v>
      </c>
      <c r="N1014" s="11" t="s">
        <v>1587</v>
      </c>
      <c r="O1014" s="143">
        <v>2</v>
      </c>
      <c r="P1014" s="143">
        <v>1</v>
      </c>
      <c r="Q1014" s="148">
        <f t="shared" si="34"/>
        <v>3</v>
      </c>
      <c r="R101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GOLEBA EDWIGE GRAND-ZATTRY LEHIRI ROA    YAO VINCENT  0749320970 26 F CONCUBINAGE COMMERCE</v>
      </c>
      <c r="Z1014" s="53"/>
      <c r="AA1014" s="9"/>
      <c r="AB1014" s="48"/>
      <c r="AG1014" s="154"/>
      <c r="AH1014" s="18"/>
      <c r="AI1014" s="25"/>
      <c r="AJ1014" s="11"/>
      <c r="AK1014" s="178"/>
      <c r="AL1014" s="11"/>
      <c r="AM1014" s="11"/>
      <c r="AN1014" s="143"/>
      <c r="AO1014" s="143"/>
      <c r="AP1014" s="148"/>
    </row>
    <row r="1015" spans="1:42" ht="16.5" x14ac:dyDescent="0.35">
      <c r="A1015" s="53">
        <v>1014</v>
      </c>
      <c r="B1015" s="9" t="s">
        <v>1823</v>
      </c>
      <c r="C1015" s="48" t="s">
        <v>663</v>
      </c>
      <c r="D1015" t="s">
        <v>1854</v>
      </c>
      <c r="E1015" t="s">
        <v>1738</v>
      </c>
      <c r="H1015" s="154"/>
      <c r="I1015" s="18" t="s">
        <v>1066</v>
      </c>
      <c r="J1015" s="25"/>
      <c r="K1015" s="11">
        <v>44</v>
      </c>
      <c r="L1015" s="178" t="s">
        <v>2</v>
      </c>
      <c r="M1015" s="11" t="s">
        <v>1063</v>
      </c>
      <c r="N1015" s="11" t="s">
        <v>1182</v>
      </c>
      <c r="O1015" s="143">
        <v>4</v>
      </c>
      <c r="P1015" s="143">
        <v>2</v>
      </c>
      <c r="Q1015" s="148">
        <f t="shared" si="34"/>
        <v>6</v>
      </c>
      <c r="R101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GOGOHI CAROLINE GRAND-ZATTRY LEHIRI ROA    YAO VINCENT   44 F CONCUBINAGE MENAGERE</v>
      </c>
      <c r="Z1015" s="53"/>
      <c r="AA1015" s="9"/>
      <c r="AB1015" s="48"/>
      <c r="AG1015" s="154"/>
      <c r="AH1015" s="18"/>
      <c r="AI1015" s="25"/>
      <c r="AJ1015" s="11"/>
      <c r="AK1015" s="178"/>
      <c r="AL1015" s="11"/>
      <c r="AM1015" s="11"/>
      <c r="AN1015" s="143"/>
      <c r="AO1015" s="143"/>
      <c r="AP1015" s="148"/>
    </row>
    <row r="1016" spans="1:42" ht="16.5" x14ac:dyDescent="0.35">
      <c r="A1016" s="53">
        <v>1015</v>
      </c>
      <c r="B1016" s="9" t="s">
        <v>1824</v>
      </c>
      <c r="C1016" s="48" t="s">
        <v>663</v>
      </c>
      <c r="D1016" t="s">
        <v>1854</v>
      </c>
      <c r="E1016" t="s">
        <v>1738</v>
      </c>
      <c r="H1016" s="154"/>
      <c r="I1016" s="18" t="s">
        <v>1066</v>
      </c>
      <c r="J1016" s="25" t="s">
        <v>1849</v>
      </c>
      <c r="K1016" s="11">
        <v>44</v>
      </c>
      <c r="L1016" s="178" t="s">
        <v>2</v>
      </c>
      <c r="M1016" s="11" t="s">
        <v>1063</v>
      </c>
      <c r="N1016" s="11" t="s">
        <v>1587</v>
      </c>
      <c r="O1016" s="143">
        <v>2</v>
      </c>
      <c r="P1016" s="143">
        <v>3</v>
      </c>
      <c r="Q1016" s="148">
        <f t="shared" si="34"/>
        <v>5</v>
      </c>
      <c r="R101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DOUDOU CHANTAL GRAND-ZATTRY LEHIRI ROA    YAO VINCENT  0707064568 44 F CONCUBINAGE COMMERCE</v>
      </c>
      <c r="Z1016" s="53"/>
      <c r="AA1016" s="9"/>
      <c r="AB1016" s="48"/>
      <c r="AG1016" s="154"/>
      <c r="AH1016" s="18"/>
      <c r="AI1016" s="25"/>
      <c r="AJ1016" s="11"/>
      <c r="AK1016" s="178"/>
      <c r="AL1016" s="11"/>
      <c r="AM1016" s="11"/>
      <c r="AN1016" s="143"/>
      <c r="AO1016" s="143"/>
      <c r="AP1016" s="148"/>
    </row>
    <row r="1017" spans="1:42" ht="16.5" x14ac:dyDescent="0.35">
      <c r="A1017" s="53">
        <v>1016</v>
      </c>
      <c r="B1017" s="9" t="s">
        <v>1825</v>
      </c>
      <c r="C1017" s="48" t="s">
        <v>663</v>
      </c>
      <c r="D1017" t="s">
        <v>1854</v>
      </c>
      <c r="E1017" t="s">
        <v>1738</v>
      </c>
      <c r="H1017" s="154"/>
      <c r="I1017" s="18" t="s">
        <v>1066</v>
      </c>
      <c r="J1017" s="25" t="s">
        <v>1850</v>
      </c>
      <c r="K1017" s="11">
        <v>54</v>
      </c>
      <c r="L1017" s="178" t="s">
        <v>2</v>
      </c>
      <c r="M1017" s="11" t="s">
        <v>1852</v>
      </c>
      <c r="N1017" s="11" t="s">
        <v>1182</v>
      </c>
      <c r="O1017" s="143">
        <v>2</v>
      </c>
      <c r="P1017" s="143">
        <v>3</v>
      </c>
      <c r="Q1017" s="148">
        <f t="shared" si="34"/>
        <v>5</v>
      </c>
      <c r="R101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OUGUEHI DJEGBA ELISE GRAND-ZATTRY LEHIRI ROA    YAO VINCENT  0789292212 54 F VEUVE MENAGERE</v>
      </c>
      <c r="Z1017" s="53"/>
      <c r="AA1017" s="9"/>
      <c r="AB1017" s="48"/>
      <c r="AG1017" s="154"/>
      <c r="AH1017" s="18"/>
      <c r="AI1017" s="25"/>
      <c r="AJ1017" s="11"/>
      <c r="AK1017" s="178"/>
      <c r="AL1017" s="11"/>
      <c r="AM1017" s="11"/>
      <c r="AN1017" s="143"/>
      <c r="AO1017" s="143"/>
      <c r="AP1017" s="148"/>
    </row>
    <row r="1018" spans="1:42" ht="17" thickBot="1" x14ac:dyDescent="0.4">
      <c r="A1018" s="53">
        <v>1017</v>
      </c>
      <c r="B1018" s="9" t="s">
        <v>1826</v>
      </c>
      <c r="C1018" s="48" t="s">
        <v>663</v>
      </c>
      <c r="D1018" t="s">
        <v>1854</v>
      </c>
      <c r="E1018" t="s">
        <v>1738</v>
      </c>
      <c r="H1018" s="154"/>
      <c r="I1018" s="18" t="s">
        <v>1066</v>
      </c>
      <c r="J1018" s="193" t="s">
        <v>1851</v>
      </c>
      <c r="K1018" s="14">
        <v>42</v>
      </c>
      <c r="L1018" s="14" t="s">
        <v>2</v>
      </c>
      <c r="M1018" s="14" t="s">
        <v>1063</v>
      </c>
      <c r="N1018" s="14" t="s">
        <v>1587</v>
      </c>
      <c r="O1018" s="141">
        <v>2</v>
      </c>
      <c r="P1018" s="141">
        <v>2</v>
      </c>
      <c r="Q1018" s="148">
        <f t="shared" si="34"/>
        <v>4</v>
      </c>
      <c r="R101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>DJODJORO SANDRINE GRAND-ZATTRY LEHIRI ROA    YAO VINCENT  0778077385 42 F CONCUBINAGE COMMERCE</v>
      </c>
      <c r="Z1018" s="53"/>
      <c r="AA1018" s="9"/>
      <c r="AB1018" s="48"/>
      <c r="AG1018" s="154"/>
      <c r="AH1018" s="18"/>
      <c r="AI1018" s="193"/>
      <c r="AJ1018" s="14"/>
      <c r="AK1018" s="14"/>
      <c r="AL1018" s="14"/>
      <c r="AM1018" s="14"/>
      <c r="AN1018" s="141"/>
      <c r="AO1018" s="141"/>
      <c r="AP1018" s="148"/>
    </row>
    <row r="1019" spans="1:42" ht="16.5" x14ac:dyDescent="0.35">
      <c r="A1019" s="53">
        <v>1018</v>
      </c>
      <c r="B1019" s="2" t="s">
        <v>1855</v>
      </c>
      <c r="C1019" s="48" t="s">
        <v>663</v>
      </c>
      <c r="D1019" t="s">
        <v>1894</v>
      </c>
      <c r="E1019" t="s">
        <v>1895</v>
      </c>
      <c r="H1019" s="10"/>
      <c r="I1019" s="18" t="s">
        <v>1066</v>
      </c>
      <c r="J1019" s="23" t="s">
        <v>1879</v>
      </c>
      <c r="L1019" s="4" t="s">
        <v>9</v>
      </c>
      <c r="M1019" s="5"/>
      <c r="O1019" s="147">
        <v>2</v>
      </c>
      <c r="P1019" s="15">
        <v>0</v>
      </c>
      <c r="Q1019" s="148">
        <f>(O1019+P1019)</f>
        <v>2</v>
      </c>
      <c r="R101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KOUADIO MARUIS GRAND-ZATTRY MERVEILLE PARC-SOU    YAO VINCENT  0544475790  M  </v>
      </c>
      <c r="Z1019" s="53"/>
      <c r="AA1019" s="2"/>
      <c r="AB1019" s="48"/>
      <c r="AG1019" s="10"/>
      <c r="AH1019" s="18"/>
      <c r="AI1019" s="23"/>
      <c r="AK1019" s="4"/>
      <c r="AL1019" s="5"/>
      <c r="AN1019" s="147"/>
      <c r="AO1019" s="15"/>
      <c r="AP1019" s="148"/>
    </row>
    <row r="1020" spans="1:42" ht="16.5" x14ac:dyDescent="0.35">
      <c r="A1020" s="53">
        <v>1019</v>
      </c>
      <c r="B1020" s="2" t="s">
        <v>1856</v>
      </c>
      <c r="C1020" s="48" t="s">
        <v>663</v>
      </c>
      <c r="D1020" t="s">
        <v>1894</v>
      </c>
      <c r="E1020" t="s">
        <v>1895</v>
      </c>
      <c r="H1020" s="154"/>
      <c r="I1020" s="18" t="s">
        <v>1066</v>
      </c>
      <c r="J1020" s="23" t="s">
        <v>1880</v>
      </c>
      <c r="L1020" s="4" t="s">
        <v>9</v>
      </c>
      <c r="M1020" s="5"/>
      <c r="O1020" s="147">
        <v>2</v>
      </c>
      <c r="P1020" s="15">
        <v>2</v>
      </c>
      <c r="Q1020" s="148">
        <f t="shared" ref="Q1020:Q1043" si="35">(O1020+P1020)</f>
        <v>4</v>
      </c>
      <c r="R102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DAHO YAO NATHANAEL GRAND-ZATTRY MERVEILLE PARC-SOU    YAO VINCENT  0778118929  M  </v>
      </c>
      <c r="Z1020" s="53"/>
      <c r="AA1020" s="2"/>
      <c r="AB1020" s="48"/>
      <c r="AG1020" s="154"/>
      <c r="AH1020" s="18"/>
      <c r="AI1020" s="23"/>
      <c r="AK1020" s="4"/>
      <c r="AL1020" s="5"/>
      <c r="AN1020" s="147"/>
      <c r="AO1020" s="15"/>
      <c r="AP1020" s="148"/>
    </row>
    <row r="1021" spans="1:42" ht="16.5" x14ac:dyDescent="0.35">
      <c r="A1021" s="53">
        <v>1020</v>
      </c>
      <c r="B1021" s="2" t="s">
        <v>245</v>
      </c>
      <c r="C1021" s="48" t="s">
        <v>663</v>
      </c>
      <c r="D1021" t="s">
        <v>1894</v>
      </c>
      <c r="E1021" t="s">
        <v>1895</v>
      </c>
      <c r="H1021" s="154"/>
      <c r="I1021" s="18" t="s">
        <v>1066</v>
      </c>
      <c r="J1021" s="23" t="s">
        <v>1881</v>
      </c>
      <c r="L1021" s="4" t="s">
        <v>9</v>
      </c>
      <c r="M1021" s="5"/>
      <c r="O1021" s="147">
        <v>3</v>
      </c>
      <c r="P1021" s="15">
        <v>0</v>
      </c>
      <c r="Q1021" s="148">
        <f t="shared" si="35"/>
        <v>3</v>
      </c>
      <c r="R102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YAO GRAND-ZATTRY MERVEILLE PARC-SOU    YAO VINCENT  0749282390  M  </v>
      </c>
      <c r="Z1021" s="53"/>
      <c r="AA1021" s="2"/>
      <c r="AB1021" s="48"/>
      <c r="AG1021" s="154"/>
      <c r="AH1021" s="18"/>
      <c r="AI1021" s="23"/>
      <c r="AK1021" s="4"/>
      <c r="AL1021" s="5"/>
      <c r="AN1021" s="147"/>
      <c r="AO1021" s="15"/>
      <c r="AP1021" s="148"/>
    </row>
    <row r="1022" spans="1:42" ht="16.5" x14ac:dyDescent="0.35">
      <c r="A1022" s="53">
        <v>1021</v>
      </c>
      <c r="B1022" s="2" t="s">
        <v>1857</v>
      </c>
      <c r="C1022" s="48" t="s">
        <v>663</v>
      </c>
      <c r="D1022" t="s">
        <v>1894</v>
      </c>
      <c r="E1022" t="s">
        <v>1895</v>
      </c>
      <c r="H1022" s="154"/>
      <c r="I1022" s="18" t="s">
        <v>1066</v>
      </c>
      <c r="J1022" s="23" t="s">
        <v>1882</v>
      </c>
      <c r="L1022" s="4" t="s">
        <v>2</v>
      </c>
      <c r="M1022" s="5"/>
      <c r="O1022" s="147">
        <v>1</v>
      </c>
      <c r="P1022" s="15">
        <v>0</v>
      </c>
      <c r="Q1022" s="148">
        <f t="shared" si="35"/>
        <v>1</v>
      </c>
      <c r="R102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AYA BRIGITTE GRAND-ZATTRY MERVEILLE PARC-SOU    YAO VINCENT  0170658502  F  </v>
      </c>
      <c r="Z1022" s="53"/>
      <c r="AA1022" s="2"/>
      <c r="AB1022" s="48"/>
      <c r="AG1022" s="154"/>
      <c r="AH1022" s="18"/>
      <c r="AI1022" s="23"/>
      <c r="AK1022" s="4"/>
      <c r="AL1022" s="5"/>
      <c r="AN1022" s="147"/>
      <c r="AO1022" s="15"/>
      <c r="AP1022" s="148"/>
    </row>
    <row r="1023" spans="1:42" ht="16.5" x14ac:dyDescent="0.35">
      <c r="A1023" s="53">
        <v>1022</v>
      </c>
      <c r="B1023" s="2" t="s">
        <v>1858</v>
      </c>
      <c r="C1023" s="48" t="s">
        <v>663</v>
      </c>
      <c r="D1023" t="s">
        <v>1894</v>
      </c>
      <c r="E1023" t="s">
        <v>1895</v>
      </c>
      <c r="H1023" s="154"/>
      <c r="I1023" s="18" t="s">
        <v>1066</v>
      </c>
      <c r="J1023" s="23" t="s">
        <v>1883</v>
      </c>
      <c r="L1023" s="4" t="s">
        <v>9</v>
      </c>
      <c r="M1023" s="5"/>
      <c r="O1023" s="147">
        <v>1</v>
      </c>
      <c r="P1023" s="15">
        <v>0</v>
      </c>
      <c r="Q1023" s="148">
        <f t="shared" si="35"/>
        <v>1</v>
      </c>
      <c r="R102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BOHOUSSOU KOFFI ANDERSON GRAND-ZATTRY MERVEILLE PARC-SOU    YAO VINCENT  0788546013  M  </v>
      </c>
      <c r="Z1023" s="53"/>
      <c r="AA1023" s="2"/>
      <c r="AB1023" s="48"/>
      <c r="AG1023" s="154"/>
      <c r="AH1023" s="18"/>
      <c r="AI1023" s="23"/>
      <c r="AK1023" s="4"/>
      <c r="AL1023" s="5"/>
      <c r="AN1023" s="147"/>
      <c r="AO1023" s="15"/>
      <c r="AP1023" s="148"/>
    </row>
    <row r="1024" spans="1:42" ht="16.5" x14ac:dyDescent="0.35">
      <c r="A1024" s="53">
        <v>1023</v>
      </c>
      <c r="B1024" s="2" t="s">
        <v>1859</v>
      </c>
      <c r="C1024" s="48" t="s">
        <v>663</v>
      </c>
      <c r="D1024" t="s">
        <v>1894</v>
      </c>
      <c r="E1024" t="s">
        <v>1895</v>
      </c>
      <c r="H1024" s="154"/>
      <c r="I1024" s="18" t="s">
        <v>1066</v>
      </c>
      <c r="J1024" s="23" t="s">
        <v>1884</v>
      </c>
      <c r="L1024" s="4" t="s">
        <v>9</v>
      </c>
      <c r="M1024" s="5"/>
      <c r="O1024" s="147">
        <v>0</v>
      </c>
      <c r="P1024" s="15">
        <v>2</v>
      </c>
      <c r="Q1024" s="148">
        <f t="shared" si="35"/>
        <v>2</v>
      </c>
      <c r="R102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YAO PARFAIT  GRAND-ZATTRY MERVEILLE PARC-SOU    YAO VINCENT  0749521516  M  </v>
      </c>
      <c r="Z1024" s="53"/>
      <c r="AA1024" s="2"/>
      <c r="AB1024" s="48"/>
      <c r="AG1024" s="154"/>
      <c r="AH1024" s="18"/>
      <c r="AI1024" s="23"/>
      <c r="AK1024" s="4"/>
      <c r="AL1024" s="5"/>
      <c r="AN1024" s="147"/>
      <c r="AO1024" s="15"/>
      <c r="AP1024" s="148"/>
    </row>
    <row r="1025" spans="1:42" ht="16.5" x14ac:dyDescent="0.35">
      <c r="A1025" s="53">
        <v>1024</v>
      </c>
      <c r="B1025" s="2" t="s">
        <v>1860</v>
      </c>
      <c r="C1025" s="48" t="s">
        <v>663</v>
      </c>
      <c r="D1025" t="s">
        <v>1894</v>
      </c>
      <c r="E1025" t="s">
        <v>1895</v>
      </c>
      <c r="H1025" s="154"/>
      <c r="I1025" s="18" t="s">
        <v>1066</v>
      </c>
      <c r="J1025" s="23" t="s">
        <v>1885</v>
      </c>
      <c r="L1025" s="4" t="s">
        <v>9</v>
      </c>
      <c r="M1025" s="5"/>
      <c r="O1025" s="147">
        <v>3</v>
      </c>
      <c r="P1025" s="15">
        <v>4</v>
      </c>
      <c r="Q1025" s="148">
        <f t="shared" si="35"/>
        <v>7</v>
      </c>
      <c r="R102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KOUASSI GRAND-ZATTRY MERVEILLE PARC-SOU    YAO VINCENT  0777675335  M  </v>
      </c>
      <c r="Z1025" s="53"/>
      <c r="AA1025" s="2"/>
      <c r="AB1025" s="48"/>
      <c r="AG1025" s="154"/>
      <c r="AH1025" s="18"/>
      <c r="AI1025" s="23"/>
      <c r="AK1025" s="4"/>
      <c r="AL1025" s="5"/>
      <c r="AN1025" s="147"/>
      <c r="AO1025" s="15"/>
      <c r="AP1025" s="148"/>
    </row>
    <row r="1026" spans="1:42" ht="16.5" x14ac:dyDescent="0.35">
      <c r="A1026" s="53">
        <v>1025</v>
      </c>
      <c r="B1026" s="2" t="s">
        <v>1861</v>
      </c>
      <c r="C1026" s="48" t="s">
        <v>663</v>
      </c>
      <c r="D1026" t="s">
        <v>1894</v>
      </c>
      <c r="E1026" t="s">
        <v>1895</v>
      </c>
      <c r="H1026" s="154"/>
      <c r="I1026" s="18" t="s">
        <v>1066</v>
      </c>
      <c r="J1026" s="23" t="s">
        <v>1886</v>
      </c>
      <c r="L1026" s="4" t="s">
        <v>2</v>
      </c>
      <c r="M1026" s="5"/>
      <c r="O1026" s="147">
        <v>1</v>
      </c>
      <c r="P1026" s="15">
        <v>1</v>
      </c>
      <c r="Q1026" s="148">
        <f t="shared" si="35"/>
        <v>2</v>
      </c>
      <c r="R102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AHOU ELISABETH GRAND-ZATTRY MERVEILLE PARC-SOU    YAO VINCENT  0758097516  F  </v>
      </c>
      <c r="Z1026" s="53"/>
      <c r="AA1026" s="2"/>
      <c r="AB1026" s="48"/>
      <c r="AG1026" s="154"/>
      <c r="AH1026" s="18"/>
      <c r="AI1026" s="23"/>
      <c r="AK1026" s="4"/>
      <c r="AL1026" s="5"/>
      <c r="AN1026" s="147"/>
      <c r="AO1026" s="15"/>
      <c r="AP1026" s="148"/>
    </row>
    <row r="1027" spans="1:42" ht="16.5" x14ac:dyDescent="0.35">
      <c r="A1027" s="53">
        <v>1026</v>
      </c>
      <c r="B1027" s="2" t="s">
        <v>1862</v>
      </c>
      <c r="C1027" s="48" t="s">
        <v>663</v>
      </c>
      <c r="D1027" t="s">
        <v>1894</v>
      </c>
      <c r="E1027" t="s">
        <v>1895</v>
      </c>
      <c r="H1027" s="154"/>
      <c r="I1027" s="18" t="s">
        <v>1066</v>
      </c>
      <c r="J1027" s="23"/>
      <c r="L1027" s="4" t="s">
        <v>2</v>
      </c>
      <c r="M1027" s="5"/>
      <c r="O1027" s="147">
        <v>0</v>
      </c>
      <c r="P1027" s="15">
        <v>0</v>
      </c>
      <c r="Q1027" s="148">
        <f t="shared" si="35"/>
        <v>0</v>
      </c>
      <c r="R102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AHOU ANNE MARIE GRAND-ZATTRY MERVEILLE PARC-SOU    YAO VINCENT    F  </v>
      </c>
      <c r="Z1027" s="53"/>
      <c r="AA1027" s="2"/>
      <c r="AB1027" s="48"/>
      <c r="AG1027" s="154"/>
      <c r="AH1027" s="18"/>
      <c r="AI1027" s="23"/>
      <c r="AK1027" s="4"/>
      <c r="AL1027" s="5"/>
      <c r="AN1027" s="147"/>
      <c r="AO1027" s="15"/>
      <c r="AP1027" s="148"/>
    </row>
    <row r="1028" spans="1:42" ht="16.5" x14ac:dyDescent="0.35">
      <c r="A1028" s="53">
        <v>1027</v>
      </c>
      <c r="B1028" s="2" t="s">
        <v>1863</v>
      </c>
      <c r="C1028" s="48" t="s">
        <v>663</v>
      </c>
      <c r="D1028" t="s">
        <v>1894</v>
      </c>
      <c r="E1028" t="s">
        <v>1895</v>
      </c>
      <c r="H1028" s="154"/>
      <c r="I1028" s="18" t="s">
        <v>1066</v>
      </c>
      <c r="J1028" s="23" t="s">
        <v>1887</v>
      </c>
      <c r="L1028" s="4" t="s">
        <v>2</v>
      </c>
      <c r="M1028" s="5"/>
      <c r="O1028" s="147">
        <v>0</v>
      </c>
      <c r="P1028" s="15">
        <v>1</v>
      </c>
      <c r="Q1028" s="148">
        <f t="shared" si="35"/>
        <v>1</v>
      </c>
      <c r="R102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ADJOUA CHANTAL N°1 GRAND-ZATTRY MERVEILLE PARC-SOU    YAO VINCENT  0757606546  F  </v>
      </c>
      <c r="Z1028" s="53"/>
      <c r="AA1028" s="2"/>
      <c r="AB1028" s="48"/>
      <c r="AG1028" s="154"/>
      <c r="AH1028" s="18"/>
      <c r="AI1028" s="23"/>
      <c r="AK1028" s="4"/>
      <c r="AL1028" s="5"/>
      <c r="AN1028" s="147"/>
      <c r="AO1028" s="15"/>
      <c r="AP1028" s="148"/>
    </row>
    <row r="1029" spans="1:42" ht="16.5" x14ac:dyDescent="0.35">
      <c r="A1029" s="53">
        <v>1028</v>
      </c>
      <c r="B1029" s="2" t="s">
        <v>1864</v>
      </c>
      <c r="C1029" s="48" t="s">
        <v>663</v>
      </c>
      <c r="D1029" t="s">
        <v>1894</v>
      </c>
      <c r="E1029" t="s">
        <v>1895</v>
      </c>
      <c r="H1029" s="154"/>
      <c r="I1029" s="18" t="s">
        <v>1066</v>
      </c>
      <c r="J1029" s="23" t="s">
        <v>1888</v>
      </c>
      <c r="L1029" s="4" t="s">
        <v>2</v>
      </c>
      <c r="M1029" s="5"/>
      <c r="O1029" s="147">
        <v>2</v>
      </c>
      <c r="P1029" s="15">
        <v>0</v>
      </c>
      <c r="Q1029" s="148">
        <f t="shared" si="35"/>
        <v>2</v>
      </c>
      <c r="R102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ADJOUA ESTELLE GRAND-ZATTRY MERVEILLE PARC-SOU    YAO VINCENT  0758548016  F  </v>
      </c>
      <c r="Z1029" s="53"/>
      <c r="AA1029" s="2"/>
      <c r="AB1029" s="48"/>
      <c r="AG1029" s="154"/>
      <c r="AH1029" s="18"/>
      <c r="AI1029" s="23"/>
      <c r="AK1029" s="4"/>
      <c r="AL1029" s="5"/>
      <c r="AN1029" s="147"/>
      <c r="AO1029" s="15"/>
      <c r="AP1029" s="148"/>
    </row>
    <row r="1030" spans="1:42" ht="16.5" x14ac:dyDescent="0.35">
      <c r="A1030" s="53">
        <v>1029</v>
      </c>
      <c r="B1030" s="2" t="s">
        <v>1865</v>
      </c>
      <c r="C1030" s="48" t="s">
        <v>663</v>
      </c>
      <c r="D1030" t="s">
        <v>1894</v>
      </c>
      <c r="E1030" t="s">
        <v>1895</v>
      </c>
      <c r="H1030" s="154"/>
      <c r="I1030" s="18" t="s">
        <v>1066</v>
      </c>
      <c r="J1030" s="23" t="s">
        <v>1889</v>
      </c>
      <c r="L1030" s="4" t="s">
        <v>2</v>
      </c>
      <c r="M1030" s="5"/>
      <c r="O1030" s="147">
        <v>0</v>
      </c>
      <c r="P1030" s="15">
        <v>2</v>
      </c>
      <c r="Q1030" s="148">
        <f t="shared" si="35"/>
        <v>2</v>
      </c>
      <c r="R103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AMENAN REBECCA GRAND-ZATTRY MERVEILLE PARC-SOU    YAO VINCENT  0769391304  F  </v>
      </c>
      <c r="Z1030" s="53"/>
      <c r="AA1030" s="2"/>
      <c r="AB1030" s="48"/>
      <c r="AG1030" s="154"/>
      <c r="AH1030" s="18"/>
      <c r="AI1030" s="23"/>
      <c r="AK1030" s="4"/>
      <c r="AL1030" s="5"/>
      <c r="AN1030" s="147"/>
      <c r="AO1030" s="15"/>
      <c r="AP1030" s="148"/>
    </row>
    <row r="1031" spans="1:42" ht="16.5" x14ac:dyDescent="0.35">
      <c r="A1031" s="53">
        <v>1030</v>
      </c>
      <c r="B1031" s="2" t="s">
        <v>1866</v>
      </c>
      <c r="C1031" s="48" t="s">
        <v>663</v>
      </c>
      <c r="D1031" t="s">
        <v>1894</v>
      </c>
      <c r="E1031" t="s">
        <v>1895</v>
      </c>
      <c r="H1031" s="154"/>
      <c r="I1031" s="18" t="s">
        <v>1066</v>
      </c>
      <c r="J1031" s="23" t="s">
        <v>1890</v>
      </c>
      <c r="L1031" s="4" t="s">
        <v>2</v>
      </c>
      <c r="M1031" s="5"/>
      <c r="O1031" s="147">
        <v>2</v>
      </c>
      <c r="P1031" s="15">
        <v>2</v>
      </c>
      <c r="Q1031" s="148">
        <f t="shared" si="35"/>
        <v>4</v>
      </c>
      <c r="R103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ADJO MARINA GRAND-ZATTRY MERVEILLE PARC-SOU    YAO VINCENT  0759695432  F  </v>
      </c>
      <c r="Z1031" s="53"/>
      <c r="AA1031" s="2"/>
      <c r="AB1031" s="48"/>
      <c r="AG1031" s="154"/>
      <c r="AH1031" s="18"/>
      <c r="AI1031" s="23"/>
      <c r="AK1031" s="4"/>
      <c r="AL1031" s="5"/>
      <c r="AN1031" s="147"/>
      <c r="AO1031" s="15"/>
      <c r="AP1031" s="148"/>
    </row>
    <row r="1032" spans="1:42" ht="16.5" x14ac:dyDescent="0.35">
      <c r="A1032" s="53">
        <v>1031</v>
      </c>
      <c r="B1032" s="2" t="s">
        <v>1867</v>
      </c>
      <c r="C1032" s="48" t="s">
        <v>663</v>
      </c>
      <c r="D1032" t="s">
        <v>1894</v>
      </c>
      <c r="E1032" t="s">
        <v>1895</v>
      </c>
      <c r="H1032" s="154"/>
      <c r="I1032" s="18" t="s">
        <v>1066</v>
      </c>
      <c r="J1032" s="23" t="s">
        <v>1891</v>
      </c>
      <c r="L1032" s="4" t="s">
        <v>2</v>
      </c>
      <c r="M1032" s="5"/>
      <c r="O1032" s="147">
        <v>0</v>
      </c>
      <c r="P1032" s="15">
        <v>0</v>
      </c>
      <c r="Q1032" s="148">
        <f t="shared" si="35"/>
        <v>0</v>
      </c>
      <c r="R103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CAROLINE GRAND-ZATTRY MERVEILLE PARC-SOU    YAO VINCENT  0709564324  F  </v>
      </c>
      <c r="Z1032" s="53"/>
      <c r="AA1032" s="2"/>
      <c r="AB1032" s="48"/>
      <c r="AG1032" s="154"/>
      <c r="AH1032" s="18"/>
      <c r="AI1032" s="23"/>
      <c r="AK1032" s="4"/>
      <c r="AL1032" s="5"/>
      <c r="AN1032" s="147"/>
      <c r="AO1032" s="15"/>
      <c r="AP1032" s="148"/>
    </row>
    <row r="1033" spans="1:42" ht="16.5" x14ac:dyDescent="0.35">
      <c r="A1033" s="53">
        <v>1032</v>
      </c>
      <c r="B1033" s="2" t="s">
        <v>1868</v>
      </c>
      <c r="C1033" s="48" t="s">
        <v>663</v>
      </c>
      <c r="D1033" t="s">
        <v>1894</v>
      </c>
      <c r="E1033" t="s">
        <v>1895</v>
      </c>
      <c r="H1033" s="154"/>
      <c r="I1033" s="18" t="s">
        <v>1066</v>
      </c>
      <c r="J1033" s="23"/>
      <c r="L1033" s="4" t="s">
        <v>2</v>
      </c>
      <c r="M1033" s="5"/>
      <c r="O1033" s="147"/>
      <c r="P1033" s="15"/>
      <c r="Q1033" s="148">
        <f t="shared" si="35"/>
        <v>0</v>
      </c>
      <c r="R103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AYA EUGENIE GRAND-ZATTRY MERVEILLE PARC-SOU    YAO VINCENT    F  </v>
      </c>
      <c r="Z1033" s="53"/>
      <c r="AA1033" s="2"/>
      <c r="AB1033" s="48"/>
      <c r="AG1033" s="154"/>
      <c r="AH1033" s="18"/>
      <c r="AI1033" s="23"/>
      <c r="AK1033" s="4"/>
      <c r="AL1033" s="5"/>
      <c r="AN1033" s="147"/>
      <c r="AO1033" s="15"/>
      <c r="AP1033" s="148"/>
    </row>
    <row r="1034" spans="1:42" ht="16.5" x14ac:dyDescent="0.35">
      <c r="A1034" s="53">
        <v>1033</v>
      </c>
      <c r="B1034" s="2" t="s">
        <v>1869</v>
      </c>
      <c r="C1034" s="48" t="s">
        <v>663</v>
      </c>
      <c r="D1034" t="s">
        <v>1894</v>
      </c>
      <c r="E1034" t="s">
        <v>1895</v>
      </c>
      <c r="H1034" s="154"/>
      <c r="I1034" s="18" t="s">
        <v>1066</v>
      </c>
      <c r="J1034" s="23" t="s">
        <v>1892</v>
      </c>
      <c r="L1034" s="4" t="s">
        <v>2</v>
      </c>
      <c r="M1034" s="5"/>
      <c r="O1034" s="147">
        <v>0</v>
      </c>
      <c r="P1034" s="15">
        <v>3</v>
      </c>
      <c r="Q1034" s="148">
        <f t="shared" si="35"/>
        <v>3</v>
      </c>
      <c r="R103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K. EVARISTE GRAND-ZATTRY MERVEILLE PARC-SOU    YAO VINCENT  0101212040  F  </v>
      </c>
      <c r="Z1034" s="53"/>
      <c r="AA1034" s="2"/>
      <c r="AB1034" s="48"/>
      <c r="AG1034" s="154"/>
      <c r="AH1034" s="18"/>
      <c r="AI1034" s="23"/>
      <c r="AK1034" s="4"/>
      <c r="AL1034" s="5"/>
      <c r="AN1034" s="147"/>
      <c r="AO1034" s="15"/>
      <c r="AP1034" s="148"/>
    </row>
    <row r="1035" spans="1:42" ht="16.5" x14ac:dyDescent="0.35">
      <c r="A1035" s="53">
        <v>1034</v>
      </c>
      <c r="B1035" s="2" t="s">
        <v>1870</v>
      </c>
      <c r="C1035" s="48" t="s">
        <v>663</v>
      </c>
      <c r="D1035" t="s">
        <v>1894</v>
      </c>
      <c r="E1035" t="s">
        <v>1895</v>
      </c>
      <c r="H1035" s="154"/>
      <c r="I1035" s="18" t="s">
        <v>1066</v>
      </c>
      <c r="J1035" s="23"/>
      <c r="L1035" s="4" t="s">
        <v>2</v>
      </c>
      <c r="M1035" s="5"/>
      <c r="O1035" s="147">
        <v>0</v>
      </c>
      <c r="P1035" s="15">
        <v>0</v>
      </c>
      <c r="Q1035" s="148">
        <f t="shared" si="35"/>
        <v>0</v>
      </c>
      <c r="R103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AMOIN REBECCA GRAND-ZATTRY MERVEILLE PARC-SOU    YAO VINCENT    F  </v>
      </c>
      <c r="Z1035" s="53"/>
      <c r="AA1035" s="2"/>
      <c r="AB1035" s="48"/>
      <c r="AG1035" s="154"/>
      <c r="AH1035" s="18"/>
      <c r="AI1035" s="23"/>
      <c r="AK1035" s="4"/>
      <c r="AL1035" s="5"/>
      <c r="AN1035" s="147"/>
      <c r="AO1035" s="15"/>
      <c r="AP1035" s="148"/>
    </row>
    <row r="1036" spans="1:42" ht="16.5" x14ac:dyDescent="0.35">
      <c r="A1036" s="53">
        <v>1035</v>
      </c>
      <c r="B1036" s="2" t="s">
        <v>1871</v>
      </c>
      <c r="C1036" s="48" t="s">
        <v>663</v>
      </c>
      <c r="D1036" t="s">
        <v>1894</v>
      </c>
      <c r="E1036" t="s">
        <v>1895</v>
      </c>
      <c r="H1036" s="154"/>
      <c r="I1036" s="18" t="s">
        <v>1066</v>
      </c>
      <c r="J1036" s="23" t="s">
        <v>1893</v>
      </c>
      <c r="L1036" s="4" t="s">
        <v>2</v>
      </c>
      <c r="M1036" s="5"/>
      <c r="O1036" s="147">
        <v>0</v>
      </c>
      <c r="P1036" s="15">
        <v>0</v>
      </c>
      <c r="Q1036" s="148">
        <f t="shared" si="35"/>
        <v>0</v>
      </c>
      <c r="R103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AGO N'DA AHOU GRAND-ZATTRY MERVEILLE PARC-SOU    YAO VINCENT  0748425437  F  </v>
      </c>
      <c r="Z1036" s="53"/>
      <c r="AA1036" s="2"/>
      <c r="AB1036" s="48"/>
      <c r="AG1036" s="154"/>
      <c r="AH1036" s="18"/>
      <c r="AI1036" s="23"/>
      <c r="AK1036" s="4"/>
      <c r="AL1036" s="5"/>
      <c r="AN1036" s="147"/>
      <c r="AO1036" s="15"/>
      <c r="AP1036" s="148"/>
    </row>
    <row r="1037" spans="1:42" ht="16.5" x14ac:dyDescent="0.35">
      <c r="A1037" s="53">
        <v>1036</v>
      </c>
      <c r="B1037" s="2" t="s">
        <v>1872</v>
      </c>
      <c r="C1037" s="48" t="s">
        <v>663</v>
      </c>
      <c r="D1037" t="s">
        <v>1894</v>
      </c>
      <c r="E1037" t="s">
        <v>1895</v>
      </c>
      <c r="H1037" s="154"/>
      <c r="I1037" s="18" t="s">
        <v>1066</v>
      </c>
      <c r="J1037" s="23"/>
      <c r="L1037" s="4" t="s">
        <v>2</v>
      </c>
      <c r="M1037" s="5"/>
      <c r="O1037" s="147">
        <v>0</v>
      </c>
      <c r="P1037" s="15">
        <v>0</v>
      </c>
      <c r="Q1037" s="148">
        <f t="shared" si="35"/>
        <v>0</v>
      </c>
      <c r="R103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AKISSI JULIETTE GRAND-ZATTRY MERVEILLE PARC-SOU    YAO VINCENT    F  </v>
      </c>
      <c r="Z1037" s="53"/>
      <c r="AA1037" s="2"/>
      <c r="AB1037" s="48"/>
      <c r="AG1037" s="154"/>
      <c r="AH1037" s="18"/>
      <c r="AI1037" s="23"/>
      <c r="AK1037" s="4"/>
      <c r="AL1037" s="5"/>
      <c r="AN1037" s="147"/>
      <c r="AO1037" s="15"/>
      <c r="AP1037" s="148"/>
    </row>
    <row r="1038" spans="1:42" ht="16.5" x14ac:dyDescent="0.35">
      <c r="A1038" s="53">
        <v>1037</v>
      </c>
      <c r="B1038" s="2" t="s">
        <v>1873</v>
      </c>
      <c r="C1038" s="48" t="s">
        <v>663</v>
      </c>
      <c r="D1038" t="s">
        <v>1894</v>
      </c>
      <c r="E1038" t="s">
        <v>1895</v>
      </c>
      <c r="H1038" s="154"/>
      <c r="I1038" s="18" t="s">
        <v>1066</v>
      </c>
      <c r="J1038" s="23"/>
      <c r="L1038" s="4" t="s">
        <v>9</v>
      </c>
      <c r="M1038" s="5"/>
      <c r="O1038" s="147">
        <v>0</v>
      </c>
      <c r="P1038" s="15">
        <v>0</v>
      </c>
      <c r="Q1038" s="148">
        <f t="shared" si="35"/>
        <v>0</v>
      </c>
      <c r="R103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KOUASSI JEAN-MARC GRAND-ZATTRY MERVEILLE PARC-SOU    YAO VINCENT    M  </v>
      </c>
      <c r="Z1038" s="53"/>
      <c r="AA1038" s="2"/>
      <c r="AB1038" s="48"/>
      <c r="AG1038" s="154"/>
      <c r="AH1038" s="18"/>
      <c r="AI1038" s="23"/>
      <c r="AK1038" s="4"/>
      <c r="AL1038" s="5"/>
      <c r="AN1038" s="147"/>
      <c r="AO1038" s="15"/>
      <c r="AP1038" s="148"/>
    </row>
    <row r="1039" spans="1:42" ht="16.5" x14ac:dyDescent="0.35">
      <c r="A1039" s="53">
        <v>1038</v>
      </c>
      <c r="B1039" s="2" t="s">
        <v>1874</v>
      </c>
      <c r="C1039" s="48" t="s">
        <v>663</v>
      </c>
      <c r="D1039" t="s">
        <v>1894</v>
      </c>
      <c r="E1039" t="s">
        <v>1895</v>
      </c>
      <c r="H1039" s="154"/>
      <c r="I1039" s="18" t="s">
        <v>1066</v>
      </c>
      <c r="J1039" s="23"/>
      <c r="L1039" s="4" t="s">
        <v>2</v>
      </c>
      <c r="M1039" s="5"/>
      <c r="O1039" s="147">
        <v>0</v>
      </c>
      <c r="P1039" s="15">
        <v>0</v>
      </c>
      <c r="Q1039" s="148">
        <f t="shared" si="35"/>
        <v>0</v>
      </c>
      <c r="R103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AYA MARIE-CLAIRE GRAND-ZATTRY MERVEILLE PARC-SOU    YAO VINCENT    F  </v>
      </c>
      <c r="Z1039" s="53"/>
      <c r="AA1039" s="2"/>
      <c r="AB1039" s="48"/>
      <c r="AG1039" s="154"/>
      <c r="AH1039" s="18"/>
      <c r="AI1039" s="23"/>
      <c r="AK1039" s="4"/>
      <c r="AL1039" s="5"/>
      <c r="AN1039" s="147"/>
      <c r="AO1039" s="15"/>
      <c r="AP1039" s="148"/>
    </row>
    <row r="1040" spans="1:42" ht="16.5" x14ac:dyDescent="0.35">
      <c r="A1040" s="53">
        <v>1039</v>
      </c>
      <c r="B1040" s="2" t="s">
        <v>1875</v>
      </c>
      <c r="C1040" s="48" t="s">
        <v>663</v>
      </c>
      <c r="D1040" t="s">
        <v>1894</v>
      </c>
      <c r="E1040" t="s">
        <v>1895</v>
      </c>
      <c r="H1040" s="154"/>
      <c r="I1040" s="18" t="s">
        <v>1066</v>
      </c>
      <c r="J1040" s="23"/>
      <c r="L1040" s="4" t="s">
        <v>2</v>
      </c>
      <c r="M1040" s="5"/>
      <c r="O1040" s="147">
        <v>0</v>
      </c>
      <c r="P1040" s="15">
        <v>0</v>
      </c>
      <c r="Q1040" s="148">
        <f t="shared" si="35"/>
        <v>0</v>
      </c>
      <c r="R104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ADJOUA CHANTAL N°2 GRAND-ZATTRY MERVEILLE PARC-SOU    YAO VINCENT    F  </v>
      </c>
      <c r="Z1040" s="53"/>
      <c r="AA1040" s="2"/>
      <c r="AB1040" s="48"/>
      <c r="AG1040" s="154"/>
      <c r="AH1040" s="18"/>
      <c r="AI1040" s="23"/>
      <c r="AK1040" s="4"/>
      <c r="AL1040" s="5"/>
      <c r="AN1040" s="147"/>
      <c r="AO1040" s="15"/>
      <c r="AP1040" s="148"/>
    </row>
    <row r="1041" spans="1:42" ht="16.5" x14ac:dyDescent="0.35">
      <c r="A1041" s="53">
        <v>1040</v>
      </c>
      <c r="B1041" s="2" t="s">
        <v>1876</v>
      </c>
      <c r="C1041" s="48" t="s">
        <v>663</v>
      </c>
      <c r="D1041" t="s">
        <v>1894</v>
      </c>
      <c r="E1041" t="s">
        <v>1895</v>
      </c>
      <c r="H1041" s="154"/>
      <c r="I1041" s="18" t="s">
        <v>1066</v>
      </c>
      <c r="J1041" s="23"/>
      <c r="L1041" s="4" t="s">
        <v>2</v>
      </c>
      <c r="M1041" s="5"/>
      <c r="O1041" s="147">
        <v>1</v>
      </c>
      <c r="P1041" s="15">
        <v>2</v>
      </c>
      <c r="Q1041" s="148">
        <f t="shared" si="35"/>
        <v>3</v>
      </c>
      <c r="R104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AKISSI FIDELE GRAND-ZATTRY MERVEILLE PARC-SOU    YAO VINCENT    F  </v>
      </c>
      <c r="Z1041" s="53"/>
      <c r="AA1041" s="2"/>
      <c r="AB1041" s="48"/>
      <c r="AG1041" s="154"/>
      <c r="AH1041" s="18"/>
      <c r="AI1041" s="23"/>
      <c r="AK1041" s="4"/>
      <c r="AL1041" s="5"/>
      <c r="AN1041" s="147"/>
      <c r="AO1041" s="15"/>
      <c r="AP1041" s="148"/>
    </row>
    <row r="1042" spans="1:42" ht="16.5" x14ac:dyDescent="0.5">
      <c r="A1042" s="53">
        <v>1041</v>
      </c>
      <c r="B1042" s="2" t="s">
        <v>1877</v>
      </c>
      <c r="C1042" s="48" t="s">
        <v>663</v>
      </c>
      <c r="D1042" t="s">
        <v>1894</v>
      </c>
      <c r="E1042" t="s">
        <v>1895</v>
      </c>
      <c r="H1042" s="154"/>
      <c r="I1042" s="18" t="s">
        <v>1066</v>
      </c>
      <c r="J1042" s="23"/>
      <c r="L1042" s="4" t="s">
        <v>2</v>
      </c>
      <c r="M1042" s="5"/>
      <c r="O1042" s="149">
        <v>0</v>
      </c>
      <c r="P1042" s="149">
        <v>0</v>
      </c>
      <c r="Q1042" s="148">
        <f t="shared" si="35"/>
        <v>0</v>
      </c>
      <c r="R104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AKISSI JULIETTE GRAND-ZATTRY MERVEILLE PARC-SOU    YAO VINCENT    F  </v>
      </c>
      <c r="Z1042" s="53"/>
      <c r="AA1042" s="2"/>
      <c r="AB1042" s="48"/>
      <c r="AG1042" s="154"/>
      <c r="AH1042" s="18"/>
      <c r="AI1042" s="23"/>
      <c r="AK1042" s="4"/>
      <c r="AL1042" s="5"/>
      <c r="AN1042" s="149"/>
      <c r="AO1042" s="149"/>
      <c r="AP1042" s="148"/>
    </row>
    <row r="1043" spans="1:42" ht="16.5" x14ac:dyDescent="0.35">
      <c r="A1043" s="53">
        <v>1042</v>
      </c>
      <c r="B1043" s="9" t="s">
        <v>1878</v>
      </c>
      <c r="C1043" s="48" t="s">
        <v>663</v>
      </c>
      <c r="D1043" t="s">
        <v>1894</v>
      </c>
      <c r="E1043" t="s">
        <v>1895</v>
      </c>
      <c r="H1043" s="154"/>
      <c r="I1043" s="18" t="s">
        <v>1066</v>
      </c>
      <c r="J1043" s="24"/>
      <c r="L1043" s="4" t="s">
        <v>2</v>
      </c>
      <c r="M1043" s="27"/>
      <c r="O1043" s="151">
        <v>2</v>
      </c>
      <c r="P1043" s="151">
        <v>0</v>
      </c>
      <c r="Q1043" s="148">
        <f t="shared" si="35"/>
        <v>2</v>
      </c>
      <c r="R104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AMELAN JACQUELINE GRAND-ZATTRY MERVEILLE PARC-SOU    YAO VINCENT    F  </v>
      </c>
      <c r="Z1043" s="53"/>
      <c r="AA1043" s="9"/>
      <c r="AB1043" s="48"/>
      <c r="AG1043" s="154"/>
      <c r="AH1043" s="18"/>
      <c r="AI1043" s="24"/>
      <c r="AK1043" s="4"/>
      <c r="AL1043" s="27"/>
      <c r="AN1043" s="151"/>
      <c r="AO1043" s="151"/>
      <c r="AP1043" s="148"/>
    </row>
    <row r="1044" spans="1:42" ht="16.5" x14ac:dyDescent="0.35">
      <c r="A1044" s="53">
        <v>1043</v>
      </c>
      <c r="B1044" s="2" t="s">
        <v>1896</v>
      </c>
      <c r="C1044" s="48" t="s">
        <v>663</v>
      </c>
      <c r="D1044" t="s">
        <v>1934</v>
      </c>
      <c r="E1044" t="s">
        <v>1935</v>
      </c>
      <c r="H1044" s="10"/>
      <c r="I1044" s="18" t="s">
        <v>1066</v>
      </c>
      <c r="J1044" s="23" t="s">
        <v>1924</v>
      </c>
      <c r="L1044" s="4" t="s">
        <v>9</v>
      </c>
      <c r="M1044" s="5"/>
      <c r="O1044" s="147">
        <v>0</v>
      </c>
      <c r="P1044" s="15">
        <v>0</v>
      </c>
      <c r="Q1044" s="148">
        <f>(O1044+P1044)</f>
        <v>0</v>
      </c>
      <c r="R104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KOFFI KOFFI JUNIOR GRAND-ZATTRY  DIEU BENI FATAMAN    YAO VINCENT  0748078652  M  </v>
      </c>
      <c r="Z1044" s="53"/>
      <c r="AA1044" s="2"/>
      <c r="AB1044" s="48"/>
      <c r="AG1044" s="10"/>
      <c r="AH1044" s="18"/>
      <c r="AI1044" s="23"/>
      <c r="AK1044" s="4"/>
      <c r="AL1044" s="5"/>
      <c r="AN1044" s="147"/>
      <c r="AO1044" s="15"/>
      <c r="AP1044" s="148"/>
    </row>
    <row r="1045" spans="1:42" ht="16.5" x14ac:dyDescent="0.35">
      <c r="A1045" s="53">
        <v>1044</v>
      </c>
      <c r="B1045" s="2" t="s">
        <v>1897</v>
      </c>
      <c r="C1045" s="48" t="s">
        <v>663</v>
      </c>
      <c r="D1045" t="s">
        <v>1934</v>
      </c>
      <c r="E1045" t="s">
        <v>1935</v>
      </c>
      <c r="H1045" s="154"/>
      <c r="I1045" s="18" t="s">
        <v>1066</v>
      </c>
      <c r="J1045" s="23" t="s">
        <v>1925</v>
      </c>
      <c r="L1045" s="4" t="s">
        <v>2</v>
      </c>
      <c r="M1045" s="5"/>
      <c r="O1045" s="147">
        <v>2</v>
      </c>
      <c r="P1045" s="15">
        <v>3</v>
      </c>
      <c r="Q1045" s="148">
        <f t="shared" ref="Q1045:Q1071" si="36">(O1045+P1045)</f>
        <v>5</v>
      </c>
      <c r="R104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AMANI AKISSI MADELENE GRAND-ZATTRY  DIEU BENI FATAMAN    YAO VINCENT  0787079211  F  </v>
      </c>
      <c r="Z1045" s="53"/>
      <c r="AA1045" s="2"/>
      <c r="AB1045" s="48"/>
      <c r="AG1045" s="154"/>
      <c r="AH1045" s="18"/>
      <c r="AI1045" s="23"/>
      <c r="AK1045" s="4"/>
      <c r="AL1045" s="5"/>
      <c r="AN1045" s="147"/>
      <c r="AO1045" s="15"/>
      <c r="AP1045" s="148"/>
    </row>
    <row r="1046" spans="1:42" ht="16.5" x14ac:dyDescent="0.35">
      <c r="A1046" s="53">
        <v>1045</v>
      </c>
      <c r="B1046" s="2" t="s">
        <v>1898</v>
      </c>
      <c r="C1046" s="48" t="s">
        <v>663</v>
      </c>
      <c r="D1046" t="s">
        <v>1934</v>
      </c>
      <c r="E1046" t="s">
        <v>1935</v>
      </c>
      <c r="H1046" s="154"/>
      <c r="I1046" s="18" t="s">
        <v>1066</v>
      </c>
      <c r="J1046" s="23" t="s">
        <v>1926</v>
      </c>
      <c r="L1046" s="4" t="s">
        <v>2</v>
      </c>
      <c r="M1046" s="5"/>
      <c r="O1046" s="147">
        <v>0</v>
      </c>
      <c r="P1046" s="15">
        <v>1</v>
      </c>
      <c r="Q1046" s="148">
        <f t="shared" si="36"/>
        <v>1</v>
      </c>
      <c r="R104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AKISSI SALOME GRAND-ZATTRY  DIEU BENI FATAMAN    YAO VINCENT  0778527868  F  </v>
      </c>
      <c r="Z1046" s="53"/>
      <c r="AA1046" s="2"/>
      <c r="AB1046" s="48"/>
      <c r="AG1046" s="154"/>
      <c r="AH1046" s="18"/>
      <c r="AI1046" s="23"/>
      <c r="AK1046" s="4"/>
      <c r="AL1046" s="5"/>
      <c r="AN1046" s="147"/>
      <c r="AO1046" s="15"/>
      <c r="AP1046" s="148"/>
    </row>
    <row r="1047" spans="1:42" ht="16.5" x14ac:dyDescent="0.35">
      <c r="A1047" s="53">
        <v>1046</v>
      </c>
      <c r="B1047" s="2" t="s">
        <v>1899</v>
      </c>
      <c r="C1047" s="48" t="s">
        <v>663</v>
      </c>
      <c r="D1047" t="s">
        <v>1934</v>
      </c>
      <c r="E1047" t="s">
        <v>1935</v>
      </c>
      <c r="H1047" s="154"/>
      <c r="I1047" s="18" t="s">
        <v>1066</v>
      </c>
      <c r="J1047" s="23" t="s">
        <v>1927</v>
      </c>
      <c r="L1047" s="4" t="s">
        <v>9</v>
      </c>
      <c r="M1047" s="5"/>
      <c r="O1047" s="147">
        <v>0</v>
      </c>
      <c r="P1047" s="15">
        <v>0</v>
      </c>
      <c r="Q1047" s="148">
        <f t="shared" si="36"/>
        <v>0</v>
      </c>
      <c r="R104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KAN FIRMIN GRAND-ZATTRY  DIEU BENI FATAMAN    YAO VINCENT  0779117079  M  </v>
      </c>
      <c r="Z1047" s="53"/>
      <c r="AA1047" s="2"/>
      <c r="AB1047" s="48"/>
      <c r="AG1047" s="154"/>
      <c r="AH1047" s="18"/>
      <c r="AI1047" s="23"/>
      <c r="AK1047" s="4"/>
      <c r="AL1047" s="5"/>
      <c r="AN1047" s="147"/>
      <c r="AO1047" s="15"/>
      <c r="AP1047" s="148"/>
    </row>
    <row r="1048" spans="1:42" ht="16.5" x14ac:dyDescent="0.35">
      <c r="A1048" s="53">
        <v>1047</v>
      </c>
      <c r="B1048" s="2" t="s">
        <v>1900</v>
      </c>
      <c r="C1048" s="48" t="s">
        <v>663</v>
      </c>
      <c r="D1048" t="s">
        <v>1934</v>
      </c>
      <c r="E1048" t="s">
        <v>1935</v>
      </c>
      <c r="H1048" s="154"/>
      <c r="I1048" s="18" t="s">
        <v>1066</v>
      </c>
      <c r="J1048" s="23"/>
      <c r="L1048" s="4" t="s">
        <v>2</v>
      </c>
      <c r="M1048" s="5"/>
      <c r="O1048" s="147">
        <v>0</v>
      </c>
      <c r="P1048" s="15">
        <v>2</v>
      </c>
      <c r="Q1048" s="148">
        <f t="shared" si="36"/>
        <v>2</v>
      </c>
      <c r="R104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N'GORAN PAULIN GRAND-ZATTRY  DIEU BENI FATAMAN    YAO VINCENT    F  </v>
      </c>
      <c r="Z1048" s="53"/>
      <c r="AA1048" s="2"/>
      <c r="AB1048" s="48"/>
      <c r="AG1048" s="154"/>
      <c r="AH1048" s="18"/>
      <c r="AI1048" s="23"/>
      <c r="AK1048" s="4"/>
      <c r="AL1048" s="5"/>
      <c r="AN1048" s="147"/>
      <c r="AO1048" s="15"/>
      <c r="AP1048" s="148"/>
    </row>
    <row r="1049" spans="1:42" ht="16.5" x14ac:dyDescent="0.35">
      <c r="A1049" s="53">
        <v>1048</v>
      </c>
      <c r="B1049" s="2" t="s">
        <v>1901</v>
      </c>
      <c r="C1049" s="48" t="s">
        <v>663</v>
      </c>
      <c r="D1049" t="s">
        <v>1934</v>
      </c>
      <c r="E1049" t="s">
        <v>1935</v>
      </c>
      <c r="H1049" s="154"/>
      <c r="I1049" s="18" t="s">
        <v>1066</v>
      </c>
      <c r="J1049" s="23"/>
      <c r="L1049" s="4" t="s">
        <v>2</v>
      </c>
      <c r="M1049" s="5"/>
      <c r="O1049" s="147">
        <v>1</v>
      </c>
      <c r="P1049" s="15">
        <v>3</v>
      </c>
      <c r="Q1049" s="148">
        <f t="shared" si="36"/>
        <v>4</v>
      </c>
      <c r="R104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AKISSI FRANCOISE GRAND-ZATTRY  DIEU BENI FATAMAN    YAO VINCENT    F  </v>
      </c>
      <c r="Z1049" s="53"/>
      <c r="AA1049" s="2"/>
      <c r="AB1049" s="48"/>
      <c r="AG1049" s="154"/>
      <c r="AH1049" s="18"/>
      <c r="AI1049" s="23"/>
      <c r="AK1049" s="4"/>
      <c r="AL1049" s="5"/>
      <c r="AN1049" s="147"/>
      <c r="AO1049" s="15"/>
      <c r="AP1049" s="148"/>
    </row>
    <row r="1050" spans="1:42" ht="16.5" x14ac:dyDescent="0.35">
      <c r="A1050" s="53">
        <v>1049</v>
      </c>
      <c r="B1050" s="2" t="s">
        <v>1902</v>
      </c>
      <c r="C1050" s="48" t="s">
        <v>663</v>
      </c>
      <c r="D1050" t="s">
        <v>1934</v>
      </c>
      <c r="E1050" t="s">
        <v>1935</v>
      </c>
      <c r="H1050" s="154"/>
      <c r="I1050" s="18" t="s">
        <v>1066</v>
      </c>
      <c r="J1050" s="23"/>
      <c r="L1050" s="4" t="s">
        <v>2</v>
      </c>
      <c r="M1050" s="5"/>
      <c r="O1050" s="147">
        <v>1</v>
      </c>
      <c r="P1050" s="15">
        <v>2</v>
      </c>
      <c r="Q1050" s="148">
        <f t="shared" si="36"/>
        <v>3</v>
      </c>
      <c r="R105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ADJOUA GRAND-ZATTRY  DIEU BENI FATAMAN    YAO VINCENT    F  </v>
      </c>
      <c r="Z1050" s="53"/>
      <c r="AA1050" s="2"/>
      <c r="AB1050" s="48"/>
      <c r="AG1050" s="154"/>
      <c r="AH1050" s="18"/>
      <c r="AI1050" s="23"/>
      <c r="AK1050" s="4"/>
      <c r="AL1050" s="5"/>
      <c r="AN1050" s="147"/>
      <c r="AO1050" s="15"/>
      <c r="AP1050" s="148"/>
    </row>
    <row r="1051" spans="1:42" ht="16.5" x14ac:dyDescent="0.35">
      <c r="A1051" s="53">
        <v>1050</v>
      </c>
      <c r="B1051" s="2" t="s">
        <v>1903</v>
      </c>
      <c r="C1051" s="48" t="s">
        <v>663</v>
      </c>
      <c r="D1051" t="s">
        <v>1934</v>
      </c>
      <c r="E1051" t="s">
        <v>1935</v>
      </c>
      <c r="H1051" s="154"/>
      <c r="I1051" s="18" t="s">
        <v>1066</v>
      </c>
      <c r="J1051" s="23" t="s">
        <v>1928</v>
      </c>
      <c r="L1051" s="4" t="s">
        <v>9</v>
      </c>
      <c r="M1051" s="5"/>
      <c r="O1051" s="147">
        <v>0</v>
      </c>
      <c r="P1051" s="15">
        <v>0</v>
      </c>
      <c r="Q1051" s="148">
        <f t="shared" si="36"/>
        <v>0</v>
      </c>
      <c r="R105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GNAMIEN KOUASSI KAN GRAND-ZATTRY  DIEU BENI FATAMAN    YAO VINCENT  0758842115  M  </v>
      </c>
      <c r="Z1051" s="53"/>
      <c r="AA1051" s="2"/>
      <c r="AB1051" s="48"/>
      <c r="AG1051" s="154"/>
      <c r="AH1051" s="18"/>
      <c r="AI1051" s="23"/>
      <c r="AK1051" s="4"/>
      <c r="AL1051" s="5"/>
      <c r="AN1051" s="147"/>
      <c r="AO1051" s="15"/>
      <c r="AP1051" s="148"/>
    </row>
    <row r="1052" spans="1:42" ht="16.5" x14ac:dyDescent="0.35">
      <c r="A1052" s="53">
        <v>1051</v>
      </c>
      <c r="B1052" s="2" t="s">
        <v>1904</v>
      </c>
      <c r="C1052" s="48" t="s">
        <v>663</v>
      </c>
      <c r="D1052" t="s">
        <v>1934</v>
      </c>
      <c r="E1052" t="s">
        <v>1935</v>
      </c>
      <c r="H1052" s="154"/>
      <c r="I1052" s="18" t="s">
        <v>1066</v>
      </c>
      <c r="J1052" s="23"/>
      <c r="L1052" s="4" t="s">
        <v>2</v>
      </c>
      <c r="M1052" s="5"/>
      <c r="O1052" s="147">
        <v>3</v>
      </c>
      <c r="P1052" s="15">
        <v>4</v>
      </c>
      <c r="Q1052" s="148">
        <f t="shared" si="36"/>
        <v>7</v>
      </c>
      <c r="R105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DJAHA AMENAN JACQUELINE GRAND-ZATTRY  DIEU BENI FATAMAN    YAO VINCENT    F  </v>
      </c>
      <c r="Z1052" s="53"/>
      <c r="AA1052" s="2"/>
      <c r="AB1052" s="48"/>
      <c r="AG1052" s="154"/>
      <c r="AH1052" s="18"/>
      <c r="AI1052" s="23"/>
      <c r="AK1052" s="4"/>
      <c r="AL1052" s="5"/>
      <c r="AN1052" s="147"/>
      <c r="AO1052" s="15"/>
      <c r="AP1052" s="148"/>
    </row>
    <row r="1053" spans="1:42" ht="16.5" x14ac:dyDescent="0.35">
      <c r="A1053" s="53">
        <v>1052</v>
      </c>
      <c r="B1053" s="2" t="s">
        <v>1905</v>
      </c>
      <c r="C1053" s="48" t="s">
        <v>663</v>
      </c>
      <c r="D1053" t="s">
        <v>1934</v>
      </c>
      <c r="E1053" t="s">
        <v>1935</v>
      </c>
      <c r="H1053" s="154"/>
      <c r="I1053" s="18" t="s">
        <v>1066</v>
      </c>
      <c r="J1053" s="23" t="s">
        <v>1929</v>
      </c>
      <c r="L1053" s="4" t="s">
        <v>9</v>
      </c>
      <c r="M1053" s="5"/>
      <c r="O1053" s="147">
        <v>0</v>
      </c>
      <c r="P1053" s="15">
        <v>0</v>
      </c>
      <c r="Q1053" s="148">
        <f t="shared" si="36"/>
        <v>0</v>
      </c>
      <c r="R105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KOUADIO GRAND-ZATTRY  DIEU BENI FATAMAN    YAO VINCENT  0749452244  M  </v>
      </c>
      <c r="Z1053" s="53"/>
      <c r="AA1053" s="2"/>
      <c r="AB1053" s="48"/>
      <c r="AG1053" s="154"/>
      <c r="AH1053" s="18"/>
      <c r="AI1053" s="23"/>
      <c r="AK1053" s="4"/>
      <c r="AL1053" s="5"/>
      <c r="AN1053" s="147"/>
      <c r="AO1053" s="15"/>
      <c r="AP1053" s="148"/>
    </row>
    <row r="1054" spans="1:42" ht="16.5" x14ac:dyDescent="0.35">
      <c r="A1054" s="53">
        <v>1053</v>
      </c>
      <c r="B1054" s="2" t="s">
        <v>1906</v>
      </c>
      <c r="C1054" s="48" t="s">
        <v>663</v>
      </c>
      <c r="D1054" t="s">
        <v>1934</v>
      </c>
      <c r="E1054" t="s">
        <v>1935</v>
      </c>
      <c r="H1054" s="154"/>
      <c r="I1054" s="18" t="s">
        <v>1066</v>
      </c>
      <c r="J1054" s="23"/>
      <c r="L1054" s="4" t="s">
        <v>9</v>
      </c>
      <c r="M1054" s="5"/>
      <c r="O1054" s="147">
        <v>0</v>
      </c>
      <c r="P1054" s="15">
        <v>0</v>
      </c>
      <c r="Q1054" s="148">
        <f t="shared" si="36"/>
        <v>0</v>
      </c>
      <c r="R105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KOUADIO ARMAND GRAND-ZATTRY  DIEU BENI FATAMAN    YAO VINCENT    M  </v>
      </c>
      <c r="Z1054" s="53"/>
      <c r="AA1054" s="2"/>
      <c r="AB1054" s="48"/>
      <c r="AG1054" s="154"/>
      <c r="AH1054" s="18"/>
      <c r="AI1054" s="23"/>
      <c r="AK1054" s="4"/>
      <c r="AL1054" s="5"/>
      <c r="AN1054" s="147"/>
      <c r="AO1054" s="15"/>
      <c r="AP1054" s="148"/>
    </row>
    <row r="1055" spans="1:42" ht="16.5" x14ac:dyDescent="0.35">
      <c r="A1055" s="53">
        <v>1054</v>
      </c>
      <c r="B1055" s="2" t="s">
        <v>1907</v>
      </c>
      <c r="C1055" s="48" t="s">
        <v>663</v>
      </c>
      <c r="D1055" t="s">
        <v>1934</v>
      </c>
      <c r="E1055" t="s">
        <v>1935</v>
      </c>
      <c r="H1055" s="154"/>
      <c r="I1055" s="18" t="s">
        <v>1066</v>
      </c>
      <c r="J1055" s="23"/>
      <c r="L1055" s="4" t="s">
        <v>2</v>
      </c>
      <c r="M1055" s="5"/>
      <c r="O1055" s="147">
        <v>2</v>
      </c>
      <c r="P1055" s="15">
        <v>2</v>
      </c>
      <c r="Q1055" s="148">
        <f t="shared" si="36"/>
        <v>4</v>
      </c>
      <c r="R105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AYA BLANDINE GRAND-ZATTRY  DIEU BENI FATAMAN    YAO VINCENT    F  </v>
      </c>
      <c r="Z1055" s="53"/>
      <c r="AA1055" s="2"/>
      <c r="AB1055" s="48"/>
      <c r="AG1055" s="154"/>
      <c r="AH1055" s="18"/>
      <c r="AI1055" s="23"/>
      <c r="AK1055" s="4"/>
      <c r="AL1055" s="5"/>
      <c r="AN1055" s="147"/>
      <c r="AO1055" s="15"/>
      <c r="AP1055" s="148"/>
    </row>
    <row r="1056" spans="1:42" ht="16.5" x14ac:dyDescent="0.35">
      <c r="A1056" s="53">
        <v>1055</v>
      </c>
      <c r="B1056" s="2" t="s">
        <v>1908</v>
      </c>
      <c r="C1056" s="48" t="s">
        <v>663</v>
      </c>
      <c r="D1056" t="s">
        <v>1934</v>
      </c>
      <c r="E1056" t="s">
        <v>1935</v>
      </c>
      <c r="H1056" s="154"/>
      <c r="I1056" s="18" t="s">
        <v>1066</v>
      </c>
      <c r="J1056" s="23"/>
      <c r="L1056" s="4" t="s">
        <v>9</v>
      </c>
      <c r="M1056" s="5"/>
      <c r="O1056" s="147">
        <v>0</v>
      </c>
      <c r="P1056" s="15">
        <v>0</v>
      </c>
      <c r="Q1056" s="148">
        <f t="shared" si="36"/>
        <v>0</v>
      </c>
      <c r="R105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N'GORAN FELIX GRAND-ZATTRY  DIEU BENI FATAMAN    YAO VINCENT    M  </v>
      </c>
      <c r="Z1056" s="53"/>
      <c r="AA1056" s="2"/>
      <c r="AB1056" s="48"/>
      <c r="AG1056" s="154"/>
      <c r="AH1056" s="18"/>
      <c r="AI1056" s="23"/>
      <c r="AK1056" s="4"/>
      <c r="AL1056" s="5"/>
      <c r="AN1056" s="147"/>
      <c r="AO1056" s="15"/>
      <c r="AP1056" s="148"/>
    </row>
    <row r="1057" spans="1:42" ht="16.5" x14ac:dyDescent="0.35">
      <c r="A1057" s="53">
        <v>1056</v>
      </c>
      <c r="B1057" s="2" t="s">
        <v>1909</v>
      </c>
      <c r="C1057" s="48" t="s">
        <v>663</v>
      </c>
      <c r="D1057" t="s">
        <v>1934</v>
      </c>
      <c r="E1057" t="s">
        <v>1935</v>
      </c>
      <c r="H1057" s="154"/>
      <c r="I1057" s="18" t="s">
        <v>1066</v>
      </c>
      <c r="J1057" s="23"/>
      <c r="L1057" s="4" t="s">
        <v>2</v>
      </c>
      <c r="M1057" s="5"/>
      <c r="O1057" s="147">
        <v>2</v>
      </c>
      <c r="P1057" s="15">
        <v>2</v>
      </c>
      <c r="Q1057" s="148">
        <f t="shared" si="36"/>
        <v>4</v>
      </c>
      <c r="R105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AKISSI LEONNIE GRAND-ZATTRY  DIEU BENI FATAMAN    YAO VINCENT    F  </v>
      </c>
      <c r="Z1057" s="53"/>
      <c r="AA1057" s="2"/>
      <c r="AB1057" s="48"/>
      <c r="AG1057" s="154"/>
      <c r="AH1057" s="18"/>
      <c r="AI1057" s="23"/>
      <c r="AK1057" s="4"/>
      <c r="AL1057" s="5"/>
      <c r="AN1057" s="147"/>
      <c r="AO1057" s="15"/>
      <c r="AP1057" s="148"/>
    </row>
    <row r="1058" spans="1:42" ht="16.5" x14ac:dyDescent="0.35">
      <c r="A1058" s="53">
        <v>1057</v>
      </c>
      <c r="B1058" s="2" t="s">
        <v>1910</v>
      </c>
      <c r="C1058" s="48" t="s">
        <v>663</v>
      </c>
      <c r="D1058" t="s">
        <v>1934</v>
      </c>
      <c r="E1058" t="s">
        <v>1935</v>
      </c>
      <c r="H1058" s="154"/>
      <c r="I1058" s="18" t="s">
        <v>1066</v>
      </c>
      <c r="J1058" s="23" t="s">
        <v>1930</v>
      </c>
      <c r="L1058" s="4" t="s">
        <v>9</v>
      </c>
      <c r="M1058" s="5"/>
      <c r="O1058" s="147">
        <v>1</v>
      </c>
      <c r="P1058" s="15">
        <v>2</v>
      </c>
      <c r="Q1058" s="148">
        <f t="shared" si="36"/>
        <v>3</v>
      </c>
      <c r="R105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KAN SYLVAIN GRAND-ZATTRY  DIEU BENI FATAMAN    YAO VINCENT  0747718300  M  </v>
      </c>
      <c r="Z1058" s="53"/>
      <c r="AA1058" s="2"/>
      <c r="AB1058" s="48"/>
      <c r="AG1058" s="154"/>
      <c r="AH1058" s="18"/>
      <c r="AI1058" s="23"/>
      <c r="AK1058" s="4"/>
      <c r="AL1058" s="5"/>
      <c r="AN1058" s="147"/>
      <c r="AO1058" s="15"/>
      <c r="AP1058" s="148"/>
    </row>
    <row r="1059" spans="1:42" ht="16.5" x14ac:dyDescent="0.35">
      <c r="A1059" s="53">
        <v>1058</v>
      </c>
      <c r="B1059" s="2" t="s">
        <v>1911</v>
      </c>
      <c r="C1059" s="48" t="s">
        <v>663</v>
      </c>
      <c r="D1059" t="s">
        <v>1934</v>
      </c>
      <c r="E1059" t="s">
        <v>1935</v>
      </c>
      <c r="H1059" s="154"/>
      <c r="I1059" s="18" t="s">
        <v>1066</v>
      </c>
      <c r="J1059" s="23"/>
      <c r="L1059" s="4" t="s">
        <v>2</v>
      </c>
      <c r="M1059" s="5"/>
      <c r="O1059" s="147">
        <v>2</v>
      </c>
      <c r="P1059" s="15">
        <v>1</v>
      </c>
      <c r="Q1059" s="148">
        <f t="shared" si="36"/>
        <v>3</v>
      </c>
      <c r="R105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AHOU ELINE GRAND-ZATTRY  DIEU BENI FATAMAN    YAO VINCENT    F  </v>
      </c>
      <c r="Z1059" s="53"/>
      <c r="AA1059" s="2"/>
      <c r="AB1059" s="48"/>
      <c r="AG1059" s="154"/>
      <c r="AH1059" s="18"/>
      <c r="AI1059" s="23"/>
      <c r="AK1059" s="4"/>
      <c r="AL1059" s="5"/>
      <c r="AN1059" s="147"/>
      <c r="AO1059" s="15"/>
      <c r="AP1059" s="148"/>
    </row>
    <row r="1060" spans="1:42" ht="16.5" x14ac:dyDescent="0.35">
      <c r="A1060" s="53">
        <v>1059</v>
      </c>
      <c r="B1060" s="2" t="s">
        <v>1912</v>
      </c>
      <c r="C1060" s="48" t="s">
        <v>663</v>
      </c>
      <c r="D1060" t="s">
        <v>1934</v>
      </c>
      <c r="E1060" t="s">
        <v>1935</v>
      </c>
      <c r="H1060" s="154"/>
      <c r="I1060" s="18" t="s">
        <v>1066</v>
      </c>
      <c r="J1060" s="23"/>
      <c r="L1060" s="4" t="s">
        <v>2</v>
      </c>
      <c r="M1060" s="5"/>
      <c r="O1060" s="147">
        <v>2</v>
      </c>
      <c r="P1060" s="15">
        <v>2</v>
      </c>
      <c r="Q1060" s="148">
        <f t="shared" si="36"/>
        <v>4</v>
      </c>
      <c r="R106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 AHOU PAULINE GRAND-ZATTRY  DIEU BENI FATAMAN    YAO VINCENT    F  </v>
      </c>
      <c r="Z1060" s="53"/>
      <c r="AA1060" s="2"/>
      <c r="AB1060" s="48"/>
      <c r="AG1060" s="154"/>
      <c r="AH1060" s="18"/>
      <c r="AI1060" s="23"/>
      <c r="AK1060" s="4"/>
      <c r="AL1060" s="5"/>
      <c r="AN1060" s="147"/>
      <c r="AO1060" s="15"/>
      <c r="AP1060" s="148"/>
    </row>
    <row r="1061" spans="1:42" ht="16.5" x14ac:dyDescent="0.35">
      <c r="A1061" s="53">
        <v>1060</v>
      </c>
      <c r="B1061" s="2" t="s">
        <v>1913</v>
      </c>
      <c r="C1061" s="48" t="s">
        <v>663</v>
      </c>
      <c r="D1061" t="s">
        <v>1934</v>
      </c>
      <c r="E1061" t="s">
        <v>1935</v>
      </c>
      <c r="H1061" s="154"/>
      <c r="I1061" s="18" t="s">
        <v>1066</v>
      </c>
      <c r="J1061" s="23" t="s">
        <v>1931</v>
      </c>
      <c r="L1061" s="4" t="s">
        <v>9</v>
      </c>
      <c r="M1061" s="5"/>
      <c r="O1061" s="147">
        <v>2</v>
      </c>
      <c r="P1061" s="15">
        <v>2</v>
      </c>
      <c r="Q1061" s="148">
        <f t="shared" si="36"/>
        <v>4</v>
      </c>
      <c r="R106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KONAN SIMON GRAND-ZATTRY  DIEU BENI FATAMAN    YAO VINCENT  0749747022  M  </v>
      </c>
      <c r="Z1061" s="53"/>
      <c r="AA1061" s="2"/>
      <c r="AB1061" s="48"/>
      <c r="AG1061" s="154"/>
      <c r="AH1061" s="18"/>
      <c r="AI1061" s="23"/>
      <c r="AK1061" s="4"/>
      <c r="AL1061" s="5"/>
      <c r="AN1061" s="147"/>
      <c r="AO1061" s="15"/>
      <c r="AP1061" s="148"/>
    </row>
    <row r="1062" spans="1:42" ht="16.5" x14ac:dyDescent="0.35">
      <c r="A1062" s="53">
        <v>1061</v>
      </c>
      <c r="B1062" s="2" t="s">
        <v>1914</v>
      </c>
      <c r="C1062" s="48" t="s">
        <v>663</v>
      </c>
      <c r="D1062" t="s">
        <v>1934</v>
      </c>
      <c r="E1062" t="s">
        <v>1935</v>
      </c>
      <c r="H1062" s="154"/>
      <c r="I1062" s="18" t="s">
        <v>1066</v>
      </c>
      <c r="J1062" s="23"/>
      <c r="L1062" s="4" t="s">
        <v>2</v>
      </c>
      <c r="M1062" s="5"/>
      <c r="O1062" s="147">
        <v>0</v>
      </c>
      <c r="P1062" s="15">
        <v>0</v>
      </c>
      <c r="Q1062" s="148">
        <f t="shared" si="36"/>
        <v>0</v>
      </c>
      <c r="R106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AYA GRAND-ZATTRY  DIEU BENI FATAMAN    YAO VINCENT    F  </v>
      </c>
      <c r="Z1062" s="53"/>
      <c r="AA1062" s="2"/>
      <c r="AB1062" s="48"/>
      <c r="AG1062" s="154"/>
      <c r="AH1062" s="18"/>
      <c r="AI1062" s="23"/>
      <c r="AK1062" s="4"/>
      <c r="AL1062" s="5"/>
      <c r="AN1062" s="147"/>
      <c r="AO1062" s="15"/>
      <c r="AP1062" s="148"/>
    </row>
    <row r="1063" spans="1:42" ht="16.5" x14ac:dyDescent="0.35">
      <c r="A1063" s="53">
        <v>1062</v>
      </c>
      <c r="B1063" s="2" t="s">
        <v>1915</v>
      </c>
      <c r="C1063" s="48" t="s">
        <v>663</v>
      </c>
      <c r="D1063" t="s">
        <v>1934</v>
      </c>
      <c r="E1063" t="s">
        <v>1935</v>
      </c>
      <c r="H1063" s="154"/>
      <c r="I1063" s="18" t="s">
        <v>1066</v>
      </c>
      <c r="J1063" s="23" t="s">
        <v>1932</v>
      </c>
      <c r="L1063" s="4" t="s">
        <v>9</v>
      </c>
      <c r="M1063" s="5"/>
      <c r="O1063" s="147">
        <v>0</v>
      </c>
      <c r="P1063" s="15">
        <v>0</v>
      </c>
      <c r="Q1063" s="148">
        <f t="shared" si="36"/>
        <v>0</v>
      </c>
      <c r="R106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N'DRI JULIEN GRAND-ZATTRY  DIEU BENI FATAMAN    YAO VINCENT  0749687460  M  </v>
      </c>
      <c r="Z1063" s="53"/>
      <c r="AA1063" s="2"/>
      <c r="AB1063" s="48"/>
      <c r="AG1063" s="154"/>
      <c r="AH1063" s="18"/>
      <c r="AI1063" s="23"/>
      <c r="AK1063" s="4"/>
      <c r="AL1063" s="5"/>
      <c r="AN1063" s="147"/>
      <c r="AO1063" s="15"/>
      <c r="AP1063" s="148"/>
    </row>
    <row r="1064" spans="1:42" ht="16.5" x14ac:dyDescent="0.35">
      <c r="A1064" s="53">
        <v>1063</v>
      </c>
      <c r="B1064" s="2" t="s">
        <v>1916</v>
      </c>
      <c r="C1064" s="48" t="s">
        <v>663</v>
      </c>
      <c r="D1064" t="s">
        <v>1934</v>
      </c>
      <c r="E1064" t="s">
        <v>1935</v>
      </c>
      <c r="H1064" s="154"/>
      <c r="I1064" s="18" t="s">
        <v>1066</v>
      </c>
      <c r="J1064" s="23"/>
      <c r="L1064" s="4" t="s">
        <v>2</v>
      </c>
      <c r="M1064" s="5"/>
      <c r="O1064" s="147">
        <v>2</v>
      </c>
      <c r="P1064" s="15">
        <v>0</v>
      </c>
      <c r="Q1064" s="148">
        <f t="shared" si="36"/>
        <v>2</v>
      </c>
      <c r="R106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AMOIN PAULINE GRAND-ZATTRY  DIEU BENI FATAMAN    YAO VINCENT    F  </v>
      </c>
      <c r="Z1064" s="53"/>
      <c r="AA1064" s="2"/>
      <c r="AB1064" s="48"/>
      <c r="AG1064" s="154"/>
      <c r="AH1064" s="18"/>
      <c r="AI1064" s="23"/>
      <c r="AK1064" s="4"/>
      <c r="AL1064" s="5"/>
      <c r="AN1064" s="147"/>
      <c r="AO1064" s="15"/>
      <c r="AP1064" s="148"/>
    </row>
    <row r="1065" spans="1:42" ht="16.5" x14ac:dyDescent="0.35">
      <c r="A1065" s="53">
        <v>1064</v>
      </c>
      <c r="B1065" s="2" t="s">
        <v>1917</v>
      </c>
      <c r="C1065" s="48" t="s">
        <v>663</v>
      </c>
      <c r="D1065" t="s">
        <v>1934</v>
      </c>
      <c r="E1065" t="s">
        <v>1935</v>
      </c>
      <c r="H1065" s="154"/>
      <c r="I1065" s="18" t="s">
        <v>1066</v>
      </c>
      <c r="J1065" s="23"/>
      <c r="L1065" s="4" t="s">
        <v>2</v>
      </c>
      <c r="M1065" s="5"/>
      <c r="O1065" s="147">
        <v>1</v>
      </c>
      <c r="P1065" s="15">
        <v>1</v>
      </c>
      <c r="Q1065" s="148">
        <f t="shared" si="36"/>
        <v>2</v>
      </c>
      <c r="R106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AFFOUE HONORINE GRAND-ZATTRY  DIEU BENI FATAMAN    YAO VINCENT    F  </v>
      </c>
      <c r="Z1065" s="53"/>
      <c r="AA1065" s="2"/>
      <c r="AB1065" s="48"/>
      <c r="AG1065" s="154"/>
      <c r="AH1065" s="18"/>
      <c r="AI1065" s="23"/>
      <c r="AK1065" s="4"/>
      <c r="AL1065" s="5"/>
      <c r="AN1065" s="147"/>
      <c r="AO1065" s="15"/>
      <c r="AP1065" s="148"/>
    </row>
    <row r="1066" spans="1:42" ht="16.5" x14ac:dyDescent="0.35">
      <c r="A1066" s="53">
        <v>1065</v>
      </c>
      <c r="B1066" s="2" t="s">
        <v>1918</v>
      </c>
      <c r="C1066" s="48" t="s">
        <v>663</v>
      </c>
      <c r="D1066" t="s">
        <v>1934</v>
      </c>
      <c r="E1066" t="s">
        <v>1935</v>
      </c>
      <c r="H1066" s="154"/>
      <c r="I1066" s="18" t="s">
        <v>1066</v>
      </c>
      <c r="J1066" s="23"/>
      <c r="L1066" s="4" t="s">
        <v>2</v>
      </c>
      <c r="M1066" s="5"/>
      <c r="O1066" s="147">
        <v>2</v>
      </c>
      <c r="P1066" s="15">
        <v>1</v>
      </c>
      <c r="Q1066" s="148">
        <f t="shared" si="36"/>
        <v>3</v>
      </c>
      <c r="R106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N'GORAN AYA NADEGE GRAND-ZATTRY  DIEU BENI FATAMAN    YAO VINCENT    F  </v>
      </c>
      <c r="Z1066" s="53"/>
      <c r="AA1066" s="2"/>
      <c r="AB1066" s="48"/>
      <c r="AG1066" s="154"/>
      <c r="AH1066" s="18"/>
      <c r="AI1066" s="23"/>
      <c r="AK1066" s="4"/>
      <c r="AL1066" s="5"/>
      <c r="AN1066" s="147"/>
      <c r="AO1066" s="15"/>
      <c r="AP1066" s="148"/>
    </row>
    <row r="1067" spans="1:42" ht="16.5" x14ac:dyDescent="0.5">
      <c r="A1067" s="53">
        <v>1066</v>
      </c>
      <c r="B1067" s="2" t="s">
        <v>1919</v>
      </c>
      <c r="C1067" s="48" t="s">
        <v>663</v>
      </c>
      <c r="D1067" t="s">
        <v>1934</v>
      </c>
      <c r="E1067" t="s">
        <v>1935</v>
      </c>
      <c r="H1067" s="154"/>
      <c r="I1067" s="18" t="s">
        <v>1066</v>
      </c>
      <c r="J1067" s="23"/>
      <c r="L1067" s="4" t="s">
        <v>9</v>
      </c>
      <c r="M1067" s="5"/>
      <c r="O1067" s="149">
        <v>0</v>
      </c>
      <c r="P1067" s="149">
        <v>3</v>
      </c>
      <c r="Q1067" s="148">
        <f t="shared" si="36"/>
        <v>3</v>
      </c>
      <c r="R106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N'GUESSAN EUGENE GRAND-ZATTRY  DIEU BENI FATAMAN    YAO VINCENT    M  </v>
      </c>
      <c r="Z1067" s="53"/>
      <c r="AA1067" s="2"/>
      <c r="AB1067" s="48"/>
      <c r="AG1067" s="154"/>
      <c r="AH1067" s="18"/>
      <c r="AI1067" s="23"/>
      <c r="AK1067" s="4"/>
      <c r="AL1067" s="5"/>
      <c r="AN1067" s="149"/>
      <c r="AO1067" s="149"/>
      <c r="AP1067" s="148"/>
    </row>
    <row r="1068" spans="1:42" ht="16.5" x14ac:dyDescent="0.5">
      <c r="A1068" s="53">
        <v>1067</v>
      </c>
      <c r="B1068" s="2" t="s">
        <v>1920</v>
      </c>
      <c r="C1068" s="48" t="s">
        <v>663</v>
      </c>
      <c r="D1068" t="s">
        <v>1934</v>
      </c>
      <c r="E1068" t="s">
        <v>1935</v>
      </c>
      <c r="H1068" s="154"/>
      <c r="I1068" s="18" t="s">
        <v>1066</v>
      </c>
      <c r="J1068" s="23" t="s">
        <v>1933</v>
      </c>
      <c r="L1068" s="4" t="s">
        <v>2</v>
      </c>
      <c r="M1068" s="5"/>
      <c r="O1068" s="149">
        <v>1</v>
      </c>
      <c r="P1068" s="149">
        <v>2</v>
      </c>
      <c r="Q1068" s="148">
        <f t="shared" si="36"/>
        <v>3</v>
      </c>
      <c r="R106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YAO ADJOUA HELENE GRAND-ZATTRY  DIEU BENI FATAMAN    YAO VINCENT  0749440328  F  </v>
      </c>
      <c r="Z1068" s="53"/>
      <c r="AA1068" s="2"/>
      <c r="AB1068" s="48"/>
      <c r="AG1068" s="154"/>
      <c r="AH1068" s="18"/>
      <c r="AI1068" s="23"/>
      <c r="AK1068" s="4"/>
      <c r="AL1068" s="5"/>
      <c r="AN1068" s="149"/>
      <c r="AO1068" s="149"/>
      <c r="AP1068" s="148"/>
    </row>
    <row r="1069" spans="1:42" ht="16.5" x14ac:dyDescent="0.5">
      <c r="A1069" s="53">
        <v>1068</v>
      </c>
      <c r="B1069" s="2" t="s">
        <v>1921</v>
      </c>
      <c r="C1069" s="48" t="s">
        <v>663</v>
      </c>
      <c r="D1069" t="s">
        <v>1934</v>
      </c>
      <c r="E1069" t="s">
        <v>1935</v>
      </c>
      <c r="H1069" s="154"/>
      <c r="I1069" s="18" t="s">
        <v>1066</v>
      </c>
      <c r="J1069" s="23"/>
      <c r="L1069" s="4" t="s">
        <v>2</v>
      </c>
      <c r="M1069" s="5"/>
      <c r="O1069" s="149">
        <v>0</v>
      </c>
      <c r="P1069" s="149">
        <v>0</v>
      </c>
      <c r="Q1069" s="148">
        <f t="shared" si="36"/>
        <v>0</v>
      </c>
      <c r="R106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KANGA AHOU CLAUDINE GRAND-ZATTRY  DIEU BENI FATAMAN    YAO VINCENT    F  </v>
      </c>
      <c r="Z1069" s="53"/>
      <c r="AA1069" s="2"/>
      <c r="AB1069" s="48"/>
      <c r="AG1069" s="154"/>
      <c r="AH1069" s="18"/>
      <c r="AI1069" s="23"/>
      <c r="AK1069" s="4"/>
      <c r="AL1069" s="5"/>
      <c r="AN1069" s="149"/>
      <c r="AO1069" s="149"/>
      <c r="AP1069" s="148"/>
    </row>
    <row r="1070" spans="1:42" ht="16.5" x14ac:dyDescent="0.5">
      <c r="A1070" s="53">
        <v>1069</v>
      </c>
      <c r="B1070" s="2" t="s">
        <v>1922</v>
      </c>
      <c r="C1070" s="48" t="s">
        <v>663</v>
      </c>
      <c r="D1070" t="s">
        <v>1934</v>
      </c>
      <c r="E1070" t="s">
        <v>1935</v>
      </c>
      <c r="H1070" s="154"/>
      <c r="I1070" s="18" t="s">
        <v>1066</v>
      </c>
      <c r="J1070" s="23"/>
      <c r="L1070" s="4" t="s">
        <v>2</v>
      </c>
      <c r="M1070" s="5"/>
      <c r="O1070" s="149">
        <v>1</v>
      </c>
      <c r="P1070" s="149">
        <v>1</v>
      </c>
      <c r="Q1070" s="148">
        <f t="shared" si="36"/>
        <v>2</v>
      </c>
      <c r="R107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AMEANAN GRAND-ZATTRY  DIEU BENI FATAMAN    YAO VINCENT    F  </v>
      </c>
      <c r="Z1070" s="53"/>
      <c r="AA1070" s="2"/>
      <c r="AB1070" s="48"/>
      <c r="AG1070" s="154"/>
      <c r="AH1070" s="18"/>
      <c r="AI1070" s="23"/>
      <c r="AK1070" s="4"/>
      <c r="AL1070" s="5"/>
      <c r="AN1070" s="149"/>
      <c r="AO1070" s="149"/>
      <c r="AP1070" s="148"/>
    </row>
    <row r="1071" spans="1:42" ht="16.5" x14ac:dyDescent="0.35">
      <c r="A1071" s="53">
        <v>1070</v>
      </c>
      <c r="B1071" s="9" t="s">
        <v>1923</v>
      </c>
      <c r="C1071" s="48" t="s">
        <v>663</v>
      </c>
      <c r="D1071" t="s">
        <v>1934</v>
      </c>
      <c r="E1071" t="s">
        <v>1935</v>
      </c>
      <c r="H1071" s="154"/>
      <c r="I1071" s="18" t="s">
        <v>1066</v>
      </c>
      <c r="J1071" s="24"/>
      <c r="L1071" s="4" t="s">
        <v>9</v>
      </c>
      <c r="M1071" s="27"/>
      <c r="O1071" s="151">
        <v>0</v>
      </c>
      <c r="P1071" s="151">
        <v>2</v>
      </c>
      <c r="Q1071" s="148">
        <f t="shared" si="36"/>
        <v>2</v>
      </c>
      <c r="R107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N'GUESSAN VIGINIE GRAND-ZATTRY  DIEU BENI FATAMAN    YAO VINCENT    M  </v>
      </c>
      <c r="Z1071" s="53"/>
      <c r="AA1071" s="9"/>
      <c r="AB1071" s="48"/>
      <c r="AG1071" s="154"/>
      <c r="AH1071" s="18"/>
      <c r="AI1071" s="24"/>
      <c r="AK1071" s="4"/>
      <c r="AL1071" s="27"/>
      <c r="AN1071" s="151"/>
      <c r="AO1071" s="151"/>
      <c r="AP1071" s="148"/>
    </row>
    <row r="1072" spans="1:42" ht="16.5" x14ac:dyDescent="0.35">
      <c r="A1072" s="53">
        <v>1071</v>
      </c>
      <c r="B1072" s="2" t="s">
        <v>1936</v>
      </c>
      <c r="C1072" s="48" t="s">
        <v>663</v>
      </c>
      <c r="D1072" t="s">
        <v>1966</v>
      </c>
      <c r="E1072" t="s">
        <v>1935</v>
      </c>
      <c r="H1072" s="10"/>
      <c r="I1072" s="18" t="s">
        <v>1066</v>
      </c>
      <c r="J1072" s="23"/>
      <c r="L1072" s="4" t="s">
        <v>2</v>
      </c>
      <c r="M1072" s="5"/>
      <c r="O1072" s="147">
        <v>0</v>
      </c>
      <c r="P1072" s="15">
        <v>0</v>
      </c>
      <c r="Q1072" s="148">
        <f>(O1072+P1072)</f>
        <v>0</v>
      </c>
      <c r="R107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ADJO ELISABETH GRAND-ZATTRY L'UNION FAIT LA FORCE FATAMAN    YAO VINCENT    F  </v>
      </c>
      <c r="Z1072" s="53"/>
      <c r="AA1072" s="2"/>
      <c r="AB1072" s="48"/>
      <c r="AG1072" s="10"/>
      <c r="AH1072" s="18"/>
      <c r="AI1072" s="23"/>
      <c r="AK1072" s="4"/>
      <c r="AL1072" s="5"/>
      <c r="AN1072" s="147"/>
      <c r="AO1072" s="15"/>
      <c r="AP1072" s="148"/>
    </row>
    <row r="1073" spans="1:42" ht="16.5" x14ac:dyDescent="0.35">
      <c r="A1073" s="53">
        <v>1072</v>
      </c>
      <c r="B1073" s="2" t="s">
        <v>1937</v>
      </c>
      <c r="C1073" s="48" t="s">
        <v>663</v>
      </c>
      <c r="D1073" t="s">
        <v>1966</v>
      </c>
      <c r="E1073" t="s">
        <v>1935</v>
      </c>
      <c r="H1073" s="154"/>
      <c r="I1073" s="18" t="s">
        <v>1066</v>
      </c>
      <c r="J1073" s="23" t="s">
        <v>1963</v>
      </c>
      <c r="L1073" s="4" t="s">
        <v>2</v>
      </c>
      <c r="M1073" s="5"/>
      <c r="O1073" s="147">
        <v>0</v>
      </c>
      <c r="P1073" s="15">
        <v>0</v>
      </c>
      <c r="Q1073" s="148">
        <f t="shared" ref="Q1073:Q1098" si="37">(O1073+P1073)</f>
        <v>0</v>
      </c>
      <c r="R107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BATO KAN AMOS GRAND-ZATTRY L'UNION FAIT LA FORCE FATAMAN    YAO VINCENT  0758087015  F  </v>
      </c>
      <c r="Z1073" s="53"/>
      <c r="AA1073" s="2"/>
      <c r="AB1073" s="48"/>
      <c r="AG1073" s="154"/>
      <c r="AH1073" s="18"/>
      <c r="AI1073" s="23"/>
      <c r="AK1073" s="4"/>
      <c r="AL1073" s="5"/>
      <c r="AN1073" s="147"/>
      <c r="AO1073" s="15"/>
      <c r="AP1073" s="148"/>
    </row>
    <row r="1074" spans="1:42" ht="16.5" x14ac:dyDescent="0.35">
      <c r="A1074" s="53">
        <v>1073</v>
      </c>
      <c r="B1074" s="2" t="s">
        <v>1938</v>
      </c>
      <c r="C1074" s="48" t="s">
        <v>663</v>
      </c>
      <c r="D1074" t="s">
        <v>1966</v>
      </c>
      <c r="E1074" t="s">
        <v>1935</v>
      </c>
      <c r="H1074" s="154"/>
      <c r="I1074" s="18" t="s">
        <v>1066</v>
      </c>
      <c r="J1074" s="23"/>
      <c r="L1074" s="4" t="s">
        <v>2</v>
      </c>
      <c r="M1074" s="5"/>
      <c r="O1074" s="147">
        <v>1</v>
      </c>
      <c r="P1074" s="15">
        <v>1</v>
      </c>
      <c r="Q1074" s="148">
        <f t="shared" si="37"/>
        <v>2</v>
      </c>
      <c r="R107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Mme BATO EDWIGE GRAND-ZATTRY L'UNION FAIT LA FORCE FATAMAN    YAO VINCENT    F  </v>
      </c>
      <c r="Z1074" s="53"/>
      <c r="AA1074" s="2"/>
      <c r="AB1074" s="48"/>
      <c r="AG1074" s="154"/>
      <c r="AH1074" s="18"/>
      <c r="AI1074" s="23"/>
      <c r="AK1074" s="4"/>
      <c r="AL1074" s="5"/>
      <c r="AN1074" s="147"/>
      <c r="AO1074" s="15"/>
      <c r="AP1074" s="148"/>
    </row>
    <row r="1075" spans="1:42" ht="16.5" x14ac:dyDescent="0.35">
      <c r="A1075" s="53">
        <v>1074</v>
      </c>
      <c r="B1075" s="2" t="s">
        <v>1939</v>
      </c>
      <c r="C1075" s="48" t="s">
        <v>663</v>
      </c>
      <c r="D1075" t="s">
        <v>1966</v>
      </c>
      <c r="E1075" t="s">
        <v>1935</v>
      </c>
      <c r="H1075" s="154"/>
      <c r="I1075" s="18" t="s">
        <v>1066</v>
      </c>
      <c r="J1075" s="23" t="s">
        <v>1964</v>
      </c>
      <c r="L1075" s="4" t="s">
        <v>2</v>
      </c>
      <c r="M1075" s="5"/>
      <c r="O1075" s="147">
        <v>0</v>
      </c>
      <c r="P1075" s="15">
        <v>2</v>
      </c>
      <c r="Q1075" s="148">
        <f t="shared" si="37"/>
        <v>2</v>
      </c>
      <c r="R107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N'DRI AYA CELINE GRAND-ZATTRY L'UNION FAIT LA FORCE FATAMAN    YAO VINCENT  0748075236  F  </v>
      </c>
      <c r="Z1075" s="53"/>
      <c r="AA1075" s="2"/>
      <c r="AB1075" s="48"/>
      <c r="AG1075" s="154"/>
      <c r="AH1075" s="18"/>
      <c r="AI1075" s="23"/>
      <c r="AK1075" s="4"/>
      <c r="AL1075" s="5"/>
      <c r="AN1075" s="147"/>
      <c r="AO1075" s="15"/>
      <c r="AP1075" s="148"/>
    </row>
    <row r="1076" spans="1:42" ht="16.5" x14ac:dyDescent="0.35">
      <c r="A1076" s="53">
        <v>1075</v>
      </c>
      <c r="B1076" s="2" t="s">
        <v>1940</v>
      </c>
      <c r="C1076" s="48" t="s">
        <v>663</v>
      </c>
      <c r="D1076" t="s">
        <v>1966</v>
      </c>
      <c r="E1076" t="s">
        <v>1935</v>
      </c>
      <c r="H1076" s="154"/>
      <c r="I1076" s="18" t="s">
        <v>1066</v>
      </c>
      <c r="J1076" s="23"/>
      <c r="L1076" s="4" t="s">
        <v>2</v>
      </c>
      <c r="M1076" s="5"/>
      <c r="O1076" s="147">
        <v>3</v>
      </c>
      <c r="P1076" s="15">
        <v>0</v>
      </c>
      <c r="Q1076" s="148">
        <f t="shared" si="37"/>
        <v>3</v>
      </c>
      <c r="R107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AMANI AMOIN ROSALIE GRAND-ZATTRY L'UNION FAIT LA FORCE FATAMAN    YAO VINCENT    F  </v>
      </c>
      <c r="Z1076" s="53"/>
      <c r="AA1076" s="2"/>
      <c r="AB1076" s="48"/>
      <c r="AG1076" s="154"/>
      <c r="AH1076" s="18"/>
      <c r="AI1076" s="23"/>
      <c r="AK1076" s="4"/>
      <c r="AL1076" s="5"/>
      <c r="AN1076" s="147"/>
      <c r="AO1076" s="15"/>
      <c r="AP1076" s="148"/>
    </row>
    <row r="1077" spans="1:42" ht="16.5" x14ac:dyDescent="0.35">
      <c r="A1077" s="53">
        <v>1076</v>
      </c>
      <c r="B1077" s="2" t="s">
        <v>1941</v>
      </c>
      <c r="C1077" s="48" t="s">
        <v>663</v>
      </c>
      <c r="D1077" t="s">
        <v>1966</v>
      </c>
      <c r="E1077" t="s">
        <v>1935</v>
      </c>
      <c r="H1077" s="154"/>
      <c r="I1077" s="18" t="s">
        <v>1066</v>
      </c>
      <c r="J1077" s="23"/>
      <c r="L1077" s="4" t="s">
        <v>2</v>
      </c>
      <c r="M1077" s="5"/>
      <c r="O1077" s="147">
        <v>1</v>
      </c>
      <c r="P1077" s="15">
        <v>1</v>
      </c>
      <c r="Q1077" s="148">
        <f t="shared" si="37"/>
        <v>2</v>
      </c>
      <c r="R107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DJAHA AFFOUE MONIQUE GRAND-ZATTRY L'UNION FAIT LA FORCE FATAMAN    YAO VINCENT    F  </v>
      </c>
      <c r="Z1077" s="53"/>
      <c r="AA1077" s="2"/>
      <c r="AB1077" s="48"/>
      <c r="AG1077" s="154"/>
      <c r="AH1077" s="18"/>
      <c r="AI1077" s="23"/>
      <c r="AK1077" s="4"/>
      <c r="AL1077" s="5"/>
      <c r="AN1077" s="147"/>
      <c r="AO1077" s="15"/>
      <c r="AP1077" s="148"/>
    </row>
    <row r="1078" spans="1:42" ht="16.5" x14ac:dyDescent="0.35">
      <c r="A1078" s="53">
        <v>1077</v>
      </c>
      <c r="B1078" s="2" t="s">
        <v>1942</v>
      </c>
      <c r="C1078" s="48" t="s">
        <v>663</v>
      </c>
      <c r="D1078" t="s">
        <v>1966</v>
      </c>
      <c r="E1078" t="s">
        <v>1935</v>
      </c>
      <c r="H1078" s="154"/>
      <c r="I1078" s="18" t="s">
        <v>1066</v>
      </c>
      <c r="J1078" s="23"/>
      <c r="L1078" s="4" t="s">
        <v>2</v>
      </c>
      <c r="M1078" s="5"/>
      <c r="O1078" s="147">
        <v>1</v>
      </c>
      <c r="P1078" s="15">
        <v>2</v>
      </c>
      <c r="Q1078" s="148">
        <f t="shared" si="37"/>
        <v>3</v>
      </c>
      <c r="R107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AMOIN ODETTE GRAND-ZATTRY L'UNION FAIT LA FORCE FATAMAN    YAO VINCENT    F  </v>
      </c>
      <c r="Z1078" s="53"/>
      <c r="AA1078" s="2"/>
      <c r="AB1078" s="48"/>
      <c r="AG1078" s="154"/>
      <c r="AH1078" s="18"/>
      <c r="AI1078" s="23"/>
      <c r="AK1078" s="4"/>
      <c r="AL1078" s="5"/>
      <c r="AN1078" s="147"/>
      <c r="AO1078" s="15"/>
      <c r="AP1078" s="148"/>
    </row>
    <row r="1079" spans="1:42" ht="16.5" x14ac:dyDescent="0.35">
      <c r="A1079" s="53">
        <v>1078</v>
      </c>
      <c r="B1079" s="2" t="s">
        <v>1943</v>
      </c>
      <c r="C1079" s="48" t="s">
        <v>663</v>
      </c>
      <c r="D1079" t="s">
        <v>1966</v>
      </c>
      <c r="E1079" t="s">
        <v>1935</v>
      </c>
      <c r="H1079" s="154"/>
      <c r="I1079" s="18" t="s">
        <v>1066</v>
      </c>
      <c r="J1079" s="23"/>
      <c r="L1079" s="4" t="s">
        <v>2</v>
      </c>
      <c r="M1079" s="5"/>
      <c r="O1079" s="147">
        <v>1</v>
      </c>
      <c r="P1079" s="15">
        <v>1</v>
      </c>
      <c r="Q1079" s="148">
        <f t="shared" si="37"/>
        <v>2</v>
      </c>
      <c r="R107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AMENAN CLARISSE GRAND-ZATTRY L'UNION FAIT LA FORCE FATAMAN    YAO VINCENT    F  </v>
      </c>
      <c r="Z1079" s="53"/>
      <c r="AA1079" s="2"/>
      <c r="AB1079" s="48"/>
      <c r="AG1079" s="154"/>
      <c r="AH1079" s="18"/>
      <c r="AI1079" s="23"/>
      <c r="AK1079" s="4"/>
      <c r="AL1079" s="5"/>
      <c r="AN1079" s="147"/>
      <c r="AO1079" s="15"/>
      <c r="AP1079" s="148"/>
    </row>
    <row r="1080" spans="1:42" ht="16.5" x14ac:dyDescent="0.35">
      <c r="A1080" s="53">
        <v>1079</v>
      </c>
      <c r="B1080" s="2" t="s">
        <v>1944</v>
      </c>
      <c r="C1080" s="48" t="s">
        <v>663</v>
      </c>
      <c r="D1080" t="s">
        <v>1966</v>
      </c>
      <c r="E1080" t="s">
        <v>1935</v>
      </c>
      <c r="H1080" s="154"/>
      <c r="I1080" s="18" t="s">
        <v>1066</v>
      </c>
      <c r="J1080" s="23"/>
      <c r="L1080" s="4" t="s">
        <v>2</v>
      </c>
      <c r="M1080" s="5"/>
      <c r="O1080" s="147">
        <v>1</v>
      </c>
      <c r="P1080" s="15">
        <v>0</v>
      </c>
      <c r="Q1080" s="148">
        <f t="shared" si="37"/>
        <v>1</v>
      </c>
      <c r="R108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AKISSI NICOLE GRAND-ZATTRY L'UNION FAIT LA FORCE FATAMAN    YAO VINCENT    F  </v>
      </c>
      <c r="Z1080" s="53"/>
      <c r="AA1080" s="2"/>
      <c r="AB1080" s="48"/>
      <c r="AG1080" s="154"/>
      <c r="AH1080" s="18"/>
      <c r="AI1080" s="23"/>
      <c r="AK1080" s="4"/>
      <c r="AL1080" s="5"/>
      <c r="AN1080" s="147"/>
      <c r="AO1080" s="15"/>
      <c r="AP1080" s="148"/>
    </row>
    <row r="1081" spans="1:42" ht="16.5" x14ac:dyDescent="0.35">
      <c r="A1081" s="53">
        <v>1080</v>
      </c>
      <c r="B1081" s="2" t="s">
        <v>1945</v>
      </c>
      <c r="C1081" s="48" t="s">
        <v>663</v>
      </c>
      <c r="D1081" t="s">
        <v>1966</v>
      </c>
      <c r="E1081" t="s">
        <v>1935</v>
      </c>
      <c r="H1081" s="154"/>
      <c r="I1081" s="18" t="s">
        <v>1066</v>
      </c>
      <c r="J1081" s="23"/>
      <c r="L1081" s="4" t="s">
        <v>2</v>
      </c>
      <c r="M1081" s="5"/>
      <c r="O1081" s="147">
        <v>3</v>
      </c>
      <c r="P1081" s="15">
        <v>2</v>
      </c>
      <c r="Q1081" s="148">
        <f t="shared" si="37"/>
        <v>5</v>
      </c>
      <c r="R108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AKISSI SOLANGE GRAND-ZATTRY L'UNION FAIT LA FORCE FATAMAN    YAO VINCENT    F  </v>
      </c>
      <c r="Z1081" s="53"/>
      <c r="AA1081" s="2"/>
      <c r="AB1081" s="48"/>
      <c r="AG1081" s="154"/>
      <c r="AH1081" s="18"/>
      <c r="AI1081" s="23"/>
      <c r="AK1081" s="4"/>
      <c r="AL1081" s="5"/>
      <c r="AN1081" s="147"/>
      <c r="AO1081" s="15"/>
      <c r="AP1081" s="148"/>
    </row>
    <row r="1082" spans="1:42" ht="16.5" x14ac:dyDescent="0.35">
      <c r="A1082" s="53">
        <v>1081</v>
      </c>
      <c r="B1082" s="2" t="s">
        <v>1946</v>
      </c>
      <c r="C1082" s="48" t="s">
        <v>663</v>
      </c>
      <c r="D1082" t="s">
        <v>1966</v>
      </c>
      <c r="E1082" t="s">
        <v>1935</v>
      </c>
      <c r="H1082" s="154"/>
      <c r="I1082" s="18" t="s">
        <v>1066</v>
      </c>
      <c r="J1082" s="23"/>
      <c r="L1082" s="4" t="s">
        <v>2</v>
      </c>
      <c r="M1082" s="5"/>
      <c r="O1082" s="147">
        <v>1</v>
      </c>
      <c r="P1082" s="15">
        <v>1</v>
      </c>
      <c r="Q1082" s="148">
        <f t="shared" si="37"/>
        <v>2</v>
      </c>
      <c r="R108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AKISSI YVONNE GRAND-ZATTRY L'UNION FAIT LA FORCE FATAMAN    YAO VINCENT    F  </v>
      </c>
      <c r="Z1082" s="53"/>
      <c r="AA1082" s="2"/>
      <c r="AB1082" s="48"/>
      <c r="AG1082" s="154"/>
      <c r="AH1082" s="18"/>
      <c r="AI1082" s="23"/>
      <c r="AK1082" s="4"/>
      <c r="AL1082" s="5"/>
      <c r="AN1082" s="147"/>
      <c r="AO1082" s="15"/>
      <c r="AP1082" s="148"/>
    </row>
    <row r="1083" spans="1:42" ht="16.5" x14ac:dyDescent="0.35">
      <c r="A1083" s="53">
        <v>1082</v>
      </c>
      <c r="B1083" s="2" t="s">
        <v>1947</v>
      </c>
      <c r="C1083" s="48" t="s">
        <v>663</v>
      </c>
      <c r="D1083" t="s">
        <v>1966</v>
      </c>
      <c r="E1083" t="s">
        <v>1935</v>
      </c>
      <c r="H1083" s="154"/>
      <c r="I1083" s="18" t="s">
        <v>1066</v>
      </c>
      <c r="J1083" s="23"/>
      <c r="L1083" s="4" t="s">
        <v>2</v>
      </c>
      <c r="M1083" s="5"/>
      <c r="O1083" s="147">
        <v>0</v>
      </c>
      <c r="P1083" s="15">
        <v>2</v>
      </c>
      <c r="Q1083" s="148">
        <f t="shared" si="37"/>
        <v>2</v>
      </c>
      <c r="R108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KOFFI AKISSI CHRIST GRAND-ZATTRY L'UNION FAIT LA FORCE FATAMAN    YAO VINCENT    F  </v>
      </c>
      <c r="Z1083" s="53"/>
      <c r="AA1083" s="2"/>
      <c r="AB1083" s="48"/>
      <c r="AG1083" s="154"/>
      <c r="AH1083" s="18"/>
      <c r="AI1083" s="23"/>
      <c r="AK1083" s="4"/>
      <c r="AL1083" s="5"/>
      <c r="AN1083" s="147"/>
      <c r="AO1083" s="15"/>
      <c r="AP1083" s="148"/>
    </row>
    <row r="1084" spans="1:42" ht="16.5" x14ac:dyDescent="0.35">
      <c r="A1084" s="53">
        <v>1083</v>
      </c>
      <c r="B1084" s="2" t="s">
        <v>1948</v>
      </c>
      <c r="C1084" s="48" t="s">
        <v>663</v>
      </c>
      <c r="D1084" t="s">
        <v>1966</v>
      </c>
      <c r="E1084" t="s">
        <v>1935</v>
      </c>
      <c r="H1084" s="154"/>
      <c r="I1084" s="18" t="s">
        <v>1066</v>
      </c>
      <c r="J1084" s="23"/>
      <c r="L1084" s="4" t="s">
        <v>2</v>
      </c>
      <c r="M1084" s="5"/>
      <c r="O1084" s="147">
        <v>4</v>
      </c>
      <c r="P1084" s="15">
        <v>2</v>
      </c>
      <c r="Q1084" s="148">
        <f t="shared" si="37"/>
        <v>6</v>
      </c>
      <c r="R108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AKISSI THERESE GRAND-ZATTRY L'UNION FAIT LA FORCE FATAMAN    YAO VINCENT    F  </v>
      </c>
      <c r="Z1084" s="53"/>
      <c r="AA1084" s="2"/>
      <c r="AB1084" s="48"/>
      <c r="AG1084" s="154"/>
      <c r="AH1084" s="18"/>
      <c r="AI1084" s="23"/>
      <c r="AK1084" s="4"/>
      <c r="AL1084" s="5"/>
      <c r="AN1084" s="147"/>
      <c r="AO1084" s="15"/>
      <c r="AP1084" s="148"/>
    </row>
    <row r="1085" spans="1:42" ht="16.5" x14ac:dyDescent="0.35">
      <c r="A1085" s="53">
        <v>1084</v>
      </c>
      <c r="B1085" s="2" t="s">
        <v>1949</v>
      </c>
      <c r="C1085" s="48" t="s">
        <v>663</v>
      </c>
      <c r="D1085" t="s">
        <v>1966</v>
      </c>
      <c r="E1085" t="s">
        <v>1935</v>
      </c>
      <c r="H1085" s="154"/>
      <c r="I1085" s="18" t="s">
        <v>1066</v>
      </c>
      <c r="J1085" s="23" t="s">
        <v>1965</v>
      </c>
      <c r="L1085" s="4" t="s">
        <v>9</v>
      </c>
      <c r="M1085" s="5"/>
      <c r="O1085" s="147">
        <v>0</v>
      </c>
      <c r="P1085" s="15">
        <v>0</v>
      </c>
      <c r="Q1085" s="148">
        <f t="shared" si="37"/>
        <v>0</v>
      </c>
      <c r="R108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KONAN HENRY GRAND-ZATTRY L'UNION FAIT LA FORCE FATAMAN    YAO VINCENT  0576775828  M  </v>
      </c>
      <c r="Z1085" s="53"/>
      <c r="AA1085" s="2"/>
      <c r="AB1085" s="48"/>
      <c r="AG1085" s="154"/>
      <c r="AH1085" s="18"/>
      <c r="AI1085" s="23"/>
      <c r="AK1085" s="4"/>
      <c r="AL1085" s="5"/>
      <c r="AN1085" s="147"/>
      <c r="AO1085" s="15"/>
      <c r="AP1085" s="148"/>
    </row>
    <row r="1086" spans="1:42" ht="16.5" x14ac:dyDescent="0.35">
      <c r="A1086" s="53">
        <v>1085</v>
      </c>
      <c r="B1086" s="2" t="s">
        <v>1950</v>
      </c>
      <c r="C1086" s="48" t="s">
        <v>663</v>
      </c>
      <c r="D1086" t="s">
        <v>1966</v>
      </c>
      <c r="E1086" t="s">
        <v>1935</v>
      </c>
      <c r="H1086" s="154"/>
      <c r="I1086" s="18" t="s">
        <v>1066</v>
      </c>
      <c r="J1086" s="23"/>
      <c r="L1086" s="4" t="s">
        <v>2</v>
      </c>
      <c r="M1086" s="5"/>
      <c r="O1086" s="147">
        <v>2</v>
      </c>
      <c r="P1086" s="15">
        <v>2</v>
      </c>
      <c r="Q1086" s="148">
        <f t="shared" si="37"/>
        <v>4</v>
      </c>
      <c r="R108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KOUAME AFFOUE ODETTE GRAND-ZATTRY L'UNION FAIT LA FORCE FATAMAN    YAO VINCENT    F  </v>
      </c>
      <c r="Z1086" s="53"/>
      <c r="AA1086" s="2"/>
      <c r="AB1086" s="48"/>
      <c r="AG1086" s="154"/>
      <c r="AH1086" s="18"/>
      <c r="AI1086" s="23"/>
      <c r="AK1086" s="4"/>
      <c r="AL1086" s="5"/>
      <c r="AN1086" s="147"/>
      <c r="AO1086" s="15"/>
      <c r="AP1086" s="148"/>
    </row>
    <row r="1087" spans="1:42" ht="16.5" x14ac:dyDescent="0.35">
      <c r="A1087" s="53">
        <v>1086</v>
      </c>
      <c r="B1087" s="2" t="s">
        <v>1951</v>
      </c>
      <c r="C1087" s="48" t="s">
        <v>663</v>
      </c>
      <c r="D1087" t="s">
        <v>1966</v>
      </c>
      <c r="E1087" t="s">
        <v>1935</v>
      </c>
      <c r="H1087" s="154"/>
      <c r="I1087" s="18" t="s">
        <v>1066</v>
      </c>
      <c r="J1087" s="23"/>
      <c r="L1087" s="4" t="s">
        <v>2</v>
      </c>
      <c r="M1087" s="5"/>
      <c r="O1087" s="147">
        <v>1</v>
      </c>
      <c r="P1087" s="15">
        <v>1</v>
      </c>
      <c r="Q1087" s="148">
        <f t="shared" si="37"/>
        <v>2</v>
      </c>
      <c r="R108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KOUAKOU AFFOUE VERONIQUE GRAND-ZATTRY L'UNION FAIT LA FORCE FATAMAN    YAO VINCENT    F  </v>
      </c>
      <c r="Z1087" s="53"/>
      <c r="AA1087" s="2"/>
      <c r="AB1087" s="48"/>
      <c r="AG1087" s="154"/>
      <c r="AH1087" s="18"/>
      <c r="AI1087" s="23"/>
      <c r="AK1087" s="4"/>
      <c r="AL1087" s="5"/>
      <c r="AN1087" s="147"/>
      <c r="AO1087" s="15"/>
      <c r="AP1087" s="148"/>
    </row>
    <row r="1088" spans="1:42" ht="16.5" x14ac:dyDescent="0.35">
      <c r="A1088" s="53">
        <v>1087</v>
      </c>
      <c r="B1088" s="2" t="s">
        <v>1952</v>
      </c>
      <c r="C1088" s="48" t="s">
        <v>663</v>
      </c>
      <c r="D1088" t="s">
        <v>1966</v>
      </c>
      <c r="E1088" t="s">
        <v>1935</v>
      </c>
      <c r="H1088" s="154"/>
      <c r="I1088" s="18" t="s">
        <v>1066</v>
      </c>
      <c r="J1088" s="23"/>
      <c r="L1088" s="4" t="s">
        <v>2</v>
      </c>
      <c r="M1088" s="5"/>
      <c r="O1088" s="147">
        <v>2</v>
      </c>
      <c r="P1088" s="15">
        <v>2</v>
      </c>
      <c r="Q1088" s="148">
        <f t="shared" si="37"/>
        <v>4</v>
      </c>
      <c r="R108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AFFOUE SEPHORA GRAND-ZATTRY L'UNION FAIT LA FORCE FATAMAN    YAO VINCENT    F  </v>
      </c>
      <c r="Z1088" s="53"/>
      <c r="AA1088" s="2"/>
      <c r="AB1088" s="48"/>
      <c r="AG1088" s="154"/>
      <c r="AH1088" s="18"/>
      <c r="AI1088" s="23"/>
      <c r="AK1088" s="4"/>
      <c r="AL1088" s="5"/>
      <c r="AN1088" s="147"/>
      <c r="AO1088" s="15"/>
      <c r="AP1088" s="148"/>
    </row>
    <row r="1089" spans="1:42" ht="16.5" x14ac:dyDescent="0.35">
      <c r="A1089" s="53">
        <v>1088</v>
      </c>
      <c r="B1089" s="2" t="s">
        <v>1953</v>
      </c>
      <c r="C1089" s="48" t="s">
        <v>663</v>
      </c>
      <c r="D1089" t="s">
        <v>1966</v>
      </c>
      <c r="E1089" t="s">
        <v>1935</v>
      </c>
      <c r="H1089" s="154"/>
      <c r="I1089" s="18" t="s">
        <v>1066</v>
      </c>
      <c r="J1089" s="23"/>
      <c r="L1089" s="4" t="s">
        <v>9</v>
      </c>
      <c r="M1089" s="5"/>
      <c r="O1089" s="147">
        <v>2</v>
      </c>
      <c r="P1089" s="15">
        <v>2</v>
      </c>
      <c r="Q1089" s="148">
        <f t="shared" si="37"/>
        <v>4</v>
      </c>
      <c r="R1089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KOFFI FERNAND GRAND-ZATTRY L'UNION FAIT LA FORCE FATAMAN    YAO VINCENT    M  </v>
      </c>
      <c r="Z1089" s="53"/>
      <c r="AA1089" s="2"/>
      <c r="AB1089" s="48"/>
      <c r="AG1089" s="154"/>
      <c r="AH1089" s="18"/>
      <c r="AI1089" s="23"/>
      <c r="AK1089" s="4"/>
      <c r="AL1089" s="5"/>
      <c r="AN1089" s="147"/>
      <c r="AO1089" s="15"/>
      <c r="AP1089" s="148"/>
    </row>
    <row r="1090" spans="1:42" ht="16.5" x14ac:dyDescent="0.35">
      <c r="A1090" s="53">
        <v>1089</v>
      </c>
      <c r="B1090" s="2" t="s">
        <v>1954</v>
      </c>
      <c r="C1090" s="48" t="s">
        <v>663</v>
      </c>
      <c r="D1090" t="s">
        <v>1966</v>
      </c>
      <c r="E1090" t="s">
        <v>1935</v>
      </c>
      <c r="H1090" s="154"/>
      <c r="I1090" s="18" t="s">
        <v>1066</v>
      </c>
      <c r="J1090" s="23"/>
      <c r="L1090" s="4" t="s">
        <v>9</v>
      </c>
      <c r="M1090" s="5"/>
      <c r="O1090" s="147">
        <v>1</v>
      </c>
      <c r="P1090" s="15">
        <v>0</v>
      </c>
      <c r="Q1090" s="148">
        <f t="shared" si="37"/>
        <v>1</v>
      </c>
      <c r="R1090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BOHOUSSOU GRAND-ZATTRY L'UNION FAIT LA FORCE FATAMAN    YAO VINCENT    M  </v>
      </c>
      <c r="Z1090" s="53"/>
      <c r="AA1090" s="2"/>
      <c r="AB1090" s="48"/>
      <c r="AG1090" s="154"/>
      <c r="AH1090" s="18"/>
      <c r="AI1090" s="23"/>
      <c r="AK1090" s="4"/>
      <c r="AL1090" s="5"/>
      <c r="AN1090" s="147"/>
      <c r="AO1090" s="15"/>
      <c r="AP1090" s="148"/>
    </row>
    <row r="1091" spans="1:42" ht="16.5" x14ac:dyDescent="0.35">
      <c r="A1091" s="53">
        <v>1090</v>
      </c>
      <c r="B1091" s="2" t="s">
        <v>1955</v>
      </c>
      <c r="C1091" s="48" t="s">
        <v>663</v>
      </c>
      <c r="D1091" t="s">
        <v>1966</v>
      </c>
      <c r="E1091" t="s">
        <v>1935</v>
      </c>
      <c r="H1091" s="154"/>
      <c r="I1091" s="18" t="s">
        <v>1066</v>
      </c>
      <c r="J1091" s="23"/>
      <c r="L1091" s="4" t="s">
        <v>9</v>
      </c>
      <c r="M1091" s="5"/>
      <c r="O1091" s="147">
        <v>0</v>
      </c>
      <c r="P1091" s="15">
        <v>0</v>
      </c>
      <c r="Q1091" s="148">
        <f t="shared" si="37"/>
        <v>0</v>
      </c>
      <c r="R1091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AMANI YAO FELIX GRAND-ZATTRY L'UNION FAIT LA FORCE FATAMAN    YAO VINCENT    M  </v>
      </c>
      <c r="Z1091" s="53"/>
      <c r="AA1091" s="2"/>
      <c r="AB1091" s="48"/>
      <c r="AG1091" s="154"/>
      <c r="AH1091" s="18"/>
      <c r="AI1091" s="23"/>
      <c r="AK1091" s="4"/>
      <c r="AL1091" s="5"/>
      <c r="AN1091" s="147"/>
      <c r="AO1091" s="15"/>
      <c r="AP1091" s="148"/>
    </row>
    <row r="1092" spans="1:42" ht="16.5" x14ac:dyDescent="0.35">
      <c r="A1092" s="53">
        <v>1091</v>
      </c>
      <c r="B1092" s="2" t="s">
        <v>1956</v>
      </c>
      <c r="C1092" s="48" t="s">
        <v>663</v>
      </c>
      <c r="D1092" t="s">
        <v>1966</v>
      </c>
      <c r="E1092" t="s">
        <v>1935</v>
      </c>
      <c r="H1092" s="154"/>
      <c r="I1092" s="18" t="s">
        <v>1066</v>
      </c>
      <c r="J1092" s="23"/>
      <c r="L1092" s="4" t="s">
        <v>2</v>
      </c>
      <c r="M1092" s="5"/>
      <c r="O1092" s="147">
        <v>1</v>
      </c>
      <c r="P1092" s="15">
        <v>0</v>
      </c>
      <c r="Q1092" s="148">
        <f t="shared" si="37"/>
        <v>1</v>
      </c>
      <c r="R1092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KOUADIO N'ZI LEONTINE GRAND-ZATTRY L'UNION FAIT LA FORCE FATAMAN    YAO VINCENT    F  </v>
      </c>
      <c r="Z1092" s="53"/>
      <c r="AA1092" s="2"/>
      <c r="AB1092" s="48"/>
      <c r="AG1092" s="154"/>
      <c r="AH1092" s="18"/>
      <c r="AI1092" s="23"/>
      <c r="AK1092" s="4"/>
      <c r="AL1092" s="5"/>
      <c r="AN1092" s="147"/>
      <c r="AO1092" s="15"/>
      <c r="AP1092" s="148"/>
    </row>
    <row r="1093" spans="1:42" ht="16.5" x14ac:dyDescent="0.35">
      <c r="A1093" s="53">
        <v>1092</v>
      </c>
      <c r="B1093" s="2" t="s">
        <v>1957</v>
      </c>
      <c r="C1093" s="48" t="s">
        <v>663</v>
      </c>
      <c r="D1093" t="s">
        <v>1966</v>
      </c>
      <c r="E1093" t="s">
        <v>1935</v>
      </c>
      <c r="H1093" s="154"/>
      <c r="I1093" s="18" t="s">
        <v>1066</v>
      </c>
      <c r="J1093" s="23"/>
      <c r="L1093" s="4" t="s">
        <v>9</v>
      </c>
      <c r="M1093" s="5"/>
      <c r="O1093" s="147">
        <v>0</v>
      </c>
      <c r="P1093" s="15">
        <v>0</v>
      </c>
      <c r="Q1093" s="148">
        <f t="shared" si="37"/>
        <v>0</v>
      </c>
      <c r="R1093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KOUAKOU BIENVENU GRAND-ZATTRY L'UNION FAIT LA FORCE FATAMAN    YAO VINCENT    M  </v>
      </c>
      <c r="Z1093" s="53"/>
      <c r="AA1093" s="2"/>
      <c r="AB1093" s="48"/>
      <c r="AG1093" s="154"/>
      <c r="AH1093" s="18"/>
      <c r="AI1093" s="23"/>
      <c r="AK1093" s="4"/>
      <c r="AL1093" s="5"/>
      <c r="AN1093" s="147"/>
      <c r="AO1093" s="15"/>
      <c r="AP1093" s="148"/>
    </row>
    <row r="1094" spans="1:42" ht="16.5" x14ac:dyDescent="0.35">
      <c r="A1094" s="53">
        <v>1093</v>
      </c>
      <c r="B1094" s="2" t="s">
        <v>1958</v>
      </c>
      <c r="C1094" s="48" t="s">
        <v>663</v>
      </c>
      <c r="D1094" t="s">
        <v>1966</v>
      </c>
      <c r="E1094" t="s">
        <v>1935</v>
      </c>
      <c r="H1094" s="154"/>
      <c r="I1094" s="18" t="s">
        <v>1066</v>
      </c>
      <c r="J1094" s="23"/>
      <c r="L1094" s="4" t="s">
        <v>2</v>
      </c>
      <c r="M1094" s="5"/>
      <c r="O1094" s="147">
        <v>2</v>
      </c>
      <c r="P1094" s="15">
        <v>0</v>
      </c>
      <c r="Q1094" s="148">
        <f t="shared" si="37"/>
        <v>2</v>
      </c>
      <c r="R1094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ADJOUA CECILE GRAND-ZATTRY L'UNION FAIT LA FORCE FATAMAN    YAO VINCENT    F  </v>
      </c>
      <c r="Z1094" s="53"/>
      <c r="AA1094" s="2"/>
      <c r="AB1094" s="48"/>
      <c r="AG1094" s="154"/>
      <c r="AH1094" s="18"/>
      <c r="AI1094" s="23"/>
      <c r="AK1094" s="4"/>
      <c r="AL1094" s="5"/>
      <c r="AN1094" s="147"/>
      <c r="AO1094" s="15"/>
      <c r="AP1094" s="148"/>
    </row>
    <row r="1095" spans="1:42" ht="16.5" x14ac:dyDescent="0.5">
      <c r="A1095" s="53">
        <v>1094</v>
      </c>
      <c r="B1095" s="2" t="s">
        <v>1959</v>
      </c>
      <c r="C1095" s="48" t="s">
        <v>663</v>
      </c>
      <c r="D1095" t="s">
        <v>1966</v>
      </c>
      <c r="E1095" t="s">
        <v>1935</v>
      </c>
      <c r="H1095" s="154"/>
      <c r="I1095" s="18" t="s">
        <v>1066</v>
      </c>
      <c r="J1095" s="23"/>
      <c r="L1095" s="4" t="s">
        <v>9</v>
      </c>
      <c r="M1095" s="5"/>
      <c r="O1095" s="149">
        <v>0</v>
      </c>
      <c r="P1095" s="149">
        <v>0</v>
      </c>
      <c r="Q1095" s="148">
        <f t="shared" si="37"/>
        <v>0</v>
      </c>
      <c r="R1095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KOUADIO LUCIEN GRAND-ZATTRY L'UNION FAIT LA FORCE FATAMAN    YAO VINCENT    M  </v>
      </c>
      <c r="Z1095" s="53"/>
      <c r="AA1095" s="2"/>
      <c r="AB1095" s="48"/>
      <c r="AG1095" s="154"/>
      <c r="AH1095" s="18"/>
      <c r="AI1095" s="23"/>
      <c r="AK1095" s="4"/>
      <c r="AL1095" s="5"/>
      <c r="AN1095" s="149"/>
      <c r="AO1095" s="149"/>
      <c r="AP1095" s="148"/>
    </row>
    <row r="1096" spans="1:42" ht="16.5" x14ac:dyDescent="0.5">
      <c r="A1096" s="53">
        <v>1095</v>
      </c>
      <c r="B1096" s="2" t="s">
        <v>1960</v>
      </c>
      <c r="C1096" s="48" t="s">
        <v>663</v>
      </c>
      <c r="D1096" t="s">
        <v>1966</v>
      </c>
      <c r="E1096" t="s">
        <v>1935</v>
      </c>
      <c r="H1096" s="154"/>
      <c r="I1096" s="18" t="s">
        <v>1066</v>
      </c>
      <c r="J1096" s="23"/>
      <c r="L1096" s="4" t="s">
        <v>2</v>
      </c>
      <c r="M1096" s="5"/>
      <c r="O1096" s="149">
        <v>1</v>
      </c>
      <c r="P1096" s="149">
        <v>3</v>
      </c>
      <c r="Q1096" s="148">
        <f t="shared" si="37"/>
        <v>4</v>
      </c>
      <c r="R1096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KOUASSI AMENAN CATHERINE GRAND-ZATTRY L'UNION FAIT LA FORCE FATAMAN    YAO VINCENT    F  </v>
      </c>
      <c r="Z1096" s="53"/>
      <c r="AA1096" s="2"/>
      <c r="AB1096" s="48"/>
      <c r="AG1096" s="154"/>
      <c r="AH1096" s="18"/>
      <c r="AI1096" s="23"/>
      <c r="AK1096" s="4"/>
      <c r="AL1096" s="5"/>
      <c r="AN1096" s="149"/>
      <c r="AO1096" s="149"/>
      <c r="AP1096" s="148"/>
    </row>
    <row r="1097" spans="1:42" ht="16.5" x14ac:dyDescent="0.5">
      <c r="A1097" s="53">
        <v>1096</v>
      </c>
      <c r="B1097" s="2" t="s">
        <v>1961</v>
      </c>
      <c r="C1097" s="48" t="s">
        <v>663</v>
      </c>
      <c r="D1097" t="s">
        <v>1966</v>
      </c>
      <c r="E1097" t="s">
        <v>1935</v>
      </c>
      <c r="H1097" s="154"/>
      <c r="I1097" s="18" t="s">
        <v>1066</v>
      </c>
      <c r="J1097" s="23"/>
      <c r="L1097" s="4" t="s">
        <v>2</v>
      </c>
      <c r="M1097" s="5"/>
      <c r="O1097" s="149">
        <v>1</v>
      </c>
      <c r="P1097" s="149">
        <v>1</v>
      </c>
      <c r="Q1097" s="148">
        <f t="shared" si="37"/>
        <v>2</v>
      </c>
      <c r="R1097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KONAN AHOU ANICETTE GRAND-ZATTRY L'UNION FAIT LA FORCE FATAMAN    YAO VINCENT    F  </v>
      </c>
      <c r="Z1097" s="53"/>
      <c r="AA1097" s="2"/>
      <c r="AB1097" s="48"/>
      <c r="AG1097" s="154"/>
      <c r="AH1097" s="18"/>
      <c r="AI1097" s="23"/>
      <c r="AK1097" s="4"/>
      <c r="AL1097" s="5"/>
      <c r="AN1097" s="149"/>
      <c r="AO1097" s="149"/>
      <c r="AP1097" s="148"/>
    </row>
    <row r="1098" spans="1:42" ht="16.5" x14ac:dyDescent="0.5">
      <c r="A1098" s="53">
        <v>1097</v>
      </c>
      <c r="B1098" s="9" t="s">
        <v>1962</v>
      </c>
      <c r="C1098" s="48" t="s">
        <v>663</v>
      </c>
      <c r="D1098" t="s">
        <v>1966</v>
      </c>
      <c r="E1098" t="s">
        <v>1935</v>
      </c>
      <c r="H1098" s="154"/>
      <c r="I1098" s="18" t="s">
        <v>1066</v>
      </c>
      <c r="J1098" s="23"/>
      <c r="L1098" s="4" t="s">
        <v>2</v>
      </c>
      <c r="M1098" s="27"/>
      <c r="O1098" s="149">
        <v>0</v>
      </c>
      <c r="P1098" s="149">
        <v>0</v>
      </c>
      <c r="Q1098" s="148">
        <f t="shared" si="37"/>
        <v>0</v>
      </c>
      <c r="R1098" t="str">
        <f>CONCATENATE(Tableau3[[#This Row],[NOM &amp; PRENOMS DES MEMBRES D''AVEC ]]," ",Tableau3[[#This Row],[ DEPARTEMANT]]," ",Tableau3[[#This Row],[NOM DE  l’AVEC ]]," ",Tableau3[[#This Row],[VILLAGE/QUARTIER ]]," ",Tableau3[[#This Row],[Numéro AVEC]]," ",Tableau3[[#This Row],[NOM &amp; PRENOMS DU FACILITATEUR]]," ",Tableau3[[#This Row],[CONTACT DU FACILITATEUR AVEC]]," ",Tableau3[[#This Row],[NOM SUPERVISEUR ]]," ",Tableau3[[#This Row],[CONTACT MEMBRE AVEC]]," ",Tableau3[[#This Row],[AGE MEMBRE AVEC]]," ",Tableau3[[#This Row],[SEXE MEMBRE AVEC]]," ",Tableau3[[#This Row],[SITUATION MATRIMONIALE MEMBRE AVEC]]," ",Tableau3[[#This Row],[ACTIVITE  MENEE MEMBRE AVEC]])</f>
        <v xml:space="preserve">N'GUESSAN AMOIN COLETTE GRAND-ZATTRY L'UNION FAIT LA FORCE FATAMAN    YAO VINCENT    F  </v>
      </c>
      <c r="Z1098" s="53"/>
      <c r="AA1098" s="9"/>
      <c r="AB1098" s="48"/>
      <c r="AG1098" s="154"/>
      <c r="AH1098" s="18"/>
      <c r="AI1098" s="23"/>
      <c r="AK1098" s="4"/>
      <c r="AL1098" s="27"/>
      <c r="AN1098" s="149"/>
      <c r="AO1098" s="149"/>
      <c r="AP1098" s="148"/>
    </row>
    <row r="1099" spans="1:42" ht="16.5" x14ac:dyDescent="0.35">
      <c r="A1099" s="17" t="s">
        <v>658</v>
      </c>
      <c r="B1099" s="289">
        <f>SUBTOTAL(103,Tableau3[NOM &amp; PRENOMS DES MEMBRES D''AVEC ])</f>
        <v>1097</v>
      </c>
      <c r="C1099" s="19">
        <f>SUBTOTAL(103,Tableau3[[ DEPARTEMANT]])</f>
        <v>1097</v>
      </c>
      <c r="D1099">
        <f>SUBTOTAL(103,Tableau3[NOM DE  l’AVEC ])</f>
        <v>1097</v>
      </c>
      <c r="H1099" s="290"/>
      <c r="L1099" s="17">
        <f>SUBTOTAL(103,Tableau3[SEXE MEMBRE AVEC])</f>
        <v>1097</v>
      </c>
      <c r="M1099" s="291"/>
      <c r="O1099" s="190">
        <f>SUBTOTAL(109,Tableau3[G])</f>
        <v>2089</v>
      </c>
      <c r="P1099" s="190">
        <f>SUBTOTAL(109,Tableau3[F])</f>
        <v>2098</v>
      </c>
      <c r="Q1099" s="191">
        <f>SUBTOTAL(109,Tableau3[T])</f>
        <v>4185</v>
      </c>
      <c r="R1099">
        <f>SUBTOTAL(103,Tableau3[[RECHERCHE ]])</f>
        <v>1097</v>
      </c>
    </row>
  </sheetData>
  <phoneticPr fontId="2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1120-CB29-4E49-B214-DBC5CABCCB11}">
  <sheetPr codeName="Feuil10"/>
  <dimension ref="A1"/>
  <sheetViews>
    <sheetView topLeftCell="D13" zoomScaleNormal="100" workbookViewId="0">
      <selection activeCell="O18" sqref="O18"/>
    </sheetView>
  </sheetViews>
  <sheetFormatPr baseColWidth="10" defaultColWidth="10.90625" defaultRowHeight="14.5" x14ac:dyDescent="0.35"/>
  <sheetData/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0E6-77A0-4156-919B-D59AD000EBEE}">
  <sheetPr codeName="Feuil13"/>
  <dimension ref="A1:E40"/>
  <sheetViews>
    <sheetView zoomScaleNormal="100" workbookViewId="0">
      <selection activeCell="B19" sqref="B19"/>
    </sheetView>
  </sheetViews>
  <sheetFormatPr baseColWidth="10" defaultColWidth="10.90625" defaultRowHeight="14.5" x14ac:dyDescent="0.35"/>
  <cols>
    <col min="1" max="1" width="35.81640625" customWidth="1"/>
    <col min="2" max="2" width="27" customWidth="1"/>
    <col min="3" max="3" width="35.81640625" customWidth="1"/>
    <col min="5" max="5" width="35.7265625" customWidth="1"/>
  </cols>
  <sheetData>
    <row r="1" spans="1:5" ht="18.5" thickBot="1" x14ac:dyDescent="0.4">
      <c r="A1" s="103" t="s">
        <v>668</v>
      </c>
      <c r="B1" s="104" t="s">
        <v>669</v>
      </c>
      <c r="C1" s="105" t="s">
        <v>670</v>
      </c>
    </row>
    <row r="2" spans="1:5" ht="36" x14ac:dyDescent="0.35">
      <c r="A2" s="106" t="s">
        <v>662</v>
      </c>
      <c r="B2" s="102" t="s">
        <v>662</v>
      </c>
      <c r="C2" s="102" t="s">
        <v>662</v>
      </c>
      <c r="E2" s="134" t="s">
        <v>671</v>
      </c>
    </row>
    <row r="3" spans="1:5" ht="18.5" x14ac:dyDescent="0.35">
      <c r="A3" s="107" t="s">
        <v>660</v>
      </c>
      <c r="B3" s="101" t="s">
        <v>873</v>
      </c>
      <c r="C3" s="100" t="s">
        <v>707</v>
      </c>
      <c r="E3" s="75" t="s">
        <v>678</v>
      </c>
    </row>
    <row r="4" spans="1:5" ht="18.5" x14ac:dyDescent="0.55000000000000004">
      <c r="A4" s="108" t="s">
        <v>661</v>
      </c>
      <c r="B4" s="101" t="s">
        <v>874</v>
      </c>
      <c r="C4" s="101" t="s">
        <v>660</v>
      </c>
      <c r="E4" s="75" t="s">
        <v>685</v>
      </c>
    </row>
    <row r="5" spans="1:5" ht="18.5" x14ac:dyDescent="0.35">
      <c r="A5" s="98"/>
      <c r="B5" s="97" t="s">
        <v>865</v>
      </c>
      <c r="C5" s="101" t="s">
        <v>784</v>
      </c>
      <c r="E5" s="75" t="s">
        <v>690</v>
      </c>
    </row>
    <row r="6" spans="1:5" ht="18.5" x14ac:dyDescent="0.35">
      <c r="A6" s="98"/>
      <c r="B6" s="100" t="s">
        <v>803</v>
      </c>
      <c r="C6" s="95" t="s">
        <v>864</v>
      </c>
      <c r="E6" s="75" t="s">
        <v>696</v>
      </c>
    </row>
    <row r="7" spans="1:5" ht="18.5" x14ac:dyDescent="0.35">
      <c r="A7" s="98"/>
      <c r="B7" s="100" t="s">
        <v>663</v>
      </c>
      <c r="C7" s="100" t="s">
        <v>661</v>
      </c>
      <c r="E7" s="75" t="s">
        <v>702</v>
      </c>
    </row>
    <row r="8" spans="1:5" ht="18.5" x14ac:dyDescent="0.35">
      <c r="A8" s="98"/>
      <c r="B8" s="100"/>
      <c r="C8" s="100" t="s">
        <v>663</v>
      </c>
      <c r="E8" s="135" t="s">
        <v>708</v>
      </c>
    </row>
    <row r="9" spans="1:5" ht="18.5" x14ac:dyDescent="0.35">
      <c r="E9" s="135" t="s">
        <v>708</v>
      </c>
    </row>
    <row r="10" spans="1:5" ht="19" thickBot="1" x14ac:dyDescent="0.4">
      <c r="E10" s="135" t="s">
        <v>714</v>
      </c>
    </row>
    <row r="11" spans="1:5" ht="19" thickBot="1" x14ac:dyDescent="0.4">
      <c r="A11" s="103" t="s">
        <v>1969</v>
      </c>
      <c r="E11" s="135" t="s">
        <v>866</v>
      </c>
    </row>
    <row r="12" spans="1:5" ht="18.5" x14ac:dyDescent="0.35">
      <c r="A12" s="100" t="s">
        <v>663</v>
      </c>
      <c r="E12" s="72" t="s">
        <v>722</v>
      </c>
    </row>
    <row r="13" spans="1:5" ht="18.5" x14ac:dyDescent="0.35">
      <c r="A13" s="101" t="s">
        <v>660</v>
      </c>
      <c r="E13" s="72" t="s">
        <v>730</v>
      </c>
    </row>
    <row r="14" spans="1:5" ht="18.5" x14ac:dyDescent="0.35">
      <c r="E14" s="72" t="s">
        <v>736</v>
      </c>
    </row>
    <row r="15" spans="1:5" ht="18.5" x14ac:dyDescent="0.35">
      <c r="E15" s="72" t="s">
        <v>740</v>
      </c>
    </row>
    <row r="16" spans="1:5" ht="18.5" x14ac:dyDescent="0.35">
      <c r="E16" s="72" t="s">
        <v>746</v>
      </c>
    </row>
    <row r="17" spans="5:5" ht="18.5" x14ac:dyDescent="0.35">
      <c r="E17" s="83" t="s">
        <v>752</v>
      </c>
    </row>
    <row r="18" spans="5:5" ht="18.5" x14ac:dyDescent="0.35">
      <c r="E18" s="83" t="s">
        <v>752</v>
      </c>
    </row>
    <row r="19" spans="5:5" ht="18.5" x14ac:dyDescent="0.35">
      <c r="E19" s="72" t="s">
        <v>763</v>
      </c>
    </row>
    <row r="20" spans="5:5" ht="18.5" x14ac:dyDescent="0.35">
      <c r="E20" s="72" t="s">
        <v>768</v>
      </c>
    </row>
    <row r="21" spans="5:5" ht="18.5" x14ac:dyDescent="0.35">
      <c r="E21" s="83" t="s">
        <v>770</v>
      </c>
    </row>
    <row r="22" spans="5:5" ht="18.5" x14ac:dyDescent="0.35">
      <c r="E22" s="83" t="s">
        <v>770</v>
      </c>
    </row>
    <row r="23" spans="5:5" ht="18.5" x14ac:dyDescent="0.35">
      <c r="E23" s="83" t="s">
        <v>770</v>
      </c>
    </row>
    <row r="24" spans="5:5" ht="18.5" x14ac:dyDescent="0.35">
      <c r="E24" s="83" t="s">
        <v>785</v>
      </c>
    </row>
    <row r="25" spans="5:5" ht="18.5" x14ac:dyDescent="0.35">
      <c r="E25" s="83" t="s">
        <v>785</v>
      </c>
    </row>
    <row r="26" spans="5:5" ht="18.5" x14ac:dyDescent="0.35">
      <c r="E26" s="72" t="s">
        <v>794</v>
      </c>
    </row>
    <row r="27" spans="5:5" ht="18.5" x14ac:dyDescent="0.35">
      <c r="E27" s="72" t="s">
        <v>722</v>
      </c>
    </row>
    <row r="28" spans="5:5" ht="18.5" x14ac:dyDescent="0.35">
      <c r="E28" s="72" t="s">
        <v>736</v>
      </c>
    </row>
    <row r="29" spans="5:5" ht="18.5" x14ac:dyDescent="0.35">
      <c r="E29" s="72" t="s">
        <v>730</v>
      </c>
    </row>
    <row r="30" spans="5:5" ht="18.5" x14ac:dyDescent="0.35">
      <c r="E30" s="83" t="s">
        <v>804</v>
      </c>
    </row>
    <row r="31" spans="5:5" ht="18.5" x14ac:dyDescent="0.35">
      <c r="E31" s="83" t="s">
        <v>810</v>
      </c>
    </row>
    <row r="32" spans="5:5" ht="18.5" x14ac:dyDescent="0.35">
      <c r="E32" s="83" t="s">
        <v>813</v>
      </c>
    </row>
    <row r="33" spans="5:5" ht="18.5" x14ac:dyDescent="0.35">
      <c r="E33" s="83" t="s">
        <v>813</v>
      </c>
    </row>
    <row r="34" spans="5:5" ht="18.5" x14ac:dyDescent="0.35">
      <c r="E34" s="83" t="s">
        <v>823</v>
      </c>
    </row>
    <row r="35" spans="5:5" ht="18.5" x14ac:dyDescent="0.35">
      <c r="E35" s="83" t="s">
        <v>829</v>
      </c>
    </row>
    <row r="36" spans="5:5" ht="18.5" x14ac:dyDescent="0.35">
      <c r="E36" s="83" t="s">
        <v>836</v>
      </c>
    </row>
    <row r="37" spans="5:5" ht="18.5" x14ac:dyDescent="0.35">
      <c r="E37" s="83" t="s">
        <v>843</v>
      </c>
    </row>
    <row r="38" spans="5:5" ht="18.5" x14ac:dyDescent="0.35">
      <c r="E38" s="83" t="s">
        <v>849</v>
      </c>
    </row>
    <row r="39" spans="5:5" ht="18.5" x14ac:dyDescent="0.35">
      <c r="E39" s="83" t="s">
        <v>849</v>
      </c>
    </row>
    <row r="40" spans="5:5" ht="18.5" x14ac:dyDescent="0.35">
      <c r="E40" s="83" t="s">
        <v>857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ANALYSE</vt:lpstr>
      <vt:lpstr>BASE_EDU_ENFANT</vt:lpstr>
      <vt:lpstr>Feuil2</vt:lpstr>
      <vt:lpstr>BASEEDU01</vt:lpstr>
      <vt:lpstr>ETAT SYNOPTIQUE_ZONE_AN2</vt:lpstr>
      <vt:lpstr>ETAT SYNOPTIQUE_ZONE_AN1</vt:lpstr>
      <vt:lpstr>Situation_globaleProjet_AN1_AN2</vt:lpstr>
      <vt:lpstr>COMPO AN3</vt:lpstr>
      <vt:lpstr>BASE_EDUCATION</vt:lpstr>
      <vt:lpstr>BASEAVEC02</vt:lpstr>
      <vt:lpstr>BASE_AVEC01</vt:lpstr>
      <vt:lpstr>BASEAVEC01</vt:lpstr>
      <vt:lpstr>GRAPHIQUES_AVEC</vt:lpstr>
      <vt:lpstr>Feuil1</vt:lpstr>
      <vt:lpstr>'COMPO AN3'!_Hlk80157186</vt:lpstr>
      <vt:lpstr>'ETAT SYNOPTIQUE_ZONE_AN2'!ALIOU</vt:lpstr>
      <vt:lpstr>ALIOU</vt:lpstr>
      <vt:lpstr>BASEAVEC01!Criteres</vt:lpstr>
      <vt:lpstr>BASEEDU01!Criteres</vt:lpstr>
      <vt:lpstr>BASEAVEC01!Extraire</vt:lpstr>
      <vt:lpstr>BASEEDU01!Extraire</vt:lpstr>
      <vt:lpstr>TABLE10</vt:lpstr>
      <vt:lpstr>table11</vt:lpstr>
      <vt:lpstr>TABLE5</vt:lpstr>
      <vt:lpstr>TABLE6</vt:lpstr>
      <vt:lpstr>TABLE7</vt:lpstr>
      <vt:lpstr>TABLE8</vt:lpstr>
      <vt:lpstr>TABLE9</vt:lpstr>
      <vt:lpstr>BASEAVEC02!tableavec001</vt:lpstr>
      <vt:lpstr>'ETAT SYNOPTIQUE_ZONE_AN2'!tableavec001</vt:lpstr>
      <vt:lpstr>tableavec001</vt:lpstr>
      <vt:lpstr>TABLEAVEC002</vt:lpstr>
      <vt:lpstr>TABLEREM01</vt:lpstr>
      <vt:lpstr>TABLEREM02</vt:lpstr>
      <vt:lpstr>VILLAGEBUYO</vt:lpstr>
      <vt:lpstr>VILLAGEGZ</vt:lpstr>
      <vt:lpstr>Situation_globaleProjet_AN1_AN2!Zone_d_impression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Meite, Anliou</dc:creator>
  <cp:lastModifiedBy>Meite, Anliou</cp:lastModifiedBy>
  <dcterms:created xsi:type="dcterms:W3CDTF">2022-03-14T10:21:42Z</dcterms:created>
  <dcterms:modified xsi:type="dcterms:W3CDTF">2024-07-24T22:04:46Z</dcterms:modified>
</cp:coreProperties>
</file>